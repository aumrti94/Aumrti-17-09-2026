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Scenario Status" state="visible" r:id="rId5"/>
    <sheet sheetId="3" name="Go-Live Readiness" state="visible" r:id="rId6"/>
    <sheet sheetId="4" name="Phase 01 Foundation &amp; Access" state="visible" r:id="rId7"/>
    <sheet sheetId="5" name="Defect Log" state="visible" r:id="rId8"/>
  </sheets>
  <calcPr calcId="171027"/>
</workbook>
</file>

<file path=xl/sharedStrings.xml><?xml version="1.0" encoding="utf-8"?>
<sst xmlns="http://schemas.openxmlformats.org/spreadsheetml/2006/main" count="4060" uniqueCount="1404">
  <si>
    <t>Phase</t>
  </si>
  <si>
    <t>Cases</t>
  </si>
  <si>
    <t>Run</t>
  </si>
  <si>
    <t>PASS</t>
  </si>
  <si>
    <t>FAIL</t>
  </si>
  <si>
    <t>BLOCKED</t>
  </si>
  <si>
    <t>Not run</t>
  </si>
  <si>
    <t>% Run</t>
  </si>
  <si>
    <t>% Pass</t>
  </si>
  <si>
    <t>P1 cases</t>
  </si>
  <si>
    <t>P1 FAIL</t>
  </si>
  <si>
    <t>GATE</t>
  </si>
  <si>
    <t>Phase 01 Foundation &amp; Access</t>
  </si>
  <si>
    <t>TOTAL</t>
  </si>
  <si>
    <t>A phase is DONE only when: every case has a Status, zero open P1 defects, and every P1 case has a passing Playwright spec.</t>
  </si>
  <si>
    <t>Journey Scenario</t>
  </si>
  <si>
    <t>Scenario Verdict</t>
  </si>
  <si>
    <t>P1-Setup</t>
  </si>
  <si>
    <t>Scenarios for phases not yet written appear once their CSV is added. Full list of ~230 scenarios: docs/qa/JOURNEY_SCENARIOS.md</t>
  </si>
  <si>
    <t>Category</t>
  </si>
  <si>
    <t>Scenario</t>
  </si>
  <si>
    <t>What must be true</t>
  </si>
  <si>
    <t>Status</t>
  </si>
  <si>
    <t>Evidence / Notes</t>
  </si>
  <si>
    <t>Patient safety</t>
  </si>
  <si>
    <t>P4-S11</t>
  </si>
  <si>
    <t>Drug allergy prescription is blocked; override is audited</t>
  </si>
  <si>
    <t/>
  </si>
  <si>
    <t>P4-S10</t>
  </si>
  <si>
    <t>Drug interaction alert fires</t>
  </si>
  <si>
    <t>P5-S07</t>
  </si>
  <si>
    <t>Critical lab value raises an immediate alert</t>
  </si>
  <si>
    <t>P5-S06</t>
  </si>
  <si>
    <t>Rejected sample re-queues without double-charging</t>
  </si>
  <si>
    <t>P5-S10</t>
  </si>
  <si>
    <t>Dual-validation test cannot be released by one person</t>
  </si>
  <si>
    <t>P6-S04</t>
  </si>
  <si>
    <t>FEFO batch selection picks the earliest expiry</t>
  </si>
  <si>
    <t>P6-S05</t>
  </si>
  <si>
    <t>Expired batch cannot be dispensed</t>
  </si>
  <si>
    <t>P6-S07</t>
  </si>
  <si>
    <t>NDPS dispensing requires dual sign-off</t>
  </si>
  <si>
    <t>P6-S08</t>
  </si>
  <si>
    <t>NDPS with a single signature is blocked</t>
  </si>
  <si>
    <t>P7-S06</t>
  </si>
  <si>
    <t>ICU flowsheet, ventilator and sedation records save</t>
  </si>
  <si>
    <t>P10-OT</t>
  </si>
  <si>
    <t>WHO surgical checklist cannot be bypassed</t>
  </si>
  <si>
    <t>P10-BB</t>
  </si>
  <si>
    <t>Blood cross-match is traceable donor to recipient</t>
  </si>
  <si>
    <t>P10-CSSD</t>
  </si>
  <si>
    <t>Failed sterilisation cycle triggers recall</t>
  </si>
  <si>
    <t>P14-AI</t>
  </si>
  <si>
    <t>Clinical AI output can be rejected; clinician value is recorded</t>
  </si>
  <si>
    <t>Money</t>
  </si>
  <si>
    <t>P7-S14</t>
  </si>
  <si>
    <t>Discharge sweep collects every charge exactly once</t>
  </si>
  <si>
    <t>P7-S15</t>
  </si>
  <si>
    <t>Excess advance produces a refund payable</t>
  </si>
  <si>
    <t>P7-S16</t>
  </si>
  <si>
    <t>Pharmacy return restores stock and reduces the bill</t>
  </si>
  <si>
    <t>P7-S17</t>
  </si>
  <si>
    <t>Discharge blocked on unbilled OT, with audited override</t>
  </si>
  <si>
    <t>P7-S13</t>
  </si>
  <si>
    <t>Stay crossing a locked cash-closure day does not drop charges</t>
  </si>
  <si>
    <t>P7-S12</t>
  </si>
  <si>
    <t>Pre-paid and post-paid ancillary both bill correctly</t>
  </si>
  <si>
    <t>P8-S01</t>
  </si>
  <si>
    <t>Cash bill totals, rounds and receipts correctly</t>
  </si>
  <si>
    <t>P8-S09</t>
  </si>
  <si>
    <t>Advance adjusts against the final bill without double-counting</t>
  </si>
  <si>
    <t>P8-S10</t>
  </si>
  <si>
    <t>Discount below threshold applies directly</t>
  </si>
  <si>
    <t>P8-S11</t>
  </si>
  <si>
    <t>Discount above threshold enforces approval</t>
  </si>
  <si>
    <t>P8-S13</t>
  </si>
  <si>
    <t>Refund follows the approval chain</t>
  </si>
  <si>
    <t>P8-S15</t>
  </si>
  <si>
    <t>Paid bill cannot be voided without reversal</t>
  </si>
  <si>
    <t>P8-S16</t>
  </si>
  <si>
    <t>Day closure locks the day and blocks later edits</t>
  </si>
  <si>
    <t>P8-S18</t>
  </si>
  <si>
    <t>Finalised bill posts a balanced journal entry</t>
  </si>
  <si>
    <t>P8-S20</t>
  </si>
  <si>
    <t>Bill numbers have no duplicates and no gaps</t>
  </si>
  <si>
    <t>P9-S07</t>
  </si>
  <si>
    <t>Room-rent ceiling breach applies the correct deduction</t>
  </si>
  <si>
    <t>P6-S02</t>
  </si>
  <si>
    <t>Pharmacy stock decrements exactly once</t>
  </si>
  <si>
    <t>Legal</t>
  </si>
  <si>
    <t>P4-S13</t>
  </si>
  <si>
    <t>PCPNDT — obstetric USG produces a complete Form F</t>
  </si>
  <si>
    <t>P5-S13</t>
  </si>
  <si>
    <t>PCPNDT — Form F complete in the register</t>
  </si>
  <si>
    <t>P5-S14</t>
  </si>
  <si>
    <t>PCPNDT — non-obstetric USG does NOT produce a Form F</t>
  </si>
  <si>
    <t>P6-S07b</t>
  </si>
  <si>
    <t>NDPS — register entry written on dispense</t>
  </si>
  <si>
    <t>P8-S07</t>
  </si>
  <si>
    <t>GST — finalisation blocked when HSN is missing</t>
  </si>
  <si>
    <t>P8-S06</t>
  </si>
  <si>
    <t>GST — room charge bands correct; ICU exempt</t>
  </si>
  <si>
    <t>P9-S15</t>
  </si>
  <si>
    <t>CGHS — no referral means no bill finalisation</t>
  </si>
  <si>
    <t>P4-S23</t>
  </si>
  <si>
    <t>MLC record cannot be skipped</t>
  </si>
  <si>
    <t>P7-S19</t>
  </si>
  <si>
    <t>Death produces an MCCD</t>
  </si>
  <si>
    <t>P3-S10</t>
  </si>
  <si>
    <t>DPDP — erasure soft-deletes and excludes from search</t>
  </si>
  <si>
    <t>P13-NABH</t>
  </si>
  <si>
    <t>NABH evidence carries real timestamps and identities</t>
  </si>
  <si>
    <t>Security</t>
  </si>
  <si>
    <t>P3-S12</t>
  </si>
  <si>
    <t>Cross-tenant patient open by UUID is blocked</t>
  </si>
  <si>
    <t>R7</t>
  </si>
  <si>
    <t>Every module blocked cross-tenant</t>
  </si>
  <si>
    <t>P1-1H-a</t>
  </si>
  <si>
    <t>Direct API query returns no cross-tenant rows</t>
  </si>
  <si>
    <t>P1-1H-b</t>
  </si>
  <si>
    <t>Stale session after a hospital move does not leak</t>
  </si>
  <si>
    <t>P14-PHI</t>
  </si>
  <si>
    <t>No PHI in console, errors or AI logs</t>
  </si>
  <si>
    <t>Access</t>
  </si>
  <si>
    <t>P1-1E</t>
  </si>
  <si>
    <t>Every role lands correctly and is blocked correctly</t>
  </si>
  <si>
    <t>P1-1F</t>
  </si>
  <si>
    <t>Receptionist cannot Complete &amp; Bill or Admit</t>
  </si>
  <si>
    <t>P1-1G</t>
  </si>
  <si>
    <t>Starter plan cannot open a Professional module</t>
  </si>
  <si>
    <t>P1-1C</t>
  </si>
  <si>
    <t>Deactivated user is signed out and cannot return</t>
  </si>
  <si>
    <t>Regression</t>
  </si>
  <si>
    <t>R1</t>
  </si>
  <si>
    <t>Cash outpatient end to end</t>
  </si>
  <si>
    <t>R2</t>
  </si>
  <si>
    <t>Insured inpatient end to end</t>
  </si>
  <si>
    <t>R3</t>
  </si>
  <si>
    <t>PMJAY inpatient end to end</t>
  </si>
  <si>
    <t>Cross-tenant sweep</t>
  </si>
  <si>
    <t>VERDICT</t>
  </si>
  <si>
    <t>All must-pass items green AND zero open P1 defects anywhere</t>
  </si>
  <si>
    <t>TC#</t>
  </si>
  <si>
    <t>Section</t>
  </si>
  <si>
    <t>Priority</t>
  </si>
  <si>
    <t>Test Case</t>
  </si>
  <si>
    <t>Steps</t>
  </si>
  <si>
    <t>Expected Result</t>
  </si>
  <si>
    <t>Status(PASS/FAIL/BLOCKED)</t>
  </si>
  <si>
    <t>mock data</t>
  </si>
  <si>
    <t>Cross-Module Link</t>
  </si>
  <si>
    <t>Settings need to set before entering to the module</t>
  </si>
  <si>
    <t>Actual Result(What happened)</t>
  </si>
  <si>
    <t>Console Error(Copy-paste red text)</t>
  </si>
  <si>
    <t>Screenshot(Y/N)</t>
  </si>
  <si>
    <t>Notes</t>
  </si>
  <si>
    <t>Why This Exists</t>
  </si>
  <si>
    <t>Test Type</t>
  </si>
  <si>
    <t>Role/Login</t>
  </si>
  <si>
    <t>Supabase Verify</t>
  </si>
  <si>
    <t>Playwright Spec</t>
  </si>
  <si>
    <t>Defect ID</t>
  </si>
  <si>
    <t>TC-P1A-001</t>
  </si>
  <si>
    <t>1A Registration</t>
  </si>
  <si>
    <t>P1</t>
  </si>
  <si>
    <t>Registration page loads with step 1 of 5</t>
  </si>
  <si>
    <t>1) Open /register in a fresh incognito window 2) Observe the wizard</t>
  </si>
  <si>
    <t>Step 1 'Hospital Identity' renders with a 5-step progress bar. No console errors.</t>
  </si>
  <si>
    <t>None</t>
  </si>
  <si>
    <t>None - public route</t>
  </si>
  <si>
    <t>A hospital cannot become a customer if it cannot sign up. This is the very first screen anyone outside your company ever sees.</t>
  </si>
  <si>
    <t>Positive</t>
  </si>
  <si>
    <t>Logged out</t>
  </si>
  <si>
    <t>e2e/phase-01-foundation/P1A.registration.spec.ts</t>
  </si>
  <si>
    <t>TC-P1A-002</t>
  </si>
  <si>
    <t>P2</t>
  </si>
  <si>
    <t>Step 1 accepts valid hospital identity</t>
  </si>
  <si>
    <t>1) Enter Hospital Name 'Aarogya Multispecialty Hospital' 2) Select Type 'Private Hospital' 3) Select State 'Telangana' 4) Select Bed Count '101-200 beds' 5) Enter Phone 9876500001 6) Click Next</t>
  </si>
  <si>
    <t>Next is enabled and the wizard advances to step 2.</t>
  </si>
  <si>
    <t>Hospital A identity block</t>
  </si>
  <si>
    <t>Hospital type and bed count drive plan pricing and default module selection - wrong data here mis-prices the customer.</t>
  </si>
  <si>
    <t>hospitals - after full signup</t>
  </si>
  <si>
    <t>TC-P1A-003</t>
  </si>
  <si>
    <t>Step 1 Next is disabled with any field blank</t>
  </si>
  <si>
    <t>1) Fill every field except State 2) Observe the Next button</t>
  </si>
  <si>
    <t>Next stays disabled. No way to advance with incomplete identity.</t>
  </si>
  <si>
    <t>Hospital A minus State</t>
  </si>
  <si>
    <t>A hospital record without a state breaks GST place-of-supply and state scheme eligibility downstream.</t>
  </si>
  <si>
    <t>Negative</t>
  </si>
  <si>
    <t>TC-P1A-004</t>
  </si>
  <si>
    <t>Phone accepts exactly 10 digits</t>
  </si>
  <si>
    <t>1) Enter phone 98765 2) Try Next 3) Enter 98765000011 (11 digits) 4) Try Next 5) Enter 9876500001 6) Try Next</t>
  </si>
  <si>
    <t>Only the 10-digit value is accepted. Shorter and longer are rejected.</t>
  </si>
  <si>
    <t>9876500001</t>
  </si>
  <si>
    <t>Indian mobile numbers are 10 digits. A malformed number means OTP and WhatsApp never reach the customer.</t>
  </si>
  <si>
    <t>Boundary</t>
  </si>
  <si>
    <t>TC-P1A-005</t>
  </si>
  <si>
    <t>Phone rejects letters and symbols</t>
  </si>
  <si>
    <t>1) Type 'abcdefghij' into Phone 2) Type '98765-0001'</t>
  </si>
  <si>
    <t>Non-numeric input is rejected or stripped.</t>
  </si>
  <si>
    <t>abcdefghij</t>
  </si>
  <si>
    <t>Free-text phone fields are the most common source of unusable contact data.</t>
  </si>
  <si>
    <t>MANUAL-ONLY</t>
  </si>
  <si>
    <t>TC-P1A-006</t>
  </si>
  <si>
    <t>Phone OTP is sent and verifies</t>
  </si>
  <si>
    <t>1) Complete step 1 with phone 9876500001 2) Click Verify 3) Retrieve the OTP 4) Enter it 5) Submit</t>
  </si>
  <si>
    <t>OTP accepted, phone shows verified, and a single-use token is held for the final submit.</t>
  </si>
  <si>
    <t>Platform setting: OTP required toggle (see /platform/settings)</t>
  </si>
  <si>
    <t>If OTP is not enabled on your platform settings this case is N/A - mark BLOCKED and note it</t>
  </si>
  <si>
    <t>OTP is the only thing stopping bulk fake signups from consuming your free trials.</t>
  </si>
  <si>
    <t>signup_otp_verifications</t>
  </si>
  <si>
    <t>TC-P1A-007</t>
  </si>
  <si>
    <t>Wrong OTP is rejected</t>
  </si>
  <si>
    <t>1) Request an OTP 2) Enter 000000 3) Submit</t>
  </si>
  <si>
    <t>Rejected with a clear message. Phone stays unverified. Registration cannot proceed.</t>
  </si>
  <si>
    <t>OTP 000000</t>
  </si>
  <si>
    <t>OTP required enabled</t>
  </si>
  <si>
    <t>An OTP that accepts any value is the same as having no OTP at all.</t>
  </si>
  <si>
    <t>TC-P1A-008</t>
  </si>
  <si>
    <t>Expired OTP is rejected</t>
  </si>
  <si>
    <t>1) Request an OTP 2) Wait past the expiry window 3) Enter the correct code 4) Submit</t>
  </si>
  <si>
    <t>Rejected as expired. A new OTP must be requested.</t>
  </si>
  <si>
    <t>valid but stale OTP</t>
  </si>
  <si>
    <t>An OTP with no expiry can be reused indefinitely if intercepted.</t>
  </si>
  <si>
    <t>TC-P1A-009</t>
  </si>
  <si>
    <t>Step 2 accepts a valid admin account</t>
  </si>
  <si>
    <t>1) Enter Full Name 'Dr. Ravi Shankar' 2) Email yeswanthvarma94+qa.admin.a@gmail.com 3) Password TestPass@2026 4) Confirm the same 5) Designation 'Medical Director' 6) Next</t>
  </si>
  <si>
    <t>Advances to step 3.</t>
  </si>
  <si>
    <t>Hospital A admin block</t>
  </si>
  <si>
    <t>This account becomes the hospital administrator - the only person who can create every other login.</t>
  </si>
  <si>
    <t>users after signup</t>
  </si>
  <si>
    <t>TC-P1A-010</t>
  </si>
  <si>
    <t>Malformed email is rejected</t>
  </si>
  <si>
    <t>1) Enter 'notanemail' 2) Then 'a@b' 3) Then 'a@b.c' 4) Observe each</t>
  </si>
  <si>
    <t>Only a properly formed address with a 2+ char TLD is accepted.</t>
  </si>
  <si>
    <t>notanemail / a@b / a@b.c</t>
  </si>
  <si>
    <t>The admin email is where account recovery goes. Wrong and the customer is locked out permanently.</t>
  </si>
  <si>
    <t>TC-P1A-011</t>
  </si>
  <si>
    <t>Weak password is rejected</t>
  </si>
  <si>
    <t>1) Enter 'pass' (too short) 2) Enter 'password' (no digit) 3) Enter '12345678' (no letter) 4) Enter 'TestPass@2026'</t>
  </si>
  <si>
    <t>First three rejected. Rule is 8+ characters with at least one letter and one digit.</t>
  </si>
  <si>
    <t>pass / password / 12345678 / TestPass@2026</t>
  </si>
  <si>
    <t>This account can see every patient record in the hospital. A weak password here is a data breach waiting to happen.</t>
  </si>
  <si>
    <t>TC-P1A-012</t>
  </si>
  <si>
    <t>Mismatched password confirmation is rejected</t>
  </si>
  <si>
    <t>1) Password TestPass@2026 2) Confirm TestPass@2025 3) Next</t>
  </si>
  <si>
    <t>Rejected with a mismatch message.</t>
  </si>
  <si>
    <t>TestPass@2026 / TestPass@2025</t>
  </si>
  <si>
    <t>A typo in the password the user never sees means they cannot log in and do not know why.</t>
  </si>
  <si>
    <t>TC-P1A-013</t>
  </si>
  <si>
    <t>Step 3 accepts hospital details</t>
  </si>
  <si>
    <t>1) Address 1 'Plot 42, Road No. 12, Banjara Hills' 2) Pincode 500034 3) City Hyderabad 4) GSTIN 36AABCA1234F1Z5 5) NABH Yes + NABH-QA-A-2026 6) Next</t>
  </si>
  <si>
    <t>Advances to step 4.</t>
  </si>
  <si>
    <t>Hospital A details block</t>
  </si>
  <si>
    <t>Address and GSTIN print on every bill. NABH status drives empanelment eligibility.</t>
  </si>
  <si>
    <t>hospitals</t>
  </si>
  <si>
    <t>TC-P1A-014</t>
  </si>
  <si>
    <t>Pincode must be exactly 6 digits</t>
  </si>
  <si>
    <t>1) Enter 5000 2) Try Next 3) Enter 5000345 4) Try Next 5) Enter 500034 6) Try Next</t>
  </si>
  <si>
    <t>Only the 6-digit value advances.</t>
  </si>
  <si>
    <t>5000 / 5000345 / 500034</t>
  </si>
  <si>
    <t>Indian PIN codes are 6 digits. Wrong length means undeliverable post and wrong state inference.</t>
  </si>
  <si>
    <t>TC-P1A-015</t>
  </si>
  <si>
    <t>Malformed GSTIN is caught</t>
  </si>
  <si>
    <t>1) Enter '12345' 2) Then 'ABCDEFGHIJKLMNO' 3) Then 36AABCA1234F1Z5 4) Observe</t>
  </si>
  <si>
    <t>Invalid formats flagged. Valid 15-char GSTIN accepted. NOTE: if any junk value is accepted, log it as a defect.</t>
  </si>
  <si>
    <t>12345 / ABCDEFGHIJKLMNO / 36AABCA1234F1Z5</t>
  </si>
  <si>
    <t>Billing - GST invoicing</t>
  </si>
  <si>
    <t>GSTIN format is 2-digit state + 10-char PAN + entity + Z + checksum</t>
  </si>
  <si>
    <t>A wrong GSTIN makes every tax invoice the hospital issues legally invalid, and they will not discover it until a GST audit.</t>
  </si>
  <si>
    <t>hospitals.gstin</t>
  </si>
  <si>
    <t>TC-P1A-016</t>
  </si>
  <si>
    <t>GSTIN is optional</t>
  </si>
  <si>
    <t>1) Leave GSTIN blank 2) Complete step 3</t>
  </si>
  <si>
    <t>Registration proceeds. GSTIN can be added later in Settings.</t>
  </si>
  <si>
    <t>GSTIN blank</t>
  </si>
  <si>
    <t>Billing - HSN block is inactive without GSTIN</t>
  </si>
  <si>
    <t>Small clinics below the GST threshold genuinely have no GSTIN</t>
  </si>
  <si>
    <t>Many small nursing homes are below the GST registration threshold. Forcing a GSTIN would block a whole customer segment.</t>
  </si>
  <si>
    <t>hospitals.gstin is null</t>
  </si>
  <si>
    <t>TC-P1A-017</t>
  </si>
  <si>
    <t>Step 4 plan selection</t>
  </si>
  <si>
    <t>1) Review Starter, Professional and Enterprise 2) Select Professional 3) Next</t>
  </si>
  <si>
    <t>Plan captured and shown on the confirm step. Pricing and included modules visible before choosing.</t>
  </si>
  <si>
    <t>Professional</t>
  </si>
  <si>
    <t>Settings - Plan &amp; subscription</t>
  </si>
  <si>
    <t>The plan decides which of the 69 modules the hospital can even open. Choosing blind causes immediate churn.</t>
  </si>
  <si>
    <t>hospital_subscriptions</t>
  </si>
  <si>
    <t>TC-P1A-018</t>
  </si>
  <si>
    <t>Cannot submit without accepting Terms</t>
  </si>
  <si>
    <t>1) Reach step 5 2) Leave Terms unchecked 3) Try to submit</t>
  </si>
  <si>
    <t>Submission blocked.</t>
  </si>
  <si>
    <t>Terms unchecked</t>
  </si>
  <si>
    <t>Without accepted terms you have no contract with the customer.</t>
  </si>
  <si>
    <t>TC-P1A-019</t>
  </si>
  <si>
    <t>Cannot submit without DPDP consent</t>
  </si>
  <si>
    <t>1) Reach step 5 2) Accept Terms 3) Leave DPDP consent unchecked 4) Try to submit</t>
  </si>
  <si>
    <t>DPDP consent unchecked</t>
  </si>
  <si>
    <t>DPDP Act 2023 requires explicit consent for processing personal data. Missing it is a statutory violation from day one.</t>
  </si>
  <si>
    <t>hospital_signup_consents</t>
  </si>
  <si>
    <t>TC-P1A-020</t>
  </si>
  <si>
    <t>Full registration creates the hospital</t>
  </si>
  <si>
    <t>1) Complete all 5 steps with Hospital A data 2) Submit 3) Wait for confirmation</t>
  </si>
  <si>
    <t>Success screen shown and a verification email is triggered.</t>
  </si>
  <si>
    <t>Full Hospital A block</t>
  </si>
  <si>
    <t>All modules</t>
  </si>
  <si>
    <t>This single action creates the tenant every other test depends on.</t>
  </si>
  <si>
    <t>hospitals WHERE name='Aarogya Multispecialty Hospital'; users; hospital_subscriptions; hospital_signup_consents</t>
  </si>
  <si>
    <t>TC-P1A-021</t>
  </si>
  <si>
    <t>Trial subscription is created</t>
  </si>
  <si>
    <t>1) After TC-P1A-020 2) Query hospital_subscriptions for the new hospital_id</t>
  </si>
  <si>
    <t>A subscription row exists with the chosen plan and a trial state.</t>
  </si>
  <si>
    <t>Hospital A</t>
  </si>
  <si>
    <t>Settings - Plan</t>
  </si>
  <si>
    <t>Seeded by migration 20260616000003_seed_trial_subscription</t>
  </si>
  <si>
    <t>Without a subscription row the ModuleGate blocks every route and the customer sees an empty product.</t>
  </si>
  <si>
    <t>TC-P1A-022</t>
  </si>
  <si>
    <t>Default chart of accounts is auto-seeded</t>
  </si>
  <si>
    <t>1) After TC-P1A-020 2) Query chart_of_accounts and auto_posting_rules and lab_test_master for the new hospital_id</t>
  </si>
  <si>
    <t>Rows exist. A DB trigger on hospitals seeds defaults on insert.</t>
  </si>
  <si>
    <t>Accounts - journals</t>
  </si>
  <si>
    <t>Trigger from 20260613110000_seed_hospital_defaults</t>
  </si>
  <si>
    <t>Without a chart of accounts no billing event can post to the ledger, so the P&amp;L is empty forever.</t>
  </si>
  <si>
    <t>chart_of_accounts; auto_posting_rules</t>
  </si>
  <si>
    <t>TC-P1A-023</t>
  </si>
  <si>
    <t>Duplicate hospital registration is handled</t>
  </si>
  <si>
    <t>1) Register Hospital A again with the same GSTIN and email 2) Observe</t>
  </si>
  <si>
    <t>Rejected with a clear message. NOTE: if a second hospital is created with the same GSTIN, log as P1.</t>
  </si>
  <si>
    <t>Hospital A repeated</t>
  </si>
  <si>
    <t>Two tenants with the same GSTIN means two hospitals issuing invoices under one tax registration - a serious compliance problem.</t>
  </si>
  <si>
    <t>hospitals - count by gstin must be 1</t>
  </si>
  <si>
    <t>TC-P1A-024</t>
  </si>
  <si>
    <t>Back navigation preserves entered data</t>
  </si>
  <si>
    <t>1) Fill steps 1-3 2) Click Back to step 1 3) Click Next twice</t>
  </si>
  <si>
    <t>All previously entered values are still present.</t>
  </si>
  <si>
    <t>Losing a half-filled form makes people abandon signup. It is the single biggest drop-off cause in onboarding.</t>
  </si>
  <si>
    <t>TC-P1A-025</t>
  </si>
  <si>
    <t>Register Hospital B for isolation testing</t>
  </si>
  <si>
    <t>1) Register Sanjeevani General Hospital with the Hospital B block 2) Choose the Starter plan 3) Complete</t>
  </si>
  <si>
    <t>Second tenant created with its own hospital_id, distinct from Hospital A.</t>
  </si>
  <si>
    <t>Full Hospital B block</t>
  </si>
  <si>
    <t>All - this is the isolation control</t>
  </si>
  <si>
    <t>Required before any Section 1H test can run</t>
  </si>
  <si>
    <t>Without a second hospital you cannot prove tenant isolation - and tenant isolation is the thing that ends a company if it fails.</t>
  </si>
  <si>
    <t>hospitals - 2 distinct rows</t>
  </si>
  <si>
    <t>TC-P1B-001</t>
  </si>
  <si>
    <t>1B Onboarding</t>
  </si>
  <si>
    <t>Onboarding wizard opens after first login</t>
  </si>
  <si>
    <t>1) Verify the admin email 2) Log in as +qa.admin.a 3) Observe</t>
  </si>
  <si>
    <t>Redirected to /setup/onboarding at step 1 Branding.</t>
  </si>
  <si>
    <t>Hospital A admin</t>
  </si>
  <si>
    <t>Registration complete</t>
  </si>
  <si>
    <t>A hospital that lands on an empty dashboard with no guidance abandons the product in the first hour.</t>
  </si>
  <si>
    <t>hospital_admin A</t>
  </si>
  <si>
    <t>e2e/phase-01-foundation/P1B.onboarding.spec.ts</t>
  </si>
  <si>
    <t>TC-P1B-002</t>
  </si>
  <si>
    <t>Wizard shows 14 steps in 6 sections</t>
  </si>
  <si>
    <t>1) Open /setup/onboarding 2) Count the steps and section headers</t>
  </si>
  <si>
    <t>Sections: Hospital (Branding, Departments), Structure (Wards &amp; Beds, Shifts), People (Doctors, Other Staff, OPD Schedules), Services (Fees, Payers, Lab &amp; Radiology, Payments), Integrations (WhatsApp, Modules), Launch (Go Live).</t>
  </si>
  <si>
    <t>The wizard order is the dependency order. If it is wrong, a customer configures things that silently fail.</t>
  </si>
  <si>
    <t>TC-P1B-003</t>
  </si>
  <si>
    <t>P3</t>
  </si>
  <si>
    <t>Step 1 Branding saves logo and colour</t>
  </si>
  <si>
    <t>1) Upload a logo 2) Set primary colour 3) Next</t>
  </si>
  <si>
    <t>Saved and reflected in the app header.</t>
  </si>
  <si>
    <t>any test image</t>
  </si>
  <si>
    <t>All - print headers</t>
  </si>
  <si>
    <t>Branding is marked optional in the wizard</t>
  </si>
  <si>
    <t>The hospital's logo on a bill or report is what makes the software feel like theirs rather than yours.</t>
  </si>
  <si>
    <t>hospitals.logo_url</t>
  </si>
  <si>
    <t>TC-P1B-004</t>
  </si>
  <si>
    <t>Branding can be skipped</t>
  </si>
  <si>
    <t>1) At Branding click Skip</t>
  </si>
  <si>
    <t>Advances to Departments without saving branding.</t>
  </si>
  <si>
    <t>Optional steps must be genuinely optional or the customer is stuck at signup hunting for a logo file.</t>
  </si>
  <si>
    <t>TC-P1B-005</t>
  </si>
  <si>
    <t>Step 2 Departments creates all 10 departments</t>
  </si>
  <si>
    <t>1) Add each department from the Mock Data Book 2) Save 3) Next</t>
  </si>
  <si>
    <t>All 10 saved and listed.</t>
  </si>
  <si>
    <t>10 departments from Mock Data Book</t>
  </si>
  <si>
    <t>OPD IPD Lab Radiology</t>
  </si>
  <si>
    <t>Use Indian English spellings - Anaesthesiology Gynaecology Orthopaedics Paediatrics</t>
  </si>
  <si>
    <t>No departments means no OPD token can be created and no doctor can be assigned. Nothing clinical works.</t>
  </si>
  <si>
    <t>departments - 10 rows for hospital A</t>
  </si>
  <si>
    <t>TC-P1B-006</t>
  </si>
  <si>
    <t>Departments is a mandatory step</t>
  </si>
  <si>
    <t>1) At Departments with none added try Next / Skip</t>
  </si>
  <si>
    <t>Cannot advance. The step is not optional.</t>
  </si>
  <si>
    <t>Allowing a hospital past this step guarantees a broken OPD later, with no obvious cause.</t>
  </si>
  <si>
    <t>TC-P1B-007</t>
  </si>
  <si>
    <t>Duplicate department name is rejected</t>
  </si>
  <si>
    <t>1) Add 'General Medicine' 2) Add 'General Medicine' again</t>
  </si>
  <si>
    <t>Rejected as duplicate.</t>
  </si>
  <si>
    <t>General Medicine twice</t>
  </si>
  <si>
    <t>Duplicate departments split a doctor's patients across two identical-looking queues.</t>
  </si>
  <si>
    <t>departments</t>
  </si>
  <si>
    <t>TC-P1B-008</t>
  </si>
  <si>
    <t>Step 3 creates all 6 wards with rate_per_day</t>
  </si>
  <si>
    <t>1) Add each ward from the Mock Data Book with its rate 2) Save</t>
  </si>
  <si>
    <t>All 6 wards saved WITH rate_per_day populated.</t>
  </si>
  <si>
    <t>6 wards from Mock Data Book</t>
  </si>
  <si>
    <t>IPD - room charge; Billing</t>
  </si>
  <si>
    <t>CRITICAL - a ward without rate_per_day silently bills Rs 500/day</t>
  </si>
  <si>
    <t>Room rent is the largest single line on most inpatient bills. A missing rate means the hospital under-bills every admission and never notices.</t>
  </si>
  <si>
    <t>wards - rate_per_day not null on all 6</t>
  </si>
  <si>
    <t>TC-P1B-009</t>
  </si>
  <si>
    <t>Ward saved without rate_per_day is detectable</t>
  </si>
  <si>
    <t>1) Add a ward leaving rate_per_day blank 2) Save 3) Check the row</t>
  </si>
  <si>
    <t>Either the field is mandatory, or the row saves with a null rate. If it saves null, log P1 - this is the Rs 500 silent fallback.</t>
  </si>
  <si>
    <t>ward with blank rate</t>
  </si>
  <si>
    <t>IPD room charge</t>
  </si>
  <si>
    <t>This is the single most damaging silent failure in the application. It must at minimum be visible.</t>
  </si>
  <si>
    <t>wards.rate_per_day</t>
  </si>
  <si>
    <t>TC-P1B-010</t>
  </si>
  <si>
    <t>Step 3 creates all 32 beds</t>
  </si>
  <si>
    <t>1) Add beds GW-01..10 SP-01..06 PR-01..04 DX-01..02 ICU-01..06 MW-01..04 2) Save</t>
  </si>
  <si>
    <t>All 32 beds created and linked to their wards with status available.</t>
  </si>
  <si>
    <t>32 beds from Mock Data Book</t>
  </si>
  <si>
    <t>IPD - admission</t>
  </si>
  <si>
    <t>Registration complete + wards</t>
  </si>
  <si>
    <t>With no beds the Admit Patient modal is empty and no patient can ever be admitted.</t>
  </si>
  <si>
    <t>beds - 32 rows</t>
  </si>
  <si>
    <t>TC-P1B-011</t>
  </si>
  <si>
    <t>Duplicate bed number in the same ward is rejected</t>
  </si>
  <si>
    <t>1) Add GW-01 twice to General Ward</t>
  </si>
  <si>
    <t>Rejected.</t>
  </si>
  <si>
    <t>GW-01 twice</t>
  </si>
  <si>
    <t>IPD</t>
  </si>
  <si>
    <t>Registration + wards</t>
  </si>
  <si>
    <t>Two beds with the same number means two patients can be assigned the same physical bed.</t>
  </si>
  <si>
    <t>beds</t>
  </si>
  <si>
    <t>TC-P1B-012</t>
  </si>
  <si>
    <t>Step 4 Shifts creates shift master</t>
  </si>
  <si>
    <t>1) Add Morning 08:00-16:00, Evening 16:00-00:00, Night 00:00-08:00 2) Save</t>
  </si>
  <si>
    <t>3 shifts saved.</t>
  </si>
  <si>
    <t>3 standard shifts</t>
  </si>
  <si>
    <t>HR - roster; Nursing handover</t>
  </si>
  <si>
    <t>Hospitals run 24x7 on rotating shifts. Without shift definitions there is no roster and no handover.</t>
  </si>
  <si>
    <t>shift_master</t>
  </si>
  <si>
    <t>TC-P1B-013</t>
  </si>
  <si>
    <t>Step 5 Doctors creates 3 doctors with fees</t>
  </si>
  <si>
    <t>1) Add Dr. Suresh Menon (Gen Medicine, Rs 500, follow-up Rs 0, validity 7d) 2) Dr. Kavitha Rao (Obs&amp;Gynae, Rs 700, follow-up Rs 300, validity 10d) 3) Dr. Arjun Nair (Gen Surgery, Rs 800) 4) Save</t>
  </si>
  <si>
    <t>All 3 created as users with role doctor, and matching service_master fee rows.</t>
  </si>
  <si>
    <t>3 doctors from Mock Data Book</t>
  </si>
  <si>
    <t>OPD - consultation billing</t>
  </si>
  <si>
    <t>Registration + departments</t>
  </si>
  <si>
    <t>Fee precedence is doctor then department then global then hardcoded Rs 500</t>
  </si>
  <si>
    <t>With no consultation fee configured, the app silently bills a hardcoded Rs 500 for every patient regardless of doctor or specialty.</t>
  </si>
  <si>
    <t>users WHERE role='doctor'; service_master item_type='consultation'</t>
  </si>
  <si>
    <t>TC-P1B-014</t>
  </si>
  <si>
    <t>Follow-up fee and validity days save correctly</t>
  </si>
  <si>
    <t>1) On Dr. Menon set follow_up_fee 0 and validity_days 7 2) Save 3) Verify the row</t>
  </si>
  <si>
    <t>Both values persisted exactly.</t>
  </si>
  <si>
    <t>Rs 0 / 7 days</t>
  </si>
  <si>
    <t>OPD - free revisit rule</t>
  </si>
  <si>
    <t>Drives scenarios P4-S02 and P4-S03</t>
  </si>
  <si>
    <t>The free-revisit window is a promise the hospital makes to patients. Getting it wrong means either angry patients or lost revenue.</t>
  </si>
  <si>
    <t>service_master.follow_up_fee and validity_days</t>
  </si>
  <si>
    <t>TC-P1B-015</t>
  </si>
  <si>
    <t>Step 6 Other Staff creates non-doctor staff</t>
  </si>
  <si>
    <t>1) Add nurse, receptionist, pharmacist, lab tech, billing exec per the Mock Data Book 2) Save</t>
  </si>
  <si>
    <t>All created with the correct roles.</t>
  </si>
  <si>
    <t>Staff list from Mock Data Book</t>
  </si>
  <si>
    <t>A hospital is not one admin - every role needs its own login for accountability and audit.</t>
  </si>
  <si>
    <t>users; staff_profiles</t>
  </si>
  <si>
    <t>TC-P1B-016</t>
  </si>
  <si>
    <t>Step 7 OPD Schedules creates doctor slots</t>
  </si>
  <si>
    <t>1) Set Dr. Menon Mon-Sat 09:00-13:00, 15 min slots 2) Save</t>
  </si>
  <si>
    <t>Schedule and slots generated.</t>
  </si>
  <si>
    <t>Mon-Sat 09:00-13:00</t>
  </si>
  <si>
    <t>OPD - appointments</t>
  </si>
  <si>
    <t>Registration + doctors</t>
  </si>
  <si>
    <t>Without slots no appointment can be booked and the hospital is walk-in only.</t>
  </si>
  <si>
    <t>doctor_schedules; doctor_slots</t>
  </si>
  <si>
    <t>TC-P1B-017</t>
  </si>
  <si>
    <t>Step 8 Fees creates the service master</t>
  </si>
  <si>
    <t>1) Add all 10 services from the Mock Data Book with rate, GST and HSN 2) Save</t>
  </si>
  <si>
    <t>All 10 saved with HSN codes populated.</t>
  </si>
  <si>
    <t>10 services from Mock Data Book</t>
  </si>
  <si>
    <t>Billing OPD IPD</t>
  </si>
  <si>
    <t>HSN is required or bill finalisation is blocked once GSTIN is set</t>
  </si>
  <si>
    <t>Every chargeable thing the hospital does must exist here with a price and a tax code, or it either cannot be billed or the invoice is illegal.</t>
  </si>
  <si>
    <t>service_master; service_rates</t>
  </si>
  <si>
    <t>TC-P1B-018</t>
  </si>
  <si>
    <t>Fees is a mandatory step</t>
  </si>
  <si>
    <t>1) At Fees with no services try to skip</t>
  </si>
  <si>
    <t>Cannot skip. Step is mandatory.</t>
  </si>
  <si>
    <t>Billing</t>
  </si>
  <si>
    <t>Skipping fees is what produces the hardcoded Rs 500 bill later.</t>
  </si>
  <si>
    <t>TC-P1B-019</t>
  </si>
  <si>
    <t>Step 9 Payers creates payer masters</t>
  </si>
  <si>
    <t>1) Add all 8 payers from the Mock Data Book 2) Save</t>
  </si>
  <si>
    <t>All 8 saved with their type.</t>
  </si>
  <si>
    <t>8 payers from Mock Data Book</t>
  </si>
  <si>
    <t>IPD admission; Insurance</t>
  </si>
  <si>
    <t>Half a private hospital's revenue is insured. With no payers configured every patient is forced to self-pay.</t>
  </si>
  <si>
    <t>payer_masters</t>
  </si>
  <si>
    <t>TC-P1B-020</t>
  </si>
  <si>
    <t>Step 10 creates lab test master</t>
  </si>
  <si>
    <t>1) Add all 15 lab tests with fee, sample type, unit and normal range 2) Save</t>
  </si>
  <si>
    <t>All 15 saved with fee and normal ranges populated.</t>
  </si>
  <si>
    <t>15 lab tests from Mock Data Book</t>
  </si>
  <si>
    <t>OPD Rx chips; Lab orders; Billing</t>
  </si>
  <si>
    <t>Missing normal range means no abnormal flag and NO critical alert</t>
  </si>
  <si>
    <t>The lab catalogue is what the OPD Rx tab matches prescribed test names against. Tests not in it are silently dropped from the order.</t>
  </si>
  <si>
    <t>lab_test_master - 15 rows with fee not null</t>
  </si>
  <si>
    <t>TC-P1B-021</t>
  </si>
  <si>
    <t>Step 10 creates radiology modalities then studies</t>
  </si>
  <si>
    <t>1) Add modalities X-Ray, Ultrasound, CT, MRI 2) Then add the 7 studies 3) Save</t>
  </si>
  <si>
    <t>Modalities first, then studies linked to them, all with fees.</t>
  </si>
  <si>
    <t>4 modalities + 7 studies</t>
  </si>
  <si>
    <t>OPD Rx chips; Radiology; PCPNDT</t>
  </si>
  <si>
    <t>Modalities MUST exist before studies - order matters</t>
  </si>
  <si>
    <t>Radiology studies cannot exist without a modality. Getting the order wrong produces 'No studies configured'.</t>
  </si>
  <si>
    <t>radiology_modalities; radiology_study_master</t>
  </si>
  <si>
    <t>TC-P1B-022</t>
  </si>
  <si>
    <t>Step 11 Payments configures payment modes</t>
  </si>
  <si>
    <t>1) Configure the accepted payment modes 2) Save</t>
  </si>
  <si>
    <t>Saved.</t>
  </si>
  <si>
    <t>cash/UPI/card/NEFT</t>
  </si>
  <si>
    <t>Billing - payments</t>
  </si>
  <si>
    <t>UPI is how most Indian patients pay now. Not offering it means cash queues at the counter.</t>
  </si>
  <si>
    <t>api_configurations</t>
  </si>
  <si>
    <t>TC-P1B-023</t>
  </si>
  <si>
    <t>Step 12 WhatsApp can be skipped</t>
  </si>
  <si>
    <t>1) At WhatsApp click Skip</t>
  </si>
  <si>
    <t>Advances without configuring.</t>
  </si>
  <si>
    <t>Notifications</t>
  </si>
  <si>
    <t>WARNING - unconfigured WhatsApp makes ALL notifications silently no-op</t>
  </si>
  <si>
    <t>WhatsApp is optional to configure but its absence is invisible - nothing errors, messages just never send.</t>
  </si>
  <si>
    <t>TC-P1B-024</t>
  </si>
  <si>
    <t>Step 13 Modules reflects the chosen plan</t>
  </si>
  <si>
    <t>1) At Modules observe which are enabled 2) Compare against the Professional plan</t>
  </si>
  <si>
    <t>Only modules included in the plan are enabled.</t>
  </si>
  <si>
    <t>Professional plan</t>
  </si>
  <si>
    <t>Registration + plan</t>
  </si>
  <si>
    <t>A customer seeing modules they did not pay for, or missing ones they did, is an immediate support ticket.</t>
  </si>
  <si>
    <t>hospital_module_entitlements</t>
  </si>
  <si>
    <t>TC-P1B-025</t>
  </si>
  <si>
    <t>Step 14 Go Live completes onboarding</t>
  </si>
  <si>
    <t>1) Review the checklist 2) Complete onboarding</t>
  </si>
  <si>
    <t>Redirected to /dashboard. Wizard does not reappear on next login.</t>
  </si>
  <si>
    <t>All</t>
  </si>
  <si>
    <t>All prior steps</t>
  </si>
  <si>
    <t>Onboarding that reappears after completion makes the product feel broken.</t>
  </si>
  <si>
    <t>hospitals - onboarding flag</t>
  </si>
  <si>
    <t>TC-P1B-026</t>
  </si>
  <si>
    <t>Wizard resumes at the correct step after logout</t>
  </si>
  <si>
    <t>1) Complete up to step 5 2) Log out 3) Log back in</t>
  </si>
  <si>
    <t>Resumes at step 6 with earlier data intact.</t>
  </si>
  <si>
    <t>Partial Hospital A</t>
  </si>
  <si>
    <t>Onboarding a hospital takes hours and spans sessions. Losing progress means starting over.</t>
  </si>
  <si>
    <t>TC-P1B-027</t>
  </si>
  <si>
    <t>Repeat full onboarding for Hospital B</t>
  </si>
  <si>
    <t>1) Log in as +qa.admin.b 2) Complete onboarding with a minimal Hospital B config (2 departments, 1 ward, 4 beds, 1 doctor, 1 service)</t>
  </si>
  <si>
    <t>Hospital B is usable for isolation testing.</t>
  </si>
  <si>
    <t>Hospital B minimal set</t>
  </si>
  <si>
    <t>Isolation testing</t>
  </si>
  <si>
    <t>Hospital B registered</t>
  </si>
  <si>
    <t>Only needs enough data to prove isolation</t>
  </si>
  <si>
    <t>Hospital B needs real data in it, or a cross-tenant test proves nothing - an empty result is not the same as a blocked one.</t>
  </si>
  <si>
    <t>hospital_admin B</t>
  </si>
  <si>
    <t>departments/wards/beds for hospital B</t>
  </si>
  <si>
    <t>TC-P1C-001</t>
  </si>
  <si>
    <t>1C Login</t>
  </si>
  <si>
    <t>Valid login succeeds</t>
  </si>
  <si>
    <t>1) Go to /login 2) Enter +qa.admin.a and TestPass@2026 3) Submit</t>
  </si>
  <si>
    <t>Logged in and redirected to /dashboard.</t>
  </si>
  <si>
    <t>Registration + email verified</t>
  </si>
  <si>
    <t>If login does not work nothing else matters.</t>
  </si>
  <si>
    <t>audit_log action='LOGIN'</t>
  </si>
  <si>
    <t>e2e/phase-01-foundation/P1C.login.spec.ts</t>
  </si>
  <si>
    <t>TC-P1C-002</t>
  </si>
  <si>
    <t>Wrong password is rejected</t>
  </si>
  <si>
    <t>1) Enter the correct email with password WrongPass@2026 2) Submit</t>
  </si>
  <si>
    <t>Rejected with a generic message. NOTE: the message must not reveal whether the email exists.</t>
  </si>
  <si>
    <t>WrongPass@2026</t>
  </si>
  <si>
    <t>A message distinguishing 'wrong password' from 'no such user' lets an attacker enumerate every staff email.</t>
  </si>
  <si>
    <t>audit_log</t>
  </si>
  <si>
    <t>TC-P1C-003</t>
  </si>
  <si>
    <t>Unknown email is rejected identically</t>
  </si>
  <si>
    <t>1) Enter nosuchuser@example.com with any password 2) Compare the message to TC-P1C-002</t>
  </si>
  <si>
    <t>The message is identical to the wrong-password message.</t>
  </si>
  <si>
    <t>nosuchuser@example.com</t>
  </si>
  <si>
    <t>Same reason as above - differing messages leak your entire user list.</t>
  </si>
  <si>
    <t>TC-P1C-004</t>
  </si>
  <si>
    <t>Empty credentials are rejected</t>
  </si>
  <si>
    <t>1) Submit with both fields blank</t>
  </si>
  <si>
    <t>Blocked with validation messages.</t>
  </si>
  <si>
    <t>blank</t>
  </si>
  <si>
    <t>Basic input validation - an empty submit should never reach the server.</t>
  </si>
  <si>
    <t>TC-P1C-005</t>
  </si>
  <si>
    <t>Unverified email cannot log in</t>
  </si>
  <si>
    <t>1) Register a new admin 2) Do NOT click the verification link 3) Try to log in</t>
  </si>
  <si>
    <t>Login blocked with a verify-your-email message.</t>
  </si>
  <si>
    <t>fresh unverified account</t>
  </si>
  <si>
    <t>Unverified accounts let anyone register using someone else's email address.</t>
  </si>
  <si>
    <t>auth.users email_confirmed_at</t>
  </si>
  <si>
    <t>TC-P1C-006</t>
  </si>
  <si>
    <t>Deactivated user is signed out</t>
  </si>
  <si>
    <t>1) Log in as +qa.nurse.a 2) As admin in another browser set that user is_active=false 3) Refresh the nurse session</t>
  </si>
  <si>
    <t>Nurse is force signed out. HospitalContext signs out when users.is_active is false.</t>
  </si>
  <si>
    <t>+qa.nurse.a</t>
  </si>
  <si>
    <t>Staff created</t>
  </si>
  <si>
    <t>When a staff member is terminated their access must end immediately, not at their next voluntary logout.</t>
  </si>
  <si>
    <t>nurse A</t>
  </si>
  <si>
    <t>users.is_active</t>
  </si>
  <si>
    <t>TC-P1C-007</t>
  </si>
  <si>
    <t>Deactivated user cannot log back in</t>
  </si>
  <si>
    <t>1) After TC-P1C-006 try to log in as the nurse</t>
  </si>
  <si>
    <t>Login refused.</t>
  </si>
  <si>
    <t>+qa.nurse.a deactivated</t>
  </si>
  <si>
    <t>A terminated employee logging back in the next day is a serious security and PHI exposure.</t>
  </si>
  <si>
    <t>users.is_active=false</t>
  </si>
  <si>
    <t>TC-P1C-008</t>
  </si>
  <si>
    <t>Password reset email is sent</t>
  </si>
  <si>
    <t>1) At /login click Forgot Password 2) Enter +qa.doctor.a 3) Submit</t>
  </si>
  <si>
    <t>Confirmation shown and a reset email arrives.</t>
  </si>
  <si>
    <t>+qa.doctor.a</t>
  </si>
  <si>
    <t>Staff forget passwords constantly. Without self-service reset every one becomes a support call.</t>
  </si>
  <si>
    <t>TC-P1C-009</t>
  </si>
  <si>
    <t>Password reset link works</t>
  </si>
  <si>
    <t>1) Open the reset link 2) Set NewTestPass@2026 3) Log in with it</t>
  </si>
  <si>
    <t>Password changed and the new one works.</t>
  </si>
  <si>
    <t>NewTestPass@2026</t>
  </si>
  <si>
    <t>Reset it back to TestPass@2026 afterwards</t>
  </si>
  <si>
    <t>A reset flow that emails a link but does not actually change the password is worse than none.</t>
  </si>
  <si>
    <t>TC-P1C-010</t>
  </si>
  <si>
    <t>Reset link cannot be reused</t>
  </si>
  <si>
    <t>1) Use a reset link successfully 2) Open the same link again</t>
  </si>
  <si>
    <t>Rejected as already used or expired.</t>
  </si>
  <si>
    <t>used reset link</t>
  </si>
  <si>
    <t>A reusable reset link in an inbox is a permanent backdoor into that account.</t>
  </si>
  <si>
    <t>TC-P1C-011</t>
  </si>
  <si>
    <t>Session persists across a refresh</t>
  </si>
  <si>
    <t>1) Log in 2) Press F5</t>
  </si>
  <si>
    <t>Still logged in on the same page.</t>
  </si>
  <si>
    <t>any login</t>
  </si>
  <si>
    <t>Being logged out by a page refresh mid-consultation loses the doctor's work.</t>
  </si>
  <si>
    <t>doctor A</t>
  </si>
  <si>
    <t>TC-P1C-012</t>
  </si>
  <si>
    <t>Session persists across a new tab</t>
  </si>
  <si>
    <t>1) Log in 2) Open /dashboard in a new tab</t>
  </si>
  <si>
    <t>Logged in in the new tab too.</t>
  </si>
  <si>
    <t>Clinical staff routinely work across several tabs.</t>
  </si>
  <si>
    <t>TC-P1C-013</t>
  </si>
  <si>
    <t>Logout clears the session and context cache</t>
  </si>
  <si>
    <t>1) Log in 2) Log out 3) Check sessionStorage for hms_ctx_* keys 4) Press browser Back</t>
  </si>
  <si>
    <t>Session ended, hms_ctx_* cleared, and Back does not restore an authenticated view.</t>
  </si>
  <si>
    <t>The context cache is only cleared on sign-out - this is why TC-P1H-012 exists</t>
  </si>
  <si>
    <t>On a shared nursing-station computer, a session that survives logout exposes the previous user's patients.</t>
  </si>
  <si>
    <t>any</t>
  </si>
  <si>
    <t>TC-P1C-014</t>
  </si>
  <si>
    <t>Protected route redirects when logged out</t>
  </si>
  <si>
    <t>1) Log out 2) Navigate directly to /patients</t>
  </si>
  <si>
    <t>Redirected to /login. Patient data never renders.</t>
  </si>
  <si>
    <t>Patients</t>
  </si>
  <si>
    <t>Direct URL entry is the first thing anyone tries. If it works logged out you have no access control at all.</t>
  </si>
  <si>
    <t>TC-P1C-015</t>
  </si>
  <si>
    <t>Every protected route redirects when logged out</t>
  </si>
  <si>
    <t>1) Logged out, try /dashboard /opd /ipd /billing /lab /radiology /pharmacy /settings /accounts /platform</t>
  </si>
  <si>
    <t>All redirect to /login. None render data.</t>
  </si>
  <si>
    <t>One unguarded route is enough to expose the whole database.</t>
  </si>
  <si>
    <t>TC-P1C-016</t>
  </si>
  <si>
    <t>Login audit row is written</t>
  </si>
  <si>
    <t>1) Log in as +qa.doctor.a 2) Query audit_log</t>
  </si>
  <si>
    <t>A LOGIN row exists with the user and timestamp.</t>
  </si>
  <si>
    <t>Quality - audit trail</t>
  </si>
  <si>
    <t>NABH and DPDP both require knowing who accessed the system and when.</t>
  </si>
  <si>
    <t>TC-P1C-017</t>
  </si>
  <si>
    <t>Landing route matches the role</t>
  </si>
  <si>
    <t>1) Log in as each of the 16 roles 2) Note where each lands</t>
  </si>
  <si>
    <t>Each role lands on a route it is permitted to see - never a blank or a 403.</t>
  </si>
  <si>
    <t>All 16 logins</t>
  </si>
  <si>
    <t>Cross-check against the Mock Data Book landing column</t>
  </si>
  <si>
    <t>A pharmacist landing on a page they cannot access looks like a broken product on day one.</t>
  </si>
  <si>
    <t>all 16</t>
  </si>
  <si>
    <t>TC-P1C-018</t>
  </si>
  <si>
    <t>Login page renders on a tablet</t>
  </si>
  <si>
    <t>1) Open /login at 768px width</t>
  </si>
  <si>
    <t>Usable without horizontal scroll.</t>
  </si>
  <si>
    <t>Tablet-first is the design target for nurse stations</t>
  </si>
  <si>
    <t>Nurse stations and ward rounds run on tablets, not desktops.</t>
  </si>
  <si>
    <t>TC-P1D-001</t>
  </si>
  <si>
    <t>1D Staff Logins</t>
  </si>
  <si>
    <t>Enable Login creates a working account</t>
  </si>
  <si>
    <t>1) Settings &gt; Staff 2) Select Dr. Suresh Menon 3) Enable Login with +qa.doctor.a 4) Save 5) Log in as that user</t>
  </si>
  <si>
    <t>Account created and login succeeds.</t>
  </si>
  <si>
    <t>Uses the create-staff-login edge function</t>
  </si>
  <si>
    <t>Every clinical action must be attributable to a named person. Shared logins destroy the audit trail and fail NABH.</t>
  </si>
  <si>
    <t>users - auth_user_id populated</t>
  </si>
  <si>
    <t>e2e/phase-01-foundation/P1D.staff-logins.spec.ts</t>
  </si>
  <si>
    <t>TC-P1D-002</t>
  </si>
  <si>
    <t>New staff user gets the correct hospital_id</t>
  </si>
  <si>
    <t>1) After TC-P1D-001 2) Query the users row</t>
  </si>
  <si>
    <t>hospital_id matches Hospital A.</t>
  </si>
  <si>
    <t>All - RLS anchor</t>
  </si>
  <si>
    <t>users.hospital_id is what every RLS policy keys off</t>
  </si>
  <si>
    <t>This one column decides everything that user can ever see. Wrong and they either see nothing or see another hospital's patients.</t>
  </si>
  <si>
    <t>users.hospital_id</t>
  </si>
  <si>
    <t>TC-P1D-003</t>
  </si>
  <si>
    <t>Create all 17 Hospital A logins</t>
  </si>
  <si>
    <t>1) Enable Login for every staff member in the Mock Data Book Hospital A table</t>
  </si>
  <si>
    <t>All 17 accounts created and each can log in.</t>
  </si>
  <si>
    <t>17 Hospital A logins</t>
  </si>
  <si>
    <t>Required before Section 1E can run</t>
  </si>
  <si>
    <t>The RBAC matrix cannot be tested without one real login per role.</t>
  </si>
  <si>
    <t>users - 17 rows with auth_user_id</t>
  </si>
  <si>
    <t>TC-P1D-004</t>
  </si>
  <si>
    <t>Create the 3 Hospital B logins</t>
  </si>
  <si>
    <t>1) As Hospital B admin enable login for its doctor and receptionist</t>
  </si>
  <si>
    <t>3 accounts for Hospital B.</t>
  </si>
  <si>
    <t>3 Hospital B logins</t>
  </si>
  <si>
    <t>Isolation</t>
  </si>
  <si>
    <t>Hospital B onboarded</t>
  </si>
  <si>
    <t>Isolation testing needs a real logged-in user on the other side, not just data.</t>
  </si>
  <si>
    <t>users WHERE hospital_id = B</t>
  </si>
  <si>
    <t>TC-P1D-005</t>
  </si>
  <si>
    <t>Duplicate email is rejected</t>
  </si>
  <si>
    <t>1) Try to enable login for a second staff member with +qa.doctor.a</t>
  </si>
  <si>
    <t>Rejected as already in use.</t>
  </si>
  <si>
    <t>+qa.doctor.a reused</t>
  </si>
  <si>
    <t>Two staff sharing one email means one of them can reset the other's password.</t>
  </si>
  <si>
    <t>users</t>
  </si>
  <si>
    <t>TC-P1D-006</t>
  </si>
  <si>
    <t>Role can be changed after creation</t>
  </si>
  <si>
    <t>1) Change a staff member's role from nurse to receptionist 2) Have them log in again</t>
  </si>
  <si>
    <t>New role applies and the visible navigation changes.</t>
  </si>
  <si>
    <t>Change it back afterwards</t>
  </si>
  <si>
    <t>Staff move between departments. A role that cannot be changed means deleting and recreating the user, losing their audit history.</t>
  </si>
  <si>
    <t>users.role</t>
  </si>
  <si>
    <t>TC-P1D-007</t>
  </si>
  <si>
    <t>Staff can be deactivated</t>
  </si>
  <si>
    <t>1) Set a staff member inactive 2) Verify they cannot log in</t>
  </si>
  <si>
    <t>Deactivation is immediate and effective.</t>
  </si>
  <si>
    <t>+qa.labtech2.a</t>
  </si>
  <si>
    <t>Offboarding must actually remove access on the day it happens.</t>
  </si>
  <si>
    <t>TC-P1D-008</t>
  </si>
  <si>
    <t>Reactivated staff can log in again</t>
  </si>
  <si>
    <t>1) Reactivate the user from TC-P1D-007 2) Log in</t>
  </si>
  <si>
    <t>Access restored.</t>
  </si>
  <si>
    <t>Staff return from long leave - reactivation must work without recreating the account.</t>
  </si>
  <si>
    <t>TC-P1D-009</t>
  </si>
  <si>
    <t>Staff list is scoped to the hospital</t>
  </si>
  <si>
    <t>1) As Hospital A admin open Settings &gt; Staff 2) Search for Hospital B staff names</t>
  </si>
  <si>
    <t>Only Hospital A staff are listed. No Hospital B user appears.</t>
  </si>
  <si>
    <t>Dr. Rohan Kulkarni (B)</t>
  </si>
  <si>
    <t>Both hospitals staffed</t>
  </si>
  <si>
    <t>Seeing another hospital's staff list is itself a data leak, before you even reach patients.</t>
  </si>
  <si>
    <t>users filtered by hospital_id</t>
  </si>
  <si>
    <t>TC-P1D-010</t>
  </si>
  <si>
    <t>Staff profile fields save</t>
  </si>
  <si>
    <t>1) Add qualification, registration number and department to a doctor 2) Save</t>
  </si>
  <si>
    <t>All fields persisted.</t>
  </si>
  <si>
    <t>MBBS MD / TSMC-12345</t>
  </si>
  <si>
    <t>HR - credentialing</t>
  </si>
  <si>
    <t>NABH requires proof that the doctor performing a procedure is registered and qualified to do it.</t>
  </si>
  <si>
    <t>staff_profiles</t>
  </si>
  <si>
    <t>TC-P1D-011</t>
  </si>
  <si>
    <t>Doctor creation also creates a consultation fee row</t>
  </si>
  <si>
    <t>1) Create a new doctor with a fee of Rs 600 2) Check service_master</t>
  </si>
  <si>
    <t>A consultation row exists for that doctor at Rs 600.</t>
  </si>
  <si>
    <t>Rs 600</t>
  </si>
  <si>
    <t>OPD billing</t>
  </si>
  <si>
    <t>Departments created</t>
  </si>
  <si>
    <t>A doctor with no fee row causes the hardcoded Rs 500 fallback for every one of their patients.</t>
  </si>
  <si>
    <t>service_master WHERE doctor_id</t>
  </si>
  <si>
    <t>TC-P1D-012</t>
  </si>
  <si>
    <t>Password reset for a staff member</t>
  </si>
  <si>
    <t>1) Admin triggers a password reset for a staff member</t>
  </si>
  <si>
    <t>Reset email sent to that staff member.</t>
  </si>
  <si>
    <t>Ward staff forget passwords weekly. The admin needs to fix it without calling you.</t>
  </si>
  <si>
    <t>TC-P1D-013</t>
  </si>
  <si>
    <t>Non-admin cannot open Settings &gt; Staff</t>
  </si>
  <si>
    <t>1) Log in as +qa.nurse.a 2) Navigate to /settings/staff</t>
  </si>
  <si>
    <t>Blocked or redirected.</t>
  </si>
  <si>
    <t>A nurse who can create logins can create an admin account for themselves.</t>
  </si>
  <si>
    <t>RBAC</t>
  </si>
  <si>
    <t>TC-P1D-014</t>
  </si>
  <si>
    <t>Staff count reflects the plan limit</t>
  </si>
  <si>
    <t>1) Check whether the plan caps user count 2) Attempt to exceed it if capped</t>
  </si>
  <si>
    <t>Either enforced with a clear message or documented as uncapped.</t>
  </si>
  <si>
    <t>17 users</t>
  </si>
  <si>
    <t>Plan set</t>
  </si>
  <si>
    <t>If seats are part of your pricing, an unenforced limit is revenue you never collect.</t>
  </si>
  <si>
    <t>TC-P1D-015</t>
  </si>
  <si>
    <t>Roles offered match the app_role enum</t>
  </si>
  <si>
    <t>1) Open the role dropdown when creating a staff member 2) List every option offered</t>
  </si>
  <si>
    <t>Compare against the 16 enum values in the Mock Data Book.</t>
  </si>
  <si>
    <t>role dropdown</t>
  </si>
  <si>
    <t>Staff screen</t>
  </si>
  <si>
    <t>See the Mock Data Book warning - 32 roles are used in routing but are not in the enum</t>
  </si>
  <si>
    <t>Modules like Blood Bank and Dialysis name a specialist role as their user, but that role cannot be created. Confirm whether this is intended before logging it.</t>
  </si>
  <si>
    <t>SELECT unnest(enum_range(NULL::app_role))</t>
  </si>
  <si>
    <t>TC-P1D-016</t>
  </si>
  <si>
    <t>Creating a role outside the enum fails cleanly</t>
  </si>
  <si>
    <t>1) If the UI offers a role such as quality_officer, select it and save</t>
  </si>
  <si>
    <t>Either it saves via a permission blob rather than the enum, or it errors. It must not fail silently leaving a user with no role.</t>
  </si>
  <si>
    <t>quality_officer</t>
  </si>
  <si>
    <t>Related to TC-P1D-015</t>
  </si>
  <si>
    <t>A user saved with no usable role can log in and see nothing, which looks like a broken product.</t>
  </si>
  <si>
    <t>TC-P1E-001</t>
  </si>
  <si>
    <t>1E RBAC</t>
  </si>
  <si>
    <t>hospital_admin reaches all core routes</t>
  </si>
  <si>
    <t>1) Log in as +qa.admin.a 2) Visit /dashboard /patients /opd /ipd /lab /radiology /pharmacy /billing /accounts /insurance /hr /inventory /settings</t>
  </si>
  <si>
    <t>All load. hospital_admin is a bypass role.</t>
  </si>
  <si>
    <t>+qa.admin.a</t>
  </si>
  <si>
    <t>All staff created</t>
  </si>
  <si>
    <t>BYPASS_ROLES = super_admin, hospital_admin</t>
  </si>
  <si>
    <t>The admin is the person who configures everything. Blocking them anywhere makes the hospital unusable.</t>
  </si>
  <si>
    <t>e2e/phase-01-foundation/P1E.rbac-route-matrix.spec.ts</t>
  </si>
  <si>
    <t>TC-P1E-002</t>
  </si>
  <si>
    <t>doctor reaches clinical routes</t>
  </si>
  <si>
    <t>1) Log in as +qa.doctor.a 2) Visit /dashboard /opd /ipd /patients /lab /radiology /schedule</t>
  </si>
  <si>
    <t>All load.</t>
  </si>
  <si>
    <t>Clinical</t>
  </si>
  <si>
    <t>A doctor blocked from the OPD queue cannot see patients.</t>
  </si>
  <si>
    <t>TC-P1E-003</t>
  </si>
  <si>
    <t>doctor is blocked from /hr</t>
  </si>
  <si>
    <t>1) As +qa.doctor.a navigate to /hr</t>
  </si>
  <si>
    <t>Blocked or redirected. Payroll data never renders.</t>
  </si>
  <si>
    <t>HR</t>
  </si>
  <si>
    <t>A doctor seeing every colleague's salary is a serious HR incident.</t>
  </si>
  <si>
    <t>TC-P1E-004</t>
  </si>
  <si>
    <t>doctor is blocked from /accounts</t>
  </si>
  <si>
    <t>1) As +qa.doctor.a navigate to /accounts</t>
  </si>
  <si>
    <t>Accounts</t>
  </si>
  <si>
    <t>The hospital's P&amp;L is not clinical information.</t>
  </si>
  <si>
    <t>TC-P1E-005</t>
  </si>
  <si>
    <t>doctor is blocked from /settings</t>
  </si>
  <si>
    <t>1) As +qa.doctor.a navigate to /settings</t>
  </si>
  <si>
    <t>Blocked. Only /settings/profile is reachable as a core route.</t>
  </si>
  <si>
    <t>Settings</t>
  </si>
  <si>
    <t>coreRoutes includes /settings/profile for everyone</t>
  </si>
  <si>
    <t>A doctor who can change consultation fees or permissions can change their own pay and access.</t>
  </si>
  <si>
    <t>TC-P1E-006</t>
  </si>
  <si>
    <t>nurse reaches nursing and clinical routes</t>
  </si>
  <si>
    <t>1) As +qa.nurse.a visit /dashboard /nursing /ipd /patients</t>
  </si>
  <si>
    <t>Nurses are the heaviest users of the system.</t>
  </si>
  <si>
    <t>TC-P1E-007</t>
  </si>
  <si>
    <t>nurse is blocked from /billing /accounts /hr</t>
  </si>
  <si>
    <t>1) As +qa.nurse.a try each route</t>
  </si>
  <si>
    <t>All blocked.</t>
  </si>
  <si>
    <t>Finance HR</t>
  </si>
  <si>
    <t>Clinical staff must not be able to alter bills - it removes the separation between care and money.</t>
  </si>
  <si>
    <t>TC-P1E-008</t>
  </si>
  <si>
    <t>receptionist reaches front-desk routes</t>
  </si>
  <si>
    <t>1) As +qa.reception.a visit /dashboard /patients /opd /schedule</t>
  </si>
  <si>
    <t>+qa.reception.a</t>
  </si>
  <si>
    <t>Patients OPD</t>
  </si>
  <si>
    <t>The front desk is the entry point for every patient.</t>
  </si>
  <si>
    <t>receptionist A</t>
  </si>
  <si>
    <t>TC-P1E-009</t>
  </si>
  <si>
    <t>receptionist is blocked from /ipd /lab /pharmacy /accounts</t>
  </si>
  <si>
    <t>1) As +qa.reception.a try each</t>
  </si>
  <si>
    <t>Clinical Finance</t>
  </si>
  <si>
    <t>Front-desk staff have no clinical training and no reason to see ward or lab data.</t>
  </si>
  <si>
    <t>TC-P1E-010</t>
  </si>
  <si>
    <t>pharmacist reaches /pharmacy</t>
  </si>
  <si>
    <t>1) As +qa.pharmacist.a visit /pharmacy</t>
  </si>
  <si>
    <t>Loads with both IP and retail modes.</t>
  </si>
  <si>
    <t>+qa.pharmacist.a</t>
  </si>
  <si>
    <t>Pharmacy</t>
  </si>
  <si>
    <t>Pharmacy is the pharmacist's only workplace in the app.</t>
  </si>
  <si>
    <t>pharmacist A</t>
  </si>
  <si>
    <t>TC-P1E-011</t>
  </si>
  <si>
    <t>pharmacist is blocked from /ipd /billing /hr</t>
  </si>
  <si>
    <t>1) As +qa.pharmacist.a try each</t>
  </si>
  <si>
    <t>IPD Finance</t>
  </si>
  <si>
    <t>A pharmacist who can edit bills can adjust the price of what they dispensed.</t>
  </si>
  <si>
    <t>TC-P1E-012</t>
  </si>
  <si>
    <t>lab_technician reaches /lab</t>
  </si>
  <si>
    <t>1) As +qa.labtech.a visit /lab</t>
  </si>
  <si>
    <t>Loads.</t>
  </si>
  <si>
    <t>+qa.labtech.a</t>
  </si>
  <si>
    <t>Lab</t>
  </si>
  <si>
    <t>Lab staff need the lab.</t>
  </si>
  <si>
    <t>lab_technician A</t>
  </si>
  <si>
    <t>TC-P1E-013</t>
  </si>
  <si>
    <t>lab_tech role also reaches /lab</t>
  </si>
  <si>
    <t>1) As +qa.labtech2.a (role lab_tech) visit /lab</t>
  </si>
  <si>
    <t>Loads. Both lab_tech and lab_technician are permitted.</t>
  </si>
  <si>
    <t>Two enum values exist for the same job - worth confirming this is deliberate</t>
  </si>
  <si>
    <t>Two roles meaning the same thing is a maintenance trap - if one is missed in a permission update, half your lab staff lose access.</t>
  </si>
  <si>
    <t>lab_tech A</t>
  </si>
  <si>
    <t>TC-P1E-014</t>
  </si>
  <si>
    <t>lab_technician is blocked from /radiology /billing</t>
  </si>
  <si>
    <t>1) As +qa.labtech.a try each</t>
  </si>
  <si>
    <t>Blocked.</t>
  </si>
  <si>
    <t>Radiology Finance</t>
  </si>
  <si>
    <t>Lab and radiology are separate departments with separate staff.</t>
  </si>
  <si>
    <t>TC-P1E-015</t>
  </si>
  <si>
    <t>radiologist reaches /radiology</t>
  </si>
  <si>
    <t>1) As +qa.radiologist.a visit /radiology</t>
  </si>
  <si>
    <t>+qa.radiologist.a</t>
  </si>
  <si>
    <t>Radiology</t>
  </si>
  <si>
    <t>Reporting is the radiologist's entire job.</t>
  </si>
  <si>
    <t>radiologist A</t>
  </si>
  <si>
    <t>TC-P1E-016</t>
  </si>
  <si>
    <t>radiologist is blocked from /lab /pharmacy /hr</t>
  </si>
  <si>
    <t>1) As +qa.radiologist.a try each</t>
  </si>
  <si>
    <t>Lab Pharmacy HR</t>
  </si>
  <si>
    <t>Least privilege - access only to what the job needs.</t>
  </si>
  <si>
    <t>TC-P1E-017</t>
  </si>
  <si>
    <t>billing_executive reaches finance routes</t>
  </si>
  <si>
    <t>1) As +qa.billing.a visit /billing /billing/closure /payments /insurance /accounts</t>
  </si>
  <si>
    <t>+qa.billing.a</t>
  </si>
  <si>
    <t>Finance</t>
  </si>
  <si>
    <t>Billing staff need the full revenue cycle.</t>
  </si>
  <si>
    <t>billing_executive A</t>
  </si>
  <si>
    <t>TC-P1E-018</t>
  </si>
  <si>
    <t>billing_executive is blocked from /hr and /settings</t>
  </si>
  <si>
    <t>1) As +qa.billing.a try each</t>
  </si>
  <si>
    <t>HR Settings</t>
  </si>
  <si>
    <t>Billing staff changing service rates could alter prices to benefit themselves.</t>
  </si>
  <si>
    <t>TC-P1E-019</t>
  </si>
  <si>
    <t>billing_staff has narrower access than billing_executive</t>
  </si>
  <si>
    <t>1) As +qa.billing2.a visit /billing then /billing/closure</t>
  </si>
  <si>
    <t>Billing loads. Day closure is NOT in the billing_staff route list - it must be blocked.</t>
  </si>
  <si>
    <t>+qa.billing2.a</t>
  </si>
  <si>
    <t>ROUTE_ROLES['/billing/closure'] excludes billing_staff</t>
  </si>
  <si>
    <t>Day closure locks the cash books. Only a senior person should be able to close a day.</t>
  </si>
  <si>
    <t>billing_staff A</t>
  </si>
  <si>
    <t>TC-P1E-020</t>
  </si>
  <si>
    <t>accountant reaches /accounts</t>
  </si>
  <si>
    <t>1) As +qa.accountant.a visit /accounts /accounts/chart-of-accounts /accounts/journal-workbench</t>
  </si>
  <si>
    <t>+qa.accountant.a</t>
  </si>
  <si>
    <t>The accountant needs the ledger.</t>
  </si>
  <si>
    <t>accountant A</t>
  </si>
  <si>
    <t>TC-P1E-021</t>
  </si>
  <si>
    <t>accountant is blocked from clinical routes</t>
  </si>
  <si>
    <t>1) As +qa.accountant.a try /opd /ipd /patients /lab</t>
  </si>
  <si>
    <t>Finance staff have no clinical need and no consent basis to view patient records.</t>
  </si>
  <si>
    <t>TC-P1E-022</t>
  </si>
  <si>
    <t>cfo reaches financial reporting</t>
  </si>
  <si>
    <t>1) As +qa.cfo.a visit /accounts/financial-statements /accounts/budget /accounts/fixed-assets /analytics/revenue-intelligence</t>
  </si>
  <si>
    <t>+qa.cfo.a</t>
  </si>
  <si>
    <t>Accounts Analytics</t>
  </si>
  <si>
    <t>The CFO's whole job is these four screens.</t>
  </si>
  <si>
    <t>cfo A</t>
  </si>
  <si>
    <t>TC-P1E-023</t>
  </si>
  <si>
    <t>cfo is blocked from clinical routes</t>
  </si>
  <si>
    <t>1) As +qa.cfo.a try /opd /ipd /patients</t>
  </si>
  <si>
    <t>Seniority is not a clinical need. DPDP purpose limitation applies to the CFO too.</t>
  </si>
  <si>
    <t>TC-P1E-024</t>
  </si>
  <si>
    <t>hr_manager reaches /hr only</t>
  </si>
  <si>
    <t>1) As +qa.hr.a visit /hr 2) Then try /opd /billing /accounts</t>
  </si>
  <si>
    <t>HR loads. The others are blocked.</t>
  </si>
  <si>
    <t>+qa.hr.a</t>
  </si>
  <si>
    <t>HR needs staff data, not patient or financial data.</t>
  </si>
  <si>
    <t>hr_manager A</t>
  </si>
  <si>
    <t>TC-P1E-025</t>
  </si>
  <si>
    <t>insurance_executive reaches /insurance</t>
  </si>
  <si>
    <t>1) As +qa.insurance.a visit /insurance 2) Then try /hr /accounts</t>
  </si>
  <si>
    <t>Insurance loads. The others are blocked.</t>
  </si>
  <si>
    <t>+qa.insurance.a</t>
  </si>
  <si>
    <t>Insurance</t>
  </si>
  <si>
    <t>Insurance desk staff work claims, nothing else.</t>
  </si>
  <si>
    <t>insurance_executive A</t>
  </si>
  <si>
    <t>TC-P1E-026</t>
  </si>
  <si>
    <t>mrd_officer reaches /mrd</t>
  </si>
  <si>
    <t>1) As +qa.mrd.a visit /mrd 2) Then try /billing /hr</t>
  </si>
  <si>
    <t>MRD loads. The others are blocked.</t>
  </si>
  <si>
    <t>+qa.mrd.a</t>
  </si>
  <si>
    <t>MRD</t>
  </si>
  <si>
    <t>MRD sees every record by definition - so everything else must be closed to them.</t>
  </si>
  <si>
    <t>mrd_officer A</t>
  </si>
  <si>
    <t>TC-P1E-027</t>
  </si>
  <si>
    <t>Everyone reaches the core routes</t>
  </si>
  <si>
    <t>1) As each of the 16 roles visit /dashboard /modules /settings/profile /inbox /my-hr</t>
  </si>
  <si>
    <t>All load for every role.</t>
  </si>
  <si>
    <t>coreRoutes are open to every authenticated user</t>
  </si>
  <si>
    <t>Every employee needs their own profile and payslips regardless of role.</t>
  </si>
  <si>
    <t>TC-P1E-028</t>
  </si>
  <si>
    <t>Non-super-admin is blocked from /platform</t>
  </si>
  <si>
    <t>1) As +qa.admin.a (hospital_admin) navigate to /platform</t>
  </si>
  <si>
    <t>Blocked. Platform is your SaaS console not the hospital's.</t>
  </si>
  <si>
    <t>Platform</t>
  </si>
  <si>
    <t>A hospital admin reaching the platform console could change their own plan or see other hospitals.</t>
  </si>
  <si>
    <t>TC-P1E-029</t>
  </si>
  <si>
    <t>Every role is blocked from /platform</t>
  </si>
  <si>
    <t>1) Try /platform as all 16 non-super-admin roles</t>
  </si>
  <si>
    <t>One role slipping through exposes every hospital on the system, not just this one.</t>
  </si>
  <si>
    <t>TC-P1E-030</t>
  </si>
  <si>
    <t>super_admin reaches /platform</t>
  </si>
  <si>
    <t>1) Log in as +qa.superadmin 2) Visit /platform and its sub-routes</t>
  </si>
  <si>
    <t>+qa.superadmin</t>
  </si>
  <si>
    <t>Super admin exists</t>
  </si>
  <si>
    <t>You need the console to run the business.</t>
  </si>
  <si>
    <t>super_admin</t>
  </si>
  <si>
    <t>TC-P1E-031</t>
  </si>
  <si>
    <t>Blocked route does not flash data before redirecting</t>
  </si>
  <si>
    <t>1) As +qa.nurse.a navigate to /accounts 2) Watch closely and check the network tab</t>
  </si>
  <si>
    <t>No financial data renders even briefly and no data request is made.</t>
  </si>
  <si>
    <t>A client-only redirect that still fetches is a real leak</t>
  </si>
  <si>
    <t>A screen that renders then redirects has already sent the data to the browser - it is a leak even if the user only sees it for a moment.</t>
  </si>
  <si>
    <t>TC-P1E-032</t>
  </si>
  <si>
    <t>Role change takes effect on next login</t>
  </si>
  <si>
    <t>1) Change +qa.nurse.a from nurse to billing_executive 2) Have them log out and back in 3) Try /billing</t>
  </si>
  <si>
    <t>Billing now accessible; nursing routes now blocked.</t>
  </si>
  <si>
    <t>Permissions that do not update leave a transferred employee with their old access indefinitely.</t>
  </si>
  <si>
    <t>TC-P1E-033</t>
  </si>
  <si>
    <t>Custom permission blob overrides the static role</t>
  </si>
  <si>
    <t>1) Settings &gt; Roles 2) Grant nurse view access to billing 3) As the nurse open /billing</t>
  </si>
  <si>
    <t>Access granted. When a permissions row exists it is used INSTEAD of the static role list, not in addition.</t>
  </si>
  <si>
    <t>nurse + billing view</t>
  </si>
  <si>
    <t>Roles screen</t>
  </si>
  <si>
    <t>hasAccess uses ONLY permissions when a row exists - no static fallthrough</t>
  </si>
  <si>
    <t>Hospitals genuinely need custom roles. But because the blob replaces rather than extends the defaults, a partially-filled blob silently removes access the role used to have.</t>
  </si>
  <si>
    <t>role_permissions</t>
  </si>
  <si>
    <t>TC-P1E-034</t>
  </si>
  <si>
    <t>Empty permission blob denies everything</t>
  </si>
  <si>
    <t>1) Set a role's permissions to an empty object 2) Log in as that role 3) Try any module route</t>
  </si>
  <si>
    <t>All module routes denied. Only core routes remain.</t>
  </si>
  <si>
    <t>empty permissions</t>
  </si>
  <si>
    <t>Deliberate - a role with zero permissions is denied not defaulted</t>
  </si>
  <si>
    <t>If an empty permission set fell back to defaults, revoking someone's access would silently do nothing.</t>
  </si>
  <si>
    <t>TC-P1E-035</t>
  </si>
  <si>
    <t>Revoking a permission removes access</t>
  </si>
  <si>
    <t>1) Remove billing view from the modified nurse role 2) Log in again 3) Try /billing</t>
  </si>
  <si>
    <t>Blocked again.</t>
  </si>
  <si>
    <t>nurse minus billing</t>
  </si>
  <si>
    <t>Granting access is easy. Revoking it is what matters when someone changes job or leaves.</t>
  </si>
  <si>
    <t>TC-P1E-036</t>
  </si>
  <si>
    <t>Per-user override withholds from one person</t>
  </si>
  <si>
    <t>1) Apply a user_permission_overrides withhold to one doctor 2) Log in as them 3) Compare with the other doctor</t>
  </si>
  <si>
    <t>Only the overridden user loses that access.</t>
  </si>
  <si>
    <t>+qa.doctor.a vs +qa.doctor2.a</t>
  </si>
  <si>
    <t>Sometimes one individual needs restricting without changing the whole role - e.g. a doctor under investigation.</t>
  </si>
  <si>
    <t>user_permission_overrides</t>
  </si>
  <si>
    <t>TC-P1E-037</t>
  </si>
  <si>
    <t>URL with a query string resolves the same</t>
  </si>
  <si>
    <t>1) As +qa.nurse.a try /accounts?tab=journals</t>
  </si>
  <si>
    <t>Blocked identically to /accounts.</t>
  </si>
  <si>
    <t>Path is normalised by splitting on ?</t>
  </si>
  <si>
    <t>Appending a query string is the most obvious way to try to slip past a naive path check.</t>
  </si>
  <si>
    <t>TC-P1E-038</t>
  </si>
  <si>
    <t>Trailing slash resolves the same</t>
  </si>
  <si>
    <t>1) As +qa.nurse.a try /accounts/</t>
  </si>
  <si>
    <t>Blocked identically.</t>
  </si>
  <si>
    <t>Same reasoning - path normalisation must be complete or it is not a control.</t>
  </si>
  <si>
    <t>TC-P1E-039</t>
  </si>
  <si>
    <t>Unknown route shows 404 not a crash</t>
  </si>
  <si>
    <t>1) Visit /this-route-does-not-exist</t>
  </si>
  <si>
    <t>Clean NotFound page. No stack trace or blank screen.</t>
  </si>
  <si>
    <t>A stack trace on screen tells an attacker what framework and structure you use.</t>
  </si>
  <si>
    <t>TC-P1E-040</t>
  </si>
  <si>
    <t>Sidebar hides routes the role cannot open</t>
  </si>
  <si>
    <t>1) As each role inspect the sidebar</t>
  </si>
  <si>
    <t>Only permitted modules appear. No visible link leads to a blocked page.</t>
  </si>
  <si>
    <t>Showing a link that then denies access makes the product feel broken and generates support calls.</t>
  </si>
  <si>
    <t>TC-P1E-041</t>
  </si>
  <si>
    <t>/modules grid matches actual access</t>
  </si>
  <si>
    <t>1) As +qa.nurse.a open /modules 2) Click every tile shown</t>
  </si>
  <si>
    <t>Every tile shown actually opens.</t>
  </si>
  <si>
    <t>The modules grid is how a new user explores the product. Dead tiles destroy confidence immediately.</t>
  </si>
  <si>
    <t>TC-P1E-042</t>
  </si>
  <si>
    <t>Quality routes with non-enum roles</t>
  </si>
  <si>
    <t>1) Check whether quality_officer or quality_manager can be assigned 2) If not, verify who can open /quality /nabh/compliance /ipc/dashboard</t>
  </si>
  <si>
    <t>Document who can actually reach these. ROUTE_ROLES names roles that are not in the app_role enum.</t>
  </si>
  <si>
    <t>quality routes</t>
  </si>
  <si>
    <t>Quality</t>
  </si>
  <si>
    <t>Directly related to TC-P1D-015</t>
  </si>
  <si>
    <t>The Quality module names quality_officer as its user but that role cannot exist. Either the enum is missing values or the routing is wrong - both are real defects.</t>
  </si>
  <si>
    <t>enum_range(NULL::app_role)</t>
  </si>
  <si>
    <t>TC-P1E-043</t>
  </si>
  <si>
    <t>Blood Bank / CSSD / Dialysis role reachability</t>
  </si>
  <si>
    <t>1) Confirm blood_bank_technician, cssd_technician and dialysis_technician cannot be assigned 2) Determine who can actually open /blood-bank /cssd /dialysis</t>
  </si>
  <si>
    <t>Document the effective access.</t>
  </si>
  <si>
    <t>specialty routes</t>
  </si>
  <si>
    <t>Specialty modules</t>
  </si>
  <si>
    <t>These modules list a specialist as the intended user but only admins can reach them - meaning the actual technician cannot do their job.</t>
  </si>
  <si>
    <t>TC-P1E-044</t>
  </si>
  <si>
    <t>Direct navigation matches sidebar visibility</t>
  </si>
  <si>
    <t>1) For 5 roles compare what the sidebar shows against what direct URL entry allows</t>
  </si>
  <si>
    <t>The two agree exactly in both directions.</t>
  </si>
  <si>
    <t>5 roles</t>
  </si>
  <si>
    <t>A route hidden in the nav but reachable by URL is security by obscurity, which is no security.</t>
  </si>
  <si>
    <t>TC-P1E-045</t>
  </si>
  <si>
    <t>Browser Back after a block does not grant access</t>
  </si>
  <si>
    <t>1) As nurse open /nursing 2) Try /accounts (blocked) 3) Press Back twice</t>
  </si>
  <si>
    <t>Never lands on an accessible /accounts.</t>
  </si>
  <si>
    <t>History navigation is a classic way client-side guards get bypassed.</t>
  </si>
  <si>
    <t>TC-P1F-001</t>
  </si>
  <si>
    <t>1F Tab/Action Gates</t>
  </si>
  <si>
    <t>Receptionist cannot see Complete &amp; Bill</t>
  </si>
  <si>
    <t>1) As +qa.reception.a open an OPD consultation 2) Look for the Complete &amp; Bill action</t>
  </si>
  <si>
    <t>The action is not rendered.</t>
  </si>
  <si>
    <t>OPD Billing</t>
  </si>
  <si>
    <t>Roles configured</t>
  </si>
  <si>
    <t>hasActionAccess('opd','complete_bill')</t>
  </si>
  <si>
    <t>Only a doctor should be able to declare a consultation complete - it closes the clinical record and triggers billing.</t>
  </si>
  <si>
    <t>e2e/phase-01-foundation/P1F.action-gates.spec.ts</t>
  </si>
  <si>
    <t>TC-P1F-002</t>
  </si>
  <si>
    <t>Receptionist cannot see Admit Patient</t>
  </si>
  <si>
    <t>1) As +qa.reception.a open a consultation 2) Look for the Admit action</t>
  </si>
  <si>
    <t>Not rendered.</t>
  </si>
  <si>
    <t>OPD IPD</t>
  </si>
  <si>
    <t>hasActionAccess('opd','admit_patient')</t>
  </si>
  <si>
    <t>Admission is a clinical decision with major financial consequences for the patient.</t>
  </si>
  <si>
    <t>TC-P1F-003</t>
  </si>
  <si>
    <t>Doctor CAN see Complete &amp; Bill and Admit</t>
  </si>
  <si>
    <t>1) As +qa.doctor.a open a consultation</t>
  </si>
  <si>
    <t>Both actions are rendered.</t>
  </si>
  <si>
    <t>OPD IPD Billing</t>
  </si>
  <si>
    <t>The counterpart to the two cases above - the gate must permit as reliably as it denies.</t>
  </si>
  <si>
    <t>TC-P1F-004</t>
  </si>
  <si>
    <t>Nurse cannot approve a discount</t>
  </si>
  <si>
    <t>1) As +qa.nurse.a open the discount approvals inbox if reachable</t>
  </si>
  <si>
    <t>Either not reachable or the Approve action is absent.</t>
  </si>
  <si>
    <t>Discount rules set</t>
  </si>
  <si>
    <t>Discount approval is a financial authority. Anyone able to approve can give money away.</t>
  </si>
  <si>
    <t>TC-P1F-005</t>
  </si>
  <si>
    <t>Tabs within a module are individually gated</t>
  </si>
  <si>
    <t>1) As +qa.reception.a open OPD 2) List the visible tabs 3) Repeat as +qa.doctor.a</t>
  </si>
  <si>
    <t>The two see different tab sets appropriate to their role.</t>
  </si>
  <si>
    <t>reception vs doctor</t>
  </si>
  <si>
    <t>OPD</t>
  </si>
  <si>
    <t>hasTabAccess from src/lib/tabPermissions.ts</t>
  </si>
  <si>
    <t>A receptionist seeing the clinical examination tab can read and alter medical findings.</t>
  </si>
  <si>
    <t>receptionist vs doctor A</t>
  </si>
  <si>
    <t>TC-P1F-006</t>
  </si>
  <si>
    <t>Platform entitlement floor overrides even super_admin</t>
  </si>
  <si>
    <t>1) Identify an action gated by the platform entitlement floor 2) Attempt it as super_admin</t>
  </si>
  <si>
    <t>Still withheld. The floor cannot be overridden locally.</t>
  </si>
  <si>
    <t>Platform config</t>
  </si>
  <si>
    <t>tabPermissions.ts lines ~557-666</t>
  </si>
  <si>
    <t>This is how you enforce plan limits. If a super admin could bypass it, entitlements would be unenforceable.</t>
  </si>
  <si>
    <t>TC-P1F-007</t>
  </si>
  <si>
    <t>Hidden action cannot be triggered by other means</t>
  </si>
  <si>
    <t>1) As +qa.reception.a with Complete &amp; Bill hidden, attempt the same operation via keyboard shortcut or a crafted request</t>
  </si>
  <si>
    <t>Rejected server-side as well as hidden in the UI.</t>
  </si>
  <si>
    <t>Hiding a button is not access control unless the server also refuses</t>
  </si>
  <si>
    <t>A button hidden only in the UI is not a permission - anyone who opens DevTools can still call the underlying operation.</t>
  </si>
  <si>
    <t>opd_encounters; bills - no row created</t>
  </si>
  <si>
    <t>TC-P1F-008</t>
  </si>
  <si>
    <t>Export actions are gated</t>
  </si>
  <si>
    <t>1) As several roles look for export or download actions on patient and financial lists</t>
  </si>
  <si>
    <t>Only permitted roles see them.</t>
  </si>
  <si>
    <t>several roles</t>
  </si>
  <si>
    <t>Bulk export is how data leaves an organisation. It needs tighter control than viewing.</t>
  </si>
  <si>
    <t>several</t>
  </si>
  <si>
    <t>TC-P1F-009</t>
  </si>
  <si>
    <t>Delete actions are gated</t>
  </si>
  <si>
    <t>1) As non-admin roles look for delete actions on master data</t>
  </si>
  <si>
    <t>Not available to non-admin roles.</t>
  </si>
  <si>
    <t>non-admin roles</t>
  </si>
  <si>
    <t>Deleted master data breaks every historical record that referenced it.</t>
  </si>
  <si>
    <t>TC-P1F-010</t>
  </si>
  <si>
    <t>Granular view/create/edit/delete permissions work</t>
  </si>
  <si>
    <t>1) Grant a role view-only on a module 2) Confirm it can read but not create or edit</t>
  </si>
  <si>
    <t>Read works; write actions are absent.</t>
  </si>
  <si>
    <t>view-only role</t>
  </si>
  <si>
    <t>Many roles legitimately need to see without changing - an auditor, a trainee, a referring doctor.</t>
  </si>
  <si>
    <t>custom role</t>
  </si>
  <si>
    <t>TC-P1F-011</t>
  </si>
  <si>
    <t>Legacy string permission format still resolves</t>
  </si>
  <si>
    <t>1) If any role has a legacy 'r' or 'rw' string permission verify it resolves</t>
  </si>
  <si>
    <t>'r' grants view; 'rw' grants view/create/edit/delete.</t>
  </si>
  <si>
    <t>legacy blob</t>
  </si>
  <si>
    <t>Backward compatibility path in hasPermission</t>
  </si>
  <si>
    <t>Older hospitals will have legacy permission blobs. If they stop resolving, existing customers lose access overnight.</t>
  </si>
  <si>
    <t>TC-P1F-012</t>
  </si>
  <si>
    <t>Legacy module parent fallback works</t>
  </si>
  <si>
    <t>1) Check a specialty module such as /dialysis with a blob that only names its legacy parent</t>
  </si>
  <si>
    <t>Resolves via LEGACY_MODULE_PARENT.</t>
  </si>
  <si>
    <t>Specialty</t>
  </si>
  <si>
    <t>Specialty modules used to inherit a parent bucket. Breaking the fallback silently removes access for every existing customer.</t>
  </si>
  <si>
    <t>TC-P1G-001</t>
  </si>
  <si>
    <t>1G Plan Gating</t>
  </si>
  <si>
    <t>Professional plan opens its modules</t>
  </si>
  <si>
    <t>1) As Hospital A (Professional) open the modules included in that plan</t>
  </si>
  <si>
    <t>The customer must get what they paid for.</t>
  </si>
  <si>
    <t>e2e/phase-01-foundation/P1G.plan-gating.spec.ts</t>
  </si>
  <si>
    <t>TC-P1G-002</t>
  </si>
  <si>
    <t>Starter plan blocks higher-tier modules</t>
  </si>
  <si>
    <t>1) As Hospital B (Starter) try to open a Professional-only module</t>
  </si>
  <si>
    <t>Blocked by ModuleGate with an upgrade message rather than a raw error.</t>
  </si>
  <si>
    <t>Hospital B</t>
  </si>
  <si>
    <t>If the plan is not enforced, nobody has any reason to upgrade.</t>
  </si>
  <si>
    <t>TC-P1G-003</t>
  </si>
  <si>
    <t>Plan gate applies to direct URL entry</t>
  </si>
  <si>
    <t>1) As Hospital B paste a blocked module URL directly</t>
  </si>
  <si>
    <t>Blocked identically to clicking.</t>
  </si>
  <si>
    <t>ModuleGate wraps the AppShell Outlet so every route is enforced</t>
  </si>
  <si>
    <t>A gate that only works from the menu is not a gate.</t>
  </si>
  <si>
    <t>TC-P1G-004</t>
  </si>
  <si>
    <t>Upgrading a plan unlocks modules immediately</t>
  </si>
  <si>
    <t>1) As super admin upgrade Hospital B to Professional 2) Refresh Hospital B's session 3) Open a previously blocked module</t>
  </si>
  <si>
    <t>Now accessible.</t>
  </si>
  <si>
    <t>Hospital B upgrade</t>
  </si>
  <si>
    <t>Platform access</t>
  </si>
  <si>
    <t>Realtime channel listens on hospital_module_entitlements</t>
  </si>
  <si>
    <t>A customer who pays for an upgrade and cannot use it for a day will ask for a refund.</t>
  </si>
  <si>
    <t>super_admin then hospital_admin B</t>
  </si>
  <si>
    <t>TC-P1G-005</t>
  </si>
  <si>
    <t>Downgrading a plan re-blocks modules</t>
  </si>
  <si>
    <t>1) Downgrade Hospital B back to Starter 2) Refresh 3) Try the module again</t>
  </si>
  <si>
    <t>Blocked again. Existing data is preserved not deleted.</t>
  </si>
  <si>
    <t>Hospital B downgrade</t>
  </si>
  <si>
    <t>Data must survive a downgrade</t>
  </si>
  <si>
    <t>A downgrade that deletes data makes downgrading catastrophic and traps customers - or loses them permanently.</t>
  </si>
  <si>
    <t>TC-P1G-006</t>
  </si>
  <si>
    <t>Addon withhold hides a single AI feature</t>
  </si>
  <si>
    <t>1) Withhold one AI feature key from Hospital A 2) Open the screen that uses it</t>
  </si>
  <si>
    <t>That AI action is not rendered. Others still are.</t>
  </si>
  <si>
    <t>one AI feature key</t>
  </si>
  <si>
    <t>AI Suite</t>
  </si>
  <si>
    <t>Plan + AI settings</t>
  </si>
  <si>
    <t>AI features are actions of the pseudo-module ai_suite</t>
  </si>
  <si>
    <t>AI features are priced individually. Withholding must be surgical, not all-or-nothing.</t>
  </si>
  <si>
    <t>hospital_feature_overrides</t>
  </si>
  <si>
    <t>TC-P1G-007</t>
  </si>
  <si>
    <t>AI master toggle hides all AI features</t>
  </si>
  <si>
    <t>1) Turn off the AI Features master toggle 2) Check several AI-bearing screens</t>
  </si>
  <si>
    <t>All AI actions hidden.</t>
  </si>
  <si>
    <t>AI master off</t>
  </si>
  <si>
    <t>AI settings</t>
  </si>
  <si>
    <t>Some hospitals will not permit AI on clinical records at all. One switch must satisfy that.</t>
  </si>
  <si>
    <t>hospitals AI flags</t>
  </si>
  <si>
    <t>TC-P1G-008</t>
  </si>
  <si>
    <t>Expired subscription applies a write lock</t>
  </si>
  <si>
    <t>1) Set Hospital B's subscription to expired 2) Try to create any record</t>
  </si>
  <si>
    <t>Reads still work; writes are blocked with a clear renewal message.</t>
  </si>
  <si>
    <t>Hospital B expired</t>
  </si>
  <si>
    <t>src/lib/subscriptionLock.ts</t>
  </si>
  <si>
    <t>Non-payment must stop new work without destroying access to existing records - a hospital still needs to read its own patient history.</t>
  </si>
  <si>
    <t>TC-P1G-009</t>
  </si>
  <si>
    <t>Expired subscription still allows reads</t>
  </si>
  <si>
    <t>1) With Hospital B expired open a patient record</t>
  </si>
  <si>
    <t>Record is readable.</t>
  </si>
  <si>
    <t>Blocking read access to medical records over a billing dispute would be a patient-safety issue and probably unlawful.</t>
  </si>
  <si>
    <t>TC-P1G-010</t>
  </si>
  <si>
    <t>Trial expiry behaves like expiry</t>
  </si>
  <si>
    <t>1) Set Hospital B's trial to expired 2) Attempt a write</t>
  </si>
  <si>
    <t>Same write lock as a paid expiry.</t>
  </si>
  <si>
    <t>Hospital B trial expired</t>
  </si>
  <si>
    <t>An unlimited trial is a free product.</t>
  </si>
  <si>
    <t>TC-P1G-011</t>
  </si>
  <si>
    <t>Blocked module shows an upgrade path not an error</t>
  </si>
  <si>
    <t>1) Trigger any plan block 2) Read the message</t>
  </si>
  <si>
    <t>Clear explanation and a route to upgrade. Not a stack trace or blank page.</t>
  </si>
  <si>
    <t>A gate is also a sales opportunity. A raw error is just a bad experience.</t>
  </si>
  <si>
    <t>TC-P1G-012</t>
  </si>
  <si>
    <t>Entitlement fail-open is logged</t>
  </si>
  <si>
    <t>1) If entitlement resolution fails check entitlement_fail_open_events</t>
  </si>
  <si>
    <t>Any fail-open is recorded for review.</t>
  </si>
  <si>
    <t>Fail-open is safer than locking a hospital out but must be visible</t>
  </si>
  <si>
    <t>Failing open keeps hospitals working during an outage, but an unlogged fail-open means customers silently get free features forever.</t>
  </si>
  <si>
    <t>entitlement_fail_open_events</t>
  </si>
  <si>
    <t>TC-P1H-001</t>
  </si>
  <si>
    <t>1H Tenant Isolation</t>
  </si>
  <si>
    <t>Hospital A cannot list Hospital B patients</t>
  </si>
  <si>
    <t>1) As +qa.doctor.a open /patients 2) Search for PT-QA-0030 and 'Rohan Kulkarni'</t>
  </si>
  <si>
    <t>No result. Hospital B's patient is invisible.</t>
  </si>
  <si>
    <t>PT-QA-0030</t>
  </si>
  <si>
    <t>Both hospitals seeded</t>
  </si>
  <si>
    <t>One hospital seeing another's patients is a reportable data breach that ends the company.</t>
  </si>
  <si>
    <t>patients WHERE hospital_id = B</t>
  </si>
  <si>
    <t>e2e/phase-01-foundation/P1H.tenant-isolation.spec.ts</t>
  </si>
  <si>
    <t>TC-P1H-002</t>
  </si>
  <si>
    <t>Hospital A cannot open a Hospital B patient by UUID</t>
  </si>
  <si>
    <t>1) Get PT-QA-0030's UUID from the DB 2) As +qa.doctor.a paste /patients/&lt;uuid&gt;/summary</t>
  </si>
  <si>
    <t>Blocked or not found. NOTE: no PHI must render even briefly.</t>
  </si>
  <si>
    <t>PT-QA-0030 UUID</t>
  </si>
  <si>
    <t>The classic IDOR test</t>
  </si>
  <si>
    <t>Guessing or leaking a record ID is the most common way multi-tenant systems leak data.</t>
  </si>
  <si>
    <t>TC-P1H-003</t>
  </si>
  <si>
    <t>1) In the browser console as +qa.doctor.a run a supabase select on patients with no filter 2) Inspect the rows</t>
  </si>
  <si>
    <t>Only Hospital A rows return. RLS enforces this at the database.</t>
  </si>
  <si>
    <t>This is the real test - the UI filter is not the control, RLS is</t>
  </si>
  <si>
    <t>Anyone can open DevTools and query directly. If RLS is not the boundary, the UI filter is decoration.</t>
  </si>
  <si>
    <t>patients</t>
  </si>
  <si>
    <t>TC-P1H-004</t>
  </si>
  <si>
    <t>Cross-tenant isolation on bills</t>
  </si>
  <si>
    <t>1) As +qa.billing.a query bills directly with no filter</t>
  </si>
  <si>
    <t>Only Hospital A bills.</t>
  </si>
  <si>
    <t>Another hospital's revenue figures are commercially sensitive as well as confidential.</t>
  </si>
  <si>
    <t>bills</t>
  </si>
  <si>
    <t>TC-P1H-005</t>
  </si>
  <si>
    <t>Cross-tenant isolation on insurance_claims</t>
  </si>
  <si>
    <t>1) As +qa.insurance.a query insurance_claims directly</t>
  </si>
  <si>
    <t>Only Hospital A rows. NOTE: this query has NO hospital_id filter in the code and relies entirely on RLS.</t>
  </si>
  <si>
    <t>ClaimsStatus.tsx line 128 - highest-risk query in the app</t>
  </si>
  <si>
    <t>This is one of two places found that fetch without a hospital filter. If RLS is ever misconfigured, this leaks first.</t>
  </si>
  <si>
    <t>insurance_claims</t>
  </si>
  <si>
    <t>TC-P1H-006</t>
  </si>
  <si>
    <t>Cross-tenant isolation on denial_logs</t>
  </si>
  <si>
    <t>1) As +qa.insurance.a query denial_logs directly</t>
  </si>
  <si>
    <t>Only Hospital A rows.</t>
  </si>
  <si>
    <t>ClaimsStatus.tsx line 170 - same risk as above</t>
  </si>
  <si>
    <t>Second of the two unfiltered queries. Same exposure.</t>
  </si>
  <si>
    <t>denial_logs</t>
  </si>
  <si>
    <t>TC-P1H-007</t>
  </si>
  <si>
    <t>Cross-tenant isolation on admissions and beds</t>
  </si>
  <si>
    <t>1) As +qa.doctor.a query admissions and beds directly</t>
  </si>
  <si>
    <t>Bed occupancy is operationally sensitive and the admissions table carries diagnoses.</t>
  </si>
  <si>
    <t>admissions; beds</t>
  </si>
  <si>
    <t>TC-P1H-008</t>
  </si>
  <si>
    <t>Cross-tenant isolation on prescriptions and lab_orders</t>
  </si>
  <si>
    <t>1) As +qa.doctor.a query prescriptions and lab_orders directly</t>
  </si>
  <si>
    <t>OPD Lab</t>
  </si>
  <si>
    <t>Prescriptions and results are the most sensitive category of health data.</t>
  </si>
  <si>
    <t>prescriptions; lab_orders</t>
  </si>
  <si>
    <t>TC-P1H-009</t>
  </si>
  <si>
    <t>Cross-tenant isolation on users and staff</t>
  </si>
  <si>
    <t>1) As +qa.admin.a query users directly</t>
  </si>
  <si>
    <t>Only Hospital A staff.</t>
  </si>
  <si>
    <t>Staff names and emails of another hospital are both a privacy issue and a competitive one.</t>
  </si>
  <si>
    <t>TC-P1H-010</t>
  </si>
  <si>
    <t>Cross-tenant write is rejected</t>
  </si>
  <si>
    <t>1) As +qa.doctor.a attempt to insert a row with Hospital B's hospital_id</t>
  </si>
  <si>
    <t>Rejected by RLS.</t>
  </si>
  <si>
    <t>Hospital B hospital_id</t>
  </si>
  <si>
    <t>Reading another tenant's data is bad. Writing into it is worse - it corrupts their records.</t>
  </si>
  <si>
    <t>any table - no row created</t>
  </si>
  <si>
    <t>TC-P1H-011</t>
  </si>
  <si>
    <t>Cross-tenant update is rejected</t>
  </si>
  <si>
    <t>1) As +qa.doctor.a attempt to update a Hospital B patient row by UUID</t>
  </si>
  <si>
    <t>Rejected. Row unchanged.</t>
  </si>
  <si>
    <t>An attacker who cannot read but can write can still destroy another hospital's records.</t>
  </si>
  <si>
    <t>patients - row unchanged</t>
  </si>
  <si>
    <t>TC-P1H-012</t>
  </si>
  <si>
    <t>Stale session context after a hospital move</t>
  </si>
  <si>
    <t>1) Note the hms_ctx_* sessionStorage key as +qa.doctor.a 2) As super admin move that user to Hospital B 3) WITHOUT logging out refresh the page 4) Observe which hospital's data shows</t>
  </si>
  <si>
    <t>Must resolve to Hospital B or force a re-auth. NOTE: the cache is only cleared on sign-out, so this may show stale Hospital A data - if so, log P1.</t>
  </si>
  <si>
    <t>+qa.doctor.a moved to B</t>
  </si>
  <si>
    <t>HospitalContext caches in sessionStorage and revalidates in the background</t>
  </si>
  <si>
    <t>A user moved between hospitals who keeps the old tenant is actively looking at the wrong hospital's patients.</t>
  </si>
  <si>
    <t>TC-P1H-013</t>
  </si>
  <si>
    <t>Service role key is not in the client bundle</t>
  </si>
  <si>
    <t>1) Build the app 2) Search dist/ for the service role key and for 'service_role'</t>
  </si>
  <si>
    <t>Not present anywhere in the client bundle.</t>
  </si>
  <si>
    <t>Build produced</t>
  </si>
  <si>
    <t>npm run build then grep dist/</t>
  </si>
  <si>
    <t>The service role key bypasses all RLS. If it ships to the browser, every tenant boundary in the product is gone.</t>
  </si>
  <si>
    <t>TC-P1H-014</t>
  </si>
  <si>
    <t>No PHI in console output</t>
  </si>
  <si>
    <t>1) Log in and walk OPD IPD and Billing with the console open 2) Review every logged line</t>
  </si>
  <si>
    <t>No patient name UHID phone or diagnosis appears in any console message.</t>
  </si>
  <si>
    <t>PT-QA-0001</t>
  </si>
  <si>
    <t>DPDP requirement - PHI must not appear in logs</t>
  </si>
  <si>
    <t>Console logs get captured by browser extensions, error trackers and screen shares. PHI there is a breach.</t>
  </si>
  <si>
    <t>TC-P1H-015</t>
  </si>
  <si>
    <t>Error messages do not leak PHI</t>
  </si>
  <si>
    <t>1) Deliberately trigger errors (bad ID, blocked action) 2) Read every message</t>
  </si>
  <si>
    <t>Messages are generic. No patient identifiers or SQL fragments.</t>
  </si>
  <si>
    <t>Error messages are shown to users and logged to third-party services. Both are places PHI must never reach.</t>
  </si>
  <si>
    <t>TC-P1H-016</t>
  </si>
  <si>
    <t>Bill number sequences are per-hospital</t>
  </si>
  <si>
    <t>1) Create a bill in Hospital A and one in Hospital B 2) Compare the numbers</t>
  </si>
  <si>
    <t>Independent sequences. Neither continues the other's numbering.</t>
  </si>
  <si>
    <t>both hospitals</t>
  </si>
  <si>
    <t>bill_sequences is keyed per hospital</t>
  </si>
  <si>
    <t>Shared invoice numbering between two hospitals means duplicate invoice numbers under different GSTINs - a tax compliance failure.</t>
  </si>
  <si>
    <t>billing_executive both</t>
  </si>
  <si>
    <t>bill_sequences</t>
  </si>
  <si>
    <t>TC-P1I-001</t>
  </si>
  <si>
    <t>1I Go Live</t>
  </si>
  <si>
    <t>Go-live checklist page loads</t>
  </si>
  <si>
    <t>1) As +qa.admin.a open /admin/go-live</t>
  </si>
  <si>
    <t>Loads with the checklist.</t>
  </si>
  <si>
    <t>Onboarding complete</t>
  </si>
  <si>
    <t>This is the hospital's own readiness gate before they start using the system for real patients.</t>
  </si>
  <si>
    <t>e2e/phase-01-foundation/P1I.go-live.spec.ts</t>
  </si>
  <si>
    <t>TC-P1I-002</t>
  </si>
  <si>
    <t>Checklist reflects actual configuration state</t>
  </si>
  <si>
    <t>1) With departments and wards configured but no drugs 2) Review the checklist</t>
  </si>
  <si>
    <t>Completed items show complete; the drug item shows incomplete.</t>
  </si>
  <si>
    <t>partial config</t>
  </si>
  <si>
    <t>Partial onboarding</t>
  </si>
  <si>
    <t>A checklist that does not check anything is theatre. It must read the real state.</t>
  </si>
  <si>
    <t>various master tables</t>
  </si>
  <si>
    <t>TC-P1I-003</t>
  </si>
  <si>
    <t>Checklist items link to the right settings screen</t>
  </si>
  <si>
    <t>1) Click an incomplete item</t>
  </si>
  <si>
    <t>Navigates to the screen that fixes it.</t>
  </si>
  <si>
    <t>Telling someone what is missing without showing them where to fix it just creates a support call.</t>
  </si>
  <si>
    <t>TC-P1I-004</t>
  </si>
  <si>
    <t>Non-admin cannot open go-live</t>
  </si>
  <si>
    <t>1) As +qa.doctor.a navigate to /admin/go-live</t>
  </si>
  <si>
    <t>Declaring a hospital live is an administrative decision.</t>
  </si>
  <si>
    <t>TC-P1I-005</t>
  </si>
  <si>
    <t>Critical prerequisites are flagged</t>
  </si>
  <si>
    <t>1) Remove rate_per_day from a ward 2) Remove all consultation fees 3) Review the checklist</t>
  </si>
  <si>
    <t>These should be flagged. NOTE: if the checklist passes without them, log P1 - these are the two silent Rs 500 fallbacks.</t>
  </si>
  <si>
    <t>ward without rate; no fees</t>
  </si>
  <si>
    <t>IPD Billing OPD</t>
  </si>
  <si>
    <t>The two most damaging silent failures in the product</t>
  </si>
  <si>
    <t>A hospital going live without consultation fees or room rates will under-bill every single patient and not know for months.</t>
  </si>
  <si>
    <t>wards.rate_per_day; service_master</t>
  </si>
  <si>
    <t>TC-P1I-006</t>
  </si>
  <si>
    <t>Data migration page loads</t>
  </si>
  <si>
    <t>1) As +qa.admin.a open /admin/data-migration</t>
  </si>
  <si>
    <t>Every hospital switching from another system needs to bring its patient list with it. This is often the deal-breaker.</t>
  </si>
  <si>
    <t>Date</t>
  </si>
  <si>
    <t>Module</t>
  </si>
  <si>
    <t>Severity</t>
  </si>
  <si>
    <t>Summary</t>
  </si>
  <si>
    <t>Steps to Reproduce</t>
  </si>
  <si>
    <t>Console Error</t>
  </si>
  <si>
    <t>Related TC#</t>
  </si>
  <si>
    <t>Owner</t>
  </si>
  <si>
    <t>Fixed in /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</si>
</sst>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</font>
    <font>
      <i/>
      <color rgb="FF666666"/>
      <sz val="9"/>
    </font>
    <font>
      <b/>
      <sz val="12"/>
    </font>
    <font>
      <b/>
      <color rgb="FF9C0006"/>
    </font>
  </fonts>
  <fills count="6">
    <fill>
      <patternFill patternType="none"/>
    </fill>
    <fill>
      <patternFill patternType="gray125"/>
    </fill>
    <fill>
      <patternFill patternType="solid">
        <fgColor rgb="FF1A2F5A"/>
      </patternFill>
    </fill>
    <fill>
      <patternFill patternType="solid">
        <fgColor rgb="FFF2F4F7"/>
      </patternFill>
    </fill>
    <fill>
      <patternFill patternType="solid">
        <fgColor rgb="FF0E7B7B"/>
      </patternFill>
    </fill>
    <fill>
      <patternFill patternType="solid">
        <fgColor rgb="FFB91C1C"/>
      </patternFill>
    </fill>
  </fills>
  <borders count="2">
    <border>
      <left/>
      <right/>
      <top/>
      <bottom/>
      <diagonal/>
    </border>
    <border>
      <left/>
      <right/>
      <top/>
      <bottom style="thin">
        <color rgb="FFFFFFF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9" fontId="0" fillId="0" borderId="0" xfId="0" applyNumberFormat="1"/>
    <xf numFmtId="0" fontId="2" fillId="0" borderId="0" xfId="0" applyFont="1"/>
    <xf numFmtId="0" fontId="2" fillId="3" borderId="0" xfId="0" applyFont="1" applyFill="1"/>
    <xf numFmtId="9" fontId="2" fillId="3" borderId="0" xfId="0" applyNumberFormat="1" applyFont="1" applyFill="1"/>
    <xf numFmtId="0" fontId="3" fillId="0" borderId="0" xfId="0" applyFont="1"/>
    <xf numFmtId="0" fontId="1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4" fillId="0" borderId="0" xfId="0" applyFont="1"/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1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7"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F0F0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xSplit="1" ySplit="1" topLeftCell="B2" activePane="bottomRight" state="frozen"/>
      <selection pane="bottomRight"/>
    </sheetView>
  </sheetViews>
  <sheetFormatPr defaultRowHeight="18" outlineLevelRow="0" outlineLevelCol="0" x14ac:dyDescent="55" customHeight="1"/>
  <cols>
    <col min="1" max="1" width="34" customWidth="1"/>
    <col min="2" max="5" width="10" customWidth="1"/>
    <col min="6" max="6" width="11" customWidth="1"/>
    <col min="7" max="11" width="10" customWidth="1"/>
    <col min="12" max="12" width="28" customWidth="1"/>
  </cols>
  <sheetData>
    <row r="1" ht="3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>
        <v>177</v>
      </c>
      <c r="C2">
        <f>COUNTIF('Phase 01 Foundation &amp; Access'!$G$2:$G$178,"PASS")+COUNTIF('Phase 01 Foundation &amp; Access'!$G$2:$G$178,"FAIL")+COUNTIF('Phase 01 Foundation &amp; Access'!$G$2:$G$178,"BLOCKED")</f>
      </c>
      <c r="D2">
        <f>COUNTIF('Phase 01 Foundation &amp; Access'!$G$2:$G$178,"PASS")</f>
      </c>
      <c r="E2">
        <f>COUNTIF('Phase 01 Foundation &amp; Access'!$G$2:$G$178,"FAIL")</f>
      </c>
      <c r="F2">
        <f>COUNTIF('Phase 01 Foundation &amp; Access'!$G$2:$G$178,"BLOCKED")</f>
      </c>
      <c r="G2">
        <f>177-(COUNTIF('Phase 01 Foundation &amp; Access'!$G$2:$G$178,"PASS")+COUNTIF('Phase 01 Foundation &amp; Access'!$G$2:$G$178,"FAIL")+COUNTIF('Phase 01 Foundation &amp; Access'!$G$2:$G$178,"BLOCKED"))</f>
      </c>
      <c r="H2" s="2">
        <f>IF(177=0,0,(COUNTIF('Phase 01 Foundation &amp; Access'!$G$2:$G$178,"PASS")+COUNTIF('Phase 01 Foundation &amp; Access'!$G$2:$G$178,"FAIL")+COUNTIF('Phase 01 Foundation &amp; Access'!$G$2:$G$178,"BLOCKED"))/177)</f>
      </c>
      <c r="I2" s="2">
        <f>IF((COUNTIF('Phase 01 Foundation &amp; Access'!$G$2:$G$178,"PASS")+COUNTIF('Phase 01 Foundation &amp; Access'!$G$2:$G$178,"FAIL")+COUNTIF('Phase 01 Foundation &amp; Access'!$G$2:$G$178,"BLOCKED"))=0,0,COUNTIF('Phase 01 Foundation &amp; Access'!$G$2:$G$178,"PASS")/(COUNTIF('Phase 01 Foundation &amp; Access'!$G$2:$G$178,"PASS")+COUNTIF('Phase 01 Foundation &amp; Access'!$G$2:$G$178,"FAIL")+COUNTIF('Phase 01 Foundation &amp; Access'!$G$2:$G$178,"BLOCKED")))</f>
      </c>
      <c r="J2">
        <f>COUNTIF('Phase 01 Foundation &amp; Access'!$C$2:$C$178,"P1")</f>
      </c>
      <c r="K2">
        <f>COUNTIFS('Phase 01 Foundation &amp; Access'!$C$2:$C$178,"P1",'Phase 01 Foundation &amp; Access'!$G$2:$G$178,"FAIL")</f>
      </c>
      <c r="L2" s="3">
        <f>IF(COUNTIFS('Phase 01 Foundation &amp; Access'!$C$2:$C$178,"P1",'Phase 01 Foundation &amp; Access'!$G$2:$G$178,"FAIL")&gt;0,"BLOCKED - open P1",IF((COUNTIF('Phase 01 Foundation &amp; Access'!$G$2:$G$178,"PASS")+COUNTIF('Phase 01 Foundation &amp; Access'!$G$2:$G$178,"FAIL")+COUNTIF('Phase 01 Foundation &amp; Access'!$G$2:$G$178,"BLOCKED"))&lt;177,"IN PROGRESS",IF(COUNTIF('Phase 01 Foundation &amp; Access'!$G$2:$G$178,"FAIL")&gt;0,"BLOCKED - open defects","PASSED")))</f>
      </c>
    </row>
    <row r="4" spans="1:12" s="3" customFormat="1" x14ac:dyDescent="0.25">
      <c r="A4" s="4" t="s">
        <v>13</v>
      </c>
      <c r="B4" s="4">
        <f>SUM(B2:B2)</f>
      </c>
      <c r="C4" s="4">
        <f>SUM(C2:C2)</f>
      </c>
      <c r="D4" s="4">
        <f>SUM(D2:D2)</f>
      </c>
      <c r="E4" s="4">
        <f>SUM(E2:E2)</f>
      </c>
      <c r="F4" s="4">
        <f>SUM(F2:F2)</f>
      </c>
      <c r="G4" s="4">
        <f>SUM(G2:G2)</f>
      </c>
      <c r="H4" s="5">
        <f>IF(B4=0,0,C4/B4)</f>
      </c>
      <c r="I4" s="5">
        <f>IF(C4=0,0,D4/C4)</f>
      </c>
      <c r="J4" s="4">
        <f>SUM(J2:J2)</f>
      </c>
      <c r="K4" s="4">
        <f>SUM(K2:K2)</f>
      </c>
      <c r="L4" s="4">
        <f>IF(K4&gt;0,"NOT READY - open P1","")</f>
      </c>
    </row>
    <row r="6" spans="1:12" s="6" customFormat="1" x14ac:dyDescent="0.25">
      <c r="A6" s="6" t="s">
        <v>14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</sheetData>
  <mergeCells count="1">
    <mergeCell ref="A6:L6"/>
  </mergeCells>
  <conditionalFormatting sqref="L2:L2">
    <cfRule type="containsText" dxfId="0" priority="1">
      <formula>NOT(ISERROR(SEARCH("PASSED",L2)))</formula>
    </cfRule>
    <cfRule type="containsText" dxfId="1" priority="2">
      <formula>NOT(ISERROR(SEARCH("BLOCKED",L2)))</formula>
    </cfRule>
    <cfRule type="containsText" dxfId="2" priority="3">
      <formula>NOT(ISERROR(SEARCH("IN PROGRESS",L2)))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xSplit="1" ySplit="1" topLeftCell="B2" activePane="bottomRight" state="frozen"/>
      <selection pane="bottomRight"/>
    </sheetView>
  </sheetViews>
  <sheetFormatPr defaultRowHeight="18" outlineLevelRow="0" outlineLevelCol="0" x14ac:dyDescent="55" customHeight="1"/>
  <cols>
    <col min="1" max="1" width="18" customWidth="1"/>
    <col min="2" max="2" width="30" customWidth="1"/>
    <col min="6" max="6" width="10" customWidth="1"/>
    <col min="7" max="7" width="24" customWidth="1"/>
  </cols>
  <sheetData>
    <row r="1" ht="34" customHeight="1" spans="1:7" x14ac:dyDescent="0.25">
      <c r="A1" s="7" t="s">
        <v>15</v>
      </c>
      <c r="B1" s="7" t="s">
        <v>0</v>
      </c>
      <c r="C1" s="7" t="s">
        <v>1</v>
      </c>
      <c r="D1" s="7" t="s">
        <v>3</v>
      </c>
      <c r="E1" s="7" t="s">
        <v>4</v>
      </c>
      <c r="F1" s="7" t="s">
        <v>6</v>
      </c>
      <c r="G1" s="7" t="s">
        <v>16</v>
      </c>
    </row>
    <row r="2" spans="1:7" x14ac:dyDescent="0.25">
      <c r="A2" t="s">
        <v>17</v>
      </c>
      <c r="B2" t="s">
        <v>12</v>
      </c>
      <c r="C2">
        <f>COUNTIF('Phase 01 Foundation &amp; Access'!$O$2:$O$178,"P1-Setup")</f>
      </c>
      <c r="D2">
        <f>COUNTIFS('Phase 01 Foundation &amp; Access'!$O$2:$O$178,"P1-Setup",'Phase 01 Foundation &amp; Access'!$G$2:$G$178,"PASS")</f>
      </c>
      <c r="E2">
        <f>COUNTIFS('Phase 01 Foundation &amp; Access'!$O$2:$O$178,"P1-Setup",'Phase 01 Foundation &amp; Access'!$G$2:$G$178,"FAIL")</f>
      </c>
      <c r="F2">
        <f>COUNTIF('Phase 01 Foundation &amp; Access'!$O$2:$O$178,"P1-Setup")-COUNTIFS('Phase 01 Foundation &amp; Access'!$O$2:$O$178,"P1-Setup",'Phase 01 Foundation &amp; Access'!$G$2:$G$178,"PASS")-COUNTIFS('Phase 01 Foundation &amp; Access'!$O$2:$O$178,"P1-Setup",'Phase 01 Foundation &amp; Access'!$G$2:$G$178,"FAIL")-COUNTIFS('Phase 01 Foundation &amp; Access'!$O$2:$O$178,"P1-Setup",'Phase 01 Foundation &amp; Access'!$G$2:$G$178,"BLOCKED")</f>
      </c>
      <c r="G2" s="3">
        <f>IF(COUNTIFS('Phase 01 Foundation &amp; Access'!$O$2:$O$178,"P1-Setup",'Phase 01 Foundation &amp; Access'!$G$2:$G$178,"FAIL")&gt;0,"FAIL",IF(COUNTIFS('Phase 01 Foundation &amp; Access'!$O$2:$O$178,"P1-Setup",'Phase 01 Foundation &amp; Access'!$G$2:$G$178,"PASS")=COUNTIF('Phase 01 Foundation &amp; Access'!$O$2:$O$178,"P1-Setup"),"PASS",IF(COUNTIFS('Phase 01 Foundation &amp; Access'!$O$2:$O$178,"P1-Setup",'Phase 01 Foundation &amp; Access'!$G$2:$G$178,"PASS")+COUNTIFS('Phase 01 Foundation &amp; Access'!$O$2:$O$178,"P1-Setup",'Phase 01 Foundation &amp; Access'!$G$2:$G$178,"BLOCKED")&gt;0,"IN PROGRESS","NOT STARTED")))</f>
      </c>
    </row>
    <row r="4" spans="1:1" s="6" customFormat="1" x14ac:dyDescent="0.25">
      <c r="A4" s="6" t="s">
        <v>18</v>
      </c>
    </row>
  </sheetData>
  <autoFilter ref="A1:G2"/>
  <conditionalFormatting sqref="G2:G2">
    <cfRule type="cellIs" dxfId="3" priority="1" operator="equal">
      <formula>"PASS"</formula>
    </cfRule>
    <cfRule type="cellIs" dxfId="4" priority="2" operator="equal">
      <formula>"FAIL"</formula>
    </cfRule>
    <cfRule type="cellIs" dxfId="5" priority="3" operator="equal">
      <formula>"IN PROGRESS"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"/>
  <sheetViews>
    <sheetView workbookViewId="0">
      <pane xSplit="1" ySplit="1" topLeftCell="B2" activePane="bottomRight" state="frozen"/>
      <selection pane="bottomRight"/>
    </sheetView>
  </sheetViews>
  <sheetFormatPr defaultRowHeight="18" outlineLevelRow="0" outlineLevelCol="0" x14ac:dyDescent="55" customHeight="1"/>
  <cols>
    <col min="1" max="1" width="16" customWidth="1"/>
    <col min="2" max="2" width="14" customWidth="1"/>
    <col min="3" max="3" width="68" customWidth="1"/>
    <col min="4" max="4" width="14" customWidth="1"/>
    <col min="5" max="5" width="44" customWidth="1"/>
  </cols>
  <sheetData>
    <row r="1" ht="34" customHeight="1" spans="1:5" x14ac:dyDescent="0.25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</row>
    <row r="2" spans="1:5" x14ac:dyDescent="0.25">
      <c r="A2" t="s">
        <v>24</v>
      </c>
      <c r="B2" t="s">
        <v>25</v>
      </c>
      <c r="C2" s="8" t="s">
        <v>26</v>
      </c>
      <c r="D2" t="s">
        <v>27</v>
      </c>
      <c r="E2" s="8" t="s">
        <v>27</v>
      </c>
    </row>
    <row r="3" spans="1:5" x14ac:dyDescent="0.25">
      <c r="A3" t="s">
        <v>24</v>
      </c>
      <c r="B3" t="s">
        <v>28</v>
      </c>
      <c r="C3" s="8" t="s">
        <v>29</v>
      </c>
      <c r="D3" t="s">
        <v>27</v>
      </c>
      <c r="E3" s="8" t="s">
        <v>27</v>
      </c>
    </row>
    <row r="4" spans="1:5" x14ac:dyDescent="0.25">
      <c r="A4" t="s">
        <v>24</v>
      </c>
      <c r="B4" t="s">
        <v>30</v>
      </c>
      <c r="C4" s="8" t="s">
        <v>31</v>
      </c>
      <c r="D4" t="s">
        <v>27</v>
      </c>
      <c r="E4" s="8" t="s">
        <v>27</v>
      </c>
    </row>
    <row r="5" spans="1:5" x14ac:dyDescent="0.25">
      <c r="A5" t="s">
        <v>24</v>
      </c>
      <c r="B5" t="s">
        <v>32</v>
      </c>
      <c r="C5" s="8" t="s">
        <v>33</v>
      </c>
      <c r="D5" t="s">
        <v>27</v>
      </c>
      <c r="E5" s="8" t="s">
        <v>27</v>
      </c>
    </row>
    <row r="6" spans="1:5" x14ac:dyDescent="0.25">
      <c r="A6" t="s">
        <v>24</v>
      </c>
      <c r="B6" t="s">
        <v>34</v>
      </c>
      <c r="C6" s="8" t="s">
        <v>35</v>
      </c>
      <c r="D6" t="s">
        <v>27</v>
      </c>
      <c r="E6" s="8" t="s">
        <v>27</v>
      </c>
    </row>
    <row r="7" spans="1:5" x14ac:dyDescent="0.25">
      <c r="A7" t="s">
        <v>24</v>
      </c>
      <c r="B7" t="s">
        <v>36</v>
      </c>
      <c r="C7" s="8" t="s">
        <v>37</v>
      </c>
      <c r="D7" t="s">
        <v>27</v>
      </c>
      <c r="E7" s="8" t="s">
        <v>27</v>
      </c>
    </row>
    <row r="8" spans="1:5" x14ac:dyDescent="0.25">
      <c r="A8" t="s">
        <v>24</v>
      </c>
      <c r="B8" t="s">
        <v>38</v>
      </c>
      <c r="C8" s="8" t="s">
        <v>39</v>
      </c>
      <c r="D8" t="s">
        <v>27</v>
      </c>
      <c r="E8" s="8" t="s">
        <v>27</v>
      </c>
    </row>
    <row r="9" spans="1:5" x14ac:dyDescent="0.25">
      <c r="A9" t="s">
        <v>24</v>
      </c>
      <c r="B9" t="s">
        <v>40</v>
      </c>
      <c r="C9" s="8" t="s">
        <v>41</v>
      </c>
      <c r="D9" t="s">
        <v>27</v>
      </c>
      <c r="E9" s="8" t="s">
        <v>27</v>
      </c>
    </row>
    <row r="10" spans="1:5" x14ac:dyDescent="0.25">
      <c r="A10" t="s">
        <v>24</v>
      </c>
      <c r="B10" t="s">
        <v>42</v>
      </c>
      <c r="C10" s="8" t="s">
        <v>43</v>
      </c>
      <c r="D10" t="s">
        <v>27</v>
      </c>
      <c r="E10" s="8" t="s">
        <v>27</v>
      </c>
    </row>
    <row r="11" spans="1:5" x14ac:dyDescent="0.25">
      <c r="A11" t="s">
        <v>24</v>
      </c>
      <c r="B11" t="s">
        <v>44</v>
      </c>
      <c r="C11" s="8" t="s">
        <v>45</v>
      </c>
      <c r="D11" t="s">
        <v>27</v>
      </c>
      <c r="E11" s="8" t="s">
        <v>27</v>
      </c>
    </row>
    <row r="12" spans="1:5" x14ac:dyDescent="0.25">
      <c r="A12" t="s">
        <v>24</v>
      </c>
      <c r="B12" t="s">
        <v>46</v>
      </c>
      <c r="C12" s="8" t="s">
        <v>47</v>
      </c>
      <c r="D12" t="s">
        <v>27</v>
      </c>
      <c r="E12" s="8" t="s">
        <v>27</v>
      </c>
    </row>
    <row r="13" spans="1:5" x14ac:dyDescent="0.25">
      <c r="A13" t="s">
        <v>24</v>
      </c>
      <c r="B13" t="s">
        <v>48</v>
      </c>
      <c r="C13" s="8" t="s">
        <v>49</v>
      </c>
      <c r="D13" t="s">
        <v>27</v>
      </c>
      <c r="E13" s="8" t="s">
        <v>27</v>
      </c>
    </row>
    <row r="14" spans="1:5" x14ac:dyDescent="0.25">
      <c r="A14" t="s">
        <v>24</v>
      </c>
      <c r="B14" t="s">
        <v>50</v>
      </c>
      <c r="C14" s="8" t="s">
        <v>51</v>
      </c>
      <c r="D14" t="s">
        <v>27</v>
      </c>
      <c r="E14" s="8" t="s">
        <v>27</v>
      </c>
    </row>
    <row r="15" spans="1:5" x14ac:dyDescent="0.25">
      <c r="A15" t="s">
        <v>24</v>
      </c>
      <c r="B15" t="s">
        <v>52</v>
      </c>
      <c r="C15" s="8" t="s">
        <v>53</v>
      </c>
      <c r="D15" t="s">
        <v>27</v>
      </c>
      <c r="E15" s="8" t="s">
        <v>27</v>
      </c>
    </row>
    <row r="16" spans="1:5" x14ac:dyDescent="0.25">
      <c r="A16" t="s">
        <v>54</v>
      </c>
      <c r="B16" t="s">
        <v>55</v>
      </c>
      <c r="C16" s="8" t="s">
        <v>56</v>
      </c>
      <c r="D16" t="s">
        <v>27</v>
      </c>
      <c r="E16" s="8" t="s">
        <v>27</v>
      </c>
    </row>
    <row r="17" spans="1:5" x14ac:dyDescent="0.25">
      <c r="A17" t="s">
        <v>54</v>
      </c>
      <c r="B17" t="s">
        <v>57</v>
      </c>
      <c r="C17" s="8" t="s">
        <v>58</v>
      </c>
      <c r="D17" t="s">
        <v>27</v>
      </c>
      <c r="E17" s="8" t="s">
        <v>27</v>
      </c>
    </row>
    <row r="18" spans="1:5" x14ac:dyDescent="0.25">
      <c r="A18" t="s">
        <v>54</v>
      </c>
      <c r="B18" t="s">
        <v>59</v>
      </c>
      <c r="C18" s="8" t="s">
        <v>60</v>
      </c>
      <c r="D18" t="s">
        <v>27</v>
      </c>
      <c r="E18" s="8" t="s">
        <v>27</v>
      </c>
    </row>
    <row r="19" spans="1:5" x14ac:dyDescent="0.25">
      <c r="A19" t="s">
        <v>54</v>
      </c>
      <c r="B19" t="s">
        <v>61</v>
      </c>
      <c r="C19" s="8" t="s">
        <v>62</v>
      </c>
      <c r="D19" t="s">
        <v>27</v>
      </c>
      <c r="E19" s="8" t="s">
        <v>27</v>
      </c>
    </row>
    <row r="20" spans="1:5" x14ac:dyDescent="0.25">
      <c r="A20" t="s">
        <v>54</v>
      </c>
      <c r="B20" t="s">
        <v>63</v>
      </c>
      <c r="C20" s="8" t="s">
        <v>64</v>
      </c>
      <c r="D20" t="s">
        <v>27</v>
      </c>
      <c r="E20" s="8" t="s">
        <v>27</v>
      </c>
    </row>
    <row r="21" spans="1:5" x14ac:dyDescent="0.25">
      <c r="A21" t="s">
        <v>54</v>
      </c>
      <c r="B21" t="s">
        <v>65</v>
      </c>
      <c r="C21" s="8" t="s">
        <v>66</v>
      </c>
      <c r="D21" t="s">
        <v>27</v>
      </c>
      <c r="E21" s="8" t="s">
        <v>27</v>
      </c>
    </row>
    <row r="22" spans="1:5" x14ac:dyDescent="0.25">
      <c r="A22" t="s">
        <v>54</v>
      </c>
      <c r="B22" t="s">
        <v>67</v>
      </c>
      <c r="C22" s="8" t="s">
        <v>68</v>
      </c>
      <c r="D22" t="s">
        <v>27</v>
      </c>
      <c r="E22" s="8" t="s">
        <v>27</v>
      </c>
    </row>
    <row r="23" spans="1:5" x14ac:dyDescent="0.25">
      <c r="A23" t="s">
        <v>54</v>
      </c>
      <c r="B23" t="s">
        <v>69</v>
      </c>
      <c r="C23" s="8" t="s">
        <v>70</v>
      </c>
      <c r="D23" t="s">
        <v>27</v>
      </c>
      <c r="E23" s="8" t="s">
        <v>27</v>
      </c>
    </row>
    <row r="24" spans="1:5" x14ac:dyDescent="0.25">
      <c r="A24" t="s">
        <v>54</v>
      </c>
      <c r="B24" t="s">
        <v>71</v>
      </c>
      <c r="C24" s="8" t="s">
        <v>72</v>
      </c>
      <c r="D24" t="s">
        <v>27</v>
      </c>
      <c r="E24" s="8" t="s">
        <v>27</v>
      </c>
    </row>
    <row r="25" spans="1:5" x14ac:dyDescent="0.25">
      <c r="A25" t="s">
        <v>54</v>
      </c>
      <c r="B25" t="s">
        <v>73</v>
      </c>
      <c r="C25" s="8" t="s">
        <v>74</v>
      </c>
      <c r="D25" t="s">
        <v>27</v>
      </c>
      <c r="E25" s="8" t="s">
        <v>27</v>
      </c>
    </row>
    <row r="26" spans="1:5" x14ac:dyDescent="0.25">
      <c r="A26" t="s">
        <v>54</v>
      </c>
      <c r="B26" t="s">
        <v>75</v>
      </c>
      <c r="C26" s="8" t="s">
        <v>76</v>
      </c>
      <c r="D26" t="s">
        <v>27</v>
      </c>
      <c r="E26" s="8" t="s">
        <v>27</v>
      </c>
    </row>
    <row r="27" spans="1:5" x14ac:dyDescent="0.25">
      <c r="A27" t="s">
        <v>54</v>
      </c>
      <c r="B27" t="s">
        <v>77</v>
      </c>
      <c r="C27" s="8" t="s">
        <v>78</v>
      </c>
      <c r="D27" t="s">
        <v>27</v>
      </c>
      <c r="E27" s="8" t="s">
        <v>27</v>
      </c>
    </row>
    <row r="28" spans="1:5" x14ac:dyDescent="0.25">
      <c r="A28" t="s">
        <v>54</v>
      </c>
      <c r="B28" t="s">
        <v>79</v>
      </c>
      <c r="C28" s="8" t="s">
        <v>80</v>
      </c>
      <c r="D28" t="s">
        <v>27</v>
      </c>
      <c r="E28" s="8" t="s">
        <v>27</v>
      </c>
    </row>
    <row r="29" spans="1:5" x14ac:dyDescent="0.25">
      <c r="A29" t="s">
        <v>54</v>
      </c>
      <c r="B29" t="s">
        <v>81</v>
      </c>
      <c r="C29" s="8" t="s">
        <v>82</v>
      </c>
      <c r="D29" t="s">
        <v>27</v>
      </c>
      <c r="E29" s="8" t="s">
        <v>27</v>
      </c>
    </row>
    <row r="30" spans="1:5" x14ac:dyDescent="0.25">
      <c r="A30" t="s">
        <v>54</v>
      </c>
      <c r="B30" t="s">
        <v>83</v>
      </c>
      <c r="C30" s="8" t="s">
        <v>84</v>
      </c>
      <c r="D30" t="s">
        <v>27</v>
      </c>
      <c r="E30" s="8" t="s">
        <v>27</v>
      </c>
    </row>
    <row r="31" spans="1:5" x14ac:dyDescent="0.25">
      <c r="A31" t="s">
        <v>54</v>
      </c>
      <c r="B31" t="s">
        <v>85</v>
      </c>
      <c r="C31" s="8" t="s">
        <v>86</v>
      </c>
      <c r="D31" t="s">
        <v>27</v>
      </c>
      <c r="E31" s="8" t="s">
        <v>27</v>
      </c>
    </row>
    <row r="32" spans="1:5" x14ac:dyDescent="0.25">
      <c r="A32" t="s">
        <v>54</v>
      </c>
      <c r="B32" t="s">
        <v>87</v>
      </c>
      <c r="C32" s="8" t="s">
        <v>88</v>
      </c>
      <c r="D32" t="s">
        <v>27</v>
      </c>
      <c r="E32" s="8" t="s">
        <v>27</v>
      </c>
    </row>
    <row r="33" spans="1:5" x14ac:dyDescent="0.25">
      <c r="A33" t="s">
        <v>89</v>
      </c>
      <c r="B33" t="s">
        <v>90</v>
      </c>
      <c r="C33" s="8" t="s">
        <v>91</v>
      </c>
      <c r="D33" t="s">
        <v>27</v>
      </c>
      <c r="E33" s="8" t="s">
        <v>27</v>
      </c>
    </row>
    <row r="34" spans="1:5" x14ac:dyDescent="0.25">
      <c r="A34" t="s">
        <v>89</v>
      </c>
      <c r="B34" t="s">
        <v>92</v>
      </c>
      <c r="C34" s="8" t="s">
        <v>93</v>
      </c>
      <c r="D34" t="s">
        <v>27</v>
      </c>
      <c r="E34" s="8" t="s">
        <v>27</v>
      </c>
    </row>
    <row r="35" spans="1:5" x14ac:dyDescent="0.25">
      <c r="A35" t="s">
        <v>89</v>
      </c>
      <c r="B35" t="s">
        <v>94</v>
      </c>
      <c r="C35" s="8" t="s">
        <v>95</v>
      </c>
      <c r="D35" t="s">
        <v>27</v>
      </c>
      <c r="E35" s="8" t="s">
        <v>27</v>
      </c>
    </row>
    <row r="36" spans="1:5" x14ac:dyDescent="0.25">
      <c r="A36" t="s">
        <v>89</v>
      </c>
      <c r="B36" t="s">
        <v>96</v>
      </c>
      <c r="C36" s="8" t="s">
        <v>97</v>
      </c>
      <c r="D36" t="s">
        <v>27</v>
      </c>
      <c r="E36" s="8" t="s">
        <v>27</v>
      </c>
    </row>
    <row r="37" spans="1:5" x14ac:dyDescent="0.25">
      <c r="A37" t="s">
        <v>89</v>
      </c>
      <c r="B37" t="s">
        <v>98</v>
      </c>
      <c r="C37" s="8" t="s">
        <v>99</v>
      </c>
      <c r="D37" t="s">
        <v>27</v>
      </c>
      <c r="E37" s="8" t="s">
        <v>27</v>
      </c>
    </row>
    <row r="38" spans="1:5" x14ac:dyDescent="0.25">
      <c r="A38" t="s">
        <v>89</v>
      </c>
      <c r="B38" t="s">
        <v>100</v>
      </c>
      <c r="C38" s="8" t="s">
        <v>101</v>
      </c>
      <c r="D38" t="s">
        <v>27</v>
      </c>
      <c r="E38" s="8" t="s">
        <v>27</v>
      </c>
    </row>
    <row r="39" spans="1:5" x14ac:dyDescent="0.25">
      <c r="A39" t="s">
        <v>89</v>
      </c>
      <c r="B39" t="s">
        <v>102</v>
      </c>
      <c r="C39" s="8" t="s">
        <v>103</v>
      </c>
      <c r="D39" t="s">
        <v>27</v>
      </c>
      <c r="E39" s="8" t="s">
        <v>27</v>
      </c>
    </row>
    <row r="40" spans="1:5" x14ac:dyDescent="0.25">
      <c r="A40" t="s">
        <v>89</v>
      </c>
      <c r="B40" t="s">
        <v>104</v>
      </c>
      <c r="C40" s="8" t="s">
        <v>105</v>
      </c>
      <c r="D40" t="s">
        <v>27</v>
      </c>
      <c r="E40" s="8" t="s">
        <v>27</v>
      </c>
    </row>
    <row r="41" spans="1:5" x14ac:dyDescent="0.25">
      <c r="A41" t="s">
        <v>89</v>
      </c>
      <c r="B41" t="s">
        <v>106</v>
      </c>
      <c r="C41" s="8" t="s">
        <v>107</v>
      </c>
      <c r="D41" t="s">
        <v>27</v>
      </c>
      <c r="E41" s="8" t="s">
        <v>27</v>
      </c>
    </row>
    <row r="42" spans="1:5" x14ac:dyDescent="0.25">
      <c r="A42" t="s">
        <v>89</v>
      </c>
      <c r="B42" t="s">
        <v>108</v>
      </c>
      <c r="C42" s="8" t="s">
        <v>109</v>
      </c>
      <c r="D42" t="s">
        <v>27</v>
      </c>
      <c r="E42" s="8" t="s">
        <v>27</v>
      </c>
    </row>
    <row r="43" spans="1:5" x14ac:dyDescent="0.25">
      <c r="A43" t="s">
        <v>89</v>
      </c>
      <c r="B43" t="s">
        <v>110</v>
      </c>
      <c r="C43" s="8" t="s">
        <v>111</v>
      </c>
      <c r="D43" t="s">
        <v>27</v>
      </c>
      <c r="E43" s="8" t="s">
        <v>27</v>
      </c>
    </row>
    <row r="44" spans="1:5" x14ac:dyDescent="0.25">
      <c r="A44" t="s">
        <v>112</v>
      </c>
      <c r="B44" t="s">
        <v>113</v>
      </c>
      <c r="C44" s="8" t="s">
        <v>114</v>
      </c>
      <c r="D44" t="s">
        <v>27</v>
      </c>
      <c r="E44" s="8" t="s">
        <v>27</v>
      </c>
    </row>
    <row r="45" spans="1:5" x14ac:dyDescent="0.25">
      <c r="A45" t="s">
        <v>112</v>
      </c>
      <c r="B45" t="s">
        <v>115</v>
      </c>
      <c r="C45" s="8" t="s">
        <v>116</v>
      </c>
      <c r="D45" t="s">
        <v>27</v>
      </c>
      <c r="E45" s="8" t="s">
        <v>27</v>
      </c>
    </row>
    <row r="46" spans="1:5" x14ac:dyDescent="0.25">
      <c r="A46" t="s">
        <v>112</v>
      </c>
      <c r="B46" t="s">
        <v>117</v>
      </c>
      <c r="C46" s="8" t="s">
        <v>118</v>
      </c>
      <c r="D46" t="s">
        <v>27</v>
      </c>
      <c r="E46" s="8" t="s">
        <v>27</v>
      </c>
    </row>
    <row r="47" spans="1:5" x14ac:dyDescent="0.25">
      <c r="A47" t="s">
        <v>112</v>
      </c>
      <c r="B47" t="s">
        <v>119</v>
      </c>
      <c r="C47" s="8" t="s">
        <v>120</v>
      </c>
      <c r="D47" t="s">
        <v>27</v>
      </c>
      <c r="E47" s="8" t="s">
        <v>27</v>
      </c>
    </row>
    <row r="48" spans="1:5" x14ac:dyDescent="0.25">
      <c r="A48" t="s">
        <v>112</v>
      </c>
      <c r="B48" t="s">
        <v>121</v>
      </c>
      <c r="C48" s="8" t="s">
        <v>122</v>
      </c>
      <c r="D48" t="s">
        <v>27</v>
      </c>
      <c r="E48" s="8" t="s">
        <v>27</v>
      </c>
    </row>
    <row r="49" spans="1:5" x14ac:dyDescent="0.25">
      <c r="A49" t="s">
        <v>123</v>
      </c>
      <c r="B49" t="s">
        <v>124</v>
      </c>
      <c r="C49" s="8" t="s">
        <v>125</v>
      </c>
      <c r="D49" t="s">
        <v>27</v>
      </c>
      <c r="E49" s="8" t="s">
        <v>27</v>
      </c>
    </row>
    <row r="50" spans="1:5" x14ac:dyDescent="0.25">
      <c r="A50" t="s">
        <v>123</v>
      </c>
      <c r="B50" t="s">
        <v>126</v>
      </c>
      <c r="C50" s="8" t="s">
        <v>127</v>
      </c>
      <c r="D50" t="s">
        <v>27</v>
      </c>
      <c r="E50" s="8" t="s">
        <v>27</v>
      </c>
    </row>
    <row r="51" spans="1:5" x14ac:dyDescent="0.25">
      <c r="A51" t="s">
        <v>123</v>
      </c>
      <c r="B51" t="s">
        <v>128</v>
      </c>
      <c r="C51" s="8" t="s">
        <v>129</v>
      </c>
      <c r="D51" t="s">
        <v>27</v>
      </c>
      <c r="E51" s="8" t="s">
        <v>27</v>
      </c>
    </row>
    <row r="52" spans="1:5" x14ac:dyDescent="0.25">
      <c r="A52" t="s">
        <v>123</v>
      </c>
      <c r="B52" t="s">
        <v>130</v>
      </c>
      <c r="C52" s="8" t="s">
        <v>131</v>
      </c>
      <c r="D52" t="s">
        <v>27</v>
      </c>
      <c r="E52" s="8" t="s">
        <v>27</v>
      </c>
    </row>
    <row r="53" spans="1:5" x14ac:dyDescent="0.25">
      <c r="A53" t="s">
        <v>132</v>
      </c>
      <c r="B53" t="s">
        <v>133</v>
      </c>
      <c r="C53" s="8" t="s">
        <v>134</v>
      </c>
      <c r="D53" t="s">
        <v>27</v>
      </c>
      <c r="E53" s="8" t="s">
        <v>27</v>
      </c>
    </row>
    <row r="54" spans="1:5" x14ac:dyDescent="0.25">
      <c r="A54" t="s">
        <v>132</v>
      </c>
      <c r="B54" t="s">
        <v>135</v>
      </c>
      <c r="C54" s="8" t="s">
        <v>136</v>
      </c>
      <c r="D54" t="s">
        <v>27</v>
      </c>
      <c r="E54" s="8" t="s">
        <v>27</v>
      </c>
    </row>
    <row r="55" spans="1:5" x14ac:dyDescent="0.25">
      <c r="A55" t="s">
        <v>132</v>
      </c>
      <c r="B55" t="s">
        <v>137</v>
      </c>
      <c r="C55" s="8" t="s">
        <v>138</v>
      </c>
      <c r="D55" t="s">
        <v>27</v>
      </c>
      <c r="E55" s="8" t="s">
        <v>27</v>
      </c>
    </row>
    <row r="56" spans="1:5" x14ac:dyDescent="0.25">
      <c r="A56" t="s">
        <v>132</v>
      </c>
      <c r="B56" t="s">
        <v>115</v>
      </c>
      <c r="C56" s="8" t="s">
        <v>139</v>
      </c>
      <c r="D56" t="s">
        <v>27</v>
      </c>
      <c r="E56" s="8" t="s">
        <v>27</v>
      </c>
    </row>
    <row r="58" ht="26" customHeight="1" spans="1:5" s="9" customFormat="1" x14ac:dyDescent="0.25">
      <c r="A58" s="9" t="s">
        <v>140</v>
      </c>
      <c r="B58" s="9" t="s">
        <v>27</v>
      </c>
      <c r="C58" s="9" t="s">
        <v>141</v>
      </c>
      <c r="D58" s="9">
        <f>IF(COUNTIF(D2:D56,"PASS")=55,"READY TO GO LIVE","NOT READY")</f>
      </c>
      <c r="E58" s="9" t="s">
        <v>27</v>
      </c>
    </row>
  </sheetData>
  <autoFilter ref="A1:E56"/>
  <conditionalFormatting sqref="D2:D56">
    <cfRule type="cellIs" dxfId="6" priority="1" operator="equal">
      <formula>"PASS"</formula>
    </cfRule>
    <cfRule type="cellIs" dxfId="7" priority="2" operator="equal">
      <formula>"FAIL"</formula>
    </cfRule>
  </conditionalFormatting>
  <conditionalFormatting sqref="D58:D58">
    <cfRule type="containsText" dxfId="8" priority="1">
      <formula>NOT(ISERROR(SEARCH("READY TO GO LIVE",D58)))</formula>
    </cfRule>
    <cfRule type="containsText" dxfId="9" priority="2">
      <formula>NOT(ISERROR(SEARCH("NOT READY",D58)))</formula>
    </cfRule>
  </conditionalFormatting>
  <dataValidations count="2">
    <dataValidation type="list" allowBlank="1" showErrorMessage="1" errorStyle="warning" sqref="D10:D56">
      <formula1>"PASS,FAIL,NOT RUN"</formula1>
    </dataValidation>
    <dataValidation type="list" allowBlank="1" showErrorMessage="1" errorStyle="warning" sqref="D2:D56">
      <formula1>"PASS,FAIL,NOT RUN"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78"/>
  <sheetViews>
    <sheetView workbookViewId="0">
      <pane xSplit="1" ySplit="1" topLeftCell="B2" activePane="bottomRight" state="frozen"/>
      <selection pane="bottomRight"/>
    </sheetView>
  </sheetViews>
  <sheetFormatPr defaultRowHeight="18" outlineLevelRow="0" outlineLevelCol="0" x14ac:dyDescent="55" customHeight="1"/>
  <cols>
    <col min="1" max="1" width="16" customWidth="1"/>
    <col min="2" max="2" width="20" customWidth="1"/>
    <col min="4" max="4" width="46" customWidth="1"/>
    <col min="5" max="5" width="68" customWidth="1"/>
    <col min="6" max="6" width="52" customWidth="1"/>
    <col min="7" max="7" width="15" customWidth="1"/>
    <col min="8" max="8" width="30" customWidth="1"/>
    <col min="9" max="9" width="22" customWidth="1"/>
    <col min="10" max="10" width="30" customWidth="1"/>
    <col min="11" max="12" width="46" customWidth="1"/>
    <col min="13" max="13" width="13" customWidth="1"/>
    <col min="14" max="14" width="36" customWidth="1"/>
    <col min="15" max="15" width="16" customWidth="1"/>
    <col min="16" max="16" width="68" customWidth="1"/>
    <col min="17" max="17" width="12" customWidth="1"/>
    <col min="18" max="18" width="20" customWidth="1"/>
    <col min="19" max="19" width="40" customWidth="1"/>
    <col min="20" max="20" width="48" customWidth="1"/>
    <col min="21" max="21" width="14" customWidth="1"/>
  </cols>
  <sheetData>
    <row r="1" ht="34" customHeight="1" spans="1:21" x14ac:dyDescent="0.25">
      <c r="A1" s="1" t="s">
        <v>142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</v>
      </c>
      <c r="P1" s="1" t="s">
        <v>156</v>
      </c>
      <c r="Q1" s="1" t="s">
        <v>157</v>
      </c>
      <c r="R1" s="1" t="s">
        <v>158</v>
      </c>
      <c r="S1" s="1" t="s">
        <v>159</v>
      </c>
      <c r="T1" s="1" t="s">
        <v>160</v>
      </c>
      <c r="U1" s="1" t="s">
        <v>161</v>
      </c>
    </row>
    <row r="2" spans="1:21" s="10" customFormat="1" x14ac:dyDescent="0.25">
      <c r="A2" s="10" t="s">
        <v>162</v>
      </c>
      <c r="B2" s="10" t="s">
        <v>163</v>
      </c>
      <c r="C2" s="11" t="s">
        <v>164</v>
      </c>
      <c r="D2" s="10" t="s">
        <v>165</v>
      </c>
      <c r="E2" s="8" t="s">
        <v>166</v>
      </c>
      <c r="F2" s="8" t="s">
        <v>167</v>
      </c>
      <c r="G2" s="10" t="s">
        <v>27</v>
      </c>
      <c r="H2" s="8" t="s">
        <v>168</v>
      </c>
      <c r="I2" s="10" t="s">
        <v>27</v>
      </c>
      <c r="J2" s="8" t="s">
        <v>169</v>
      </c>
      <c r="K2" s="8" t="s">
        <v>27</v>
      </c>
      <c r="L2" s="8" t="s">
        <v>27</v>
      </c>
      <c r="M2" s="10" t="s">
        <v>27</v>
      </c>
      <c r="N2" s="8" t="s">
        <v>27</v>
      </c>
      <c r="O2" s="10" t="s">
        <v>17</v>
      </c>
      <c r="P2" s="8" t="s">
        <v>170</v>
      </c>
      <c r="Q2" s="10" t="s">
        <v>171</v>
      </c>
      <c r="R2" s="10" t="s">
        <v>172</v>
      </c>
      <c r="S2" s="8" t="s">
        <v>168</v>
      </c>
      <c r="T2" s="10" t="s">
        <v>173</v>
      </c>
      <c r="U2" s="10" t="s">
        <v>27</v>
      </c>
    </row>
    <row r="3" spans="1:21" s="10" customFormat="1" x14ac:dyDescent="0.25">
      <c r="A3" s="10" t="s">
        <v>174</v>
      </c>
      <c r="B3" s="10" t="s">
        <v>163</v>
      </c>
      <c r="C3" s="10" t="s">
        <v>175</v>
      </c>
      <c r="D3" s="10" t="s">
        <v>176</v>
      </c>
      <c r="E3" s="8" t="s">
        <v>177</v>
      </c>
      <c r="F3" s="8" t="s">
        <v>178</v>
      </c>
      <c r="G3" s="10" t="s">
        <v>27</v>
      </c>
      <c r="H3" s="8" t="s">
        <v>179</v>
      </c>
      <c r="I3" s="10" t="s">
        <v>27</v>
      </c>
      <c r="J3" s="8" t="s">
        <v>168</v>
      </c>
      <c r="K3" s="8" t="s">
        <v>27</v>
      </c>
      <c r="L3" s="8" t="s">
        <v>27</v>
      </c>
      <c r="M3" s="10" t="s">
        <v>27</v>
      </c>
      <c r="N3" s="8" t="s">
        <v>27</v>
      </c>
      <c r="O3" s="10" t="s">
        <v>17</v>
      </c>
      <c r="P3" s="8" t="s">
        <v>180</v>
      </c>
      <c r="Q3" s="10" t="s">
        <v>171</v>
      </c>
      <c r="R3" s="10" t="s">
        <v>172</v>
      </c>
      <c r="S3" s="8" t="s">
        <v>181</v>
      </c>
      <c r="T3" s="10" t="s">
        <v>173</v>
      </c>
      <c r="U3" s="10" t="s">
        <v>27</v>
      </c>
    </row>
    <row r="4" spans="1:21" s="10" customFormat="1" x14ac:dyDescent="0.25">
      <c r="A4" s="10" t="s">
        <v>182</v>
      </c>
      <c r="B4" s="10" t="s">
        <v>163</v>
      </c>
      <c r="C4" s="10" t="s">
        <v>175</v>
      </c>
      <c r="D4" s="10" t="s">
        <v>183</v>
      </c>
      <c r="E4" s="8" t="s">
        <v>184</v>
      </c>
      <c r="F4" s="8" t="s">
        <v>185</v>
      </c>
      <c r="G4" s="10" t="s">
        <v>27</v>
      </c>
      <c r="H4" s="8" t="s">
        <v>186</v>
      </c>
      <c r="I4" s="10" t="s">
        <v>27</v>
      </c>
      <c r="J4" s="8" t="s">
        <v>168</v>
      </c>
      <c r="K4" s="8" t="s">
        <v>27</v>
      </c>
      <c r="L4" s="8" t="s">
        <v>27</v>
      </c>
      <c r="M4" s="10" t="s">
        <v>27</v>
      </c>
      <c r="N4" s="8" t="s">
        <v>27</v>
      </c>
      <c r="O4" s="10" t="s">
        <v>17</v>
      </c>
      <c r="P4" s="8" t="s">
        <v>187</v>
      </c>
      <c r="Q4" s="10" t="s">
        <v>188</v>
      </c>
      <c r="R4" s="10" t="s">
        <v>172</v>
      </c>
      <c r="S4" s="8" t="s">
        <v>168</v>
      </c>
      <c r="T4" s="10" t="s">
        <v>173</v>
      </c>
      <c r="U4" s="10" t="s">
        <v>27</v>
      </c>
    </row>
    <row r="5" spans="1:21" s="10" customFormat="1" x14ac:dyDescent="0.25">
      <c r="A5" s="10" t="s">
        <v>189</v>
      </c>
      <c r="B5" s="10" t="s">
        <v>163</v>
      </c>
      <c r="C5" s="10" t="s">
        <v>175</v>
      </c>
      <c r="D5" s="10" t="s">
        <v>190</v>
      </c>
      <c r="E5" s="8" t="s">
        <v>191</v>
      </c>
      <c r="F5" s="8" t="s">
        <v>192</v>
      </c>
      <c r="G5" s="10" t="s">
        <v>27</v>
      </c>
      <c r="H5" s="8" t="s">
        <v>193</v>
      </c>
      <c r="I5" s="10" t="s">
        <v>27</v>
      </c>
      <c r="J5" s="8" t="s">
        <v>168</v>
      </c>
      <c r="K5" s="8" t="s">
        <v>27</v>
      </c>
      <c r="L5" s="8" t="s">
        <v>27</v>
      </c>
      <c r="M5" s="10" t="s">
        <v>27</v>
      </c>
      <c r="N5" s="8" t="s">
        <v>27</v>
      </c>
      <c r="O5" s="10" t="s">
        <v>17</v>
      </c>
      <c r="P5" s="8" t="s">
        <v>194</v>
      </c>
      <c r="Q5" s="10" t="s">
        <v>195</v>
      </c>
      <c r="R5" s="10" t="s">
        <v>172</v>
      </c>
      <c r="S5" s="8" t="s">
        <v>168</v>
      </c>
      <c r="T5" s="10" t="s">
        <v>173</v>
      </c>
      <c r="U5" s="10" t="s">
        <v>27</v>
      </c>
    </row>
    <row r="6" spans="1:21" s="10" customFormat="1" x14ac:dyDescent="0.25">
      <c r="A6" s="10" t="s">
        <v>196</v>
      </c>
      <c r="B6" s="10" t="s">
        <v>163</v>
      </c>
      <c r="C6" s="10" t="s">
        <v>175</v>
      </c>
      <c r="D6" s="10" t="s">
        <v>197</v>
      </c>
      <c r="E6" s="8" t="s">
        <v>198</v>
      </c>
      <c r="F6" s="8" t="s">
        <v>199</v>
      </c>
      <c r="G6" s="10" t="s">
        <v>27</v>
      </c>
      <c r="H6" s="8" t="s">
        <v>200</v>
      </c>
      <c r="I6" s="10" t="s">
        <v>27</v>
      </c>
      <c r="J6" s="8" t="s">
        <v>168</v>
      </c>
      <c r="K6" s="8" t="s">
        <v>27</v>
      </c>
      <c r="L6" s="8" t="s">
        <v>27</v>
      </c>
      <c r="M6" s="10" t="s">
        <v>27</v>
      </c>
      <c r="N6" s="8" t="s">
        <v>27</v>
      </c>
      <c r="O6" s="10" t="s">
        <v>17</v>
      </c>
      <c r="P6" s="8" t="s">
        <v>201</v>
      </c>
      <c r="Q6" s="10" t="s">
        <v>188</v>
      </c>
      <c r="R6" s="10" t="s">
        <v>172</v>
      </c>
      <c r="S6" s="8" t="s">
        <v>168</v>
      </c>
      <c r="T6" s="10" t="s">
        <v>202</v>
      </c>
      <c r="U6" s="10" t="s">
        <v>27</v>
      </c>
    </row>
    <row r="7" spans="1:21" s="10" customFormat="1" x14ac:dyDescent="0.25">
      <c r="A7" s="10" t="s">
        <v>203</v>
      </c>
      <c r="B7" s="10" t="s">
        <v>163</v>
      </c>
      <c r="C7" s="10" t="s">
        <v>175</v>
      </c>
      <c r="D7" s="10" t="s">
        <v>204</v>
      </c>
      <c r="E7" s="8" t="s">
        <v>205</v>
      </c>
      <c r="F7" s="8" t="s">
        <v>206</v>
      </c>
      <c r="G7" s="10" t="s">
        <v>27</v>
      </c>
      <c r="H7" s="8" t="s">
        <v>193</v>
      </c>
      <c r="I7" s="10" t="s">
        <v>27</v>
      </c>
      <c r="J7" s="8" t="s">
        <v>207</v>
      </c>
      <c r="K7" s="8" t="s">
        <v>27</v>
      </c>
      <c r="L7" s="8" t="s">
        <v>27</v>
      </c>
      <c r="M7" s="10" t="s">
        <v>27</v>
      </c>
      <c r="N7" s="8" t="s">
        <v>208</v>
      </c>
      <c r="O7" s="10" t="s">
        <v>17</v>
      </c>
      <c r="P7" s="8" t="s">
        <v>209</v>
      </c>
      <c r="Q7" s="10" t="s">
        <v>171</v>
      </c>
      <c r="R7" s="10" t="s">
        <v>172</v>
      </c>
      <c r="S7" s="8" t="s">
        <v>210</v>
      </c>
      <c r="T7" s="10" t="s">
        <v>202</v>
      </c>
      <c r="U7" s="10" t="s">
        <v>27</v>
      </c>
    </row>
    <row r="8" spans="1:21" s="10" customFormat="1" x14ac:dyDescent="0.25">
      <c r="A8" s="10" t="s">
        <v>211</v>
      </c>
      <c r="B8" s="10" t="s">
        <v>163</v>
      </c>
      <c r="C8" s="11" t="s">
        <v>164</v>
      </c>
      <c r="D8" s="10" t="s">
        <v>212</v>
      </c>
      <c r="E8" s="8" t="s">
        <v>213</v>
      </c>
      <c r="F8" s="8" t="s">
        <v>214</v>
      </c>
      <c r="G8" s="10" t="s">
        <v>27</v>
      </c>
      <c r="H8" s="8" t="s">
        <v>215</v>
      </c>
      <c r="I8" s="10" t="s">
        <v>27</v>
      </c>
      <c r="J8" s="8" t="s">
        <v>216</v>
      </c>
      <c r="K8" s="8" t="s">
        <v>27</v>
      </c>
      <c r="L8" s="8" t="s">
        <v>27</v>
      </c>
      <c r="M8" s="10" t="s">
        <v>27</v>
      </c>
      <c r="N8" s="8" t="s">
        <v>27</v>
      </c>
      <c r="O8" s="10" t="s">
        <v>17</v>
      </c>
      <c r="P8" s="8" t="s">
        <v>217</v>
      </c>
      <c r="Q8" s="10" t="s">
        <v>188</v>
      </c>
      <c r="R8" s="10" t="s">
        <v>172</v>
      </c>
      <c r="S8" s="8" t="s">
        <v>210</v>
      </c>
      <c r="T8" s="10" t="s">
        <v>202</v>
      </c>
      <c r="U8" s="10" t="s">
        <v>27</v>
      </c>
    </row>
    <row r="9" spans="1:21" s="10" customFormat="1" x14ac:dyDescent="0.25">
      <c r="A9" s="10" t="s">
        <v>218</v>
      </c>
      <c r="B9" s="10" t="s">
        <v>163</v>
      </c>
      <c r="C9" s="11" t="s">
        <v>164</v>
      </c>
      <c r="D9" s="10" t="s">
        <v>219</v>
      </c>
      <c r="E9" s="8" t="s">
        <v>220</v>
      </c>
      <c r="F9" s="8" t="s">
        <v>221</v>
      </c>
      <c r="G9" s="10" t="s">
        <v>27</v>
      </c>
      <c r="H9" s="8" t="s">
        <v>222</v>
      </c>
      <c r="I9" s="10" t="s">
        <v>27</v>
      </c>
      <c r="J9" s="8" t="s">
        <v>216</v>
      </c>
      <c r="K9" s="8" t="s">
        <v>27</v>
      </c>
      <c r="L9" s="8" t="s">
        <v>27</v>
      </c>
      <c r="M9" s="10" t="s">
        <v>27</v>
      </c>
      <c r="N9" s="8" t="s">
        <v>27</v>
      </c>
      <c r="O9" s="10" t="s">
        <v>17</v>
      </c>
      <c r="P9" s="8" t="s">
        <v>223</v>
      </c>
      <c r="Q9" s="10" t="s">
        <v>188</v>
      </c>
      <c r="R9" s="10" t="s">
        <v>172</v>
      </c>
      <c r="S9" s="8" t="s">
        <v>210</v>
      </c>
      <c r="T9" s="10" t="s">
        <v>202</v>
      </c>
      <c r="U9" s="10" t="s">
        <v>27</v>
      </c>
    </row>
    <row r="10" spans="1:21" s="10" customFormat="1" x14ac:dyDescent="0.25">
      <c r="A10" s="10" t="s">
        <v>224</v>
      </c>
      <c r="B10" s="10" t="s">
        <v>163</v>
      </c>
      <c r="C10" s="10" t="s">
        <v>175</v>
      </c>
      <c r="D10" s="10" t="s">
        <v>225</v>
      </c>
      <c r="E10" s="8" t="s">
        <v>226</v>
      </c>
      <c r="F10" s="8" t="s">
        <v>227</v>
      </c>
      <c r="G10" s="10" t="s">
        <v>27</v>
      </c>
      <c r="H10" s="8" t="s">
        <v>228</v>
      </c>
      <c r="I10" s="10" t="s">
        <v>27</v>
      </c>
      <c r="J10" s="8" t="s">
        <v>168</v>
      </c>
      <c r="K10" s="8" t="s">
        <v>27</v>
      </c>
      <c r="L10" s="8" t="s">
        <v>27</v>
      </c>
      <c r="M10" s="10" t="s">
        <v>27</v>
      </c>
      <c r="N10" s="8" t="s">
        <v>27</v>
      </c>
      <c r="O10" s="10" t="s">
        <v>17</v>
      </c>
      <c r="P10" s="8" t="s">
        <v>229</v>
      </c>
      <c r="Q10" s="10" t="s">
        <v>171</v>
      </c>
      <c r="R10" s="10" t="s">
        <v>172</v>
      </c>
      <c r="S10" s="8" t="s">
        <v>230</v>
      </c>
      <c r="T10" s="10" t="s">
        <v>173</v>
      </c>
      <c r="U10" s="10" t="s">
        <v>27</v>
      </c>
    </row>
    <row r="11" spans="1:21" s="10" customFormat="1" x14ac:dyDescent="0.25">
      <c r="A11" s="10" t="s">
        <v>231</v>
      </c>
      <c r="B11" s="10" t="s">
        <v>163</v>
      </c>
      <c r="C11" s="10" t="s">
        <v>175</v>
      </c>
      <c r="D11" s="10" t="s">
        <v>232</v>
      </c>
      <c r="E11" s="8" t="s">
        <v>233</v>
      </c>
      <c r="F11" s="8" t="s">
        <v>234</v>
      </c>
      <c r="G11" s="10" t="s">
        <v>27</v>
      </c>
      <c r="H11" s="8" t="s">
        <v>235</v>
      </c>
      <c r="I11" s="10" t="s">
        <v>27</v>
      </c>
      <c r="J11" s="8" t="s">
        <v>168</v>
      </c>
      <c r="K11" s="8" t="s">
        <v>27</v>
      </c>
      <c r="L11" s="8" t="s">
        <v>27</v>
      </c>
      <c r="M11" s="10" t="s">
        <v>27</v>
      </c>
      <c r="N11" s="8" t="s">
        <v>27</v>
      </c>
      <c r="O11" s="10" t="s">
        <v>17</v>
      </c>
      <c r="P11" s="8" t="s">
        <v>236</v>
      </c>
      <c r="Q11" s="10" t="s">
        <v>188</v>
      </c>
      <c r="R11" s="10" t="s">
        <v>172</v>
      </c>
      <c r="S11" s="8" t="s">
        <v>168</v>
      </c>
      <c r="T11" s="10" t="s">
        <v>173</v>
      </c>
      <c r="U11" s="10" t="s">
        <v>27</v>
      </c>
    </row>
    <row r="12" spans="1:21" s="10" customFormat="1" x14ac:dyDescent="0.25">
      <c r="A12" s="10" t="s">
        <v>237</v>
      </c>
      <c r="B12" s="10" t="s">
        <v>163</v>
      </c>
      <c r="C12" s="11" t="s">
        <v>164</v>
      </c>
      <c r="D12" s="10" t="s">
        <v>238</v>
      </c>
      <c r="E12" s="8" t="s">
        <v>239</v>
      </c>
      <c r="F12" s="8" t="s">
        <v>240</v>
      </c>
      <c r="G12" s="10" t="s">
        <v>27</v>
      </c>
      <c r="H12" s="8" t="s">
        <v>241</v>
      </c>
      <c r="I12" s="10" t="s">
        <v>27</v>
      </c>
      <c r="J12" s="8" t="s">
        <v>168</v>
      </c>
      <c r="K12" s="8" t="s">
        <v>27</v>
      </c>
      <c r="L12" s="8" t="s">
        <v>27</v>
      </c>
      <c r="M12" s="10" t="s">
        <v>27</v>
      </c>
      <c r="N12" s="8" t="s">
        <v>27</v>
      </c>
      <c r="O12" s="10" t="s">
        <v>17</v>
      </c>
      <c r="P12" s="8" t="s">
        <v>242</v>
      </c>
      <c r="Q12" s="10" t="s">
        <v>188</v>
      </c>
      <c r="R12" s="10" t="s">
        <v>172</v>
      </c>
      <c r="S12" s="8" t="s">
        <v>168</v>
      </c>
      <c r="T12" s="10" t="s">
        <v>173</v>
      </c>
      <c r="U12" s="10" t="s">
        <v>27</v>
      </c>
    </row>
    <row r="13" spans="1:21" s="10" customFormat="1" x14ac:dyDescent="0.25">
      <c r="A13" s="10" t="s">
        <v>243</v>
      </c>
      <c r="B13" s="10" t="s">
        <v>163</v>
      </c>
      <c r="C13" s="10" t="s">
        <v>175</v>
      </c>
      <c r="D13" s="10" t="s">
        <v>244</v>
      </c>
      <c r="E13" s="8" t="s">
        <v>245</v>
      </c>
      <c r="F13" s="8" t="s">
        <v>246</v>
      </c>
      <c r="G13" s="10" t="s">
        <v>27</v>
      </c>
      <c r="H13" s="8" t="s">
        <v>247</v>
      </c>
      <c r="I13" s="10" t="s">
        <v>27</v>
      </c>
      <c r="J13" s="8" t="s">
        <v>168</v>
      </c>
      <c r="K13" s="8" t="s">
        <v>27</v>
      </c>
      <c r="L13" s="8" t="s">
        <v>27</v>
      </c>
      <c r="M13" s="10" t="s">
        <v>27</v>
      </c>
      <c r="N13" s="8" t="s">
        <v>27</v>
      </c>
      <c r="O13" s="10" t="s">
        <v>17</v>
      </c>
      <c r="P13" s="8" t="s">
        <v>248</v>
      </c>
      <c r="Q13" s="10" t="s">
        <v>188</v>
      </c>
      <c r="R13" s="10" t="s">
        <v>172</v>
      </c>
      <c r="S13" s="8" t="s">
        <v>168</v>
      </c>
      <c r="T13" s="10" t="s">
        <v>173</v>
      </c>
      <c r="U13" s="10" t="s">
        <v>27</v>
      </c>
    </row>
    <row r="14" spans="1:21" s="10" customFormat="1" x14ac:dyDescent="0.25">
      <c r="A14" s="10" t="s">
        <v>249</v>
      </c>
      <c r="B14" s="10" t="s">
        <v>163</v>
      </c>
      <c r="C14" s="10" t="s">
        <v>175</v>
      </c>
      <c r="D14" s="10" t="s">
        <v>250</v>
      </c>
      <c r="E14" s="8" t="s">
        <v>251</v>
      </c>
      <c r="F14" s="8" t="s">
        <v>252</v>
      </c>
      <c r="G14" s="10" t="s">
        <v>27</v>
      </c>
      <c r="H14" s="8" t="s">
        <v>253</v>
      </c>
      <c r="I14" s="10" t="s">
        <v>27</v>
      </c>
      <c r="J14" s="8" t="s">
        <v>168</v>
      </c>
      <c r="K14" s="8" t="s">
        <v>27</v>
      </c>
      <c r="L14" s="8" t="s">
        <v>27</v>
      </c>
      <c r="M14" s="10" t="s">
        <v>27</v>
      </c>
      <c r="N14" s="8" t="s">
        <v>27</v>
      </c>
      <c r="O14" s="10" t="s">
        <v>17</v>
      </c>
      <c r="P14" s="8" t="s">
        <v>254</v>
      </c>
      <c r="Q14" s="10" t="s">
        <v>171</v>
      </c>
      <c r="R14" s="10" t="s">
        <v>172</v>
      </c>
      <c r="S14" s="8" t="s">
        <v>255</v>
      </c>
      <c r="T14" s="10" t="s">
        <v>173</v>
      </c>
      <c r="U14" s="10" t="s">
        <v>27</v>
      </c>
    </row>
    <row r="15" spans="1:21" s="10" customFormat="1" x14ac:dyDescent="0.25">
      <c r="A15" s="10" t="s">
        <v>256</v>
      </c>
      <c r="B15" s="10" t="s">
        <v>163</v>
      </c>
      <c r="C15" s="10" t="s">
        <v>175</v>
      </c>
      <c r="D15" s="10" t="s">
        <v>257</v>
      </c>
      <c r="E15" s="8" t="s">
        <v>258</v>
      </c>
      <c r="F15" s="8" t="s">
        <v>259</v>
      </c>
      <c r="G15" s="10" t="s">
        <v>27</v>
      </c>
      <c r="H15" s="8" t="s">
        <v>260</v>
      </c>
      <c r="I15" s="10" t="s">
        <v>27</v>
      </c>
      <c r="J15" s="8" t="s">
        <v>168</v>
      </c>
      <c r="K15" s="8" t="s">
        <v>27</v>
      </c>
      <c r="L15" s="8" t="s">
        <v>27</v>
      </c>
      <c r="M15" s="10" t="s">
        <v>27</v>
      </c>
      <c r="N15" s="8" t="s">
        <v>27</v>
      </c>
      <c r="O15" s="10" t="s">
        <v>17</v>
      </c>
      <c r="P15" s="8" t="s">
        <v>261</v>
      </c>
      <c r="Q15" s="10" t="s">
        <v>195</v>
      </c>
      <c r="R15" s="10" t="s">
        <v>172</v>
      </c>
      <c r="S15" s="8" t="s">
        <v>168</v>
      </c>
      <c r="T15" s="10" t="s">
        <v>173</v>
      </c>
      <c r="U15" s="10" t="s">
        <v>27</v>
      </c>
    </row>
    <row r="16" spans="1:21" s="10" customFormat="1" x14ac:dyDescent="0.25">
      <c r="A16" s="10" t="s">
        <v>262</v>
      </c>
      <c r="B16" s="10" t="s">
        <v>163</v>
      </c>
      <c r="C16" s="11" t="s">
        <v>164</v>
      </c>
      <c r="D16" s="10" t="s">
        <v>263</v>
      </c>
      <c r="E16" s="8" t="s">
        <v>264</v>
      </c>
      <c r="F16" s="8" t="s">
        <v>265</v>
      </c>
      <c r="G16" s="10" t="s">
        <v>27</v>
      </c>
      <c r="H16" s="8" t="s">
        <v>266</v>
      </c>
      <c r="I16" s="10" t="s">
        <v>267</v>
      </c>
      <c r="J16" s="8" t="s">
        <v>168</v>
      </c>
      <c r="K16" s="8" t="s">
        <v>27</v>
      </c>
      <c r="L16" s="8" t="s">
        <v>27</v>
      </c>
      <c r="M16" s="10" t="s">
        <v>27</v>
      </c>
      <c r="N16" s="8" t="s">
        <v>268</v>
      </c>
      <c r="O16" s="10" t="s">
        <v>17</v>
      </c>
      <c r="P16" s="8" t="s">
        <v>269</v>
      </c>
      <c r="Q16" s="10" t="s">
        <v>188</v>
      </c>
      <c r="R16" s="10" t="s">
        <v>172</v>
      </c>
      <c r="S16" s="8" t="s">
        <v>270</v>
      </c>
      <c r="T16" s="10" t="s">
        <v>173</v>
      </c>
      <c r="U16" s="10" t="s">
        <v>27</v>
      </c>
    </row>
    <row r="17" spans="1:21" s="10" customFormat="1" x14ac:dyDescent="0.25">
      <c r="A17" s="10" t="s">
        <v>271</v>
      </c>
      <c r="B17" s="10" t="s">
        <v>163</v>
      </c>
      <c r="C17" s="10" t="s">
        <v>175</v>
      </c>
      <c r="D17" s="10" t="s">
        <v>272</v>
      </c>
      <c r="E17" s="8" t="s">
        <v>273</v>
      </c>
      <c r="F17" s="8" t="s">
        <v>274</v>
      </c>
      <c r="G17" s="10" t="s">
        <v>27</v>
      </c>
      <c r="H17" s="8" t="s">
        <v>275</v>
      </c>
      <c r="I17" s="10" t="s">
        <v>276</v>
      </c>
      <c r="J17" s="8" t="s">
        <v>168</v>
      </c>
      <c r="K17" s="8" t="s">
        <v>27</v>
      </c>
      <c r="L17" s="8" t="s">
        <v>27</v>
      </c>
      <c r="M17" s="10" t="s">
        <v>27</v>
      </c>
      <c r="N17" s="8" t="s">
        <v>277</v>
      </c>
      <c r="O17" s="10" t="s">
        <v>17</v>
      </c>
      <c r="P17" s="8" t="s">
        <v>278</v>
      </c>
      <c r="Q17" s="10" t="s">
        <v>171</v>
      </c>
      <c r="R17" s="10" t="s">
        <v>172</v>
      </c>
      <c r="S17" s="8" t="s">
        <v>279</v>
      </c>
      <c r="T17" s="10" t="s">
        <v>202</v>
      </c>
      <c r="U17" s="10" t="s">
        <v>27</v>
      </c>
    </row>
    <row r="18" spans="1:21" s="10" customFormat="1" x14ac:dyDescent="0.25">
      <c r="A18" s="10" t="s">
        <v>280</v>
      </c>
      <c r="B18" s="10" t="s">
        <v>163</v>
      </c>
      <c r="C18" s="10" t="s">
        <v>175</v>
      </c>
      <c r="D18" s="10" t="s">
        <v>281</v>
      </c>
      <c r="E18" s="8" t="s">
        <v>282</v>
      </c>
      <c r="F18" s="8" t="s">
        <v>283</v>
      </c>
      <c r="G18" s="10" t="s">
        <v>27</v>
      </c>
      <c r="H18" s="8" t="s">
        <v>284</v>
      </c>
      <c r="I18" s="10" t="s">
        <v>285</v>
      </c>
      <c r="J18" s="8" t="s">
        <v>168</v>
      </c>
      <c r="K18" s="8" t="s">
        <v>27</v>
      </c>
      <c r="L18" s="8" t="s">
        <v>27</v>
      </c>
      <c r="M18" s="10" t="s">
        <v>27</v>
      </c>
      <c r="N18" s="8" t="s">
        <v>27</v>
      </c>
      <c r="O18" s="10" t="s">
        <v>17</v>
      </c>
      <c r="P18" s="8" t="s">
        <v>286</v>
      </c>
      <c r="Q18" s="10" t="s">
        <v>171</v>
      </c>
      <c r="R18" s="10" t="s">
        <v>172</v>
      </c>
      <c r="S18" s="8" t="s">
        <v>287</v>
      </c>
      <c r="T18" s="10" t="s">
        <v>173</v>
      </c>
      <c r="U18" s="10" t="s">
        <v>27</v>
      </c>
    </row>
    <row r="19" spans="1:21" s="10" customFormat="1" x14ac:dyDescent="0.25">
      <c r="A19" s="10" t="s">
        <v>288</v>
      </c>
      <c r="B19" s="10" t="s">
        <v>163</v>
      </c>
      <c r="C19" s="11" t="s">
        <v>164</v>
      </c>
      <c r="D19" s="10" t="s">
        <v>289</v>
      </c>
      <c r="E19" s="8" t="s">
        <v>290</v>
      </c>
      <c r="F19" s="8" t="s">
        <v>291</v>
      </c>
      <c r="G19" s="10" t="s">
        <v>27</v>
      </c>
      <c r="H19" s="8" t="s">
        <v>292</v>
      </c>
      <c r="I19" s="10" t="s">
        <v>27</v>
      </c>
      <c r="J19" s="8" t="s">
        <v>168</v>
      </c>
      <c r="K19" s="8" t="s">
        <v>27</v>
      </c>
      <c r="L19" s="8" t="s">
        <v>27</v>
      </c>
      <c r="M19" s="10" t="s">
        <v>27</v>
      </c>
      <c r="N19" s="8" t="s">
        <v>27</v>
      </c>
      <c r="O19" s="10" t="s">
        <v>17</v>
      </c>
      <c r="P19" s="8" t="s">
        <v>293</v>
      </c>
      <c r="Q19" s="10" t="s">
        <v>188</v>
      </c>
      <c r="R19" s="10" t="s">
        <v>172</v>
      </c>
      <c r="S19" s="8" t="s">
        <v>168</v>
      </c>
      <c r="T19" s="10" t="s">
        <v>173</v>
      </c>
      <c r="U19" s="10" t="s">
        <v>27</v>
      </c>
    </row>
    <row r="20" spans="1:21" s="10" customFormat="1" x14ac:dyDescent="0.25">
      <c r="A20" s="10" t="s">
        <v>294</v>
      </c>
      <c r="B20" s="10" t="s">
        <v>163</v>
      </c>
      <c r="C20" s="11" t="s">
        <v>164</v>
      </c>
      <c r="D20" s="10" t="s">
        <v>295</v>
      </c>
      <c r="E20" s="8" t="s">
        <v>296</v>
      </c>
      <c r="F20" s="8" t="s">
        <v>291</v>
      </c>
      <c r="G20" s="10" t="s">
        <v>27</v>
      </c>
      <c r="H20" s="8" t="s">
        <v>297</v>
      </c>
      <c r="I20" s="10" t="s">
        <v>27</v>
      </c>
      <c r="J20" s="8" t="s">
        <v>168</v>
      </c>
      <c r="K20" s="8" t="s">
        <v>27</v>
      </c>
      <c r="L20" s="8" t="s">
        <v>27</v>
      </c>
      <c r="M20" s="10" t="s">
        <v>27</v>
      </c>
      <c r="N20" s="8" t="s">
        <v>27</v>
      </c>
      <c r="O20" s="10" t="s">
        <v>17</v>
      </c>
      <c r="P20" s="8" t="s">
        <v>298</v>
      </c>
      <c r="Q20" s="10" t="s">
        <v>188</v>
      </c>
      <c r="R20" s="10" t="s">
        <v>172</v>
      </c>
      <c r="S20" s="8" t="s">
        <v>299</v>
      </c>
      <c r="T20" s="10" t="s">
        <v>173</v>
      </c>
      <c r="U20" s="10" t="s">
        <v>27</v>
      </c>
    </row>
    <row r="21" spans="1:21" s="10" customFormat="1" x14ac:dyDescent="0.25">
      <c r="A21" s="10" t="s">
        <v>300</v>
      </c>
      <c r="B21" s="10" t="s">
        <v>163</v>
      </c>
      <c r="C21" s="11" t="s">
        <v>164</v>
      </c>
      <c r="D21" s="10" t="s">
        <v>301</v>
      </c>
      <c r="E21" s="8" t="s">
        <v>302</v>
      </c>
      <c r="F21" s="8" t="s">
        <v>303</v>
      </c>
      <c r="G21" s="10" t="s">
        <v>27</v>
      </c>
      <c r="H21" s="8" t="s">
        <v>304</v>
      </c>
      <c r="I21" s="10" t="s">
        <v>305</v>
      </c>
      <c r="J21" s="8" t="s">
        <v>168</v>
      </c>
      <c r="K21" s="8" t="s">
        <v>27</v>
      </c>
      <c r="L21" s="8" t="s">
        <v>27</v>
      </c>
      <c r="M21" s="10" t="s">
        <v>27</v>
      </c>
      <c r="N21" s="8" t="s">
        <v>27</v>
      </c>
      <c r="O21" s="10" t="s">
        <v>17</v>
      </c>
      <c r="P21" s="8" t="s">
        <v>306</v>
      </c>
      <c r="Q21" s="10" t="s">
        <v>171</v>
      </c>
      <c r="R21" s="10" t="s">
        <v>172</v>
      </c>
      <c r="S21" s="8" t="s">
        <v>307</v>
      </c>
      <c r="T21" s="10" t="s">
        <v>173</v>
      </c>
      <c r="U21" s="10" t="s">
        <v>27</v>
      </c>
    </row>
    <row r="22" spans="1:21" s="10" customFormat="1" x14ac:dyDescent="0.25">
      <c r="A22" s="10" t="s">
        <v>308</v>
      </c>
      <c r="B22" s="10" t="s">
        <v>163</v>
      </c>
      <c r="C22" s="11" t="s">
        <v>164</v>
      </c>
      <c r="D22" s="10" t="s">
        <v>309</v>
      </c>
      <c r="E22" s="8" t="s">
        <v>310</v>
      </c>
      <c r="F22" s="8" t="s">
        <v>311</v>
      </c>
      <c r="G22" s="10" t="s">
        <v>27</v>
      </c>
      <c r="H22" s="8" t="s">
        <v>312</v>
      </c>
      <c r="I22" s="10" t="s">
        <v>313</v>
      </c>
      <c r="J22" s="8" t="s">
        <v>168</v>
      </c>
      <c r="K22" s="8" t="s">
        <v>27</v>
      </c>
      <c r="L22" s="8" t="s">
        <v>27</v>
      </c>
      <c r="M22" s="10" t="s">
        <v>27</v>
      </c>
      <c r="N22" s="8" t="s">
        <v>314</v>
      </c>
      <c r="O22" s="10" t="s">
        <v>17</v>
      </c>
      <c r="P22" s="8" t="s">
        <v>315</v>
      </c>
      <c r="Q22" s="10" t="s">
        <v>171</v>
      </c>
      <c r="R22" s="10" t="s">
        <v>172</v>
      </c>
      <c r="S22" s="8" t="s">
        <v>287</v>
      </c>
      <c r="T22" s="10" t="s">
        <v>173</v>
      </c>
      <c r="U22" s="10" t="s">
        <v>27</v>
      </c>
    </row>
    <row r="23" spans="1:21" s="10" customFormat="1" x14ac:dyDescent="0.25">
      <c r="A23" s="10" t="s">
        <v>316</v>
      </c>
      <c r="B23" s="10" t="s">
        <v>163</v>
      </c>
      <c r="C23" s="11" t="s">
        <v>164</v>
      </c>
      <c r="D23" s="10" t="s">
        <v>317</v>
      </c>
      <c r="E23" s="8" t="s">
        <v>318</v>
      </c>
      <c r="F23" s="8" t="s">
        <v>319</v>
      </c>
      <c r="G23" s="10" t="s">
        <v>27</v>
      </c>
      <c r="H23" s="8" t="s">
        <v>312</v>
      </c>
      <c r="I23" s="10" t="s">
        <v>320</v>
      </c>
      <c r="J23" s="8" t="s">
        <v>168</v>
      </c>
      <c r="K23" s="8" t="s">
        <v>27</v>
      </c>
      <c r="L23" s="8" t="s">
        <v>27</v>
      </c>
      <c r="M23" s="10" t="s">
        <v>27</v>
      </c>
      <c r="N23" s="8" t="s">
        <v>321</v>
      </c>
      <c r="O23" s="10" t="s">
        <v>17</v>
      </c>
      <c r="P23" s="8" t="s">
        <v>322</v>
      </c>
      <c r="Q23" s="10" t="s">
        <v>171</v>
      </c>
      <c r="R23" s="10" t="s">
        <v>172</v>
      </c>
      <c r="S23" s="8" t="s">
        <v>323</v>
      </c>
      <c r="T23" s="10" t="s">
        <v>173</v>
      </c>
      <c r="U23" s="10" t="s">
        <v>27</v>
      </c>
    </row>
    <row r="24" spans="1:21" s="10" customFormat="1" x14ac:dyDescent="0.25">
      <c r="A24" s="10" t="s">
        <v>324</v>
      </c>
      <c r="B24" s="10" t="s">
        <v>163</v>
      </c>
      <c r="C24" s="11" t="s">
        <v>164</v>
      </c>
      <c r="D24" s="10" t="s">
        <v>325</v>
      </c>
      <c r="E24" s="8" t="s">
        <v>326</v>
      </c>
      <c r="F24" s="8" t="s">
        <v>327</v>
      </c>
      <c r="G24" s="10" t="s">
        <v>27</v>
      </c>
      <c r="H24" s="8" t="s">
        <v>328</v>
      </c>
      <c r="I24" s="10" t="s">
        <v>27</v>
      </c>
      <c r="J24" s="8" t="s">
        <v>168</v>
      </c>
      <c r="K24" s="8" t="s">
        <v>27</v>
      </c>
      <c r="L24" s="8" t="s">
        <v>27</v>
      </c>
      <c r="M24" s="10" t="s">
        <v>27</v>
      </c>
      <c r="N24" s="8" t="s">
        <v>27</v>
      </c>
      <c r="O24" s="10" t="s">
        <v>17</v>
      </c>
      <c r="P24" s="8" t="s">
        <v>329</v>
      </c>
      <c r="Q24" s="10" t="s">
        <v>188</v>
      </c>
      <c r="R24" s="10" t="s">
        <v>172</v>
      </c>
      <c r="S24" s="8" t="s">
        <v>330</v>
      </c>
      <c r="T24" s="10" t="s">
        <v>173</v>
      </c>
      <c r="U24" s="10" t="s">
        <v>27</v>
      </c>
    </row>
    <row r="25" spans="1:21" s="10" customFormat="1" x14ac:dyDescent="0.25">
      <c r="A25" s="10" t="s">
        <v>331</v>
      </c>
      <c r="B25" s="10" t="s">
        <v>163</v>
      </c>
      <c r="C25" s="10" t="s">
        <v>175</v>
      </c>
      <c r="D25" s="10" t="s">
        <v>332</v>
      </c>
      <c r="E25" s="8" t="s">
        <v>333</v>
      </c>
      <c r="F25" s="8" t="s">
        <v>334</v>
      </c>
      <c r="G25" s="10" t="s">
        <v>27</v>
      </c>
      <c r="H25" s="8" t="s">
        <v>312</v>
      </c>
      <c r="I25" s="10" t="s">
        <v>27</v>
      </c>
      <c r="J25" s="8" t="s">
        <v>168</v>
      </c>
      <c r="K25" s="8" t="s">
        <v>27</v>
      </c>
      <c r="L25" s="8" t="s">
        <v>27</v>
      </c>
      <c r="M25" s="10" t="s">
        <v>27</v>
      </c>
      <c r="N25" s="8" t="s">
        <v>27</v>
      </c>
      <c r="O25" s="10" t="s">
        <v>17</v>
      </c>
      <c r="P25" s="8" t="s">
        <v>335</v>
      </c>
      <c r="Q25" s="10" t="s">
        <v>171</v>
      </c>
      <c r="R25" s="10" t="s">
        <v>172</v>
      </c>
      <c r="S25" s="8" t="s">
        <v>168</v>
      </c>
      <c r="T25" s="10" t="s">
        <v>202</v>
      </c>
      <c r="U25" s="10" t="s">
        <v>27</v>
      </c>
    </row>
    <row r="26" spans="1:21" s="10" customFormat="1" x14ac:dyDescent="0.25">
      <c r="A26" s="10" t="s">
        <v>336</v>
      </c>
      <c r="B26" s="10" t="s">
        <v>163</v>
      </c>
      <c r="C26" s="11" t="s">
        <v>164</v>
      </c>
      <c r="D26" s="10" t="s">
        <v>337</v>
      </c>
      <c r="E26" s="8" t="s">
        <v>338</v>
      </c>
      <c r="F26" s="8" t="s">
        <v>339</v>
      </c>
      <c r="G26" s="10" t="s">
        <v>27</v>
      </c>
      <c r="H26" s="8" t="s">
        <v>340</v>
      </c>
      <c r="I26" s="10" t="s">
        <v>341</v>
      </c>
      <c r="J26" s="8" t="s">
        <v>168</v>
      </c>
      <c r="K26" s="8" t="s">
        <v>27</v>
      </c>
      <c r="L26" s="8" t="s">
        <v>27</v>
      </c>
      <c r="M26" s="10" t="s">
        <v>27</v>
      </c>
      <c r="N26" s="8" t="s">
        <v>342</v>
      </c>
      <c r="O26" s="10" t="s">
        <v>17</v>
      </c>
      <c r="P26" s="8" t="s">
        <v>343</v>
      </c>
      <c r="Q26" s="10" t="s">
        <v>171</v>
      </c>
      <c r="R26" s="10" t="s">
        <v>172</v>
      </c>
      <c r="S26" s="8" t="s">
        <v>344</v>
      </c>
      <c r="T26" s="10" t="s">
        <v>173</v>
      </c>
      <c r="U26" s="10" t="s">
        <v>27</v>
      </c>
    </row>
    <row r="27" spans="1:21" s="10" customFormat="1" x14ac:dyDescent="0.25">
      <c r="A27" s="10" t="s">
        <v>345</v>
      </c>
      <c r="B27" s="10" t="s">
        <v>346</v>
      </c>
      <c r="C27" s="11" t="s">
        <v>164</v>
      </c>
      <c r="D27" s="10" t="s">
        <v>347</v>
      </c>
      <c r="E27" s="8" t="s">
        <v>348</v>
      </c>
      <c r="F27" s="8" t="s">
        <v>349</v>
      </c>
      <c r="G27" s="10" t="s">
        <v>27</v>
      </c>
      <c r="H27" s="8" t="s">
        <v>350</v>
      </c>
      <c r="I27" s="10" t="s">
        <v>27</v>
      </c>
      <c r="J27" s="8" t="s">
        <v>351</v>
      </c>
      <c r="K27" s="8" t="s">
        <v>27</v>
      </c>
      <c r="L27" s="8" t="s">
        <v>27</v>
      </c>
      <c r="M27" s="10" t="s">
        <v>27</v>
      </c>
      <c r="N27" s="8" t="s">
        <v>27</v>
      </c>
      <c r="O27" s="10" t="s">
        <v>17</v>
      </c>
      <c r="P27" s="8" t="s">
        <v>352</v>
      </c>
      <c r="Q27" s="10" t="s">
        <v>171</v>
      </c>
      <c r="R27" s="10" t="s">
        <v>353</v>
      </c>
      <c r="S27" s="8" t="s">
        <v>255</v>
      </c>
      <c r="T27" s="10" t="s">
        <v>354</v>
      </c>
      <c r="U27" s="10" t="s">
        <v>27</v>
      </c>
    </row>
    <row r="28" spans="1:21" s="10" customFormat="1" x14ac:dyDescent="0.25">
      <c r="A28" s="10" t="s">
        <v>355</v>
      </c>
      <c r="B28" s="10" t="s">
        <v>346</v>
      </c>
      <c r="C28" s="10" t="s">
        <v>175</v>
      </c>
      <c r="D28" s="10" t="s">
        <v>356</v>
      </c>
      <c r="E28" s="8" t="s">
        <v>357</v>
      </c>
      <c r="F28" s="8" t="s">
        <v>358</v>
      </c>
      <c r="G28" s="10" t="s">
        <v>27</v>
      </c>
      <c r="H28" s="8" t="s">
        <v>168</v>
      </c>
      <c r="I28" s="10" t="s">
        <v>27</v>
      </c>
      <c r="J28" s="8" t="s">
        <v>351</v>
      </c>
      <c r="K28" s="8" t="s">
        <v>27</v>
      </c>
      <c r="L28" s="8" t="s">
        <v>27</v>
      </c>
      <c r="M28" s="10" t="s">
        <v>27</v>
      </c>
      <c r="N28" s="8" t="s">
        <v>27</v>
      </c>
      <c r="O28" s="10" t="s">
        <v>17</v>
      </c>
      <c r="P28" s="8" t="s">
        <v>359</v>
      </c>
      <c r="Q28" s="10" t="s">
        <v>171</v>
      </c>
      <c r="R28" s="10" t="s">
        <v>353</v>
      </c>
      <c r="S28" s="8" t="s">
        <v>168</v>
      </c>
      <c r="T28" s="10" t="s">
        <v>354</v>
      </c>
      <c r="U28" s="10" t="s">
        <v>27</v>
      </c>
    </row>
    <row r="29" spans="1:21" s="10" customFormat="1" x14ac:dyDescent="0.25">
      <c r="A29" s="10" t="s">
        <v>360</v>
      </c>
      <c r="B29" s="10" t="s">
        <v>346</v>
      </c>
      <c r="C29" s="10" t="s">
        <v>361</v>
      </c>
      <c r="D29" s="10" t="s">
        <v>362</v>
      </c>
      <c r="E29" s="8" t="s">
        <v>363</v>
      </c>
      <c r="F29" s="8" t="s">
        <v>364</v>
      </c>
      <c r="G29" s="10" t="s">
        <v>27</v>
      </c>
      <c r="H29" s="8" t="s">
        <v>365</v>
      </c>
      <c r="I29" s="10" t="s">
        <v>366</v>
      </c>
      <c r="J29" s="8" t="s">
        <v>351</v>
      </c>
      <c r="K29" s="8" t="s">
        <v>27</v>
      </c>
      <c r="L29" s="8" t="s">
        <v>27</v>
      </c>
      <c r="M29" s="10" t="s">
        <v>27</v>
      </c>
      <c r="N29" s="8" t="s">
        <v>367</v>
      </c>
      <c r="O29" s="10" t="s">
        <v>17</v>
      </c>
      <c r="P29" s="8" t="s">
        <v>368</v>
      </c>
      <c r="Q29" s="10" t="s">
        <v>171</v>
      </c>
      <c r="R29" s="10" t="s">
        <v>353</v>
      </c>
      <c r="S29" s="8" t="s">
        <v>369</v>
      </c>
      <c r="T29" s="10" t="s">
        <v>202</v>
      </c>
      <c r="U29" s="10" t="s">
        <v>27</v>
      </c>
    </row>
    <row r="30" spans="1:21" s="10" customFormat="1" x14ac:dyDescent="0.25">
      <c r="A30" s="10" t="s">
        <v>370</v>
      </c>
      <c r="B30" s="10" t="s">
        <v>346</v>
      </c>
      <c r="C30" s="10" t="s">
        <v>361</v>
      </c>
      <c r="D30" s="10" t="s">
        <v>371</v>
      </c>
      <c r="E30" s="8" t="s">
        <v>372</v>
      </c>
      <c r="F30" s="8" t="s">
        <v>373</v>
      </c>
      <c r="G30" s="10" t="s">
        <v>27</v>
      </c>
      <c r="H30" s="8" t="s">
        <v>168</v>
      </c>
      <c r="I30" s="10" t="s">
        <v>27</v>
      </c>
      <c r="J30" s="8" t="s">
        <v>351</v>
      </c>
      <c r="K30" s="8" t="s">
        <v>27</v>
      </c>
      <c r="L30" s="8" t="s">
        <v>27</v>
      </c>
      <c r="M30" s="10" t="s">
        <v>27</v>
      </c>
      <c r="N30" s="8" t="s">
        <v>27</v>
      </c>
      <c r="O30" s="10" t="s">
        <v>17</v>
      </c>
      <c r="P30" s="8" t="s">
        <v>374</v>
      </c>
      <c r="Q30" s="10" t="s">
        <v>171</v>
      </c>
      <c r="R30" s="10" t="s">
        <v>353</v>
      </c>
      <c r="S30" s="8" t="s">
        <v>168</v>
      </c>
      <c r="T30" s="10" t="s">
        <v>202</v>
      </c>
      <c r="U30" s="10" t="s">
        <v>27</v>
      </c>
    </row>
    <row r="31" spans="1:21" s="10" customFormat="1" x14ac:dyDescent="0.25">
      <c r="A31" s="10" t="s">
        <v>375</v>
      </c>
      <c r="B31" s="10" t="s">
        <v>346</v>
      </c>
      <c r="C31" s="11" t="s">
        <v>164</v>
      </c>
      <c r="D31" s="10" t="s">
        <v>376</v>
      </c>
      <c r="E31" s="8" t="s">
        <v>377</v>
      </c>
      <c r="F31" s="8" t="s">
        <v>378</v>
      </c>
      <c r="G31" s="10" t="s">
        <v>27</v>
      </c>
      <c r="H31" s="8" t="s">
        <v>379</v>
      </c>
      <c r="I31" s="10" t="s">
        <v>380</v>
      </c>
      <c r="J31" s="8" t="s">
        <v>351</v>
      </c>
      <c r="K31" s="8" t="s">
        <v>27</v>
      </c>
      <c r="L31" s="8" t="s">
        <v>27</v>
      </c>
      <c r="M31" s="10" t="s">
        <v>27</v>
      </c>
      <c r="N31" s="8" t="s">
        <v>381</v>
      </c>
      <c r="O31" s="10" t="s">
        <v>17</v>
      </c>
      <c r="P31" s="8" t="s">
        <v>382</v>
      </c>
      <c r="Q31" s="10" t="s">
        <v>171</v>
      </c>
      <c r="R31" s="10" t="s">
        <v>353</v>
      </c>
      <c r="S31" s="8" t="s">
        <v>383</v>
      </c>
      <c r="T31" s="10" t="s">
        <v>354</v>
      </c>
      <c r="U31" s="10" t="s">
        <v>27</v>
      </c>
    </row>
    <row r="32" spans="1:21" s="10" customFormat="1" x14ac:dyDescent="0.25">
      <c r="A32" s="10" t="s">
        <v>384</v>
      </c>
      <c r="B32" s="10" t="s">
        <v>346</v>
      </c>
      <c r="C32" s="10" t="s">
        <v>175</v>
      </c>
      <c r="D32" s="10" t="s">
        <v>385</v>
      </c>
      <c r="E32" s="8" t="s">
        <v>386</v>
      </c>
      <c r="F32" s="8" t="s">
        <v>387</v>
      </c>
      <c r="G32" s="10" t="s">
        <v>27</v>
      </c>
      <c r="H32" s="8" t="s">
        <v>168</v>
      </c>
      <c r="I32" s="10" t="s">
        <v>27</v>
      </c>
      <c r="J32" s="8" t="s">
        <v>351</v>
      </c>
      <c r="K32" s="8" t="s">
        <v>27</v>
      </c>
      <c r="L32" s="8" t="s">
        <v>27</v>
      </c>
      <c r="M32" s="10" t="s">
        <v>27</v>
      </c>
      <c r="N32" s="8" t="s">
        <v>27</v>
      </c>
      <c r="O32" s="10" t="s">
        <v>17</v>
      </c>
      <c r="P32" s="8" t="s">
        <v>388</v>
      </c>
      <c r="Q32" s="10" t="s">
        <v>188</v>
      </c>
      <c r="R32" s="10" t="s">
        <v>353</v>
      </c>
      <c r="S32" s="8" t="s">
        <v>168</v>
      </c>
      <c r="T32" s="10" t="s">
        <v>354</v>
      </c>
      <c r="U32" s="10" t="s">
        <v>27</v>
      </c>
    </row>
    <row r="33" spans="1:21" s="10" customFormat="1" x14ac:dyDescent="0.25">
      <c r="A33" s="10" t="s">
        <v>389</v>
      </c>
      <c r="B33" s="10" t="s">
        <v>346</v>
      </c>
      <c r="C33" s="10" t="s">
        <v>175</v>
      </c>
      <c r="D33" s="10" t="s">
        <v>390</v>
      </c>
      <c r="E33" s="8" t="s">
        <v>391</v>
      </c>
      <c r="F33" s="8" t="s">
        <v>392</v>
      </c>
      <c r="G33" s="10" t="s">
        <v>27</v>
      </c>
      <c r="H33" s="8" t="s">
        <v>393</v>
      </c>
      <c r="I33" s="10" t="s">
        <v>27</v>
      </c>
      <c r="J33" s="8" t="s">
        <v>351</v>
      </c>
      <c r="K33" s="8" t="s">
        <v>27</v>
      </c>
      <c r="L33" s="8" t="s">
        <v>27</v>
      </c>
      <c r="M33" s="10" t="s">
        <v>27</v>
      </c>
      <c r="N33" s="8" t="s">
        <v>27</v>
      </c>
      <c r="O33" s="10" t="s">
        <v>17</v>
      </c>
      <c r="P33" s="8" t="s">
        <v>394</v>
      </c>
      <c r="Q33" s="10" t="s">
        <v>188</v>
      </c>
      <c r="R33" s="10" t="s">
        <v>353</v>
      </c>
      <c r="S33" s="8" t="s">
        <v>395</v>
      </c>
      <c r="T33" s="10" t="s">
        <v>202</v>
      </c>
      <c r="U33" s="10" t="s">
        <v>27</v>
      </c>
    </row>
    <row r="34" spans="1:21" s="10" customFormat="1" x14ac:dyDescent="0.25">
      <c r="A34" s="10" t="s">
        <v>396</v>
      </c>
      <c r="B34" s="10" t="s">
        <v>346</v>
      </c>
      <c r="C34" s="11" t="s">
        <v>164</v>
      </c>
      <c r="D34" s="10" t="s">
        <v>397</v>
      </c>
      <c r="E34" s="8" t="s">
        <v>398</v>
      </c>
      <c r="F34" s="8" t="s">
        <v>399</v>
      </c>
      <c r="G34" s="10" t="s">
        <v>27</v>
      </c>
      <c r="H34" s="8" t="s">
        <v>400</v>
      </c>
      <c r="I34" s="10" t="s">
        <v>401</v>
      </c>
      <c r="J34" s="8" t="s">
        <v>351</v>
      </c>
      <c r="K34" s="8" t="s">
        <v>27</v>
      </c>
      <c r="L34" s="8" t="s">
        <v>27</v>
      </c>
      <c r="M34" s="10" t="s">
        <v>27</v>
      </c>
      <c r="N34" s="8" t="s">
        <v>402</v>
      </c>
      <c r="O34" s="10" t="s">
        <v>17</v>
      </c>
      <c r="P34" s="8" t="s">
        <v>403</v>
      </c>
      <c r="Q34" s="10" t="s">
        <v>171</v>
      </c>
      <c r="R34" s="10" t="s">
        <v>353</v>
      </c>
      <c r="S34" s="8" t="s">
        <v>404</v>
      </c>
      <c r="T34" s="10" t="s">
        <v>354</v>
      </c>
      <c r="U34" s="10" t="s">
        <v>27</v>
      </c>
    </row>
    <row r="35" spans="1:21" s="10" customFormat="1" x14ac:dyDescent="0.25">
      <c r="A35" s="10" t="s">
        <v>405</v>
      </c>
      <c r="B35" s="10" t="s">
        <v>346</v>
      </c>
      <c r="C35" s="11" t="s">
        <v>164</v>
      </c>
      <c r="D35" s="10" t="s">
        <v>406</v>
      </c>
      <c r="E35" s="8" t="s">
        <v>407</v>
      </c>
      <c r="F35" s="8" t="s">
        <v>408</v>
      </c>
      <c r="G35" s="10" t="s">
        <v>27</v>
      </c>
      <c r="H35" s="8" t="s">
        <v>409</v>
      </c>
      <c r="I35" s="10" t="s">
        <v>410</v>
      </c>
      <c r="J35" s="8" t="s">
        <v>351</v>
      </c>
      <c r="K35" s="8" t="s">
        <v>27</v>
      </c>
      <c r="L35" s="8" t="s">
        <v>27</v>
      </c>
      <c r="M35" s="10" t="s">
        <v>27</v>
      </c>
      <c r="N35" s="8" t="s">
        <v>27</v>
      </c>
      <c r="O35" s="10" t="s">
        <v>17</v>
      </c>
      <c r="P35" s="8" t="s">
        <v>411</v>
      </c>
      <c r="Q35" s="10" t="s">
        <v>188</v>
      </c>
      <c r="R35" s="10" t="s">
        <v>353</v>
      </c>
      <c r="S35" s="8" t="s">
        <v>412</v>
      </c>
      <c r="T35" s="10" t="s">
        <v>354</v>
      </c>
      <c r="U35" s="10" t="s">
        <v>27</v>
      </c>
    </row>
    <row r="36" spans="1:21" s="10" customFormat="1" x14ac:dyDescent="0.25">
      <c r="A36" s="10" t="s">
        <v>413</v>
      </c>
      <c r="B36" s="10" t="s">
        <v>346</v>
      </c>
      <c r="C36" s="11" t="s">
        <v>164</v>
      </c>
      <c r="D36" s="10" t="s">
        <v>414</v>
      </c>
      <c r="E36" s="8" t="s">
        <v>415</v>
      </c>
      <c r="F36" s="8" t="s">
        <v>416</v>
      </c>
      <c r="G36" s="10" t="s">
        <v>27</v>
      </c>
      <c r="H36" s="8" t="s">
        <v>417</v>
      </c>
      <c r="I36" s="10" t="s">
        <v>418</v>
      </c>
      <c r="J36" s="8" t="s">
        <v>419</v>
      </c>
      <c r="K36" s="8" t="s">
        <v>27</v>
      </c>
      <c r="L36" s="8" t="s">
        <v>27</v>
      </c>
      <c r="M36" s="10" t="s">
        <v>27</v>
      </c>
      <c r="N36" s="8" t="s">
        <v>27</v>
      </c>
      <c r="O36" s="10" t="s">
        <v>17</v>
      </c>
      <c r="P36" s="8" t="s">
        <v>420</v>
      </c>
      <c r="Q36" s="10" t="s">
        <v>171</v>
      </c>
      <c r="R36" s="10" t="s">
        <v>353</v>
      </c>
      <c r="S36" s="8" t="s">
        <v>421</v>
      </c>
      <c r="T36" s="10" t="s">
        <v>354</v>
      </c>
      <c r="U36" s="10" t="s">
        <v>27</v>
      </c>
    </row>
    <row r="37" spans="1:21" s="10" customFormat="1" x14ac:dyDescent="0.25">
      <c r="A37" s="10" t="s">
        <v>422</v>
      </c>
      <c r="B37" s="10" t="s">
        <v>346</v>
      </c>
      <c r="C37" s="10" t="s">
        <v>175</v>
      </c>
      <c r="D37" s="10" t="s">
        <v>423</v>
      </c>
      <c r="E37" s="8" t="s">
        <v>424</v>
      </c>
      <c r="F37" s="8" t="s">
        <v>425</v>
      </c>
      <c r="G37" s="10" t="s">
        <v>27</v>
      </c>
      <c r="H37" s="8" t="s">
        <v>426</v>
      </c>
      <c r="I37" s="10" t="s">
        <v>427</v>
      </c>
      <c r="J37" s="8" t="s">
        <v>428</v>
      </c>
      <c r="K37" s="8" t="s">
        <v>27</v>
      </c>
      <c r="L37" s="8" t="s">
        <v>27</v>
      </c>
      <c r="M37" s="10" t="s">
        <v>27</v>
      </c>
      <c r="N37" s="8" t="s">
        <v>27</v>
      </c>
      <c r="O37" s="10" t="s">
        <v>17</v>
      </c>
      <c r="P37" s="8" t="s">
        <v>429</v>
      </c>
      <c r="Q37" s="10" t="s">
        <v>188</v>
      </c>
      <c r="R37" s="10" t="s">
        <v>353</v>
      </c>
      <c r="S37" s="8" t="s">
        <v>430</v>
      </c>
      <c r="T37" s="10" t="s">
        <v>202</v>
      </c>
      <c r="U37" s="10" t="s">
        <v>27</v>
      </c>
    </row>
    <row r="38" spans="1:21" s="10" customFormat="1" x14ac:dyDescent="0.25">
      <c r="A38" s="10" t="s">
        <v>431</v>
      </c>
      <c r="B38" s="10" t="s">
        <v>346</v>
      </c>
      <c r="C38" s="10" t="s">
        <v>175</v>
      </c>
      <c r="D38" s="10" t="s">
        <v>432</v>
      </c>
      <c r="E38" s="8" t="s">
        <v>433</v>
      </c>
      <c r="F38" s="8" t="s">
        <v>434</v>
      </c>
      <c r="G38" s="10" t="s">
        <v>27</v>
      </c>
      <c r="H38" s="8" t="s">
        <v>435</v>
      </c>
      <c r="I38" s="10" t="s">
        <v>436</v>
      </c>
      <c r="J38" s="8" t="s">
        <v>351</v>
      </c>
      <c r="K38" s="8" t="s">
        <v>27</v>
      </c>
      <c r="L38" s="8" t="s">
        <v>27</v>
      </c>
      <c r="M38" s="10" t="s">
        <v>27</v>
      </c>
      <c r="N38" s="8" t="s">
        <v>27</v>
      </c>
      <c r="O38" s="10" t="s">
        <v>17</v>
      </c>
      <c r="P38" s="8" t="s">
        <v>437</v>
      </c>
      <c r="Q38" s="10" t="s">
        <v>171</v>
      </c>
      <c r="R38" s="10" t="s">
        <v>353</v>
      </c>
      <c r="S38" s="8" t="s">
        <v>438</v>
      </c>
      <c r="T38" s="10" t="s">
        <v>354</v>
      </c>
      <c r="U38" s="10" t="s">
        <v>27</v>
      </c>
    </row>
    <row r="39" spans="1:21" s="10" customFormat="1" x14ac:dyDescent="0.25">
      <c r="A39" s="10" t="s">
        <v>439</v>
      </c>
      <c r="B39" s="10" t="s">
        <v>346</v>
      </c>
      <c r="C39" s="11" t="s">
        <v>164</v>
      </c>
      <c r="D39" s="10" t="s">
        <v>440</v>
      </c>
      <c r="E39" s="8" t="s">
        <v>441</v>
      </c>
      <c r="F39" s="8" t="s">
        <v>442</v>
      </c>
      <c r="G39" s="10" t="s">
        <v>27</v>
      </c>
      <c r="H39" s="8" t="s">
        <v>443</v>
      </c>
      <c r="I39" s="10" t="s">
        <v>444</v>
      </c>
      <c r="J39" s="8" t="s">
        <v>445</v>
      </c>
      <c r="K39" s="8" t="s">
        <v>27</v>
      </c>
      <c r="L39" s="8" t="s">
        <v>27</v>
      </c>
      <c r="M39" s="10" t="s">
        <v>27</v>
      </c>
      <c r="N39" s="8" t="s">
        <v>446</v>
      </c>
      <c r="O39" s="10" t="s">
        <v>17</v>
      </c>
      <c r="P39" s="8" t="s">
        <v>447</v>
      </c>
      <c r="Q39" s="10" t="s">
        <v>171</v>
      </c>
      <c r="R39" s="10" t="s">
        <v>353</v>
      </c>
      <c r="S39" s="8" t="s">
        <v>448</v>
      </c>
      <c r="T39" s="10" t="s">
        <v>354</v>
      </c>
      <c r="U39" s="10" t="s">
        <v>27</v>
      </c>
    </row>
    <row r="40" spans="1:21" s="10" customFormat="1" x14ac:dyDescent="0.25">
      <c r="A40" s="10" t="s">
        <v>449</v>
      </c>
      <c r="B40" s="10" t="s">
        <v>346</v>
      </c>
      <c r="C40" s="11" t="s">
        <v>164</v>
      </c>
      <c r="D40" s="10" t="s">
        <v>450</v>
      </c>
      <c r="E40" s="8" t="s">
        <v>451</v>
      </c>
      <c r="F40" s="8" t="s">
        <v>452</v>
      </c>
      <c r="G40" s="10" t="s">
        <v>27</v>
      </c>
      <c r="H40" s="8" t="s">
        <v>453</v>
      </c>
      <c r="I40" s="10" t="s">
        <v>454</v>
      </c>
      <c r="J40" s="8" t="s">
        <v>445</v>
      </c>
      <c r="K40" s="8" t="s">
        <v>27</v>
      </c>
      <c r="L40" s="8" t="s">
        <v>27</v>
      </c>
      <c r="M40" s="10" t="s">
        <v>27</v>
      </c>
      <c r="N40" s="8" t="s">
        <v>455</v>
      </c>
      <c r="O40" s="10" t="s">
        <v>17</v>
      </c>
      <c r="P40" s="8" t="s">
        <v>456</v>
      </c>
      <c r="Q40" s="10" t="s">
        <v>171</v>
      </c>
      <c r="R40" s="10" t="s">
        <v>353</v>
      </c>
      <c r="S40" s="8" t="s">
        <v>457</v>
      </c>
      <c r="T40" s="10" t="s">
        <v>354</v>
      </c>
      <c r="U40" s="10" t="s">
        <v>27</v>
      </c>
    </row>
    <row r="41" spans="1:21" s="10" customFormat="1" x14ac:dyDescent="0.25">
      <c r="A41" s="10" t="s">
        <v>458</v>
      </c>
      <c r="B41" s="10" t="s">
        <v>346</v>
      </c>
      <c r="C41" s="10" t="s">
        <v>175</v>
      </c>
      <c r="D41" s="10" t="s">
        <v>459</v>
      </c>
      <c r="E41" s="8" t="s">
        <v>460</v>
      </c>
      <c r="F41" s="8" t="s">
        <v>461</v>
      </c>
      <c r="G41" s="10" t="s">
        <v>27</v>
      </c>
      <c r="H41" s="8" t="s">
        <v>462</v>
      </c>
      <c r="I41" s="10" t="s">
        <v>305</v>
      </c>
      <c r="J41" s="8" t="s">
        <v>445</v>
      </c>
      <c r="K41" s="8" t="s">
        <v>27</v>
      </c>
      <c r="L41" s="8" t="s">
        <v>27</v>
      </c>
      <c r="M41" s="10" t="s">
        <v>27</v>
      </c>
      <c r="N41" s="8" t="s">
        <v>27</v>
      </c>
      <c r="O41" s="10" t="s">
        <v>17</v>
      </c>
      <c r="P41" s="8" t="s">
        <v>463</v>
      </c>
      <c r="Q41" s="10" t="s">
        <v>171</v>
      </c>
      <c r="R41" s="10" t="s">
        <v>353</v>
      </c>
      <c r="S41" s="8" t="s">
        <v>464</v>
      </c>
      <c r="T41" s="10" t="s">
        <v>354</v>
      </c>
      <c r="U41" s="10" t="s">
        <v>27</v>
      </c>
    </row>
    <row r="42" spans="1:21" s="10" customFormat="1" x14ac:dyDescent="0.25">
      <c r="A42" s="10" t="s">
        <v>465</v>
      </c>
      <c r="B42" s="10" t="s">
        <v>346</v>
      </c>
      <c r="C42" s="10" t="s">
        <v>175</v>
      </c>
      <c r="D42" s="10" t="s">
        <v>466</v>
      </c>
      <c r="E42" s="8" t="s">
        <v>467</v>
      </c>
      <c r="F42" s="8" t="s">
        <v>468</v>
      </c>
      <c r="G42" s="10" t="s">
        <v>27</v>
      </c>
      <c r="H42" s="8" t="s">
        <v>469</v>
      </c>
      <c r="I42" s="10" t="s">
        <v>470</v>
      </c>
      <c r="J42" s="8" t="s">
        <v>471</v>
      </c>
      <c r="K42" s="8" t="s">
        <v>27</v>
      </c>
      <c r="L42" s="8" t="s">
        <v>27</v>
      </c>
      <c r="M42" s="10" t="s">
        <v>27</v>
      </c>
      <c r="N42" s="8" t="s">
        <v>27</v>
      </c>
      <c r="O42" s="10" t="s">
        <v>17</v>
      </c>
      <c r="P42" s="8" t="s">
        <v>472</v>
      </c>
      <c r="Q42" s="10" t="s">
        <v>171</v>
      </c>
      <c r="R42" s="10" t="s">
        <v>353</v>
      </c>
      <c r="S42" s="8" t="s">
        <v>473</v>
      </c>
      <c r="T42" s="10" t="s">
        <v>354</v>
      </c>
      <c r="U42" s="10" t="s">
        <v>27</v>
      </c>
    </row>
    <row r="43" spans="1:21" s="10" customFormat="1" x14ac:dyDescent="0.25">
      <c r="A43" s="10" t="s">
        <v>474</v>
      </c>
      <c r="B43" s="10" t="s">
        <v>346</v>
      </c>
      <c r="C43" s="11" t="s">
        <v>164</v>
      </c>
      <c r="D43" s="10" t="s">
        <v>475</v>
      </c>
      <c r="E43" s="8" t="s">
        <v>476</v>
      </c>
      <c r="F43" s="8" t="s">
        <v>477</v>
      </c>
      <c r="G43" s="10" t="s">
        <v>27</v>
      </c>
      <c r="H43" s="8" t="s">
        <v>478</v>
      </c>
      <c r="I43" s="10" t="s">
        <v>479</v>
      </c>
      <c r="J43" s="8" t="s">
        <v>351</v>
      </c>
      <c r="K43" s="8" t="s">
        <v>27</v>
      </c>
      <c r="L43" s="8" t="s">
        <v>27</v>
      </c>
      <c r="M43" s="10" t="s">
        <v>27</v>
      </c>
      <c r="N43" s="8" t="s">
        <v>480</v>
      </c>
      <c r="O43" s="10" t="s">
        <v>17</v>
      </c>
      <c r="P43" s="8" t="s">
        <v>481</v>
      </c>
      <c r="Q43" s="10" t="s">
        <v>171</v>
      </c>
      <c r="R43" s="10" t="s">
        <v>353</v>
      </c>
      <c r="S43" s="8" t="s">
        <v>482</v>
      </c>
      <c r="T43" s="10" t="s">
        <v>354</v>
      </c>
      <c r="U43" s="10" t="s">
        <v>27</v>
      </c>
    </row>
    <row r="44" spans="1:21" s="10" customFormat="1" x14ac:dyDescent="0.25">
      <c r="A44" s="10" t="s">
        <v>483</v>
      </c>
      <c r="B44" s="10" t="s">
        <v>346</v>
      </c>
      <c r="C44" s="10" t="s">
        <v>175</v>
      </c>
      <c r="D44" s="10" t="s">
        <v>484</v>
      </c>
      <c r="E44" s="8" t="s">
        <v>485</v>
      </c>
      <c r="F44" s="8" t="s">
        <v>486</v>
      </c>
      <c r="G44" s="10" t="s">
        <v>27</v>
      </c>
      <c r="H44" s="8" t="s">
        <v>168</v>
      </c>
      <c r="I44" s="10" t="s">
        <v>487</v>
      </c>
      <c r="J44" s="8" t="s">
        <v>351</v>
      </c>
      <c r="K44" s="8" t="s">
        <v>27</v>
      </c>
      <c r="L44" s="8" t="s">
        <v>27</v>
      </c>
      <c r="M44" s="10" t="s">
        <v>27</v>
      </c>
      <c r="N44" s="8" t="s">
        <v>27</v>
      </c>
      <c r="O44" s="10" t="s">
        <v>17</v>
      </c>
      <c r="P44" s="8" t="s">
        <v>488</v>
      </c>
      <c r="Q44" s="10" t="s">
        <v>188</v>
      </c>
      <c r="R44" s="10" t="s">
        <v>353</v>
      </c>
      <c r="S44" s="8" t="s">
        <v>168</v>
      </c>
      <c r="T44" s="10" t="s">
        <v>354</v>
      </c>
      <c r="U44" s="10" t="s">
        <v>27</v>
      </c>
    </row>
    <row r="45" spans="1:21" s="10" customFormat="1" x14ac:dyDescent="0.25">
      <c r="A45" s="10" t="s">
        <v>489</v>
      </c>
      <c r="B45" s="10" t="s">
        <v>346</v>
      </c>
      <c r="C45" s="10" t="s">
        <v>175</v>
      </c>
      <c r="D45" s="10" t="s">
        <v>490</v>
      </c>
      <c r="E45" s="8" t="s">
        <v>491</v>
      </c>
      <c r="F45" s="8" t="s">
        <v>492</v>
      </c>
      <c r="G45" s="10" t="s">
        <v>27</v>
      </c>
      <c r="H45" s="8" t="s">
        <v>493</v>
      </c>
      <c r="I45" s="10" t="s">
        <v>494</v>
      </c>
      <c r="J45" s="8" t="s">
        <v>351</v>
      </c>
      <c r="K45" s="8" t="s">
        <v>27</v>
      </c>
      <c r="L45" s="8" t="s">
        <v>27</v>
      </c>
      <c r="M45" s="10" t="s">
        <v>27</v>
      </c>
      <c r="N45" s="8" t="s">
        <v>27</v>
      </c>
      <c r="O45" s="10" t="s">
        <v>17</v>
      </c>
      <c r="P45" s="8" t="s">
        <v>495</v>
      </c>
      <c r="Q45" s="10" t="s">
        <v>171</v>
      </c>
      <c r="R45" s="10" t="s">
        <v>353</v>
      </c>
      <c r="S45" s="8" t="s">
        <v>496</v>
      </c>
      <c r="T45" s="10" t="s">
        <v>354</v>
      </c>
      <c r="U45" s="10" t="s">
        <v>27</v>
      </c>
    </row>
    <row r="46" spans="1:21" s="10" customFormat="1" x14ac:dyDescent="0.25">
      <c r="A46" s="10" t="s">
        <v>497</v>
      </c>
      <c r="B46" s="10" t="s">
        <v>346</v>
      </c>
      <c r="C46" s="11" t="s">
        <v>164</v>
      </c>
      <c r="D46" s="10" t="s">
        <v>498</v>
      </c>
      <c r="E46" s="8" t="s">
        <v>499</v>
      </c>
      <c r="F46" s="8" t="s">
        <v>500</v>
      </c>
      <c r="G46" s="10" t="s">
        <v>27</v>
      </c>
      <c r="H46" s="8" t="s">
        <v>501</v>
      </c>
      <c r="I46" s="10" t="s">
        <v>502</v>
      </c>
      <c r="J46" s="8" t="s">
        <v>351</v>
      </c>
      <c r="K46" s="8" t="s">
        <v>27</v>
      </c>
      <c r="L46" s="8" t="s">
        <v>27</v>
      </c>
      <c r="M46" s="10" t="s">
        <v>27</v>
      </c>
      <c r="N46" s="8" t="s">
        <v>503</v>
      </c>
      <c r="O46" s="10" t="s">
        <v>17</v>
      </c>
      <c r="P46" s="8" t="s">
        <v>504</v>
      </c>
      <c r="Q46" s="10" t="s">
        <v>171</v>
      </c>
      <c r="R46" s="10" t="s">
        <v>353</v>
      </c>
      <c r="S46" s="8" t="s">
        <v>505</v>
      </c>
      <c r="T46" s="10" t="s">
        <v>354</v>
      </c>
      <c r="U46" s="10" t="s">
        <v>27</v>
      </c>
    </row>
    <row r="47" spans="1:21" s="10" customFormat="1" x14ac:dyDescent="0.25">
      <c r="A47" s="10" t="s">
        <v>506</v>
      </c>
      <c r="B47" s="10" t="s">
        <v>346</v>
      </c>
      <c r="C47" s="11" t="s">
        <v>164</v>
      </c>
      <c r="D47" s="10" t="s">
        <v>507</v>
      </c>
      <c r="E47" s="8" t="s">
        <v>508</v>
      </c>
      <c r="F47" s="8" t="s">
        <v>509</v>
      </c>
      <c r="G47" s="10" t="s">
        <v>27</v>
      </c>
      <c r="H47" s="8" t="s">
        <v>510</v>
      </c>
      <c r="I47" s="10" t="s">
        <v>511</v>
      </c>
      <c r="J47" s="8" t="s">
        <v>351</v>
      </c>
      <c r="K47" s="8" t="s">
        <v>27</v>
      </c>
      <c r="L47" s="8" t="s">
        <v>27</v>
      </c>
      <c r="M47" s="10" t="s">
        <v>27</v>
      </c>
      <c r="N47" s="8" t="s">
        <v>512</v>
      </c>
      <c r="O47" s="10" t="s">
        <v>17</v>
      </c>
      <c r="P47" s="8" t="s">
        <v>513</v>
      </c>
      <c r="Q47" s="10" t="s">
        <v>171</v>
      </c>
      <c r="R47" s="10" t="s">
        <v>353</v>
      </c>
      <c r="S47" s="8" t="s">
        <v>514</v>
      </c>
      <c r="T47" s="10" t="s">
        <v>354</v>
      </c>
      <c r="U47" s="10" t="s">
        <v>27</v>
      </c>
    </row>
    <row r="48" spans="1:21" s="10" customFormat="1" x14ac:dyDescent="0.25">
      <c r="A48" s="10" t="s">
        <v>515</v>
      </c>
      <c r="B48" s="10" t="s">
        <v>346</v>
      </c>
      <c r="C48" s="10" t="s">
        <v>175</v>
      </c>
      <c r="D48" s="10" t="s">
        <v>516</v>
      </c>
      <c r="E48" s="8" t="s">
        <v>517</v>
      </c>
      <c r="F48" s="8" t="s">
        <v>518</v>
      </c>
      <c r="G48" s="10" t="s">
        <v>27</v>
      </c>
      <c r="H48" s="8" t="s">
        <v>519</v>
      </c>
      <c r="I48" s="10" t="s">
        <v>520</v>
      </c>
      <c r="J48" s="8" t="s">
        <v>351</v>
      </c>
      <c r="K48" s="8" t="s">
        <v>27</v>
      </c>
      <c r="L48" s="8" t="s">
        <v>27</v>
      </c>
      <c r="M48" s="10" t="s">
        <v>27</v>
      </c>
      <c r="N48" s="8" t="s">
        <v>27</v>
      </c>
      <c r="O48" s="10" t="s">
        <v>17</v>
      </c>
      <c r="P48" s="8" t="s">
        <v>521</v>
      </c>
      <c r="Q48" s="10" t="s">
        <v>171</v>
      </c>
      <c r="R48" s="10" t="s">
        <v>353</v>
      </c>
      <c r="S48" s="8" t="s">
        <v>522</v>
      </c>
      <c r="T48" s="10" t="s">
        <v>202</v>
      </c>
      <c r="U48" s="10" t="s">
        <v>27</v>
      </c>
    </row>
    <row r="49" spans="1:21" s="10" customFormat="1" x14ac:dyDescent="0.25">
      <c r="A49" s="10" t="s">
        <v>523</v>
      </c>
      <c r="B49" s="10" t="s">
        <v>346</v>
      </c>
      <c r="C49" s="10" t="s">
        <v>361</v>
      </c>
      <c r="D49" s="10" t="s">
        <v>524</v>
      </c>
      <c r="E49" s="8" t="s">
        <v>525</v>
      </c>
      <c r="F49" s="8" t="s">
        <v>526</v>
      </c>
      <c r="G49" s="10" t="s">
        <v>27</v>
      </c>
      <c r="H49" s="8" t="s">
        <v>168</v>
      </c>
      <c r="I49" s="10" t="s">
        <v>527</v>
      </c>
      <c r="J49" s="8" t="s">
        <v>351</v>
      </c>
      <c r="K49" s="8" t="s">
        <v>27</v>
      </c>
      <c r="L49" s="8" t="s">
        <v>27</v>
      </c>
      <c r="M49" s="10" t="s">
        <v>27</v>
      </c>
      <c r="N49" s="8" t="s">
        <v>528</v>
      </c>
      <c r="O49" s="10" t="s">
        <v>17</v>
      </c>
      <c r="P49" s="8" t="s">
        <v>529</v>
      </c>
      <c r="Q49" s="10" t="s">
        <v>171</v>
      </c>
      <c r="R49" s="10" t="s">
        <v>353</v>
      </c>
      <c r="S49" s="8" t="s">
        <v>168</v>
      </c>
      <c r="T49" s="10" t="s">
        <v>202</v>
      </c>
      <c r="U49" s="10" t="s">
        <v>27</v>
      </c>
    </row>
    <row r="50" spans="1:21" s="10" customFormat="1" x14ac:dyDescent="0.25">
      <c r="A50" s="10" t="s">
        <v>530</v>
      </c>
      <c r="B50" s="10" t="s">
        <v>346</v>
      </c>
      <c r="C50" s="10" t="s">
        <v>175</v>
      </c>
      <c r="D50" s="10" t="s">
        <v>531</v>
      </c>
      <c r="E50" s="8" t="s">
        <v>532</v>
      </c>
      <c r="F50" s="8" t="s">
        <v>533</v>
      </c>
      <c r="G50" s="10" t="s">
        <v>27</v>
      </c>
      <c r="H50" s="8" t="s">
        <v>534</v>
      </c>
      <c r="I50" s="10" t="s">
        <v>305</v>
      </c>
      <c r="J50" s="8" t="s">
        <v>535</v>
      </c>
      <c r="K50" s="8" t="s">
        <v>27</v>
      </c>
      <c r="L50" s="8" t="s">
        <v>27</v>
      </c>
      <c r="M50" s="10" t="s">
        <v>27</v>
      </c>
      <c r="N50" s="8" t="s">
        <v>27</v>
      </c>
      <c r="O50" s="10" t="s">
        <v>17</v>
      </c>
      <c r="P50" s="8" t="s">
        <v>536</v>
      </c>
      <c r="Q50" s="10" t="s">
        <v>171</v>
      </c>
      <c r="R50" s="10" t="s">
        <v>353</v>
      </c>
      <c r="S50" s="8" t="s">
        <v>537</v>
      </c>
      <c r="T50" s="10" t="s">
        <v>354</v>
      </c>
      <c r="U50" s="10" t="s">
        <v>27</v>
      </c>
    </row>
    <row r="51" spans="1:21" s="10" customFormat="1" x14ac:dyDescent="0.25">
      <c r="A51" s="10" t="s">
        <v>538</v>
      </c>
      <c r="B51" s="10" t="s">
        <v>346</v>
      </c>
      <c r="C51" s="11" t="s">
        <v>164</v>
      </c>
      <c r="D51" s="10" t="s">
        <v>539</v>
      </c>
      <c r="E51" s="8" t="s">
        <v>540</v>
      </c>
      <c r="F51" s="8" t="s">
        <v>541</v>
      </c>
      <c r="G51" s="10" t="s">
        <v>27</v>
      </c>
      <c r="H51" s="8" t="s">
        <v>168</v>
      </c>
      <c r="I51" s="10" t="s">
        <v>542</v>
      </c>
      <c r="J51" s="8" t="s">
        <v>543</v>
      </c>
      <c r="K51" s="8" t="s">
        <v>27</v>
      </c>
      <c r="L51" s="8" t="s">
        <v>27</v>
      </c>
      <c r="M51" s="10" t="s">
        <v>27</v>
      </c>
      <c r="N51" s="8" t="s">
        <v>27</v>
      </c>
      <c r="O51" s="10" t="s">
        <v>17</v>
      </c>
      <c r="P51" s="8" t="s">
        <v>544</v>
      </c>
      <c r="Q51" s="10" t="s">
        <v>171</v>
      </c>
      <c r="R51" s="10" t="s">
        <v>353</v>
      </c>
      <c r="S51" s="8" t="s">
        <v>545</v>
      </c>
      <c r="T51" s="10" t="s">
        <v>354</v>
      </c>
      <c r="U51" s="10" t="s">
        <v>27</v>
      </c>
    </row>
    <row r="52" spans="1:21" s="10" customFormat="1" x14ac:dyDescent="0.25">
      <c r="A52" s="10" t="s">
        <v>546</v>
      </c>
      <c r="B52" s="10" t="s">
        <v>346</v>
      </c>
      <c r="C52" s="10" t="s">
        <v>175</v>
      </c>
      <c r="D52" s="10" t="s">
        <v>547</v>
      </c>
      <c r="E52" s="8" t="s">
        <v>548</v>
      </c>
      <c r="F52" s="8" t="s">
        <v>549</v>
      </c>
      <c r="G52" s="10" t="s">
        <v>27</v>
      </c>
      <c r="H52" s="8" t="s">
        <v>550</v>
      </c>
      <c r="I52" s="10" t="s">
        <v>27</v>
      </c>
      <c r="J52" s="8" t="s">
        <v>351</v>
      </c>
      <c r="K52" s="8" t="s">
        <v>27</v>
      </c>
      <c r="L52" s="8" t="s">
        <v>27</v>
      </c>
      <c r="M52" s="10" t="s">
        <v>27</v>
      </c>
      <c r="N52" s="8" t="s">
        <v>27</v>
      </c>
      <c r="O52" s="10" t="s">
        <v>17</v>
      </c>
      <c r="P52" s="8" t="s">
        <v>551</v>
      </c>
      <c r="Q52" s="10" t="s">
        <v>171</v>
      </c>
      <c r="R52" s="10" t="s">
        <v>353</v>
      </c>
      <c r="S52" s="8" t="s">
        <v>255</v>
      </c>
      <c r="T52" s="10" t="s">
        <v>354</v>
      </c>
      <c r="U52" s="10" t="s">
        <v>27</v>
      </c>
    </row>
    <row r="53" spans="1:21" s="10" customFormat="1" x14ac:dyDescent="0.25">
      <c r="A53" s="10" t="s">
        <v>552</v>
      </c>
      <c r="B53" s="10" t="s">
        <v>346</v>
      </c>
      <c r="C53" s="11" t="s">
        <v>164</v>
      </c>
      <c r="D53" s="10" t="s">
        <v>553</v>
      </c>
      <c r="E53" s="8" t="s">
        <v>554</v>
      </c>
      <c r="F53" s="8" t="s">
        <v>555</v>
      </c>
      <c r="G53" s="10" t="s">
        <v>27</v>
      </c>
      <c r="H53" s="8" t="s">
        <v>556</v>
      </c>
      <c r="I53" s="10" t="s">
        <v>557</v>
      </c>
      <c r="J53" s="8" t="s">
        <v>558</v>
      </c>
      <c r="K53" s="8" t="s">
        <v>27</v>
      </c>
      <c r="L53" s="8" t="s">
        <v>27</v>
      </c>
      <c r="M53" s="10" t="s">
        <v>27</v>
      </c>
      <c r="N53" s="8" t="s">
        <v>559</v>
      </c>
      <c r="O53" s="10" t="s">
        <v>17</v>
      </c>
      <c r="P53" s="8" t="s">
        <v>560</v>
      </c>
      <c r="Q53" s="10" t="s">
        <v>171</v>
      </c>
      <c r="R53" s="10" t="s">
        <v>561</v>
      </c>
      <c r="S53" s="8" t="s">
        <v>562</v>
      </c>
      <c r="T53" s="10" t="s">
        <v>354</v>
      </c>
      <c r="U53" s="10" t="s">
        <v>27</v>
      </c>
    </row>
    <row r="54" spans="1:21" s="10" customFormat="1" x14ac:dyDescent="0.25">
      <c r="A54" s="10" t="s">
        <v>563</v>
      </c>
      <c r="B54" s="10" t="s">
        <v>564</v>
      </c>
      <c r="C54" s="11" t="s">
        <v>164</v>
      </c>
      <c r="D54" s="10" t="s">
        <v>565</v>
      </c>
      <c r="E54" s="8" t="s">
        <v>566</v>
      </c>
      <c r="F54" s="8" t="s">
        <v>567</v>
      </c>
      <c r="G54" s="10" t="s">
        <v>27</v>
      </c>
      <c r="H54" s="8" t="s">
        <v>350</v>
      </c>
      <c r="I54" s="10" t="s">
        <v>542</v>
      </c>
      <c r="J54" s="8" t="s">
        <v>568</v>
      </c>
      <c r="K54" s="8" t="s">
        <v>27</v>
      </c>
      <c r="L54" s="8" t="s">
        <v>27</v>
      </c>
      <c r="M54" s="10" t="s">
        <v>27</v>
      </c>
      <c r="N54" s="8" t="s">
        <v>27</v>
      </c>
      <c r="O54" s="10" t="s">
        <v>17</v>
      </c>
      <c r="P54" s="8" t="s">
        <v>569</v>
      </c>
      <c r="Q54" s="10" t="s">
        <v>171</v>
      </c>
      <c r="R54" s="10" t="s">
        <v>353</v>
      </c>
      <c r="S54" s="8" t="s">
        <v>570</v>
      </c>
      <c r="T54" s="10" t="s">
        <v>571</v>
      </c>
      <c r="U54" s="10" t="s">
        <v>27</v>
      </c>
    </row>
    <row r="55" spans="1:21" s="10" customFormat="1" x14ac:dyDescent="0.25">
      <c r="A55" s="10" t="s">
        <v>572</v>
      </c>
      <c r="B55" s="10" t="s">
        <v>564</v>
      </c>
      <c r="C55" s="11" t="s">
        <v>164</v>
      </c>
      <c r="D55" s="10" t="s">
        <v>573</v>
      </c>
      <c r="E55" s="8" t="s">
        <v>574</v>
      </c>
      <c r="F55" s="8" t="s">
        <v>575</v>
      </c>
      <c r="G55" s="10" t="s">
        <v>27</v>
      </c>
      <c r="H55" s="8" t="s">
        <v>576</v>
      </c>
      <c r="I55" s="10" t="s">
        <v>27</v>
      </c>
      <c r="J55" s="8" t="s">
        <v>351</v>
      </c>
      <c r="K55" s="8" t="s">
        <v>27</v>
      </c>
      <c r="L55" s="8" t="s">
        <v>27</v>
      </c>
      <c r="M55" s="10" t="s">
        <v>27</v>
      </c>
      <c r="N55" s="8" t="s">
        <v>27</v>
      </c>
      <c r="O55" s="10" t="s">
        <v>17</v>
      </c>
      <c r="P55" s="8" t="s">
        <v>577</v>
      </c>
      <c r="Q55" s="10" t="s">
        <v>188</v>
      </c>
      <c r="R55" s="10" t="s">
        <v>172</v>
      </c>
      <c r="S55" s="8" t="s">
        <v>578</v>
      </c>
      <c r="T55" s="10" t="s">
        <v>571</v>
      </c>
      <c r="U55" s="10" t="s">
        <v>27</v>
      </c>
    </row>
    <row r="56" spans="1:21" s="10" customFormat="1" x14ac:dyDescent="0.25">
      <c r="A56" s="10" t="s">
        <v>579</v>
      </c>
      <c r="B56" s="10" t="s">
        <v>564</v>
      </c>
      <c r="C56" s="11" t="s">
        <v>164</v>
      </c>
      <c r="D56" s="10" t="s">
        <v>580</v>
      </c>
      <c r="E56" s="8" t="s">
        <v>581</v>
      </c>
      <c r="F56" s="8" t="s">
        <v>582</v>
      </c>
      <c r="G56" s="10" t="s">
        <v>27</v>
      </c>
      <c r="H56" s="8" t="s">
        <v>583</v>
      </c>
      <c r="I56" s="10" t="s">
        <v>27</v>
      </c>
      <c r="J56" s="8" t="s">
        <v>168</v>
      </c>
      <c r="K56" s="8" t="s">
        <v>27</v>
      </c>
      <c r="L56" s="8" t="s">
        <v>27</v>
      </c>
      <c r="M56" s="10" t="s">
        <v>27</v>
      </c>
      <c r="N56" s="8" t="s">
        <v>27</v>
      </c>
      <c r="O56" s="10" t="s">
        <v>17</v>
      </c>
      <c r="P56" s="8" t="s">
        <v>584</v>
      </c>
      <c r="Q56" s="10" t="s">
        <v>188</v>
      </c>
      <c r="R56" s="10" t="s">
        <v>172</v>
      </c>
      <c r="S56" s="8" t="s">
        <v>168</v>
      </c>
      <c r="T56" s="10" t="s">
        <v>571</v>
      </c>
      <c r="U56" s="10" t="s">
        <v>27</v>
      </c>
    </row>
    <row r="57" spans="1:21" s="10" customFormat="1" x14ac:dyDescent="0.25">
      <c r="A57" s="10" t="s">
        <v>585</v>
      </c>
      <c r="B57" s="10" t="s">
        <v>564</v>
      </c>
      <c r="C57" s="10" t="s">
        <v>175</v>
      </c>
      <c r="D57" s="10" t="s">
        <v>586</v>
      </c>
      <c r="E57" s="8" t="s">
        <v>587</v>
      </c>
      <c r="F57" s="8" t="s">
        <v>588</v>
      </c>
      <c r="G57" s="10" t="s">
        <v>27</v>
      </c>
      <c r="H57" s="8" t="s">
        <v>589</v>
      </c>
      <c r="I57" s="10" t="s">
        <v>27</v>
      </c>
      <c r="J57" s="8" t="s">
        <v>168</v>
      </c>
      <c r="K57" s="8" t="s">
        <v>27</v>
      </c>
      <c r="L57" s="8" t="s">
        <v>27</v>
      </c>
      <c r="M57" s="10" t="s">
        <v>27</v>
      </c>
      <c r="N57" s="8" t="s">
        <v>27</v>
      </c>
      <c r="O57" s="10" t="s">
        <v>17</v>
      </c>
      <c r="P57" s="8" t="s">
        <v>590</v>
      </c>
      <c r="Q57" s="10" t="s">
        <v>188</v>
      </c>
      <c r="R57" s="10" t="s">
        <v>172</v>
      </c>
      <c r="S57" s="8" t="s">
        <v>168</v>
      </c>
      <c r="T57" s="10" t="s">
        <v>571</v>
      </c>
      <c r="U57" s="10" t="s">
        <v>27</v>
      </c>
    </row>
    <row r="58" spans="1:21" s="10" customFormat="1" x14ac:dyDescent="0.25">
      <c r="A58" s="10" t="s">
        <v>591</v>
      </c>
      <c r="B58" s="10" t="s">
        <v>564</v>
      </c>
      <c r="C58" s="11" t="s">
        <v>164</v>
      </c>
      <c r="D58" s="10" t="s">
        <v>592</v>
      </c>
      <c r="E58" s="8" t="s">
        <v>593</v>
      </c>
      <c r="F58" s="8" t="s">
        <v>594</v>
      </c>
      <c r="G58" s="10" t="s">
        <v>27</v>
      </c>
      <c r="H58" s="8" t="s">
        <v>595</v>
      </c>
      <c r="I58" s="10" t="s">
        <v>27</v>
      </c>
      <c r="J58" s="8" t="s">
        <v>168</v>
      </c>
      <c r="K58" s="8" t="s">
        <v>27</v>
      </c>
      <c r="L58" s="8" t="s">
        <v>27</v>
      </c>
      <c r="M58" s="10" t="s">
        <v>27</v>
      </c>
      <c r="N58" s="8" t="s">
        <v>27</v>
      </c>
      <c r="O58" s="10" t="s">
        <v>17</v>
      </c>
      <c r="P58" s="8" t="s">
        <v>596</v>
      </c>
      <c r="Q58" s="10" t="s">
        <v>188</v>
      </c>
      <c r="R58" s="10" t="s">
        <v>172</v>
      </c>
      <c r="S58" s="8" t="s">
        <v>597</v>
      </c>
      <c r="T58" s="10" t="s">
        <v>202</v>
      </c>
      <c r="U58" s="10" t="s">
        <v>27</v>
      </c>
    </row>
    <row r="59" spans="1:21" s="10" customFormat="1" x14ac:dyDescent="0.25">
      <c r="A59" s="10" t="s">
        <v>598</v>
      </c>
      <c r="B59" s="10" t="s">
        <v>564</v>
      </c>
      <c r="C59" s="11" t="s">
        <v>164</v>
      </c>
      <c r="D59" s="10" t="s">
        <v>599</v>
      </c>
      <c r="E59" s="8" t="s">
        <v>600</v>
      </c>
      <c r="F59" s="8" t="s">
        <v>601</v>
      </c>
      <c r="G59" s="10" t="s">
        <v>27</v>
      </c>
      <c r="H59" s="8" t="s">
        <v>602</v>
      </c>
      <c r="I59" s="10" t="s">
        <v>542</v>
      </c>
      <c r="J59" s="8" t="s">
        <v>603</v>
      </c>
      <c r="K59" s="8" t="s">
        <v>27</v>
      </c>
      <c r="L59" s="8" t="s">
        <v>27</v>
      </c>
      <c r="M59" s="10" t="s">
        <v>27</v>
      </c>
      <c r="N59" s="8" t="s">
        <v>27</v>
      </c>
      <c r="O59" s="10" t="s">
        <v>17</v>
      </c>
      <c r="P59" s="8" t="s">
        <v>604</v>
      </c>
      <c r="Q59" s="10" t="s">
        <v>188</v>
      </c>
      <c r="R59" s="10" t="s">
        <v>605</v>
      </c>
      <c r="S59" s="8" t="s">
        <v>606</v>
      </c>
      <c r="T59" s="10" t="s">
        <v>571</v>
      </c>
      <c r="U59" s="10" t="s">
        <v>27</v>
      </c>
    </row>
    <row r="60" spans="1:21" s="10" customFormat="1" x14ac:dyDescent="0.25">
      <c r="A60" s="10" t="s">
        <v>607</v>
      </c>
      <c r="B60" s="10" t="s">
        <v>564</v>
      </c>
      <c r="C60" s="11" t="s">
        <v>164</v>
      </c>
      <c r="D60" s="10" t="s">
        <v>608</v>
      </c>
      <c r="E60" s="8" t="s">
        <v>609</v>
      </c>
      <c r="F60" s="8" t="s">
        <v>610</v>
      </c>
      <c r="G60" s="10" t="s">
        <v>27</v>
      </c>
      <c r="H60" s="8" t="s">
        <v>611</v>
      </c>
      <c r="I60" s="10" t="s">
        <v>27</v>
      </c>
      <c r="J60" s="8" t="s">
        <v>603</v>
      </c>
      <c r="K60" s="8" t="s">
        <v>27</v>
      </c>
      <c r="L60" s="8" t="s">
        <v>27</v>
      </c>
      <c r="M60" s="10" t="s">
        <v>27</v>
      </c>
      <c r="N60" s="8" t="s">
        <v>27</v>
      </c>
      <c r="O60" s="10" t="s">
        <v>17</v>
      </c>
      <c r="P60" s="8" t="s">
        <v>612</v>
      </c>
      <c r="Q60" s="10" t="s">
        <v>188</v>
      </c>
      <c r="R60" s="10" t="s">
        <v>172</v>
      </c>
      <c r="S60" s="8" t="s">
        <v>613</v>
      </c>
      <c r="T60" s="10" t="s">
        <v>571</v>
      </c>
      <c r="U60" s="10" t="s">
        <v>27</v>
      </c>
    </row>
    <row r="61" spans="1:21" s="10" customFormat="1" x14ac:dyDescent="0.25">
      <c r="A61" s="10" t="s">
        <v>614</v>
      </c>
      <c r="B61" s="10" t="s">
        <v>564</v>
      </c>
      <c r="C61" s="10" t="s">
        <v>175</v>
      </c>
      <c r="D61" s="10" t="s">
        <v>615</v>
      </c>
      <c r="E61" s="8" t="s">
        <v>616</v>
      </c>
      <c r="F61" s="8" t="s">
        <v>617</v>
      </c>
      <c r="G61" s="10" t="s">
        <v>27</v>
      </c>
      <c r="H61" s="8" t="s">
        <v>618</v>
      </c>
      <c r="I61" s="10" t="s">
        <v>27</v>
      </c>
      <c r="J61" s="8" t="s">
        <v>603</v>
      </c>
      <c r="K61" s="8" t="s">
        <v>27</v>
      </c>
      <c r="L61" s="8" t="s">
        <v>27</v>
      </c>
      <c r="M61" s="10" t="s">
        <v>27</v>
      </c>
      <c r="N61" s="8" t="s">
        <v>27</v>
      </c>
      <c r="O61" s="10" t="s">
        <v>17</v>
      </c>
      <c r="P61" s="8" t="s">
        <v>619</v>
      </c>
      <c r="Q61" s="10" t="s">
        <v>171</v>
      </c>
      <c r="R61" s="10" t="s">
        <v>172</v>
      </c>
      <c r="S61" s="8" t="s">
        <v>168</v>
      </c>
      <c r="T61" s="10" t="s">
        <v>202</v>
      </c>
      <c r="U61" s="10" t="s">
        <v>27</v>
      </c>
    </row>
    <row r="62" spans="1:21" s="10" customFormat="1" x14ac:dyDescent="0.25">
      <c r="A62" s="10" t="s">
        <v>620</v>
      </c>
      <c r="B62" s="10" t="s">
        <v>564</v>
      </c>
      <c r="C62" s="10" t="s">
        <v>175</v>
      </c>
      <c r="D62" s="10" t="s">
        <v>621</v>
      </c>
      <c r="E62" s="8" t="s">
        <v>622</v>
      </c>
      <c r="F62" s="8" t="s">
        <v>623</v>
      </c>
      <c r="G62" s="10" t="s">
        <v>27</v>
      </c>
      <c r="H62" s="8" t="s">
        <v>624</v>
      </c>
      <c r="I62" s="10" t="s">
        <v>27</v>
      </c>
      <c r="J62" s="8" t="s">
        <v>603</v>
      </c>
      <c r="K62" s="8" t="s">
        <v>27</v>
      </c>
      <c r="L62" s="8" t="s">
        <v>27</v>
      </c>
      <c r="M62" s="10" t="s">
        <v>27</v>
      </c>
      <c r="N62" s="8" t="s">
        <v>625</v>
      </c>
      <c r="O62" s="10" t="s">
        <v>17</v>
      </c>
      <c r="P62" s="8" t="s">
        <v>626</v>
      </c>
      <c r="Q62" s="10" t="s">
        <v>171</v>
      </c>
      <c r="R62" s="10" t="s">
        <v>172</v>
      </c>
      <c r="S62" s="8" t="s">
        <v>168</v>
      </c>
      <c r="T62" s="10" t="s">
        <v>202</v>
      </c>
      <c r="U62" s="10" t="s">
        <v>27</v>
      </c>
    </row>
    <row r="63" spans="1:21" s="10" customFormat="1" x14ac:dyDescent="0.25">
      <c r="A63" s="10" t="s">
        <v>627</v>
      </c>
      <c r="B63" s="10" t="s">
        <v>564</v>
      </c>
      <c r="C63" s="11" t="s">
        <v>164</v>
      </c>
      <c r="D63" s="10" t="s">
        <v>628</v>
      </c>
      <c r="E63" s="8" t="s">
        <v>629</v>
      </c>
      <c r="F63" s="8" t="s">
        <v>630</v>
      </c>
      <c r="G63" s="10" t="s">
        <v>27</v>
      </c>
      <c r="H63" s="8" t="s">
        <v>631</v>
      </c>
      <c r="I63" s="10" t="s">
        <v>27</v>
      </c>
      <c r="J63" s="8" t="s">
        <v>603</v>
      </c>
      <c r="K63" s="8" t="s">
        <v>27</v>
      </c>
      <c r="L63" s="8" t="s">
        <v>27</v>
      </c>
      <c r="M63" s="10" t="s">
        <v>27</v>
      </c>
      <c r="N63" s="8" t="s">
        <v>27</v>
      </c>
      <c r="O63" s="10" t="s">
        <v>17</v>
      </c>
      <c r="P63" s="8" t="s">
        <v>632</v>
      </c>
      <c r="Q63" s="10" t="s">
        <v>188</v>
      </c>
      <c r="R63" s="10" t="s">
        <v>172</v>
      </c>
      <c r="S63" s="8" t="s">
        <v>168</v>
      </c>
      <c r="T63" s="10" t="s">
        <v>202</v>
      </c>
      <c r="U63" s="10" t="s">
        <v>27</v>
      </c>
    </row>
    <row r="64" spans="1:21" s="10" customFormat="1" x14ac:dyDescent="0.25">
      <c r="A64" s="10" t="s">
        <v>633</v>
      </c>
      <c r="B64" s="10" t="s">
        <v>564</v>
      </c>
      <c r="C64" s="10" t="s">
        <v>175</v>
      </c>
      <c r="D64" s="10" t="s">
        <v>634</v>
      </c>
      <c r="E64" s="8" t="s">
        <v>635</v>
      </c>
      <c r="F64" s="8" t="s">
        <v>636</v>
      </c>
      <c r="G64" s="10" t="s">
        <v>27</v>
      </c>
      <c r="H64" s="8" t="s">
        <v>637</v>
      </c>
      <c r="I64" s="10" t="s">
        <v>27</v>
      </c>
      <c r="J64" s="8" t="s">
        <v>603</v>
      </c>
      <c r="K64" s="8" t="s">
        <v>27</v>
      </c>
      <c r="L64" s="8" t="s">
        <v>27</v>
      </c>
      <c r="M64" s="10" t="s">
        <v>27</v>
      </c>
      <c r="N64" s="8" t="s">
        <v>27</v>
      </c>
      <c r="O64" s="10" t="s">
        <v>17</v>
      </c>
      <c r="P64" s="8" t="s">
        <v>638</v>
      </c>
      <c r="Q64" s="10" t="s">
        <v>171</v>
      </c>
      <c r="R64" s="10" t="s">
        <v>639</v>
      </c>
      <c r="S64" s="8" t="s">
        <v>168</v>
      </c>
      <c r="T64" s="10" t="s">
        <v>571</v>
      </c>
      <c r="U64" s="10" t="s">
        <v>27</v>
      </c>
    </row>
    <row r="65" spans="1:21" s="10" customFormat="1" x14ac:dyDescent="0.25">
      <c r="A65" s="10" t="s">
        <v>640</v>
      </c>
      <c r="B65" s="10" t="s">
        <v>564</v>
      </c>
      <c r="C65" s="10" t="s">
        <v>175</v>
      </c>
      <c r="D65" s="10" t="s">
        <v>641</v>
      </c>
      <c r="E65" s="8" t="s">
        <v>642</v>
      </c>
      <c r="F65" s="8" t="s">
        <v>643</v>
      </c>
      <c r="G65" s="10" t="s">
        <v>27</v>
      </c>
      <c r="H65" s="8" t="s">
        <v>637</v>
      </c>
      <c r="I65" s="10" t="s">
        <v>27</v>
      </c>
      <c r="J65" s="8" t="s">
        <v>603</v>
      </c>
      <c r="K65" s="8" t="s">
        <v>27</v>
      </c>
      <c r="L65" s="8" t="s">
        <v>27</v>
      </c>
      <c r="M65" s="10" t="s">
        <v>27</v>
      </c>
      <c r="N65" s="8" t="s">
        <v>27</v>
      </c>
      <c r="O65" s="10" t="s">
        <v>17</v>
      </c>
      <c r="P65" s="8" t="s">
        <v>644</v>
      </c>
      <c r="Q65" s="10" t="s">
        <v>171</v>
      </c>
      <c r="R65" s="10" t="s">
        <v>639</v>
      </c>
      <c r="S65" s="8" t="s">
        <v>168</v>
      </c>
      <c r="T65" s="10" t="s">
        <v>202</v>
      </c>
      <c r="U65" s="10" t="s">
        <v>27</v>
      </c>
    </row>
    <row r="66" spans="1:21" s="10" customFormat="1" x14ac:dyDescent="0.25">
      <c r="A66" s="10" t="s">
        <v>645</v>
      </c>
      <c r="B66" s="10" t="s">
        <v>564</v>
      </c>
      <c r="C66" s="11" t="s">
        <v>164</v>
      </c>
      <c r="D66" s="10" t="s">
        <v>646</v>
      </c>
      <c r="E66" s="8" t="s">
        <v>647</v>
      </c>
      <c r="F66" s="8" t="s">
        <v>648</v>
      </c>
      <c r="G66" s="10" t="s">
        <v>27</v>
      </c>
      <c r="H66" s="8" t="s">
        <v>637</v>
      </c>
      <c r="I66" s="10" t="s">
        <v>27</v>
      </c>
      <c r="J66" s="8" t="s">
        <v>603</v>
      </c>
      <c r="K66" s="8" t="s">
        <v>27</v>
      </c>
      <c r="L66" s="8" t="s">
        <v>27</v>
      </c>
      <c r="M66" s="10" t="s">
        <v>27</v>
      </c>
      <c r="N66" s="8" t="s">
        <v>649</v>
      </c>
      <c r="O66" s="10" t="s">
        <v>17</v>
      </c>
      <c r="P66" s="8" t="s">
        <v>650</v>
      </c>
      <c r="Q66" s="10" t="s">
        <v>171</v>
      </c>
      <c r="R66" s="10" t="s">
        <v>651</v>
      </c>
      <c r="S66" s="8" t="s">
        <v>168</v>
      </c>
      <c r="T66" s="10" t="s">
        <v>571</v>
      </c>
      <c r="U66" s="10" t="s">
        <v>27</v>
      </c>
    </row>
    <row r="67" spans="1:21" s="10" customFormat="1" x14ac:dyDescent="0.25">
      <c r="A67" s="10" t="s">
        <v>652</v>
      </c>
      <c r="B67" s="10" t="s">
        <v>564</v>
      </c>
      <c r="C67" s="11" t="s">
        <v>164</v>
      </c>
      <c r="D67" s="10" t="s">
        <v>653</v>
      </c>
      <c r="E67" s="8" t="s">
        <v>654</v>
      </c>
      <c r="F67" s="8" t="s">
        <v>655</v>
      </c>
      <c r="G67" s="10" t="s">
        <v>27</v>
      </c>
      <c r="H67" s="8" t="s">
        <v>168</v>
      </c>
      <c r="I67" s="10" t="s">
        <v>656</v>
      </c>
      <c r="J67" s="8" t="s">
        <v>168</v>
      </c>
      <c r="K67" s="8" t="s">
        <v>27</v>
      </c>
      <c r="L67" s="8" t="s">
        <v>27</v>
      </c>
      <c r="M67" s="10" t="s">
        <v>27</v>
      </c>
      <c r="N67" s="8" t="s">
        <v>27</v>
      </c>
      <c r="O67" s="10" t="s">
        <v>17</v>
      </c>
      <c r="P67" s="8" t="s">
        <v>657</v>
      </c>
      <c r="Q67" s="10" t="s">
        <v>188</v>
      </c>
      <c r="R67" s="10" t="s">
        <v>172</v>
      </c>
      <c r="S67" s="8" t="s">
        <v>168</v>
      </c>
      <c r="T67" s="10" t="s">
        <v>571</v>
      </c>
      <c r="U67" s="10" t="s">
        <v>27</v>
      </c>
    </row>
    <row r="68" spans="1:21" s="10" customFormat="1" x14ac:dyDescent="0.25">
      <c r="A68" s="10" t="s">
        <v>658</v>
      </c>
      <c r="B68" s="10" t="s">
        <v>564</v>
      </c>
      <c r="C68" s="11" t="s">
        <v>164</v>
      </c>
      <c r="D68" s="10" t="s">
        <v>659</v>
      </c>
      <c r="E68" s="8" t="s">
        <v>660</v>
      </c>
      <c r="F68" s="8" t="s">
        <v>661</v>
      </c>
      <c r="G68" s="10" t="s">
        <v>27</v>
      </c>
      <c r="H68" s="8" t="s">
        <v>168</v>
      </c>
      <c r="I68" s="10" t="s">
        <v>542</v>
      </c>
      <c r="J68" s="8" t="s">
        <v>168</v>
      </c>
      <c r="K68" s="8" t="s">
        <v>27</v>
      </c>
      <c r="L68" s="8" t="s">
        <v>27</v>
      </c>
      <c r="M68" s="10" t="s">
        <v>27</v>
      </c>
      <c r="N68" s="8" t="s">
        <v>27</v>
      </c>
      <c r="O68" s="10" t="s">
        <v>17</v>
      </c>
      <c r="P68" s="8" t="s">
        <v>662</v>
      </c>
      <c r="Q68" s="10" t="s">
        <v>188</v>
      </c>
      <c r="R68" s="10" t="s">
        <v>172</v>
      </c>
      <c r="S68" s="8" t="s">
        <v>168</v>
      </c>
      <c r="T68" s="10" t="s">
        <v>571</v>
      </c>
      <c r="U68" s="10" t="s">
        <v>27</v>
      </c>
    </row>
    <row r="69" spans="1:21" s="10" customFormat="1" x14ac:dyDescent="0.25">
      <c r="A69" s="10" t="s">
        <v>663</v>
      </c>
      <c r="B69" s="10" t="s">
        <v>564</v>
      </c>
      <c r="C69" s="10" t="s">
        <v>175</v>
      </c>
      <c r="D69" s="10" t="s">
        <v>664</v>
      </c>
      <c r="E69" s="8" t="s">
        <v>665</v>
      </c>
      <c r="F69" s="8" t="s">
        <v>666</v>
      </c>
      <c r="G69" s="10" t="s">
        <v>27</v>
      </c>
      <c r="H69" s="8" t="s">
        <v>618</v>
      </c>
      <c r="I69" s="10" t="s">
        <v>667</v>
      </c>
      <c r="J69" s="8" t="s">
        <v>603</v>
      </c>
      <c r="K69" s="8" t="s">
        <v>27</v>
      </c>
      <c r="L69" s="8" t="s">
        <v>27</v>
      </c>
      <c r="M69" s="10" t="s">
        <v>27</v>
      </c>
      <c r="N69" s="8" t="s">
        <v>27</v>
      </c>
      <c r="O69" s="10" t="s">
        <v>17</v>
      </c>
      <c r="P69" s="8" t="s">
        <v>668</v>
      </c>
      <c r="Q69" s="10" t="s">
        <v>171</v>
      </c>
      <c r="R69" s="10" t="s">
        <v>639</v>
      </c>
      <c r="S69" s="8" t="s">
        <v>570</v>
      </c>
      <c r="T69" s="10" t="s">
        <v>571</v>
      </c>
      <c r="U69" s="10" t="s">
        <v>27</v>
      </c>
    </row>
    <row r="70" spans="1:21" s="10" customFormat="1" x14ac:dyDescent="0.25">
      <c r="A70" s="10" t="s">
        <v>669</v>
      </c>
      <c r="B70" s="10" t="s">
        <v>564</v>
      </c>
      <c r="C70" s="10" t="s">
        <v>175</v>
      </c>
      <c r="D70" s="10" t="s">
        <v>670</v>
      </c>
      <c r="E70" s="8" t="s">
        <v>671</v>
      </c>
      <c r="F70" s="8" t="s">
        <v>672</v>
      </c>
      <c r="G70" s="10" t="s">
        <v>27</v>
      </c>
      <c r="H70" s="8" t="s">
        <v>673</v>
      </c>
      <c r="I70" s="10" t="s">
        <v>542</v>
      </c>
      <c r="J70" s="8" t="s">
        <v>603</v>
      </c>
      <c r="K70" s="8" t="s">
        <v>27</v>
      </c>
      <c r="L70" s="8" t="s">
        <v>27</v>
      </c>
      <c r="M70" s="10" t="s">
        <v>27</v>
      </c>
      <c r="N70" s="8" t="s">
        <v>674</v>
      </c>
      <c r="O70" s="10" t="s">
        <v>17</v>
      </c>
      <c r="P70" s="8" t="s">
        <v>675</v>
      </c>
      <c r="Q70" s="10" t="s">
        <v>171</v>
      </c>
      <c r="R70" s="10" t="s">
        <v>676</v>
      </c>
      <c r="S70" s="8" t="s">
        <v>168</v>
      </c>
      <c r="T70" s="10" t="s">
        <v>571</v>
      </c>
      <c r="U70" s="10" t="s">
        <v>27</v>
      </c>
    </row>
    <row r="71" spans="1:21" s="10" customFormat="1" x14ac:dyDescent="0.25">
      <c r="A71" s="10" t="s">
        <v>677</v>
      </c>
      <c r="B71" s="10" t="s">
        <v>564</v>
      </c>
      <c r="C71" s="10" t="s">
        <v>361</v>
      </c>
      <c r="D71" s="10" t="s">
        <v>678</v>
      </c>
      <c r="E71" s="8" t="s">
        <v>679</v>
      </c>
      <c r="F71" s="8" t="s">
        <v>680</v>
      </c>
      <c r="G71" s="10" t="s">
        <v>27</v>
      </c>
      <c r="H71" s="8" t="s">
        <v>168</v>
      </c>
      <c r="I71" s="10" t="s">
        <v>27</v>
      </c>
      <c r="J71" s="8" t="s">
        <v>168</v>
      </c>
      <c r="K71" s="8" t="s">
        <v>27</v>
      </c>
      <c r="L71" s="8" t="s">
        <v>27</v>
      </c>
      <c r="M71" s="10" t="s">
        <v>27</v>
      </c>
      <c r="N71" s="8" t="s">
        <v>681</v>
      </c>
      <c r="O71" s="10" t="s">
        <v>17</v>
      </c>
      <c r="P71" s="8" t="s">
        <v>682</v>
      </c>
      <c r="Q71" s="10" t="s">
        <v>171</v>
      </c>
      <c r="R71" s="10" t="s">
        <v>172</v>
      </c>
      <c r="S71" s="8" t="s">
        <v>168</v>
      </c>
      <c r="T71" s="10" t="s">
        <v>202</v>
      </c>
      <c r="U71" s="10" t="s">
        <v>27</v>
      </c>
    </row>
    <row r="72" spans="1:21" s="10" customFormat="1" x14ac:dyDescent="0.25">
      <c r="A72" s="10" t="s">
        <v>683</v>
      </c>
      <c r="B72" s="10" t="s">
        <v>684</v>
      </c>
      <c r="C72" s="11" t="s">
        <v>164</v>
      </c>
      <c r="D72" s="10" t="s">
        <v>685</v>
      </c>
      <c r="E72" s="8" t="s">
        <v>686</v>
      </c>
      <c r="F72" s="8" t="s">
        <v>687</v>
      </c>
      <c r="G72" s="10" t="s">
        <v>27</v>
      </c>
      <c r="H72" s="8" t="s">
        <v>618</v>
      </c>
      <c r="I72" s="10" t="s">
        <v>542</v>
      </c>
      <c r="J72" s="8" t="s">
        <v>603</v>
      </c>
      <c r="K72" s="8" t="s">
        <v>27</v>
      </c>
      <c r="L72" s="8" t="s">
        <v>27</v>
      </c>
      <c r="M72" s="10" t="s">
        <v>27</v>
      </c>
      <c r="N72" s="8" t="s">
        <v>688</v>
      </c>
      <c r="O72" s="10" t="s">
        <v>17</v>
      </c>
      <c r="P72" s="8" t="s">
        <v>689</v>
      </c>
      <c r="Q72" s="10" t="s">
        <v>171</v>
      </c>
      <c r="R72" s="10" t="s">
        <v>353</v>
      </c>
      <c r="S72" s="8" t="s">
        <v>690</v>
      </c>
      <c r="T72" s="10" t="s">
        <v>691</v>
      </c>
      <c r="U72" s="10" t="s">
        <v>27</v>
      </c>
    </row>
    <row r="73" spans="1:21" s="10" customFormat="1" x14ac:dyDescent="0.25">
      <c r="A73" s="10" t="s">
        <v>692</v>
      </c>
      <c r="B73" s="10" t="s">
        <v>684</v>
      </c>
      <c r="C73" s="11" t="s">
        <v>164</v>
      </c>
      <c r="D73" s="10" t="s">
        <v>693</v>
      </c>
      <c r="E73" s="8" t="s">
        <v>694</v>
      </c>
      <c r="F73" s="8" t="s">
        <v>695</v>
      </c>
      <c r="G73" s="10" t="s">
        <v>27</v>
      </c>
      <c r="H73" s="8" t="s">
        <v>618</v>
      </c>
      <c r="I73" s="10" t="s">
        <v>696</v>
      </c>
      <c r="J73" s="8" t="s">
        <v>603</v>
      </c>
      <c r="K73" s="8" t="s">
        <v>27</v>
      </c>
      <c r="L73" s="8" t="s">
        <v>27</v>
      </c>
      <c r="M73" s="10" t="s">
        <v>27</v>
      </c>
      <c r="N73" s="8" t="s">
        <v>697</v>
      </c>
      <c r="O73" s="10" t="s">
        <v>17</v>
      </c>
      <c r="P73" s="8" t="s">
        <v>698</v>
      </c>
      <c r="Q73" s="10" t="s">
        <v>171</v>
      </c>
      <c r="R73" s="10" t="s">
        <v>353</v>
      </c>
      <c r="S73" s="8" t="s">
        <v>699</v>
      </c>
      <c r="T73" s="10" t="s">
        <v>691</v>
      </c>
      <c r="U73" s="10" t="s">
        <v>27</v>
      </c>
    </row>
    <row r="74" spans="1:21" s="10" customFormat="1" x14ac:dyDescent="0.25">
      <c r="A74" s="10" t="s">
        <v>700</v>
      </c>
      <c r="B74" s="10" t="s">
        <v>684</v>
      </c>
      <c r="C74" s="11" t="s">
        <v>164</v>
      </c>
      <c r="D74" s="10" t="s">
        <v>701</v>
      </c>
      <c r="E74" s="8" t="s">
        <v>702</v>
      </c>
      <c r="F74" s="8" t="s">
        <v>703</v>
      </c>
      <c r="G74" s="10" t="s">
        <v>27</v>
      </c>
      <c r="H74" s="8" t="s">
        <v>704</v>
      </c>
      <c r="I74" s="10" t="s">
        <v>542</v>
      </c>
      <c r="J74" s="8" t="s">
        <v>603</v>
      </c>
      <c r="K74" s="8" t="s">
        <v>27</v>
      </c>
      <c r="L74" s="8" t="s">
        <v>27</v>
      </c>
      <c r="M74" s="10" t="s">
        <v>27</v>
      </c>
      <c r="N74" s="8" t="s">
        <v>705</v>
      </c>
      <c r="O74" s="10" t="s">
        <v>17</v>
      </c>
      <c r="P74" s="8" t="s">
        <v>706</v>
      </c>
      <c r="Q74" s="10" t="s">
        <v>171</v>
      </c>
      <c r="R74" s="10" t="s">
        <v>353</v>
      </c>
      <c r="S74" s="8" t="s">
        <v>707</v>
      </c>
      <c r="T74" s="10" t="s">
        <v>691</v>
      </c>
      <c r="U74" s="10" t="s">
        <v>27</v>
      </c>
    </row>
    <row r="75" spans="1:21" s="10" customFormat="1" x14ac:dyDescent="0.25">
      <c r="A75" s="10" t="s">
        <v>708</v>
      </c>
      <c r="B75" s="10" t="s">
        <v>684</v>
      </c>
      <c r="C75" s="11" t="s">
        <v>164</v>
      </c>
      <c r="D75" s="10" t="s">
        <v>709</v>
      </c>
      <c r="E75" s="8" t="s">
        <v>710</v>
      </c>
      <c r="F75" s="8" t="s">
        <v>711</v>
      </c>
      <c r="G75" s="10" t="s">
        <v>27</v>
      </c>
      <c r="H75" s="8" t="s">
        <v>712</v>
      </c>
      <c r="I75" s="10" t="s">
        <v>713</v>
      </c>
      <c r="J75" s="8" t="s">
        <v>714</v>
      </c>
      <c r="K75" s="8" t="s">
        <v>27</v>
      </c>
      <c r="L75" s="8" t="s">
        <v>27</v>
      </c>
      <c r="M75" s="10" t="s">
        <v>27</v>
      </c>
      <c r="N75" s="8" t="s">
        <v>27</v>
      </c>
      <c r="O75" s="10" t="s">
        <v>17</v>
      </c>
      <c r="P75" s="8" t="s">
        <v>715</v>
      </c>
      <c r="Q75" s="10" t="s">
        <v>171</v>
      </c>
      <c r="R75" s="10" t="s">
        <v>561</v>
      </c>
      <c r="S75" s="8" t="s">
        <v>716</v>
      </c>
      <c r="T75" s="10" t="s">
        <v>691</v>
      </c>
      <c r="U75" s="10" t="s">
        <v>27</v>
      </c>
    </row>
    <row r="76" spans="1:21" s="10" customFormat="1" x14ac:dyDescent="0.25">
      <c r="A76" s="10" t="s">
        <v>717</v>
      </c>
      <c r="B76" s="10" t="s">
        <v>684</v>
      </c>
      <c r="C76" s="10" t="s">
        <v>175</v>
      </c>
      <c r="D76" s="10" t="s">
        <v>718</v>
      </c>
      <c r="E76" s="8" t="s">
        <v>719</v>
      </c>
      <c r="F76" s="8" t="s">
        <v>720</v>
      </c>
      <c r="G76" s="10" t="s">
        <v>27</v>
      </c>
      <c r="H76" s="8" t="s">
        <v>721</v>
      </c>
      <c r="I76" s="10" t="s">
        <v>27</v>
      </c>
      <c r="J76" s="8" t="s">
        <v>603</v>
      </c>
      <c r="K76" s="8" t="s">
        <v>27</v>
      </c>
      <c r="L76" s="8" t="s">
        <v>27</v>
      </c>
      <c r="M76" s="10" t="s">
        <v>27</v>
      </c>
      <c r="N76" s="8" t="s">
        <v>27</v>
      </c>
      <c r="O76" s="10" t="s">
        <v>17</v>
      </c>
      <c r="P76" s="8" t="s">
        <v>722</v>
      </c>
      <c r="Q76" s="10" t="s">
        <v>188</v>
      </c>
      <c r="R76" s="10" t="s">
        <v>353</v>
      </c>
      <c r="S76" s="8" t="s">
        <v>723</v>
      </c>
      <c r="T76" s="10" t="s">
        <v>691</v>
      </c>
      <c r="U76" s="10" t="s">
        <v>27</v>
      </c>
    </row>
    <row r="77" spans="1:21" s="10" customFormat="1" x14ac:dyDescent="0.25">
      <c r="A77" s="10" t="s">
        <v>724</v>
      </c>
      <c r="B77" s="10" t="s">
        <v>684</v>
      </c>
      <c r="C77" s="10" t="s">
        <v>175</v>
      </c>
      <c r="D77" s="10" t="s">
        <v>725</v>
      </c>
      <c r="E77" s="8" t="s">
        <v>726</v>
      </c>
      <c r="F77" s="8" t="s">
        <v>727</v>
      </c>
      <c r="G77" s="10" t="s">
        <v>27</v>
      </c>
      <c r="H77" s="8" t="s">
        <v>602</v>
      </c>
      <c r="I77" s="10" t="s">
        <v>542</v>
      </c>
      <c r="J77" s="8" t="s">
        <v>603</v>
      </c>
      <c r="K77" s="8" t="s">
        <v>27</v>
      </c>
      <c r="L77" s="8" t="s">
        <v>27</v>
      </c>
      <c r="M77" s="10" t="s">
        <v>27</v>
      </c>
      <c r="N77" s="8" t="s">
        <v>728</v>
      </c>
      <c r="O77" s="10" t="s">
        <v>17</v>
      </c>
      <c r="P77" s="8" t="s">
        <v>729</v>
      </c>
      <c r="Q77" s="10" t="s">
        <v>171</v>
      </c>
      <c r="R77" s="10" t="s">
        <v>353</v>
      </c>
      <c r="S77" s="8" t="s">
        <v>730</v>
      </c>
      <c r="T77" s="10" t="s">
        <v>202</v>
      </c>
      <c r="U77" s="10" t="s">
        <v>27</v>
      </c>
    </row>
    <row r="78" spans="1:21" s="10" customFormat="1" x14ac:dyDescent="0.25">
      <c r="A78" s="10" t="s">
        <v>731</v>
      </c>
      <c r="B78" s="10" t="s">
        <v>684</v>
      </c>
      <c r="C78" s="11" t="s">
        <v>164</v>
      </c>
      <c r="D78" s="10" t="s">
        <v>732</v>
      </c>
      <c r="E78" s="8" t="s">
        <v>733</v>
      </c>
      <c r="F78" s="8" t="s">
        <v>734</v>
      </c>
      <c r="G78" s="10" t="s">
        <v>27</v>
      </c>
      <c r="H78" s="8" t="s">
        <v>735</v>
      </c>
      <c r="I78" s="10" t="s">
        <v>542</v>
      </c>
      <c r="J78" s="8" t="s">
        <v>603</v>
      </c>
      <c r="K78" s="8" t="s">
        <v>27</v>
      </c>
      <c r="L78" s="8" t="s">
        <v>27</v>
      </c>
      <c r="M78" s="10" t="s">
        <v>27</v>
      </c>
      <c r="N78" s="8" t="s">
        <v>27</v>
      </c>
      <c r="O78" s="10" t="s">
        <v>17</v>
      </c>
      <c r="P78" s="8" t="s">
        <v>736</v>
      </c>
      <c r="Q78" s="10" t="s">
        <v>171</v>
      </c>
      <c r="R78" s="10" t="s">
        <v>353</v>
      </c>
      <c r="S78" s="8" t="s">
        <v>606</v>
      </c>
      <c r="T78" s="10" t="s">
        <v>691</v>
      </c>
      <c r="U78" s="10" t="s">
        <v>27</v>
      </c>
    </row>
    <row r="79" spans="1:21" s="10" customFormat="1" x14ac:dyDescent="0.25">
      <c r="A79" s="10" t="s">
        <v>737</v>
      </c>
      <c r="B79" s="10" t="s">
        <v>684</v>
      </c>
      <c r="C79" s="10" t="s">
        <v>175</v>
      </c>
      <c r="D79" s="10" t="s">
        <v>738</v>
      </c>
      <c r="E79" s="8" t="s">
        <v>739</v>
      </c>
      <c r="F79" s="8" t="s">
        <v>740</v>
      </c>
      <c r="G79" s="10" t="s">
        <v>27</v>
      </c>
      <c r="H79" s="8" t="s">
        <v>735</v>
      </c>
      <c r="I79" s="10" t="s">
        <v>27</v>
      </c>
      <c r="J79" s="8" t="s">
        <v>603</v>
      </c>
      <c r="K79" s="8" t="s">
        <v>27</v>
      </c>
      <c r="L79" s="8" t="s">
        <v>27</v>
      </c>
      <c r="M79" s="10" t="s">
        <v>27</v>
      </c>
      <c r="N79" s="8" t="s">
        <v>27</v>
      </c>
      <c r="O79" s="10" t="s">
        <v>17</v>
      </c>
      <c r="P79" s="8" t="s">
        <v>741</v>
      </c>
      <c r="Q79" s="10" t="s">
        <v>171</v>
      </c>
      <c r="R79" s="10" t="s">
        <v>353</v>
      </c>
      <c r="S79" s="8" t="s">
        <v>606</v>
      </c>
      <c r="T79" s="10" t="s">
        <v>202</v>
      </c>
      <c r="U79" s="10" t="s">
        <v>27</v>
      </c>
    </row>
    <row r="80" spans="1:21" s="10" customFormat="1" x14ac:dyDescent="0.25">
      <c r="A80" s="10" t="s">
        <v>742</v>
      </c>
      <c r="B80" s="10" t="s">
        <v>684</v>
      </c>
      <c r="C80" s="10" t="s">
        <v>175</v>
      </c>
      <c r="D80" s="10" t="s">
        <v>743</v>
      </c>
      <c r="E80" s="8" t="s">
        <v>744</v>
      </c>
      <c r="F80" s="8" t="s">
        <v>745</v>
      </c>
      <c r="G80" s="10" t="s">
        <v>27</v>
      </c>
      <c r="H80" s="8" t="s">
        <v>746</v>
      </c>
      <c r="I80" s="10" t="s">
        <v>713</v>
      </c>
      <c r="J80" s="8" t="s">
        <v>747</v>
      </c>
      <c r="K80" s="8" t="s">
        <v>27</v>
      </c>
      <c r="L80" s="8" t="s">
        <v>27</v>
      </c>
      <c r="M80" s="10" t="s">
        <v>27</v>
      </c>
      <c r="N80" s="8" t="s">
        <v>27</v>
      </c>
      <c r="O80" s="10" t="s">
        <v>17</v>
      </c>
      <c r="P80" s="8" t="s">
        <v>748</v>
      </c>
      <c r="Q80" s="10" t="s">
        <v>188</v>
      </c>
      <c r="R80" s="10" t="s">
        <v>353</v>
      </c>
      <c r="S80" s="8" t="s">
        <v>749</v>
      </c>
      <c r="T80" s="10" t="s">
        <v>691</v>
      </c>
      <c r="U80" s="10" t="s">
        <v>27</v>
      </c>
    </row>
    <row r="81" spans="1:21" s="10" customFormat="1" x14ac:dyDescent="0.25">
      <c r="A81" s="10" t="s">
        <v>750</v>
      </c>
      <c r="B81" s="10" t="s">
        <v>684</v>
      </c>
      <c r="C81" s="10" t="s">
        <v>175</v>
      </c>
      <c r="D81" s="10" t="s">
        <v>751</v>
      </c>
      <c r="E81" s="8" t="s">
        <v>752</v>
      </c>
      <c r="F81" s="8" t="s">
        <v>753</v>
      </c>
      <c r="G81" s="10" t="s">
        <v>27</v>
      </c>
      <c r="H81" s="8" t="s">
        <v>754</v>
      </c>
      <c r="I81" s="10" t="s">
        <v>755</v>
      </c>
      <c r="J81" s="8" t="s">
        <v>603</v>
      </c>
      <c r="K81" s="8" t="s">
        <v>27</v>
      </c>
      <c r="L81" s="8" t="s">
        <v>27</v>
      </c>
      <c r="M81" s="10" t="s">
        <v>27</v>
      </c>
      <c r="N81" s="8" t="s">
        <v>27</v>
      </c>
      <c r="O81" s="10" t="s">
        <v>17</v>
      </c>
      <c r="P81" s="8" t="s">
        <v>756</v>
      </c>
      <c r="Q81" s="10" t="s">
        <v>171</v>
      </c>
      <c r="R81" s="10" t="s">
        <v>353</v>
      </c>
      <c r="S81" s="8" t="s">
        <v>757</v>
      </c>
      <c r="T81" s="10" t="s">
        <v>202</v>
      </c>
      <c r="U81" s="10" t="s">
        <v>27</v>
      </c>
    </row>
    <row r="82" spans="1:21" s="10" customFormat="1" x14ac:dyDescent="0.25">
      <c r="A82" s="10" t="s">
        <v>758</v>
      </c>
      <c r="B82" s="10" t="s">
        <v>684</v>
      </c>
      <c r="C82" s="10" t="s">
        <v>175</v>
      </c>
      <c r="D82" s="10" t="s">
        <v>759</v>
      </c>
      <c r="E82" s="8" t="s">
        <v>760</v>
      </c>
      <c r="F82" s="8" t="s">
        <v>761</v>
      </c>
      <c r="G82" s="10" t="s">
        <v>27</v>
      </c>
      <c r="H82" s="8" t="s">
        <v>762</v>
      </c>
      <c r="I82" s="10" t="s">
        <v>763</v>
      </c>
      <c r="J82" s="8" t="s">
        <v>764</v>
      </c>
      <c r="K82" s="8" t="s">
        <v>27</v>
      </c>
      <c r="L82" s="8" t="s">
        <v>27</v>
      </c>
      <c r="M82" s="10" t="s">
        <v>27</v>
      </c>
      <c r="N82" s="8" t="s">
        <v>27</v>
      </c>
      <c r="O82" s="10" t="s">
        <v>17</v>
      </c>
      <c r="P82" s="8" t="s">
        <v>765</v>
      </c>
      <c r="Q82" s="10" t="s">
        <v>171</v>
      </c>
      <c r="R82" s="10" t="s">
        <v>353</v>
      </c>
      <c r="S82" s="8" t="s">
        <v>766</v>
      </c>
      <c r="T82" s="10" t="s">
        <v>691</v>
      </c>
      <c r="U82" s="10" t="s">
        <v>27</v>
      </c>
    </row>
    <row r="83" spans="1:21" s="10" customFormat="1" x14ac:dyDescent="0.25">
      <c r="A83" s="10" t="s">
        <v>767</v>
      </c>
      <c r="B83" s="10" t="s">
        <v>684</v>
      </c>
      <c r="C83" s="10" t="s">
        <v>175</v>
      </c>
      <c r="D83" s="10" t="s">
        <v>768</v>
      </c>
      <c r="E83" s="8" t="s">
        <v>769</v>
      </c>
      <c r="F83" s="8" t="s">
        <v>770</v>
      </c>
      <c r="G83" s="10" t="s">
        <v>27</v>
      </c>
      <c r="H83" s="8" t="s">
        <v>602</v>
      </c>
      <c r="I83" s="10" t="s">
        <v>27</v>
      </c>
      <c r="J83" s="8" t="s">
        <v>603</v>
      </c>
      <c r="K83" s="8" t="s">
        <v>27</v>
      </c>
      <c r="L83" s="8" t="s">
        <v>27</v>
      </c>
      <c r="M83" s="10" t="s">
        <v>27</v>
      </c>
      <c r="N83" s="8" t="s">
        <v>27</v>
      </c>
      <c r="O83" s="10" t="s">
        <v>17</v>
      </c>
      <c r="P83" s="8" t="s">
        <v>771</v>
      </c>
      <c r="Q83" s="10" t="s">
        <v>171</v>
      </c>
      <c r="R83" s="10" t="s">
        <v>353</v>
      </c>
      <c r="S83" s="8" t="s">
        <v>168</v>
      </c>
      <c r="T83" s="10" t="s">
        <v>202</v>
      </c>
      <c r="U83" s="10" t="s">
        <v>27</v>
      </c>
    </row>
    <row r="84" spans="1:21" s="10" customFormat="1" x14ac:dyDescent="0.25">
      <c r="A84" s="10" t="s">
        <v>772</v>
      </c>
      <c r="B84" s="10" t="s">
        <v>684</v>
      </c>
      <c r="C84" s="10" t="s">
        <v>175</v>
      </c>
      <c r="D84" s="10" t="s">
        <v>773</v>
      </c>
      <c r="E84" s="8" t="s">
        <v>774</v>
      </c>
      <c r="F84" s="8" t="s">
        <v>775</v>
      </c>
      <c r="G84" s="10" t="s">
        <v>27</v>
      </c>
      <c r="H84" s="8" t="s">
        <v>602</v>
      </c>
      <c r="I84" s="10" t="s">
        <v>27</v>
      </c>
      <c r="J84" s="8" t="s">
        <v>603</v>
      </c>
      <c r="K84" s="8" t="s">
        <v>27</v>
      </c>
      <c r="L84" s="8" t="s">
        <v>27</v>
      </c>
      <c r="M84" s="10" t="s">
        <v>27</v>
      </c>
      <c r="N84" s="8" t="s">
        <v>27</v>
      </c>
      <c r="O84" s="10" t="s">
        <v>17</v>
      </c>
      <c r="P84" s="8" t="s">
        <v>776</v>
      </c>
      <c r="Q84" s="10" t="s">
        <v>777</v>
      </c>
      <c r="R84" s="10" t="s">
        <v>605</v>
      </c>
      <c r="S84" s="8" t="s">
        <v>168</v>
      </c>
      <c r="T84" s="10" t="s">
        <v>691</v>
      </c>
      <c r="U84" s="10" t="s">
        <v>27</v>
      </c>
    </row>
    <row r="85" spans="1:21" s="10" customFormat="1" x14ac:dyDescent="0.25">
      <c r="A85" s="10" t="s">
        <v>778</v>
      </c>
      <c r="B85" s="10" t="s">
        <v>684</v>
      </c>
      <c r="C85" s="10" t="s">
        <v>175</v>
      </c>
      <c r="D85" s="10" t="s">
        <v>779</v>
      </c>
      <c r="E85" s="8" t="s">
        <v>780</v>
      </c>
      <c r="F85" s="8" t="s">
        <v>781</v>
      </c>
      <c r="G85" s="10" t="s">
        <v>27</v>
      </c>
      <c r="H85" s="8" t="s">
        <v>782</v>
      </c>
      <c r="I85" s="10" t="s">
        <v>313</v>
      </c>
      <c r="J85" s="8" t="s">
        <v>783</v>
      </c>
      <c r="K85" s="8" t="s">
        <v>27</v>
      </c>
      <c r="L85" s="8" t="s">
        <v>27</v>
      </c>
      <c r="M85" s="10" t="s">
        <v>27</v>
      </c>
      <c r="N85" s="8" t="s">
        <v>27</v>
      </c>
      <c r="O85" s="10" t="s">
        <v>17</v>
      </c>
      <c r="P85" s="8" t="s">
        <v>784</v>
      </c>
      <c r="Q85" s="10" t="s">
        <v>195</v>
      </c>
      <c r="R85" s="10" t="s">
        <v>353</v>
      </c>
      <c r="S85" s="8" t="s">
        <v>287</v>
      </c>
      <c r="T85" s="10" t="s">
        <v>202</v>
      </c>
      <c r="U85" s="10" t="s">
        <v>27</v>
      </c>
    </row>
    <row r="86" spans="1:21" s="10" customFormat="1" x14ac:dyDescent="0.25">
      <c r="A86" s="10" t="s">
        <v>785</v>
      </c>
      <c r="B86" s="10" t="s">
        <v>684</v>
      </c>
      <c r="C86" s="11" t="s">
        <v>164</v>
      </c>
      <c r="D86" s="10" t="s">
        <v>786</v>
      </c>
      <c r="E86" s="8" t="s">
        <v>787</v>
      </c>
      <c r="F86" s="8" t="s">
        <v>788</v>
      </c>
      <c r="G86" s="10" t="s">
        <v>27</v>
      </c>
      <c r="H86" s="8" t="s">
        <v>789</v>
      </c>
      <c r="I86" s="10" t="s">
        <v>542</v>
      </c>
      <c r="J86" s="8" t="s">
        <v>790</v>
      </c>
      <c r="K86" s="8" t="s">
        <v>27</v>
      </c>
      <c r="L86" s="8" t="s">
        <v>27</v>
      </c>
      <c r="M86" s="10" t="s">
        <v>27</v>
      </c>
      <c r="N86" s="8" t="s">
        <v>791</v>
      </c>
      <c r="O86" s="10" t="s">
        <v>17</v>
      </c>
      <c r="P86" s="8" t="s">
        <v>792</v>
      </c>
      <c r="Q86" s="10" t="s">
        <v>188</v>
      </c>
      <c r="R86" s="10" t="s">
        <v>353</v>
      </c>
      <c r="S86" s="8" t="s">
        <v>793</v>
      </c>
      <c r="T86" s="10" t="s">
        <v>691</v>
      </c>
      <c r="U86" s="10" t="s">
        <v>27</v>
      </c>
    </row>
    <row r="87" spans="1:21" s="10" customFormat="1" x14ac:dyDescent="0.25">
      <c r="A87" s="10" t="s">
        <v>794</v>
      </c>
      <c r="B87" s="10" t="s">
        <v>684</v>
      </c>
      <c r="C87" s="10" t="s">
        <v>175</v>
      </c>
      <c r="D87" s="10" t="s">
        <v>795</v>
      </c>
      <c r="E87" s="8" t="s">
        <v>796</v>
      </c>
      <c r="F87" s="8" t="s">
        <v>797</v>
      </c>
      <c r="G87" s="10" t="s">
        <v>27</v>
      </c>
      <c r="H87" s="8" t="s">
        <v>798</v>
      </c>
      <c r="I87" s="10" t="s">
        <v>542</v>
      </c>
      <c r="J87" s="8" t="s">
        <v>790</v>
      </c>
      <c r="K87" s="8" t="s">
        <v>27</v>
      </c>
      <c r="L87" s="8" t="s">
        <v>27</v>
      </c>
      <c r="M87" s="10" t="s">
        <v>27</v>
      </c>
      <c r="N87" s="8" t="s">
        <v>799</v>
      </c>
      <c r="O87" s="10" t="s">
        <v>17</v>
      </c>
      <c r="P87" s="8" t="s">
        <v>800</v>
      </c>
      <c r="Q87" s="10" t="s">
        <v>188</v>
      </c>
      <c r="R87" s="10" t="s">
        <v>353</v>
      </c>
      <c r="S87" s="8" t="s">
        <v>730</v>
      </c>
      <c r="T87" s="10" t="s">
        <v>202</v>
      </c>
      <c r="U87" s="10" t="s">
        <v>27</v>
      </c>
    </row>
    <row r="88" spans="1:21" s="10" customFormat="1" x14ac:dyDescent="0.25">
      <c r="A88" s="10" t="s">
        <v>801</v>
      </c>
      <c r="B88" s="10" t="s">
        <v>802</v>
      </c>
      <c r="C88" s="11" t="s">
        <v>164</v>
      </c>
      <c r="D88" s="10" t="s">
        <v>803</v>
      </c>
      <c r="E88" s="8" t="s">
        <v>804</v>
      </c>
      <c r="F88" s="8" t="s">
        <v>805</v>
      </c>
      <c r="G88" s="10" t="s">
        <v>27</v>
      </c>
      <c r="H88" s="8" t="s">
        <v>806</v>
      </c>
      <c r="I88" s="10" t="s">
        <v>542</v>
      </c>
      <c r="J88" s="8" t="s">
        <v>807</v>
      </c>
      <c r="K88" s="8" t="s">
        <v>27</v>
      </c>
      <c r="L88" s="8" t="s">
        <v>27</v>
      </c>
      <c r="M88" s="10" t="s">
        <v>27</v>
      </c>
      <c r="N88" s="8" t="s">
        <v>808</v>
      </c>
      <c r="O88" s="10" t="s">
        <v>17</v>
      </c>
      <c r="P88" s="8" t="s">
        <v>809</v>
      </c>
      <c r="Q88" s="10" t="s">
        <v>171</v>
      </c>
      <c r="R88" s="10" t="s">
        <v>353</v>
      </c>
      <c r="S88" s="8" t="s">
        <v>168</v>
      </c>
      <c r="T88" s="10" t="s">
        <v>810</v>
      </c>
      <c r="U88" s="10" t="s">
        <v>27</v>
      </c>
    </row>
    <row r="89" spans="1:21" s="10" customFormat="1" x14ac:dyDescent="0.25">
      <c r="A89" s="10" t="s">
        <v>811</v>
      </c>
      <c r="B89" s="10" t="s">
        <v>802</v>
      </c>
      <c r="C89" s="11" t="s">
        <v>164</v>
      </c>
      <c r="D89" s="10" t="s">
        <v>812</v>
      </c>
      <c r="E89" s="8" t="s">
        <v>813</v>
      </c>
      <c r="F89" s="8" t="s">
        <v>814</v>
      </c>
      <c r="G89" s="10" t="s">
        <v>27</v>
      </c>
      <c r="H89" s="8" t="s">
        <v>618</v>
      </c>
      <c r="I89" s="10" t="s">
        <v>815</v>
      </c>
      <c r="J89" s="8" t="s">
        <v>807</v>
      </c>
      <c r="K89" s="8" t="s">
        <v>27</v>
      </c>
      <c r="L89" s="8" t="s">
        <v>27</v>
      </c>
      <c r="M89" s="10" t="s">
        <v>27</v>
      </c>
      <c r="N89" s="8" t="s">
        <v>27</v>
      </c>
      <c r="O89" s="10" t="s">
        <v>17</v>
      </c>
      <c r="P89" s="8" t="s">
        <v>816</v>
      </c>
      <c r="Q89" s="10" t="s">
        <v>171</v>
      </c>
      <c r="R89" s="10" t="s">
        <v>639</v>
      </c>
      <c r="S89" s="8" t="s">
        <v>168</v>
      </c>
      <c r="T89" s="10" t="s">
        <v>810</v>
      </c>
      <c r="U89" s="10" t="s">
        <v>27</v>
      </c>
    </row>
    <row r="90" spans="1:21" s="10" customFormat="1" x14ac:dyDescent="0.25">
      <c r="A90" s="10" t="s">
        <v>817</v>
      </c>
      <c r="B90" s="10" t="s">
        <v>802</v>
      </c>
      <c r="C90" s="11" t="s">
        <v>164</v>
      </c>
      <c r="D90" s="10" t="s">
        <v>818</v>
      </c>
      <c r="E90" s="8" t="s">
        <v>819</v>
      </c>
      <c r="F90" s="8" t="s">
        <v>820</v>
      </c>
      <c r="G90" s="10" t="s">
        <v>27</v>
      </c>
      <c r="H90" s="8" t="s">
        <v>618</v>
      </c>
      <c r="I90" s="10" t="s">
        <v>821</v>
      </c>
      <c r="J90" s="8" t="s">
        <v>807</v>
      </c>
      <c r="K90" s="8" t="s">
        <v>27</v>
      </c>
      <c r="L90" s="8" t="s">
        <v>27</v>
      </c>
      <c r="M90" s="10" t="s">
        <v>27</v>
      </c>
      <c r="N90" s="8" t="s">
        <v>27</v>
      </c>
      <c r="O90" s="10" t="s">
        <v>17</v>
      </c>
      <c r="P90" s="8" t="s">
        <v>822</v>
      </c>
      <c r="Q90" s="10" t="s">
        <v>777</v>
      </c>
      <c r="R90" s="10" t="s">
        <v>639</v>
      </c>
      <c r="S90" s="8" t="s">
        <v>168</v>
      </c>
      <c r="T90" s="10" t="s">
        <v>810</v>
      </c>
      <c r="U90" s="10" t="s">
        <v>27</v>
      </c>
    </row>
    <row r="91" spans="1:21" s="10" customFormat="1" x14ac:dyDescent="0.25">
      <c r="A91" s="10" t="s">
        <v>823</v>
      </c>
      <c r="B91" s="10" t="s">
        <v>802</v>
      </c>
      <c r="C91" s="11" t="s">
        <v>164</v>
      </c>
      <c r="D91" s="10" t="s">
        <v>824</v>
      </c>
      <c r="E91" s="8" t="s">
        <v>825</v>
      </c>
      <c r="F91" s="8" t="s">
        <v>775</v>
      </c>
      <c r="G91" s="10" t="s">
        <v>27</v>
      </c>
      <c r="H91" s="8" t="s">
        <v>618</v>
      </c>
      <c r="I91" s="10" t="s">
        <v>826</v>
      </c>
      <c r="J91" s="8" t="s">
        <v>807</v>
      </c>
      <c r="K91" s="8" t="s">
        <v>27</v>
      </c>
      <c r="L91" s="8" t="s">
        <v>27</v>
      </c>
      <c r="M91" s="10" t="s">
        <v>27</v>
      </c>
      <c r="N91" s="8" t="s">
        <v>27</v>
      </c>
      <c r="O91" s="10" t="s">
        <v>17</v>
      </c>
      <c r="P91" s="8" t="s">
        <v>827</v>
      </c>
      <c r="Q91" s="10" t="s">
        <v>777</v>
      </c>
      <c r="R91" s="10" t="s">
        <v>639</v>
      </c>
      <c r="S91" s="8" t="s">
        <v>168</v>
      </c>
      <c r="T91" s="10" t="s">
        <v>810</v>
      </c>
      <c r="U91" s="10" t="s">
        <v>27</v>
      </c>
    </row>
    <row r="92" spans="1:21" s="10" customFormat="1" x14ac:dyDescent="0.25">
      <c r="A92" s="10" t="s">
        <v>828</v>
      </c>
      <c r="B92" s="10" t="s">
        <v>802</v>
      </c>
      <c r="C92" s="11" t="s">
        <v>164</v>
      </c>
      <c r="D92" s="10" t="s">
        <v>829</v>
      </c>
      <c r="E92" s="8" t="s">
        <v>830</v>
      </c>
      <c r="F92" s="8" t="s">
        <v>831</v>
      </c>
      <c r="G92" s="10" t="s">
        <v>27</v>
      </c>
      <c r="H92" s="8" t="s">
        <v>618</v>
      </c>
      <c r="I92" s="10" t="s">
        <v>832</v>
      </c>
      <c r="J92" s="8" t="s">
        <v>807</v>
      </c>
      <c r="K92" s="8" t="s">
        <v>27</v>
      </c>
      <c r="L92" s="8" t="s">
        <v>27</v>
      </c>
      <c r="M92" s="10" t="s">
        <v>27</v>
      </c>
      <c r="N92" s="8" t="s">
        <v>833</v>
      </c>
      <c r="O92" s="10" t="s">
        <v>17</v>
      </c>
      <c r="P92" s="8" t="s">
        <v>834</v>
      </c>
      <c r="Q92" s="10" t="s">
        <v>777</v>
      </c>
      <c r="R92" s="10" t="s">
        <v>639</v>
      </c>
      <c r="S92" s="8" t="s">
        <v>168</v>
      </c>
      <c r="T92" s="10" t="s">
        <v>810</v>
      </c>
      <c r="U92" s="10" t="s">
        <v>27</v>
      </c>
    </row>
    <row r="93" spans="1:21" s="10" customFormat="1" x14ac:dyDescent="0.25">
      <c r="A93" s="10" t="s">
        <v>835</v>
      </c>
      <c r="B93" s="10" t="s">
        <v>802</v>
      </c>
      <c r="C93" s="11" t="s">
        <v>164</v>
      </c>
      <c r="D93" s="10" t="s">
        <v>836</v>
      </c>
      <c r="E93" s="8" t="s">
        <v>837</v>
      </c>
      <c r="F93" s="8" t="s">
        <v>814</v>
      </c>
      <c r="G93" s="10" t="s">
        <v>27</v>
      </c>
      <c r="H93" s="8" t="s">
        <v>602</v>
      </c>
      <c r="I93" s="10" t="s">
        <v>815</v>
      </c>
      <c r="J93" s="8" t="s">
        <v>807</v>
      </c>
      <c r="K93" s="8" t="s">
        <v>27</v>
      </c>
      <c r="L93" s="8" t="s">
        <v>27</v>
      </c>
      <c r="M93" s="10" t="s">
        <v>27</v>
      </c>
      <c r="N93" s="8" t="s">
        <v>27</v>
      </c>
      <c r="O93" s="10" t="s">
        <v>17</v>
      </c>
      <c r="P93" s="8" t="s">
        <v>838</v>
      </c>
      <c r="Q93" s="10" t="s">
        <v>171</v>
      </c>
      <c r="R93" s="10" t="s">
        <v>605</v>
      </c>
      <c r="S93" s="8" t="s">
        <v>168</v>
      </c>
      <c r="T93" s="10" t="s">
        <v>810</v>
      </c>
      <c r="U93" s="10" t="s">
        <v>27</v>
      </c>
    </row>
    <row r="94" spans="1:21" s="10" customFormat="1" x14ac:dyDescent="0.25">
      <c r="A94" s="10" t="s">
        <v>839</v>
      </c>
      <c r="B94" s="10" t="s">
        <v>802</v>
      </c>
      <c r="C94" s="11" t="s">
        <v>164</v>
      </c>
      <c r="D94" s="10" t="s">
        <v>840</v>
      </c>
      <c r="E94" s="8" t="s">
        <v>841</v>
      </c>
      <c r="F94" s="8" t="s">
        <v>842</v>
      </c>
      <c r="G94" s="10" t="s">
        <v>27</v>
      </c>
      <c r="H94" s="8" t="s">
        <v>602</v>
      </c>
      <c r="I94" s="10" t="s">
        <v>843</v>
      </c>
      <c r="J94" s="8" t="s">
        <v>807</v>
      </c>
      <c r="K94" s="8" t="s">
        <v>27</v>
      </c>
      <c r="L94" s="8" t="s">
        <v>27</v>
      </c>
      <c r="M94" s="10" t="s">
        <v>27</v>
      </c>
      <c r="N94" s="8" t="s">
        <v>27</v>
      </c>
      <c r="O94" s="10" t="s">
        <v>17</v>
      </c>
      <c r="P94" s="8" t="s">
        <v>844</v>
      </c>
      <c r="Q94" s="10" t="s">
        <v>777</v>
      </c>
      <c r="R94" s="10" t="s">
        <v>605</v>
      </c>
      <c r="S94" s="8" t="s">
        <v>168</v>
      </c>
      <c r="T94" s="10" t="s">
        <v>810</v>
      </c>
      <c r="U94" s="10" t="s">
        <v>27</v>
      </c>
    </row>
    <row r="95" spans="1:21" s="10" customFormat="1" x14ac:dyDescent="0.25">
      <c r="A95" s="10" t="s">
        <v>845</v>
      </c>
      <c r="B95" s="10" t="s">
        <v>802</v>
      </c>
      <c r="C95" s="11" t="s">
        <v>164</v>
      </c>
      <c r="D95" s="10" t="s">
        <v>846</v>
      </c>
      <c r="E95" s="8" t="s">
        <v>847</v>
      </c>
      <c r="F95" s="8" t="s">
        <v>814</v>
      </c>
      <c r="G95" s="10" t="s">
        <v>27</v>
      </c>
      <c r="H95" s="8" t="s">
        <v>848</v>
      </c>
      <c r="I95" s="10" t="s">
        <v>849</v>
      </c>
      <c r="J95" s="8" t="s">
        <v>807</v>
      </c>
      <c r="K95" s="8" t="s">
        <v>27</v>
      </c>
      <c r="L95" s="8" t="s">
        <v>27</v>
      </c>
      <c r="M95" s="10" t="s">
        <v>27</v>
      </c>
      <c r="N95" s="8" t="s">
        <v>27</v>
      </c>
      <c r="O95" s="10" t="s">
        <v>17</v>
      </c>
      <c r="P95" s="8" t="s">
        <v>850</v>
      </c>
      <c r="Q95" s="10" t="s">
        <v>171</v>
      </c>
      <c r="R95" s="10" t="s">
        <v>851</v>
      </c>
      <c r="S95" s="8" t="s">
        <v>168</v>
      </c>
      <c r="T95" s="10" t="s">
        <v>810</v>
      </c>
      <c r="U95" s="10" t="s">
        <v>27</v>
      </c>
    </row>
    <row r="96" spans="1:21" s="10" customFormat="1" x14ac:dyDescent="0.25">
      <c r="A96" s="10" t="s">
        <v>852</v>
      </c>
      <c r="B96" s="10" t="s">
        <v>802</v>
      </c>
      <c r="C96" s="11" t="s">
        <v>164</v>
      </c>
      <c r="D96" s="10" t="s">
        <v>853</v>
      </c>
      <c r="E96" s="8" t="s">
        <v>854</v>
      </c>
      <c r="F96" s="8" t="s">
        <v>842</v>
      </c>
      <c r="G96" s="10" t="s">
        <v>27</v>
      </c>
      <c r="H96" s="8" t="s">
        <v>848</v>
      </c>
      <c r="I96" s="10" t="s">
        <v>855</v>
      </c>
      <c r="J96" s="8" t="s">
        <v>807</v>
      </c>
      <c r="K96" s="8" t="s">
        <v>27</v>
      </c>
      <c r="L96" s="8" t="s">
        <v>27</v>
      </c>
      <c r="M96" s="10" t="s">
        <v>27</v>
      </c>
      <c r="N96" s="8" t="s">
        <v>27</v>
      </c>
      <c r="O96" s="10" t="s">
        <v>17</v>
      </c>
      <c r="P96" s="8" t="s">
        <v>856</v>
      </c>
      <c r="Q96" s="10" t="s">
        <v>777</v>
      </c>
      <c r="R96" s="10" t="s">
        <v>851</v>
      </c>
      <c r="S96" s="8" t="s">
        <v>168</v>
      </c>
      <c r="T96" s="10" t="s">
        <v>810</v>
      </c>
      <c r="U96" s="10" t="s">
        <v>27</v>
      </c>
    </row>
    <row r="97" spans="1:21" s="10" customFormat="1" x14ac:dyDescent="0.25">
      <c r="A97" s="10" t="s">
        <v>857</v>
      </c>
      <c r="B97" s="10" t="s">
        <v>802</v>
      </c>
      <c r="C97" s="11" t="s">
        <v>164</v>
      </c>
      <c r="D97" s="10" t="s">
        <v>858</v>
      </c>
      <c r="E97" s="8" t="s">
        <v>859</v>
      </c>
      <c r="F97" s="8" t="s">
        <v>860</v>
      </c>
      <c r="G97" s="10" t="s">
        <v>27</v>
      </c>
      <c r="H97" s="8" t="s">
        <v>861</v>
      </c>
      <c r="I97" s="10" t="s">
        <v>862</v>
      </c>
      <c r="J97" s="8" t="s">
        <v>807</v>
      </c>
      <c r="K97" s="8" t="s">
        <v>27</v>
      </c>
      <c r="L97" s="8" t="s">
        <v>27</v>
      </c>
      <c r="M97" s="10" t="s">
        <v>27</v>
      </c>
      <c r="N97" s="8" t="s">
        <v>27</v>
      </c>
      <c r="O97" s="10" t="s">
        <v>17</v>
      </c>
      <c r="P97" s="8" t="s">
        <v>863</v>
      </c>
      <c r="Q97" s="10" t="s">
        <v>171</v>
      </c>
      <c r="R97" s="10" t="s">
        <v>864</v>
      </c>
      <c r="S97" s="8" t="s">
        <v>168</v>
      </c>
      <c r="T97" s="10" t="s">
        <v>810</v>
      </c>
      <c r="U97" s="10" t="s">
        <v>27</v>
      </c>
    </row>
    <row r="98" spans="1:21" s="10" customFormat="1" x14ac:dyDescent="0.25">
      <c r="A98" s="10" t="s">
        <v>865</v>
      </c>
      <c r="B98" s="10" t="s">
        <v>802</v>
      </c>
      <c r="C98" s="11" t="s">
        <v>164</v>
      </c>
      <c r="D98" s="10" t="s">
        <v>866</v>
      </c>
      <c r="E98" s="8" t="s">
        <v>867</v>
      </c>
      <c r="F98" s="8" t="s">
        <v>842</v>
      </c>
      <c r="G98" s="10" t="s">
        <v>27</v>
      </c>
      <c r="H98" s="8" t="s">
        <v>861</v>
      </c>
      <c r="I98" s="10" t="s">
        <v>868</v>
      </c>
      <c r="J98" s="8" t="s">
        <v>807</v>
      </c>
      <c r="K98" s="8" t="s">
        <v>27</v>
      </c>
      <c r="L98" s="8" t="s">
        <v>27</v>
      </c>
      <c r="M98" s="10" t="s">
        <v>27</v>
      </c>
      <c r="N98" s="8" t="s">
        <v>27</v>
      </c>
      <c r="O98" s="10" t="s">
        <v>17</v>
      </c>
      <c r="P98" s="8" t="s">
        <v>869</v>
      </c>
      <c r="Q98" s="10" t="s">
        <v>777</v>
      </c>
      <c r="R98" s="10" t="s">
        <v>864</v>
      </c>
      <c r="S98" s="8" t="s">
        <v>168</v>
      </c>
      <c r="T98" s="10" t="s">
        <v>810</v>
      </c>
      <c r="U98" s="10" t="s">
        <v>27</v>
      </c>
    </row>
    <row r="99" spans="1:21" s="10" customFormat="1" x14ac:dyDescent="0.25">
      <c r="A99" s="10" t="s">
        <v>870</v>
      </c>
      <c r="B99" s="10" t="s">
        <v>802</v>
      </c>
      <c r="C99" s="11" t="s">
        <v>164</v>
      </c>
      <c r="D99" s="10" t="s">
        <v>871</v>
      </c>
      <c r="E99" s="8" t="s">
        <v>872</v>
      </c>
      <c r="F99" s="8" t="s">
        <v>873</v>
      </c>
      <c r="G99" s="10" t="s">
        <v>27</v>
      </c>
      <c r="H99" s="8" t="s">
        <v>874</v>
      </c>
      <c r="I99" s="10" t="s">
        <v>875</v>
      </c>
      <c r="J99" s="8" t="s">
        <v>807</v>
      </c>
      <c r="K99" s="8" t="s">
        <v>27</v>
      </c>
      <c r="L99" s="8" t="s">
        <v>27</v>
      </c>
      <c r="M99" s="10" t="s">
        <v>27</v>
      </c>
      <c r="N99" s="8" t="s">
        <v>27</v>
      </c>
      <c r="O99" s="10" t="s">
        <v>17</v>
      </c>
      <c r="P99" s="8" t="s">
        <v>876</v>
      </c>
      <c r="Q99" s="10" t="s">
        <v>171</v>
      </c>
      <c r="R99" s="10" t="s">
        <v>877</v>
      </c>
      <c r="S99" s="8" t="s">
        <v>168</v>
      </c>
      <c r="T99" s="10" t="s">
        <v>810</v>
      </c>
      <c r="U99" s="10" t="s">
        <v>27</v>
      </c>
    </row>
    <row r="100" spans="1:21" s="10" customFormat="1" x14ac:dyDescent="0.25">
      <c r="A100" s="10" t="s">
        <v>878</v>
      </c>
      <c r="B100" s="10" t="s">
        <v>802</v>
      </c>
      <c r="C100" s="11" t="s">
        <v>164</v>
      </c>
      <c r="D100" s="10" t="s">
        <v>879</v>
      </c>
      <c r="E100" s="8" t="s">
        <v>880</v>
      </c>
      <c r="F100" s="8" t="s">
        <v>881</v>
      </c>
      <c r="G100" s="10" t="s">
        <v>27</v>
      </c>
      <c r="H100" s="8" t="s">
        <v>735</v>
      </c>
      <c r="I100" s="10" t="s">
        <v>875</v>
      </c>
      <c r="J100" s="8" t="s">
        <v>807</v>
      </c>
      <c r="K100" s="8" t="s">
        <v>27</v>
      </c>
      <c r="L100" s="8" t="s">
        <v>27</v>
      </c>
      <c r="M100" s="10" t="s">
        <v>27</v>
      </c>
      <c r="N100" s="8" t="s">
        <v>882</v>
      </c>
      <c r="O100" s="10" t="s">
        <v>17</v>
      </c>
      <c r="P100" s="8" t="s">
        <v>883</v>
      </c>
      <c r="Q100" s="10" t="s">
        <v>171</v>
      </c>
      <c r="R100" s="10" t="s">
        <v>884</v>
      </c>
      <c r="S100" s="8" t="s">
        <v>168</v>
      </c>
      <c r="T100" s="10" t="s">
        <v>810</v>
      </c>
      <c r="U100" s="10" t="s">
        <v>27</v>
      </c>
    </row>
    <row r="101" spans="1:21" s="10" customFormat="1" x14ac:dyDescent="0.25">
      <c r="A101" s="10" t="s">
        <v>885</v>
      </c>
      <c r="B101" s="10" t="s">
        <v>802</v>
      </c>
      <c r="C101" s="11" t="s">
        <v>164</v>
      </c>
      <c r="D101" s="10" t="s">
        <v>886</v>
      </c>
      <c r="E101" s="8" t="s">
        <v>887</v>
      </c>
      <c r="F101" s="8" t="s">
        <v>888</v>
      </c>
      <c r="G101" s="10" t="s">
        <v>27</v>
      </c>
      <c r="H101" s="8" t="s">
        <v>874</v>
      </c>
      <c r="I101" s="10" t="s">
        <v>889</v>
      </c>
      <c r="J101" s="8" t="s">
        <v>807</v>
      </c>
      <c r="K101" s="8" t="s">
        <v>27</v>
      </c>
      <c r="L101" s="8" t="s">
        <v>27</v>
      </c>
      <c r="M101" s="10" t="s">
        <v>27</v>
      </c>
      <c r="N101" s="8" t="s">
        <v>27</v>
      </c>
      <c r="O101" s="10" t="s">
        <v>17</v>
      </c>
      <c r="P101" s="8" t="s">
        <v>890</v>
      </c>
      <c r="Q101" s="10" t="s">
        <v>777</v>
      </c>
      <c r="R101" s="10" t="s">
        <v>877</v>
      </c>
      <c r="S101" s="8" t="s">
        <v>168</v>
      </c>
      <c r="T101" s="10" t="s">
        <v>810</v>
      </c>
      <c r="U101" s="10" t="s">
        <v>27</v>
      </c>
    </row>
    <row r="102" spans="1:21" s="10" customFormat="1" x14ac:dyDescent="0.25">
      <c r="A102" s="10" t="s">
        <v>891</v>
      </c>
      <c r="B102" s="10" t="s">
        <v>802</v>
      </c>
      <c r="C102" s="11" t="s">
        <v>164</v>
      </c>
      <c r="D102" s="10" t="s">
        <v>892</v>
      </c>
      <c r="E102" s="8" t="s">
        <v>893</v>
      </c>
      <c r="F102" s="8" t="s">
        <v>873</v>
      </c>
      <c r="G102" s="10" t="s">
        <v>27</v>
      </c>
      <c r="H102" s="8" t="s">
        <v>894</v>
      </c>
      <c r="I102" s="10" t="s">
        <v>895</v>
      </c>
      <c r="J102" s="8" t="s">
        <v>807</v>
      </c>
      <c r="K102" s="8" t="s">
        <v>27</v>
      </c>
      <c r="L102" s="8" t="s">
        <v>27</v>
      </c>
      <c r="M102" s="10" t="s">
        <v>27</v>
      </c>
      <c r="N102" s="8" t="s">
        <v>27</v>
      </c>
      <c r="O102" s="10" t="s">
        <v>17</v>
      </c>
      <c r="P102" s="8" t="s">
        <v>896</v>
      </c>
      <c r="Q102" s="10" t="s">
        <v>171</v>
      </c>
      <c r="R102" s="10" t="s">
        <v>897</v>
      </c>
      <c r="S102" s="8" t="s">
        <v>168</v>
      </c>
      <c r="T102" s="10" t="s">
        <v>810</v>
      </c>
      <c r="U102" s="10" t="s">
        <v>27</v>
      </c>
    </row>
    <row r="103" spans="1:21" s="10" customFormat="1" x14ac:dyDescent="0.25">
      <c r="A103" s="10" t="s">
        <v>898</v>
      </c>
      <c r="B103" s="10" t="s">
        <v>802</v>
      </c>
      <c r="C103" s="11" t="s">
        <v>164</v>
      </c>
      <c r="D103" s="10" t="s">
        <v>899</v>
      </c>
      <c r="E103" s="8" t="s">
        <v>900</v>
      </c>
      <c r="F103" s="8" t="s">
        <v>888</v>
      </c>
      <c r="G103" s="10" t="s">
        <v>27</v>
      </c>
      <c r="H103" s="8" t="s">
        <v>894</v>
      </c>
      <c r="I103" s="10" t="s">
        <v>901</v>
      </c>
      <c r="J103" s="8" t="s">
        <v>807</v>
      </c>
      <c r="K103" s="8" t="s">
        <v>27</v>
      </c>
      <c r="L103" s="8" t="s">
        <v>27</v>
      </c>
      <c r="M103" s="10" t="s">
        <v>27</v>
      </c>
      <c r="N103" s="8" t="s">
        <v>27</v>
      </c>
      <c r="O103" s="10" t="s">
        <v>17</v>
      </c>
      <c r="P103" s="8" t="s">
        <v>902</v>
      </c>
      <c r="Q103" s="10" t="s">
        <v>777</v>
      </c>
      <c r="R103" s="10" t="s">
        <v>897</v>
      </c>
      <c r="S103" s="8" t="s">
        <v>168</v>
      </c>
      <c r="T103" s="10" t="s">
        <v>810</v>
      </c>
      <c r="U103" s="10" t="s">
        <v>27</v>
      </c>
    </row>
    <row r="104" spans="1:21" s="10" customFormat="1" x14ac:dyDescent="0.25">
      <c r="A104" s="10" t="s">
        <v>903</v>
      </c>
      <c r="B104" s="10" t="s">
        <v>802</v>
      </c>
      <c r="C104" s="11" t="s">
        <v>164</v>
      </c>
      <c r="D104" s="10" t="s">
        <v>904</v>
      </c>
      <c r="E104" s="8" t="s">
        <v>905</v>
      </c>
      <c r="F104" s="8" t="s">
        <v>814</v>
      </c>
      <c r="G104" s="10" t="s">
        <v>27</v>
      </c>
      <c r="H104" s="8" t="s">
        <v>906</v>
      </c>
      <c r="I104" s="10" t="s">
        <v>907</v>
      </c>
      <c r="J104" s="8" t="s">
        <v>807</v>
      </c>
      <c r="K104" s="8" t="s">
        <v>27</v>
      </c>
      <c r="L104" s="8" t="s">
        <v>27</v>
      </c>
      <c r="M104" s="10" t="s">
        <v>27</v>
      </c>
      <c r="N104" s="8" t="s">
        <v>27</v>
      </c>
      <c r="O104" s="10" t="s">
        <v>17</v>
      </c>
      <c r="P104" s="8" t="s">
        <v>908</v>
      </c>
      <c r="Q104" s="10" t="s">
        <v>171</v>
      </c>
      <c r="R104" s="10" t="s">
        <v>909</v>
      </c>
      <c r="S104" s="8" t="s">
        <v>168</v>
      </c>
      <c r="T104" s="10" t="s">
        <v>810</v>
      </c>
      <c r="U104" s="10" t="s">
        <v>27</v>
      </c>
    </row>
    <row r="105" spans="1:21" s="10" customFormat="1" x14ac:dyDescent="0.25">
      <c r="A105" s="10" t="s">
        <v>910</v>
      </c>
      <c r="B105" s="10" t="s">
        <v>802</v>
      </c>
      <c r="C105" s="11" t="s">
        <v>164</v>
      </c>
      <c r="D105" s="10" t="s">
        <v>911</v>
      </c>
      <c r="E105" s="8" t="s">
        <v>912</v>
      </c>
      <c r="F105" s="8" t="s">
        <v>888</v>
      </c>
      <c r="G105" s="10" t="s">
        <v>27</v>
      </c>
      <c r="H105" s="8" t="s">
        <v>906</v>
      </c>
      <c r="I105" s="10" t="s">
        <v>913</v>
      </c>
      <c r="J105" s="8" t="s">
        <v>807</v>
      </c>
      <c r="K105" s="8" t="s">
        <v>27</v>
      </c>
      <c r="L105" s="8" t="s">
        <v>27</v>
      </c>
      <c r="M105" s="10" t="s">
        <v>27</v>
      </c>
      <c r="N105" s="8" t="s">
        <v>27</v>
      </c>
      <c r="O105" s="10" t="s">
        <v>17</v>
      </c>
      <c r="P105" s="8" t="s">
        <v>914</v>
      </c>
      <c r="Q105" s="10" t="s">
        <v>777</v>
      </c>
      <c r="R105" s="10" t="s">
        <v>909</v>
      </c>
      <c r="S105" s="8" t="s">
        <v>168</v>
      </c>
      <c r="T105" s="10" t="s">
        <v>810</v>
      </c>
      <c r="U105" s="10" t="s">
        <v>27</v>
      </c>
    </row>
    <row r="106" spans="1:21" s="10" customFormat="1" x14ac:dyDescent="0.25">
      <c r="A106" s="10" t="s">
        <v>915</v>
      </c>
      <c r="B106" s="10" t="s">
        <v>802</v>
      </c>
      <c r="C106" s="11" t="s">
        <v>164</v>
      </c>
      <c r="D106" s="10" t="s">
        <v>916</v>
      </c>
      <c r="E106" s="8" t="s">
        <v>917</v>
      </c>
      <c r="F106" s="8" t="s">
        <v>918</v>
      </c>
      <c r="G106" s="10" t="s">
        <v>27</v>
      </c>
      <c r="H106" s="8" t="s">
        <v>919</v>
      </c>
      <c r="I106" s="10" t="s">
        <v>907</v>
      </c>
      <c r="J106" s="8" t="s">
        <v>807</v>
      </c>
      <c r="K106" s="8" t="s">
        <v>27</v>
      </c>
      <c r="L106" s="8" t="s">
        <v>27</v>
      </c>
      <c r="M106" s="10" t="s">
        <v>27</v>
      </c>
      <c r="N106" s="8" t="s">
        <v>920</v>
      </c>
      <c r="O106" s="10" t="s">
        <v>17</v>
      </c>
      <c r="P106" s="8" t="s">
        <v>921</v>
      </c>
      <c r="Q106" s="10" t="s">
        <v>777</v>
      </c>
      <c r="R106" s="10" t="s">
        <v>922</v>
      </c>
      <c r="S106" s="8" t="s">
        <v>168</v>
      </c>
      <c r="T106" s="10" t="s">
        <v>810</v>
      </c>
      <c r="U106" s="10" t="s">
        <v>27</v>
      </c>
    </row>
    <row r="107" spans="1:21" s="10" customFormat="1" x14ac:dyDescent="0.25">
      <c r="A107" s="10" t="s">
        <v>923</v>
      </c>
      <c r="B107" s="10" t="s">
        <v>802</v>
      </c>
      <c r="C107" s="11" t="s">
        <v>164</v>
      </c>
      <c r="D107" s="10" t="s">
        <v>924</v>
      </c>
      <c r="E107" s="8" t="s">
        <v>925</v>
      </c>
      <c r="F107" s="8" t="s">
        <v>814</v>
      </c>
      <c r="G107" s="10" t="s">
        <v>27</v>
      </c>
      <c r="H107" s="8" t="s">
        <v>926</v>
      </c>
      <c r="I107" s="10" t="s">
        <v>826</v>
      </c>
      <c r="J107" s="8" t="s">
        <v>807</v>
      </c>
      <c r="K107" s="8" t="s">
        <v>27</v>
      </c>
      <c r="L107" s="8" t="s">
        <v>27</v>
      </c>
      <c r="M107" s="10" t="s">
        <v>27</v>
      </c>
      <c r="N107" s="8" t="s">
        <v>27</v>
      </c>
      <c r="O107" s="10" t="s">
        <v>17</v>
      </c>
      <c r="P107" s="8" t="s">
        <v>927</v>
      </c>
      <c r="Q107" s="10" t="s">
        <v>171</v>
      </c>
      <c r="R107" s="10" t="s">
        <v>928</v>
      </c>
      <c r="S107" s="8" t="s">
        <v>168</v>
      </c>
      <c r="T107" s="10" t="s">
        <v>810</v>
      </c>
      <c r="U107" s="10" t="s">
        <v>27</v>
      </c>
    </row>
    <row r="108" spans="1:21" s="10" customFormat="1" x14ac:dyDescent="0.25">
      <c r="A108" s="10" t="s">
        <v>929</v>
      </c>
      <c r="B108" s="10" t="s">
        <v>802</v>
      </c>
      <c r="C108" s="11" t="s">
        <v>164</v>
      </c>
      <c r="D108" s="10" t="s">
        <v>930</v>
      </c>
      <c r="E108" s="8" t="s">
        <v>931</v>
      </c>
      <c r="F108" s="8" t="s">
        <v>842</v>
      </c>
      <c r="G108" s="10" t="s">
        <v>27</v>
      </c>
      <c r="H108" s="8" t="s">
        <v>926</v>
      </c>
      <c r="I108" s="10" t="s">
        <v>815</v>
      </c>
      <c r="J108" s="8" t="s">
        <v>807</v>
      </c>
      <c r="K108" s="8" t="s">
        <v>27</v>
      </c>
      <c r="L108" s="8" t="s">
        <v>27</v>
      </c>
      <c r="M108" s="10" t="s">
        <v>27</v>
      </c>
      <c r="N108" s="8" t="s">
        <v>27</v>
      </c>
      <c r="O108" s="10" t="s">
        <v>17</v>
      </c>
      <c r="P108" s="8" t="s">
        <v>932</v>
      </c>
      <c r="Q108" s="10" t="s">
        <v>777</v>
      </c>
      <c r="R108" s="10" t="s">
        <v>928</v>
      </c>
      <c r="S108" s="8" t="s">
        <v>168</v>
      </c>
      <c r="T108" s="10" t="s">
        <v>810</v>
      </c>
      <c r="U108" s="10" t="s">
        <v>27</v>
      </c>
    </row>
    <row r="109" spans="1:21" s="10" customFormat="1" x14ac:dyDescent="0.25">
      <c r="A109" s="10" t="s">
        <v>933</v>
      </c>
      <c r="B109" s="10" t="s">
        <v>802</v>
      </c>
      <c r="C109" s="11" t="s">
        <v>164</v>
      </c>
      <c r="D109" s="10" t="s">
        <v>934</v>
      </c>
      <c r="E109" s="8" t="s">
        <v>935</v>
      </c>
      <c r="F109" s="8" t="s">
        <v>814</v>
      </c>
      <c r="G109" s="10" t="s">
        <v>27</v>
      </c>
      <c r="H109" s="8" t="s">
        <v>936</v>
      </c>
      <c r="I109" s="10" t="s">
        <v>937</v>
      </c>
      <c r="J109" s="8" t="s">
        <v>807</v>
      </c>
      <c r="K109" s="8" t="s">
        <v>27</v>
      </c>
      <c r="L109" s="8" t="s">
        <v>27</v>
      </c>
      <c r="M109" s="10" t="s">
        <v>27</v>
      </c>
      <c r="N109" s="8" t="s">
        <v>27</v>
      </c>
      <c r="O109" s="10" t="s">
        <v>17</v>
      </c>
      <c r="P109" s="8" t="s">
        <v>938</v>
      </c>
      <c r="Q109" s="10" t="s">
        <v>171</v>
      </c>
      <c r="R109" s="10" t="s">
        <v>939</v>
      </c>
      <c r="S109" s="8" t="s">
        <v>168</v>
      </c>
      <c r="T109" s="10" t="s">
        <v>810</v>
      </c>
      <c r="U109" s="10" t="s">
        <v>27</v>
      </c>
    </row>
    <row r="110" spans="1:21" s="10" customFormat="1" x14ac:dyDescent="0.25">
      <c r="A110" s="10" t="s">
        <v>940</v>
      </c>
      <c r="B110" s="10" t="s">
        <v>802</v>
      </c>
      <c r="C110" s="11" t="s">
        <v>164</v>
      </c>
      <c r="D110" s="10" t="s">
        <v>941</v>
      </c>
      <c r="E110" s="8" t="s">
        <v>942</v>
      </c>
      <c r="F110" s="8" t="s">
        <v>888</v>
      </c>
      <c r="G110" s="10" t="s">
        <v>27</v>
      </c>
      <c r="H110" s="8" t="s">
        <v>936</v>
      </c>
      <c r="I110" s="10" t="s">
        <v>815</v>
      </c>
      <c r="J110" s="8" t="s">
        <v>807</v>
      </c>
      <c r="K110" s="8" t="s">
        <v>27</v>
      </c>
      <c r="L110" s="8" t="s">
        <v>27</v>
      </c>
      <c r="M110" s="10" t="s">
        <v>27</v>
      </c>
      <c r="N110" s="8" t="s">
        <v>27</v>
      </c>
      <c r="O110" s="10" t="s">
        <v>17</v>
      </c>
      <c r="P110" s="8" t="s">
        <v>943</v>
      </c>
      <c r="Q110" s="10" t="s">
        <v>777</v>
      </c>
      <c r="R110" s="10" t="s">
        <v>939</v>
      </c>
      <c r="S110" s="8" t="s">
        <v>168</v>
      </c>
      <c r="T110" s="10" t="s">
        <v>810</v>
      </c>
      <c r="U110" s="10" t="s">
        <v>27</v>
      </c>
    </row>
    <row r="111" spans="1:21" s="10" customFormat="1" x14ac:dyDescent="0.25">
      <c r="A111" s="10" t="s">
        <v>944</v>
      </c>
      <c r="B111" s="10" t="s">
        <v>802</v>
      </c>
      <c r="C111" s="11" t="s">
        <v>164</v>
      </c>
      <c r="D111" s="10" t="s">
        <v>945</v>
      </c>
      <c r="E111" s="8" t="s">
        <v>946</v>
      </c>
      <c r="F111" s="8" t="s">
        <v>947</v>
      </c>
      <c r="G111" s="10" t="s">
        <v>27</v>
      </c>
      <c r="H111" s="8" t="s">
        <v>948</v>
      </c>
      <c r="I111" s="10" t="s">
        <v>821</v>
      </c>
      <c r="J111" s="8" t="s">
        <v>807</v>
      </c>
      <c r="K111" s="8" t="s">
        <v>27</v>
      </c>
      <c r="L111" s="8" t="s">
        <v>27</v>
      </c>
      <c r="M111" s="10" t="s">
        <v>27</v>
      </c>
      <c r="N111" s="8" t="s">
        <v>27</v>
      </c>
      <c r="O111" s="10" t="s">
        <v>17</v>
      </c>
      <c r="P111" s="8" t="s">
        <v>949</v>
      </c>
      <c r="Q111" s="10" t="s">
        <v>777</v>
      </c>
      <c r="R111" s="10" t="s">
        <v>950</v>
      </c>
      <c r="S111" s="8" t="s">
        <v>168</v>
      </c>
      <c r="T111" s="10" t="s">
        <v>810</v>
      </c>
      <c r="U111" s="10" t="s">
        <v>27</v>
      </c>
    </row>
    <row r="112" spans="1:21" s="10" customFormat="1" x14ac:dyDescent="0.25">
      <c r="A112" s="10" t="s">
        <v>951</v>
      </c>
      <c r="B112" s="10" t="s">
        <v>802</v>
      </c>
      <c r="C112" s="11" t="s">
        <v>164</v>
      </c>
      <c r="D112" s="10" t="s">
        <v>952</v>
      </c>
      <c r="E112" s="8" t="s">
        <v>953</v>
      </c>
      <c r="F112" s="8" t="s">
        <v>954</v>
      </c>
      <c r="G112" s="10" t="s">
        <v>27</v>
      </c>
      <c r="H112" s="8" t="s">
        <v>955</v>
      </c>
      <c r="I112" s="10" t="s">
        <v>956</v>
      </c>
      <c r="J112" s="8" t="s">
        <v>807</v>
      </c>
      <c r="K112" s="8" t="s">
        <v>27</v>
      </c>
      <c r="L112" s="8" t="s">
        <v>27</v>
      </c>
      <c r="M112" s="10" t="s">
        <v>27</v>
      </c>
      <c r="N112" s="8" t="s">
        <v>27</v>
      </c>
      <c r="O112" s="10" t="s">
        <v>17</v>
      </c>
      <c r="P112" s="8" t="s">
        <v>957</v>
      </c>
      <c r="Q112" s="10" t="s">
        <v>777</v>
      </c>
      <c r="R112" s="10" t="s">
        <v>958</v>
      </c>
      <c r="S112" s="8" t="s">
        <v>168</v>
      </c>
      <c r="T112" s="10" t="s">
        <v>810</v>
      </c>
      <c r="U112" s="10" t="s">
        <v>27</v>
      </c>
    </row>
    <row r="113" spans="1:21" s="10" customFormat="1" x14ac:dyDescent="0.25">
      <c r="A113" s="10" t="s">
        <v>959</v>
      </c>
      <c r="B113" s="10" t="s">
        <v>802</v>
      </c>
      <c r="C113" s="11" t="s">
        <v>164</v>
      </c>
      <c r="D113" s="10" t="s">
        <v>960</v>
      </c>
      <c r="E113" s="8" t="s">
        <v>961</v>
      </c>
      <c r="F113" s="8" t="s">
        <v>962</v>
      </c>
      <c r="G113" s="10" t="s">
        <v>27</v>
      </c>
      <c r="H113" s="8" t="s">
        <v>963</v>
      </c>
      <c r="I113" s="10" t="s">
        <v>964</v>
      </c>
      <c r="J113" s="8" t="s">
        <v>807</v>
      </c>
      <c r="K113" s="8" t="s">
        <v>27</v>
      </c>
      <c r="L113" s="8" t="s">
        <v>27</v>
      </c>
      <c r="M113" s="10" t="s">
        <v>27</v>
      </c>
      <c r="N113" s="8" t="s">
        <v>27</v>
      </c>
      <c r="O113" s="10" t="s">
        <v>17</v>
      </c>
      <c r="P113" s="8" t="s">
        <v>965</v>
      </c>
      <c r="Q113" s="10" t="s">
        <v>777</v>
      </c>
      <c r="R113" s="10" t="s">
        <v>966</v>
      </c>
      <c r="S113" s="8" t="s">
        <v>168</v>
      </c>
      <c r="T113" s="10" t="s">
        <v>810</v>
      </c>
      <c r="U113" s="10" t="s">
        <v>27</v>
      </c>
    </row>
    <row r="114" spans="1:21" s="10" customFormat="1" x14ac:dyDescent="0.25">
      <c r="A114" s="10" t="s">
        <v>967</v>
      </c>
      <c r="B114" s="10" t="s">
        <v>802</v>
      </c>
      <c r="C114" s="11" t="s">
        <v>164</v>
      </c>
      <c r="D114" s="10" t="s">
        <v>968</v>
      </c>
      <c r="E114" s="8" t="s">
        <v>969</v>
      </c>
      <c r="F114" s="8" t="s">
        <v>970</v>
      </c>
      <c r="G114" s="10" t="s">
        <v>27</v>
      </c>
      <c r="H114" s="8" t="s">
        <v>673</v>
      </c>
      <c r="I114" s="10" t="s">
        <v>542</v>
      </c>
      <c r="J114" s="8" t="s">
        <v>807</v>
      </c>
      <c r="K114" s="8" t="s">
        <v>27</v>
      </c>
      <c r="L114" s="8" t="s">
        <v>27</v>
      </c>
      <c r="M114" s="10" t="s">
        <v>27</v>
      </c>
      <c r="N114" s="8" t="s">
        <v>971</v>
      </c>
      <c r="O114" s="10" t="s">
        <v>17</v>
      </c>
      <c r="P114" s="8" t="s">
        <v>972</v>
      </c>
      <c r="Q114" s="10" t="s">
        <v>171</v>
      </c>
      <c r="R114" s="10" t="s">
        <v>676</v>
      </c>
      <c r="S114" s="8" t="s">
        <v>168</v>
      </c>
      <c r="T114" s="10" t="s">
        <v>810</v>
      </c>
      <c r="U114" s="10" t="s">
        <v>27</v>
      </c>
    </row>
    <row r="115" spans="1:21" s="10" customFormat="1" x14ac:dyDescent="0.25">
      <c r="A115" s="10" t="s">
        <v>973</v>
      </c>
      <c r="B115" s="10" t="s">
        <v>802</v>
      </c>
      <c r="C115" s="11" t="s">
        <v>164</v>
      </c>
      <c r="D115" s="10" t="s">
        <v>974</v>
      </c>
      <c r="E115" s="8" t="s">
        <v>975</v>
      </c>
      <c r="F115" s="8" t="s">
        <v>976</v>
      </c>
      <c r="G115" s="10" t="s">
        <v>27</v>
      </c>
      <c r="H115" s="8" t="s">
        <v>806</v>
      </c>
      <c r="I115" s="10" t="s">
        <v>977</v>
      </c>
      <c r="J115" s="8" t="s">
        <v>807</v>
      </c>
      <c r="K115" s="8" t="s">
        <v>27</v>
      </c>
      <c r="L115" s="8" t="s">
        <v>27</v>
      </c>
      <c r="M115" s="10" t="s">
        <v>27</v>
      </c>
      <c r="N115" s="8" t="s">
        <v>27</v>
      </c>
      <c r="O115" s="10" t="s">
        <v>17</v>
      </c>
      <c r="P115" s="8" t="s">
        <v>978</v>
      </c>
      <c r="Q115" s="10" t="s">
        <v>777</v>
      </c>
      <c r="R115" s="10" t="s">
        <v>353</v>
      </c>
      <c r="S115" s="8" t="s">
        <v>168</v>
      </c>
      <c r="T115" s="10" t="s">
        <v>810</v>
      </c>
      <c r="U115" s="10" t="s">
        <v>27</v>
      </c>
    </row>
    <row r="116" spans="1:21" s="10" customFormat="1" x14ac:dyDescent="0.25">
      <c r="A116" s="10" t="s">
        <v>979</v>
      </c>
      <c r="B116" s="10" t="s">
        <v>802</v>
      </c>
      <c r="C116" s="11" t="s">
        <v>164</v>
      </c>
      <c r="D116" s="10" t="s">
        <v>980</v>
      </c>
      <c r="E116" s="8" t="s">
        <v>981</v>
      </c>
      <c r="F116" s="8" t="s">
        <v>842</v>
      </c>
      <c r="G116" s="10" t="s">
        <v>27</v>
      </c>
      <c r="H116" s="8" t="s">
        <v>673</v>
      </c>
      <c r="I116" s="10" t="s">
        <v>977</v>
      </c>
      <c r="J116" s="8" t="s">
        <v>807</v>
      </c>
      <c r="K116" s="8" t="s">
        <v>27</v>
      </c>
      <c r="L116" s="8" t="s">
        <v>27</v>
      </c>
      <c r="M116" s="10" t="s">
        <v>27</v>
      </c>
      <c r="N116" s="8" t="s">
        <v>27</v>
      </c>
      <c r="O116" s="10" t="s">
        <v>17</v>
      </c>
      <c r="P116" s="8" t="s">
        <v>982</v>
      </c>
      <c r="Q116" s="10" t="s">
        <v>777</v>
      </c>
      <c r="R116" s="10" t="s">
        <v>676</v>
      </c>
      <c r="S116" s="8" t="s">
        <v>168</v>
      </c>
      <c r="T116" s="10" t="s">
        <v>810</v>
      </c>
      <c r="U116" s="10" t="s">
        <v>27</v>
      </c>
    </row>
    <row r="117" spans="1:21" s="10" customFormat="1" x14ac:dyDescent="0.25">
      <c r="A117" s="10" t="s">
        <v>983</v>
      </c>
      <c r="B117" s="10" t="s">
        <v>802</v>
      </c>
      <c r="C117" s="11" t="s">
        <v>164</v>
      </c>
      <c r="D117" s="10" t="s">
        <v>984</v>
      </c>
      <c r="E117" s="8" t="s">
        <v>985</v>
      </c>
      <c r="F117" s="8" t="s">
        <v>814</v>
      </c>
      <c r="G117" s="10" t="s">
        <v>27</v>
      </c>
      <c r="H117" s="8" t="s">
        <v>986</v>
      </c>
      <c r="I117" s="10" t="s">
        <v>977</v>
      </c>
      <c r="J117" s="8" t="s">
        <v>987</v>
      </c>
      <c r="K117" s="8" t="s">
        <v>27</v>
      </c>
      <c r="L117" s="8" t="s">
        <v>27</v>
      </c>
      <c r="M117" s="10" t="s">
        <v>27</v>
      </c>
      <c r="N117" s="8" t="s">
        <v>27</v>
      </c>
      <c r="O117" s="10" t="s">
        <v>17</v>
      </c>
      <c r="P117" s="8" t="s">
        <v>988</v>
      </c>
      <c r="Q117" s="10" t="s">
        <v>171</v>
      </c>
      <c r="R117" s="10" t="s">
        <v>989</v>
      </c>
      <c r="S117" s="8" t="s">
        <v>168</v>
      </c>
      <c r="T117" s="10" t="s">
        <v>810</v>
      </c>
      <c r="U117" s="10" t="s">
        <v>27</v>
      </c>
    </row>
    <row r="118" spans="1:21" s="10" customFormat="1" x14ac:dyDescent="0.25">
      <c r="A118" s="10" t="s">
        <v>990</v>
      </c>
      <c r="B118" s="10" t="s">
        <v>802</v>
      </c>
      <c r="C118" s="11" t="s">
        <v>164</v>
      </c>
      <c r="D118" s="10" t="s">
        <v>991</v>
      </c>
      <c r="E118" s="8" t="s">
        <v>992</v>
      </c>
      <c r="F118" s="8" t="s">
        <v>993</v>
      </c>
      <c r="G118" s="10" t="s">
        <v>27</v>
      </c>
      <c r="H118" s="8" t="s">
        <v>602</v>
      </c>
      <c r="I118" s="10" t="s">
        <v>826</v>
      </c>
      <c r="J118" s="8" t="s">
        <v>807</v>
      </c>
      <c r="K118" s="8" t="s">
        <v>27</v>
      </c>
      <c r="L118" s="8" t="s">
        <v>27</v>
      </c>
      <c r="M118" s="10" t="s">
        <v>27</v>
      </c>
      <c r="N118" s="8" t="s">
        <v>994</v>
      </c>
      <c r="O118" s="10" t="s">
        <v>17</v>
      </c>
      <c r="P118" s="8" t="s">
        <v>995</v>
      </c>
      <c r="Q118" s="10" t="s">
        <v>188</v>
      </c>
      <c r="R118" s="10" t="s">
        <v>605</v>
      </c>
      <c r="S118" s="8" t="s">
        <v>168</v>
      </c>
      <c r="T118" s="10" t="s">
        <v>810</v>
      </c>
      <c r="U118" s="10" t="s">
        <v>27</v>
      </c>
    </row>
    <row r="119" spans="1:21" s="10" customFormat="1" x14ac:dyDescent="0.25">
      <c r="A119" s="10" t="s">
        <v>996</v>
      </c>
      <c r="B119" s="10" t="s">
        <v>802</v>
      </c>
      <c r="C119" s="11" t="s">
        <v>164</v>
      </c>
      <c r="D119" s="10" t="s">
        <v>997</v>
      </c>
      <c r="E119" s="8" t="s">
        <v>998</v>
      </c>
      <c r="F119" s="8" t="s">
        <v>999</v>
      </c>
      <c r="G119" s="10" t="s">
        <v>27</v>
      </c>
      <c r="H119" s="8" t="s">
        <v>602</v>
      </c>
      <c r="I119" s="10" t="s">
        <v>542</v>
      </c>
      <c r="J119" s="8" t="s">
        <v>807</v>
      </c>
      <c r="K119" s="8" t="s">
        <v>27</v>
      </c>
      <c r="L119" s="8" t="s">
        <v>27</v>
      </c>
      <c r="M119" s="10" t="s">
        <v>27</v>
      </c>
      <c r="N119" s="8" t="s">
        <v>728</v>
      </c>
      <c r="O119" s="10" t="s">
        <v>17</v>
      </c>
      <c r="P119" s="8" t="s">
        <v>1000</v>
      </c>
      <c r="Q119" s="10" t="s">
        <v>171</v>
      </c>
      <c r="R119" s="10" t="s">
        <v>353</v>
      </c>
      <c r="S119" s="8" t="s">
        <v>730</v>
      </c>
      <c r="T119" s="10" t="s">
        <v>810</v>
      </c>
      <c r="U119" s="10" t="s">
        <v>27</v>
      </c>
    </row>
    <row r="120" spans="1:21" s="10" customFormat="1" x14ac:dyDescent="0.25">
      <c r="A120" s="10" t="s">
        <v>1001</v>
      </c>
      <c r="B120" s="10" t="s">
        <v>802</v>
      </c>
      <c r="C120" s="11" t="s">
        <v>164</v>
      </c>
      <c r="D120" s="10" t="s">
        <v>1002</v>
      </c>
      <c r="E120" s="8" t="s">
        <v>1003</v>
      </c>
      <c r="F120" s="8" t="s">
        <v>1004</v>
      </c>
      <c r="G120" s="10" t="s">
        <v>27</v>
      </c>
      <c r="H120" s="8" t="s">
        <v>1005</v>
      </c>
      <c r="I120" s="10" t="s">
        <v>487</v>
      </c>
      <c r="J120" s="8" t="s">
        <v>1006</v>
      </c>
      <c r="K120" s="8" t="s">
        <v>27</v>
      </c>
      <c r="L120" s="8" t="s">
        <v>27</v>
      </c>
      <c r="M120" s="10" t="s">
        <v>27</v>
      </c>
      <c r="N120" s="8" t="s">
        <v>1007</v>
      </c>
      <c r="O120" s="10" t="s">
        <v>17</v>
      </c>
      <c r="P120" s="8" t="s">
        <v>1008</v>
      </c>
      <c r="Q120" s="10" t="s">
        <v>171</v>
      </c>
      <c r="R120" s="10" t="s">
        <v>353</v>
      </c>
      <c r="S120" s="8" t="s">
        <v>1009</v>
      </c>
      <c r="T120" s="10" t="s">
        <v>810</v>
      </c>
      <c r="U120" s="10" t="s">
        <v>27</v>
      </c>
    </row>
    <row r="121" spans="1:21" s="10" customFormat="1" x14ac:dyDescent="0.25">
      <c r="A121" s="10" t="s">
        <v>1010</v>
      </c>
      <c r="B121" s="10" t="s">
        <v>802</v>
      </c>
      <c r="C121" s="11" t="s">
        <v>164</v>
      </c>
      <c r="D121" s="10" t="s">
        <v>1011</v>
      </c>
      <c r="E121" s="8" t="s">
        <v>1012</v>
      </c>
      <c r="F121" s="8" t="s">
        <v>1013</v>
      </c>
      <c r="G121" s="10" t="s">
        <v>27</v>
      </c>
      <c r="H121" s="8" t="s">
        <v>1014</v>
      </c>
      <c r="I121" s="10" t="s">
        <v>542</v>
      </c>
      <c r="J121" s="8" t="s">
        <v>1006</v>
      </c>
      <c r="K121" s="8" t="s">
        <v>27</v>
      </c>
      <c r="L121" s="8" t="s">
        <v>27</v>
      </c>
      <c r="M121" s="10" t="s">
        <v>27</v>
      </c>
      <c r="N121" s="8" t="s">
        <v>1015</v>
      </c>
      <c r="O121" s="10" t="s">
        <v>17</v>
      </c>
      <c r="P121" s="8" t="s">
        <v>1016</v>
      </c>
      <c r="Q121" s="10" t="s">
        <v>188</v>
      </c>
      <c r="R121" s="10" t="s">
        <v>605</v>
      </c>
      <c r="S121" s="8" t="s">
        <v>1009</v>
      </c>
      <c r="T121" s="10" t="s">
        <v>810</v>
      </c>
      <c r="U121" s="10" t="s">
        <v>27</v>
      </c>
    </row>
    <row r="122" spans="1:21" s="10" customFormat="1" x14ac:dyDescent="0.25">
      <c r="A122" s="10" t="s">
        <v>1017</v>
      </c>
      <c r="B122" s="10" t="s">
        <v>802</v>
      </c>
      <c r="C122" s="11" t="s">
        <v>164</v>
      </c>
      <c r="D122" s="10" t="s">
        <v>1018</v>
      </c>
      <c r="E122" s="8" t="s">
        <v>1019</v>
      </c>
      <c r="F122" s="8" t="s">
        <v>1020</v>
      </c>
      <c r="G122" s="10" t="s">
        <v>27</v>
      </c>
      <c r="H122" s="8" t="s">
        <v>1021</v>
      </c>
      <c r="I122" s="10" t="s">
        <v>487</v>
      </c>
      <c r="J122" s="8" t="s">
        <v>1006</v>
      </c>
      <c r="K122" s="8" t="s">
        <v>27</v>
      </c>
      <c r="L122" s="8" t="s">
        <v>27</v>
      </c>
      <c r="M122" s="10" t="s">
        <v>27</v>
      </c>
      <c r="N122" s="8" t="s">
        <v>27</v>
      </c>
      <c r="O122" s="10" t="s">
        <v>17</v>
      </c>
      <c r="P122" s="8" t="s">
        <v>1022</v>
      </c>
      <c r="Q122" s="10" t="s">
        <v>188</v>
      </c>
      <c r="R122" s="10" t="s">
        <v>605</v>
      </c>
      <c r="S122" s="8" t="s">
        <v>1009</v>
      </c>
      <c r="T122" s="10" t="s">
        <v>810</v>
      </c>
      <c r="U122" s="10" t="s">
        <v>27</v>
      </c>
    </row>
    <row r="123" spans="1:21" s="10" customFormat="1" x14ac:dyDescent="0.25">
      <c r="A123" s="10" t="s">
        <v>1023</v>
      </c>
      <c r="B123" s="10" t="s">
        <v>802</v>
      </c>
      <c r="C123" s="11" t="s">
        <v>164</v>
      </c>
      <c r="D123" s="10" t="s">
        <v>1024</v>
      </c>
      <c r="E123" s="8" t="s">
        <v>1025</v>
      </c>
      <c r="F123" s="8" t="s">
        <v>1026</v>
      </c>
      <c r="G123" s="10" t="s">
        <v>27</v>
      </c>
      <c r="H123" s="8" t="s">
        <v>1027</v>
      </c>
      <c r="I123" s="10" t="s">
        <v>542</v>
      </c>
      <c r="J123" s="8" t="s">
        <v>1006</v>
      </c>
      <c r="K123" s="8" t="s">
        <v>27</v>
      </c>
      <c r="L123" s="8" t="s">
        <v>27</v>
      </c>
      <c r="M123" s="10" t="s">
        <v>27</v>
      </c>
      <c r="N123" s="8" t="s">
        <v>27</v>
      </c>
      <c r="O123" s="10" t="s">
        <v>17</v>
      </c>
      <c r="P123" s="8" t="s">
        <v>1028</v>
      </c>
      <c r="Q123" s="10" t="s">
        <v>171</v>
      </c>
      <c r="R123" s="10" t="s">
        <v>639</v>
      </c>
      <c r="S123" s="8" t="s">
        <v>1029</v>
      </c>
      <c r="T123" s="10" t="s">
        <v>810</v>
      </c>
      <c r="U123" s="10" t="s">
        <v>27</v>
      </c>
    </row>
    <row r="124" spans="1:21" s="10" customFormat="1" x14ac:dyDescent="0.25">
      <c r="A124" s="10" t="s">
        <v>1030</v>
      </c>
      <c r="B124" s="10" t="s">
        <v>802</v>
      </c>
      <c r="C124" s="10" t="s">
        <v>175</v>
      </c>
      <c r="D124" s="10" t="s">
        <v>1031</v>
      </c>
      <c r="E124" s="8" t="s">
        <v>1032</v>
      </c>
      <c r="F124" s="8" t="s">
        <v>1033</v>
      </c>
      <c r="G124" s="10" t="s">
        <v>27</v>
      </c>
      <c r="H124" s="8" t="s">
        <v>602</v>
      </c>
      <c r="I124" s="10" t="s">
        <v>826</v>
      </c>
      <c r="J124" s="8" t="s">
        <v>807</v>
      </c>
      <c r="K124" s="8" t="s">
        <v>27</v>
      </c>
      <c r="L124" s="8" t="s">
        <v>27</v>
      </c>
      <c r="M124" s="10" t="s">
        <v>27</v>
      </c>
      <c r="N124" s="8" t="s">
        <v>1034</v>
      </c>
      <c r="O124" s="10" t="s">
        <v>17</v>
      </c>
      <c r="P124" s="8" t="s">
        <v>1035</v>
      </c>
      <c r="Q124" s="10" t="s">
        <v>188</v>
      </c>
      <c r="R124" s="10" t="s">
        <v>605</v>
      </c>
      <c r="S124" s="8" t="s">
        <v>168</v>
      </c>
      <c r="T124" s="10" t="s">
        <v>810</v>
      </c>
      <c r="U124" s="10" t="s">
        <v>27</v>
      </c>
    </row>
    <row r="125" spans="1:21" s="10" customFormat="1" x14ac:dyDescent="0.25">
      <c r="A125" s="10" t="s">
        <v>1036</v>
      </c>
      <c r="B125" s="10" t="s">
        <v>802</v>
      </c>
      <c r="C125" s="10" t="s">
        <v>175</v>
      </c>
      <c r="D125" s="10" t="s">
        <v>1037</v>
      </c>
      <c r="E125" s="8" t="s">
        <v>1038</v>
      </c>
      <c r="F125" s="8" t="s">
        <v>1039</v>
      </c>
      <c r="G125" s="10" t="s">
        <v>27</v>
      </c>
      <c r="H125" s="8" t="s">
        <v>602</v>
      </c>
      <c r="I125" s="10" t="s">
        <v>826</v>
      </c>
      <c r="J125" s="8" t="s">
        <v>807</v>
      </c>
      <c r="K125" s="8" t="s">
        <v>27</v>
      </c>
      <c r="L125" s="8" t="s">
        <v>27</v>
      </c>
      <c r="M125" s="10" t="s">
        <v>27</v>
      </c>
      <c r="N125" s="8" t="s">
        <v>27</v>
      </c>
      <c r="O125" s="10" t="s">
        <v>17</v>
      </c>
      <c r="P125" s="8" t="s">
        <v>1040</v>
      </c>
      <c r="Q125" s="10" t="s">
        <v>188</v>
      </c>
      <c r="R125" s="10" t="s">
        <v>605</v>
      </c>
      <c r="S125" s="8" t="s">
        <v>168</v>
      </c>
      <c r="T125" s="10" t="s">
        <v>810</v>
      </c>
      <c r="U125" s="10" t="s">
        <v>27</v>
      </c>
    </row>
    <row r="126" spans="1:21" s="10" customFormat="1" x14ac:dyDescent="0.25">
      <c r="A126" s="10" t="s">
        <v>1041</v>
      </c>
      <c r="B126" s="10" t="s">
        <v>802</v>
      </c>
      <c r="C126" s="10" t="s">
        <v>175</v>
      </c>
      <c r="D126" s="10" t="s">
        <v>1042</v>
      </c>
      <c r="E126" s="8" t="s">
        <v>1043</v>
      </c>
      <c r="F126" s="8" t="s">
        <v>1044</v>
      </c>
      <c r="G126" s="10" t="s">
        <v>27</v>
      </c>
      <c r="H126" s="8" t="s">
        <v>168</v>
      </c>
      <c r="I126" s="10" t="s">
        <v>27</v>
      </c>
      <c r="J126" s="8" t="s">
        <v>168</v>
      </c>
      <c r="K126" s="8" t="s">
        <v>27</v>
      </c>
      <c r="L126" s="8" t="s">
        <v>27</v>
      </c>
      <c r="M126" s="10" t="s">
        <v>27</v>
      </c>
      <c r="N126" s="8" t="s">
        <v>27</v>
      </c>
      <c r="O126" s="10" t="s">
        <v>17</v>
      </c>
      <c r="P126" s="8" t="s">
        <v>1045</v>
      </c>
      <c r="Q126" s="10" t="s">
        <v>188</v>
      </c>
      <c r="R126" s="10" t="s">
        <v>639</v>
      </c>
      <c r="S126" s="8" t="s">
        <v>168</v>
      </c>
      <c r="T126" s="10" t="s">
        <v>810</v>
      </c>
      <c r="U126" s="10" t="s">
        <v>27</v>
      </c>
    </row>
    <row r="127" spans="1:21" s="10" customFormat="1" x14ac:dyDescent="0.25">
      <c r="A127" s="10" t="s">
        <v>1046</v>
      </c>
      <c r="B127" s="10" t="s">
        <v>802</v>
      </c>
      <c r="C127" s="10" t="s">
        <v>175</v>
      </c>
      <c r="D127" s="10" t="s">
        <v>1047</v>
      </c>
      <c r="E127" s="8" t="s">
        <v>1048</v>
      </c>
      <c r="F127" s="8" t="s">
        <v>1049</v>
      </c>
      <c r="G127" s="10" t="s">
        <v>27</v>
      </c>
      <c r="H127" s="8" t="s">
        <v>673</v>
      </c>
      <c r="I127" s="10" t="s">
        <v>542</v>
      </c>
      <c r="J127" s="8" t="s">
        <v>807</v>
      </c>
      <c r="K127" s="8" t="s">
        <v>27</v>
      </c>
      <c r="L127" s="8" t="s">
        <v>27</v>
      </c>
      <c r="M127" s="10" t="s">
        <v>27</v>
      </c>
      <c r="N127" s="8" t="s">
        <v>27</v>
      </c>
      <c r="O127" s="10" t="s">
        <v>17</v>
      </c>
      <c r="P127" s="8" t="s">
        <v>1050</v>
      </c>
      <c r="Q127" s="10" t="s">
        <v>171</v>
      </c>
      <c r="R127" s="10" t="s">
        <v>676</v>
      </c>
      <c r="S127" s="8" t="s">
        <v>168</v>
      </c>
      <c r="T127" s="10" t="s">
        <v>810</v>
      </c>
      <c r="U127" s="10" t="s">
        <v>27</v>
      </c>
    </row>
    <row r="128" spans="1:21" s="10" customFormat="1" x14ac:dyDescent="0.25">
      <c r="A128" s="10" t="s">
        <v>1051</v>
      </c>
      <c r="B128" s="10" t="s">
        <v>802</v>
      </c>
      <c r="C128" s="10" t="s">
        <v>175</v>
      </c>
      <c r="D128" s="10" t="s">
        <v>1052</v>
      </c>
      <c r="E128" s="8" t="s">
        <v>1053</v>
      </c>
      <c r="F128" s="8" t="s">
        <v>1054</v>
      </c>
      <c r="G128" s="10" t="s">
        <v>27</v>
      </c>
      <c r="H128" s="8" t="s">
        <v>602</v>
      </c>
      <c r="I128" s="10" t="s">
        <v>542</v>
      </c>
      <c r="J128" s="8" t="s">
        <v>807</v>
      </c>
      <c r="K128" s="8" t="s">
        <v>27</v>
      </c>
      <c r="L128" s="8" t="s">
        <v>27</v>
      </c>
      <c r="M128" s="10" t="s">
        <v>27</v>
      </c>
      <c r="N128" s="8" t="s">
        <v>27</v>
      </c>
      <c r="O128" s="10" t="s">
        <v>17</v>
      </c>
      <c r="P128" s="8" t="s">
        <v>1055</v>
      </c>
      <c r="Q128" s="10" t="s">
        <v>171</v>
      </c>
      <c r="R128" s="10" t="s">
        <v>605</v>
      </c>
      <c r="S128" s="8" t="s">
        <v>168</v>
      </c>
      <c r="T128" s="10" t="s">
        <v>810</v>
      </c>
      <c r="U128" s="10" t="s">
        <v>27</v>
      </c>
    </row>
    <row r="129" spans="1:21" s="10" customFormat="1" x14ac:dyDescent="0.25">
      <c r="A129" s="10" t="s">
        <v>1056</v>
      </c>
      <c r="B129" s="10" t="s">
        <v>802</v>
      </c>
      <c r="C129" s="11" t="s">
        <v>164</v>
      </c>
      <c r="D129" s="10" t="s">
        <v>1057</v>
      </c>
      <c r="E129" s="8" t="s">
        <v>1058</v>
      </c>
      <c r="F129" s="8" t="s">
        <v>1059</v>
      </c>
      <c r="G129" s="10" t="s">
        <v>27</v>
      </c>
      <c r="H129" s="8" t="s">
        <v>1060</v>
      </c>
      <c r="I129" s="10" t="s">
        <v>1061</v>
      </c>
      <c r="J129" s="8" t="s">
        <v>807</v>
      </c>
      <c r="K129" s="8" t="s">
        <v>27</v>
      </c>
      <c r="L129" s="8" t="s">
        <v>27</v>
      </c>
      <c r="M129" s="10" t="s">
        <v>27</v>
      </c>
      <c r="N129" s="8" t="s">
        <v>1062</v>
      </c>
      <c r="O129" s="10" t="s">
        <v>17</v>
      </c>
      <c r="P129" s="8" t="s">
        <v>1063</v>
      </c>
      <c r="Q129" s="10" t="s">
        <v>188</v>
      </c>
      <c r="R129" s="10" t="s">
        <v>353</v>
      </c>
      <c r="S129" s="8" t="s">
        <v>1064</v>
      </c>
      <c r="T129" s="10" t="s">
        <v>810</v>
      </c>
      <c r="U129" s="10" t="s">
        <v>27</v>
      </c>
    </row>
    <row r="130" spans="1:21" s="10" customFormat="1" x14ac:dyDescent="0.25">
      <c r="A130" s="10" t="s">
        <v>1065</v>
      </c>
      <c r="B130" s="10" t="s">
        <v>802</v>
      </c>
      <c r="C130" s="11" t="s">
        <v>164</v>
      </c>
      <c r="D130" s="10" t="s">
        <v>1066</v>
      </c>
      <c r="E130" s="8" t="s">
        <v>1067</v>
      </c>
      <c r="F130" s="8" t="s">
        <v>1068</v>
      </c>
      <c r="G130" s="10" t="s">
        <v>27</v>
      </c>
      <c r="H130" s="8" t="s">
        <v>1069</v>
      </c>
      <c r="I130" s="10" t="s">
        <v>1070</v>
      </c>
      <c r="J130" s="8" t="s">
        <v>807</v>
      </c>
      <c r="K130" s="8" t="s">
        <v>27</v>
      </c>
      <c r="L130" s="8" t="s">
        <v>27</v>
      </c>
      <c r="M130" s="10" t="s">
        <v>27</v>
      </c>
      <c r="N130" s="8" t="s">
        <v>27</v>
      </c>
      <c r="O130" s="10" t="s">
        <v>17</v>
      </c>
      <c r="P130" s="8" t="s">
        <v>1071</v>
      </c>
      <c r="Q130" s="10" t="s">
        <v>188</v>
      </c>
      <c r="R130" s="10" t="s">
        <v>353</v>
      </c>
      <c r="S130" s="8" t="s">
        <v>1064</v>
      </c>
      <c r="T130" s="10" t="s">
        <v>810</v>
      </c>
      <c r="U130" s="10" t="s">
        <v>27</v>
      </c>
    </row>
    <row r="131" spans="1:21" s="10" customFormat="1" x14ac:dyDescent="0.25">
      <c r="A131" s="10" t="s">
        <v>1072</v>
      </c>
      <c r="B131" s="10" t="s">
        <v>802</v>
      </c>
      <c r="C131" s="10" t="s">
        <v>175</v>
      </c>
      <c r="D131" s="10" t="s">
        <v>1073</v>
      </c>
      <c r="E131" s="8" t="s">
        <v>1074</v>
      </c>
      <c r="F131" s="8" t="s">
        <v>1075</v>
      </c>
      <c r="G131" s="10" t="s">
        <v>27</v>
      </c>
      <c r="H131" s="8" t="s">
        <v>1076</v>
      </c>
      <c r="I131" s="10" t="s">
        <v>542</v>
      </c>
      <c r="J131" s="8" t="s">
        <v>807</v>
      </c>
      <c r="K131" s="8" t="s">
        <v>27</v>
      </c>
      <c r="L131" s="8" t="s">
        <v>27</v>
      </c>
      <c r="M131" s="10" t="s">
        <v>27</v>
      </c>
      <c r="N131" s="8" t="s">
        <v>27</v>
      </c>
      <c r="O131" s="10" t="s">
        <v>17</v>
      </c>
      <c r="P131" s="8" t="s">
        <v>1077</v>
      </c>
      <c r="Q131" s="10" t="s">
        <v>188</v>
      </c>
      <c r="R131" s="10" t="s">
        <v>1076</v>
      </c>
      <c r="S131" s="8" t="s">
        <v>168</v>
      </c>
      <c r="T131" s="10" t="s">
        <v>810</v>
      </c>
      <c r="U131" s="10" t="s">
        <v>27</v>
      </c>
    </row>
    <row r="132" spans="1:21" s="10" customFormat="1" x14ac:dyDescent="0.25">
      <c r="A132" s="10" t="s">
        <v>1078</v>
      </c>
      <c r="B132" s="10" t="s">
        <v>802</v>
      </c>
      <c r="C132" s="10" t="s">
        <v>175</v>
      </c>
      <c r="D132" s="10" t="s">
        <v>1079</v>
      </c>
      <c r="E132" s="8" t="s">
        <v>1080</v>
      </c>
      <c r="F132" s="8" t="s">
        <v>1081</v>
      </c>
      <c r="G132" s="10" t="s">
        <v>27</v>
      </c>
      <c r="H132" s="8" t="s">
        <v>602</v>
      </c>
      <c r="I132" s="10" t="s">
        <v>826</v>
      </c>
      <c r="J132" s="8" t="s">
        <v>807</v>
      </c>
      <c r="K132" s="8" t="s">
        <v>27</v>
      </c>
      <c r="L132" s="8" t="s">
        <v>27</v>
      </c>
      <c r="M132" s="10" t="s">
        <v>27</v>
      </c>
      <c r="N132" s="8" t="s">
        <v>27</v>
      </c>
      <c r="O132" s="10" t="s">
        <v>17</v>
      </c>
      <c r="P132" s="8" t="s">
        <v>1082</v>
      </c>
      <c r="Q132" s="10" t="s">
        <v>188</v>
      </c>
      <c r="R132" s="10" t="s">
        <v>605</v>
      </c>
      <c r="S132" s="8" t="s">
        <v>168</v>
      </c>
      <c r="T132" s="10" t="s">
        <v>810</v>
      </c>
      <c r="U132" s="10" t="s">
        <v>27</v>
      </c>
    </row>
    <row r="133" spans="1:21" s="10" customFormat="1" x14ac:dyDescent="0.25">
      <c r="A133" s="10" t="s">
        <v>1083</v>
      </c>
      <c r="B133" s="10" t="s">
        <v>1084</v>
      </c>
      <c r="C133" s="11" t="s">
        <v>164</v>
      </c>
      <c r="D133" s="10" t="s">
        <v>1085</v>
      </c>
      <c r="E133" s="8" t="s">
        <v>1086</v>
      </c>
      <c r="F133" s="8" t="s">
        <v>1087</v>
      </c>
      <c r="G133" s="10" t="s">
        <v>27</v>
      </c>
      <c r="H133" s="8" t="s">
        <v>848</v>
      </c>
      <c r="I133" s="10" t="s">
        <v>1088</v>
      </c>
      <c r="J133" s="8" t="s">
        <v>1089</v>
      </c>
      <c r="K133" s="8" t="s">
        <v>27</v>
      </c>
      <c r="L133" s="8" t="s">
        <v>27</v>
      </c>
      <c r="M133" s="10" t="s">
        <v>27</v>
      </c>
      <c r="N133" s="8" t="s">
        <v>1090</v>
      </c>
      <c r="O133" s="10" t="s">
        <v>17</v>
      </c>
      <c r="P133" s="8" t="s">
        <v>1091</v>
      </c>
      <c r="Q133" s="10" t="s">
        <v>777</v>
      </c>
      <c r="R133" s="10" t="s">
        <v>851</v>
      </c>
      <c r="S133" s="8" t="s">
        <v>1009</v>
      </c>
      <c r="T133" s="10" t="s">
        <v>1092</v>
      </c>
      <c r="U133" s="10" t="s">
        <v>27</v>
      </c>
    </row>
    <row r="134" spans="1:21" s="10" customFormat="1" x14ac:dyDescent="0.25">
      <c r="A134" s="10" t="s">
        <v>1093</v>
      </c>
      <c r="B134" s="10" t="s">
        <v>1084</v>
      </c>
      <c r="C134" s="11" t="s">
        <v>164</v>
      </c>
      <c r="D134" s="10" t="s">
        <v>1094</v>
      </c>
      <c r="E134" s="8" t="s">
        <v>1095</v>
      </c>
      <c r="F134" s="8" t="s">
        <v>1096</v>
      </c>
      <c r="G134" s="10" t="s">
        <v>27</v>
      </c>
      <c r="H134" s="8" t="s">
        <v>848</v>
      </c>
      <c r="I134" s="10" t="s">
        <v>1097</v>
      </c>
      <c r="J134" s="8" t="s">
        <v>1089</v>
      </c>
      <c r="K134" s="8" t="s">
        <v>27</v>
      </c>
      <c r="L134" s="8" t="s">
        <v>27</v>
      </c>
      <c r="M134" s="10" t="s">
        <v>27</v>
      </c>
      <c r="N134" s="8" t="s">
        <v>1098</v>
      </c>
      <c r="O134" s="10" t="s">
        <v>17</v>
      </c>
      <c r="P134" s="8" t="s">
        <v>1099</v>
      </c>
      <c r="Q134" s="10" t="s">
        <v>777</v>
      </c>
      <c r="R134" s="10" t="s">
        <v>851</v>
      </c>
      <c r="S134" s="8" t="s">
        <v>1009</v>
      </c>
      <c r="T134" s="10" t="s">
        <v>1092</v>
      </c>
      <c r="U134" s="10" t="s">
        <v>27</v>
      </c>
    </row>
    <row r="135" spans="1:21" s="10" customFormat="1" x14ac:dyDescent="0.25">
      <c r="A135" s="10" t="s">
        <v>1100</v>
      </c>
      <c r="B135" s="10" t="s">
        <v>1084</v>
      </c>
      <c r="C135" s="11" t="s">
        <v>164</v>
      </c>
      <c r="D135" s="10" t="s">
        <v>1101</v>
      </c>
      <c r="E135" s="8" t="s">
        <v>1102</v>
      </c>
      <c r="F135" s="8" t="s">
        <v>1103</v>
      </c>
      <c r="G135" s="10" t="s">
        <v>27</v>
      </c>
      <c r="H135" s="8" t="s">
        <v>618</v>
      </c>
      <c r="I135" s="10" t="s">
        <v>1104</v>
      </c>
      <c r="J135" s="8" t="s">
        <v>1089</v>
      </c>
      <c r="K135" s="8" t="s">
        <v>27</v>
      </c>
      <c r="L135" s="8" t="s">
        <v>27</v>
      </c>
      <c r="M135" s="10" t="s">
        <v>27</v>
      </c>
      <c r="N135" s="8" t="s">
        <v>27</v>
      </c>
      <c r="O135" s="10" t="s">
        <v>17</v>
      </c>
      <c r="P135" s="8" t="s">
        <v>1105</v>
      </c>
      <c r="Q135" s="10" t="s">
        <v>171</v>
      </c>
      <c r="R135" s="10" t="s">
        <v>639</v>
      </c>
      <c r="S135" s="8" t="s">
        <v>1009</v>
      </c>
      <c r="T135" s="10" t="s">
        <v>1092</v>
      </c>
      <c r="U135" s="10" t="s">
        <v>27</v>
      </c>
    </row>
    <row r="136" spans="1:21" s="10" customFormat="1" x14ac:dyDescent="0.25">
      <c r="A136" s="10" t="s">
        <v>1106</v>
      </c>
      <c r="B136" s="10" t="s">
        <v>1084</v>
      </c>
      <c r="C136" s="11" t="s">
        <v>164</v>
      </c>
      <c r="D136" s="10" t="s">
        <v>1107</v>
      </c>
      <c r="E136" s="8" t="s">
        <v>1108</v>
      </c>
      <c r="F136" s="8" t="s">
        <v>1109</v>
      </c>
      <c r="G136" s="10" t="s">
        <v>27</v>
      </c>
      <c r="H136" s="8" t="s">
        <v>602</v>
      </c>
      <c r="I136" s="10" t="s">
        <v>487</v>
      </c>
      <c r="J136" s="8" t="s">
        <v>1110</v>
      </c>
      <c r="K136" s="8" t="s">
        <v>27</v>
      </c>
      <c r="L136" s="8" t="s">
        <v>27</v>
      </c>
      <c r="M136" s="10" t="s">
        <v>27</v>
      </c>
      <c r="N136" s="8" t="s">
        <v>27</v>
      </c>
      <c r="O136" s="10" t="s">
        <v>17</v>
      </c>
      <c r="P136" s="8" t="s">
        <v>1111</v>
      </c>
      <c r="Q136" s="10" t="s">
        <v>777</v>
      </c>
      <c r="R136" s="10" t="s">
        <v>605</v>
      </c>
      <c r="S136" s="8" t="s">
        <v>1009</v>
      </c>
      <c r="T136" s="10" t="s">
        <v>1092</v>
      </c>
      <c r="U136" s="10" t="s">
        <v>27</v>
      </c>
    </row>
    <row r="137" spans="1:21" s="10" customFormat="1" x14ac:dyDescent="0.25">
      <c r="A137" s="10" t="s">
        <v>1112</v>
      </c>
      <c r="B137" s="10" t="s">
        <v>1084</v>
      </c>
      <c r="C137" s="11" t="s">
        <v>164</v>
      </c>
      <c r="D137" s="10" t="s">
        <v>1113</v>
      </c>
      <c r="E137" s="8" t="s">
        <v>1114</v>
      </c>
      <c r="F137" s="8" t="s">
        <v>1115</v>
      </c>
      <c r="G137" s="10" t="s">
        <v>27</v>
      </c>
      <c r="H137" s="8" t="s">
        <v>1116</v>
      </c>
      <c r="I137" s="10" t="s">
        <v>1117</v>
      </c>
      <c r="J137" s="8" t="s">
        <v>1089</v>
      </c>
      <c r="K137" s="8" t="s">
        <v>27</v>
      </c>
      <c r="L137" s="8" t="s">
        <v>27</v>
      </c>
      <c r="M137" s="10" t="s">
        <v>27</v>
      </c>
      <c r="N137" s="8" t="s">
        <v>1118</v>
      </c>
      <c r="O137" s="10" t="s">
        <v>17</v>
      </c>
      <c r="P137" s="8" t="s">
        <v>1119</v>
      </c>
      <c r="Q137" s="10" t="s">
        <v>777</v>
      </c>
      <c r="R137" s="10" t="s">
        <v>1120</v>
      </c>
      <c r="S137" s="8" t="s">
        <v>1009</v>
      </c>
      <c r="T137" s="10" t="s">
        <v>1092</v>
      </c>
      <c r="U137" s="10" t="s">
        <v>27</v>
      </c>
    </row>
    <row r="138" spans="1:21" s="10" customFormat="1" x14ac:dyDescent="0.25">
      <c r="A138" s="10" t="s">
        <v>1121</v>
      </c>
      <c r="B138" s="10" t="s">
        <v>1084</v>
      </c>
      <c r="C138" s="11" t="s">
        <v>164</v>
      </c>
      <c r="D138" s="10" t="s">
        <v>1122</v>
      </c>
      <c r="E138" s="8" t="s">
        <v>1123</v>
      </c>
      <c r="F138" s="8" t="s">
        <v>1124</v>
      </c>
      <c r="G138" s="10" t="s">
        <v>27</v>
      </c>
      <c r="H138" s="8" t="s">
        <v>986</v>
      </c>
      <c r="I138" s="10" t="s">
        <v>542</v>
      </c>
      <c r="J138" s="8" t="s">
        <v>1125</v>
      </c>
      <c r="K138" s="8" t="s">
        <v>27</v>
      </c>
      <c r="L138" s="8" t="s">
        <v>27</v>
      </c>
      <c r="M138" s="10" t="s">
        <v>27</v>
      </c>
      <c r="N138" s="8" t="s">
        <v>1126</v>
      </c>
      <c r="O138" s="10" t="s">
        <v>17</v>
      </c>
      <c r="P138" s="8" t="s">
        <v>1127</v>
      </c>
      <c r="Q138" s="10" t="s">
        <v>188</v>
      </c>
      <c r="R138" s="10" t="s">
        <v>989</v>
      </c>
      <c r="S138" s="8" t="s">
        <v>537</v>
      </c>
      <c r="T138" s="10" t="s">
        <v>1092</v>
      </c>
      <c r="U138" s="10" t="s">
        <v>27</v>
      </c>
    </row>
    <row r="139" spans="1:21" s="10" customFormat="1" x14ac:dyDescent="0.25">
      <c r="A139" s="10" t="s">
        <v>1128</v>
      </c>
      <c r="B139" s="10" t="s">
        <v>1084</v>
      </c>
      <c r="C139" s="11" t="s">
        <v>164</v>
      </c>
      <c r="D139" s="10" t="s">
        <v>1129</v>
      </c>
      <c r="E139" s="8" t="s">
        <v>1130</v>
      </c>
      <c r="F139" s="8" t="s">
        <v>1131</v>
      </c>
      <c r="G139" s="10" t="s">
        <v>27</v>
      </c>
      <c r="H139" s="8" t="s">
        <v>848</v>
      </c>
      <c r="I139" s="10" t="s">
        <v>1088</v>
      </c>
      <c r="J139" s="8" t="s">
        <v>1089</v>
      </c>
      <c r="K139" s="8" t="s">
        <v>27</v>
      </c>
      <c r="L139" s="8" t="s">
        <v>27</v>
      </c>
      <c r="M139" s="10" t="s">
        <v>27</v>
      </c>
      <c r="N139" s="8" t="s">
        <v>1132</v>
      </c>
      <c r="O139" s="10" t="s">
        <v>17</v>
      </c>
      <c r="P139" s="8" t="s">
        <v>1133</v>
      </c>
      <c r="Q139" s="10" t="s">
        <v>188</v>
      </c>
      <c r="R139" s="10" t="s">
        <v>851</v>
      </c>
      <c r="S139" s="8" t="s">
        <v>1134</v>
      </c>
      <c r="T139" s="10" t="s">
        <v>1092</v>
      </c>
      <c r="U139" s="10" t="s">
        <v>27</v>
      </c>
    </row>
    <row r="140" spans="1:21" s="10" customFormat="1" x14ac:dyDescent="0.25">
      <c r="A140" s="10" t="s">
        <v>1135</v>
      </c>
      <c r="B140" s="10" t="s">
        <v>1084</v>
      </c>
      <c r="C140" s="10" t="s">
        <v>175</v>
      </c>
      <c r="D140" s="10" t="s">
        <v>1136</v>
      </c>
      <c r="E140" s="8" t="s">
        <v>1137</v>
      </c>
      <c r="F140" s="8" t="s">
        <v>1138</v>
      </c>
      <c r="G140" s="10" t="s">
        <v>27</v>
      </c>
      <c r="H140" s="8" t="s">
        <v>1139</v>
      </c>
      <c r="I140" s="10" t="s">
        <v>542</v>
      </c>
      <c r="J140" s="8" t="s">
        <v>1089</v>
      </c>
      <c r="K140" s="8" t="s">
        <v>27</v>
      </c>
      <c r="L140" s="8" t="s">
        <v>27</v>
      </c>
      <c r="M140" s="10" t="s">
        <v>27</v>
      </c>
      <c r="N140" s="8" t="s">
        <v>27</v>
      </c>
      <c r="O140" s="10" t="s">
        <v>17</v>
      </c>
      <c r="P140" s="8" t="s">
        <v>1140</v>
      </c>
      <c r="Q140" s="10" t="s">
        <v>777</v>
      </c>
      <c r="R140" s="10" t="s">
        <v>1141</v>
      </c>
      <c r="S140" s="8" t="s">
        <v>1009</v>
      </c>
      <c r="T140" s="10" t="s">
        <v>202</v>
      </c>
      <c r="U140" s="10" t="s">
        <v>27</v>
      </c>
    </row>
    <row r="141" spans="1:21" s="10" customFormat="1" x14ac:dyDescent="0.25">
      <c r="A141" s="10" t="s">
        <v>1142</v>
      </c>
      <c r="B141" s="10" t="s">
        <v>1084</v>
      </c>
      <c r="C141" s="10" t="s">
        <v>175</v>
      </c>
      <c r="D141" s="10" t="s">
        <v>1143</v>
      </c>
      <c r="E141" s="8" t="s">
        <v>1144</v>
      </c>
      <c r="F141" s="8" t="s">
        <v>1145</v>
      </c>
      <c r="G141" s="10" t="s">
        <v>27</v>
      </c>
      <c r="H141" s="8" t="s">
        <v>1146</v>
      </c>
      <c r="I141" s="10" t="s">
        <v>832</v>
      </c>
      <c r="J141" s="8" t="s">
        <v>1089</v>
      </c>
      <c r="K141" s="8" t="s">
        <v>27</v>
      </c>
      <c r="L141" s="8" t="s">
        <v>27</v>
      </c>
      <c r="M141" s="10" t="s">
        <v>27</v>
      </c>
      <c r="N141" s="8" t="s">
        <v>27</v>
      </c>
      <c r="O141" s="10" t="s">
        <v>17</v>
      </c>
      <c r="P141" s="8" t="s">
        <v>1147</v>
      </c>
      <c r="Q141" s="10" t="s">
        <v>777</v>
      </c>
      <c r="R141" s="10" t="s">
        <v>1141</v>
      </c>
      <c r="S141" s="8" t="s">
        <v>1009</v>
      </c>
      <c r="T141" s="10" t="s">
        <v>202</v>
      </c>
      <c r="U141" s="10" t="s">
        <v>27</v>
      </c>
    </row>
    <row r="142" spans="1:21" s="10" customFormat="1" x14ac:dyDescent="0.25">
      <c r="A142" s="10" t="s">
        <v>1148</v>
      </c>
      <c r="B142" s="10" t="s">
        <v>1084</v>
      </c>
      <c r="C142" s="10" t="s">
        <v>175</v>
      </c>
      <c r="D142" s="10" t="s">
        <v>1149</v>
      </c>
      <c r="E142" s="8" t="s">
        <v>1150</v>
      </c>
      <c r="F142" s="8" t="s">
        <v>1151</v>
      </c>
      <c r="G142" s="10" t="s">
        <v>27</v>
      </c>
      <c r="H142" s="8" t="s">
        <v>1152</v>
      </c>
      <c r="I142" s="10" t="s">
        <v>542</v>
      </c>
      <c r="J142" s="8" t="s">
        <v>1006</v>
      </c>
      <c r="K142" s="8" t="s">
        <v>27</v>
      </c>
      <c r="L142" s="8" t="s">
        <v>27</v>
      </c>
      <c r="M142" s="10" t="s">
        <v>27</v>
      </c>
      <c r="N142" s="8" t="s">
        <v>27</v>
      </c>
      <c r="O142" s="10" t="s">
        <v>17</v>
      </c>
      <c r="P142" s="8" t="s">
        <v>1153</v>
      </c>
      <c r="Q142" s="10" t="s">
        <v>171</v>
      </c>
      <c r="R142" s="10" t="s">
        <v>1154</v>
      </c>
      <c r="S142" s="8" t="s">
        <v>1009</v>
      </c>
      <c r="T142" s="10" t="s">
        <v>1092</v>
      </c>
      <c r="U142" s="10" t="s">
        <v>27</v>
      </c>
    </row>
    <row r="143" spans="1:21" s="10" customFormat="1" x14ac:dyDescent="0.25">
      <c r="A143" s="10" t="s">
        <v>1155</v>
      </c>
      <c r="B143" s="10" t="s">
        <v>1084</v>
      </c>
      <c r="C143" s="10" t="s">
        <v>175</v>
      </c>
      <c r="D143" s="10" t="s">
        <v>1156</v>
      </c>
      <c r="E143" s="8" t="s">
        <v>1157</v>
      </c>
      <c r="F143" s="8" t="s">
        <v>1158</v>
      </c>
      <c r="G143" s="10" t="s">
        <v>27</v>
      </c>
      <c r="H143" s="8" t="s">
        <v>1159</v>
      </c>
      <c r="I143" s="10" t="s">
        <v>542</v>
      </c>
      <c r="J143" s="8" t="s">
        <v>1006</v>
      </c>
      <c r="K143" s="8" t="s">
        <v>27</v>
      </c>
      <c r="L143" s="8" t="s">
        <v>27</v>
      </c>
      <c r="M143" s="10" t="s">
        <v>27</v>
      </c>
      <c r="N143" s="8" t="s">
        <v>1160</v>
      </c>
      <c r="O143" s="10" t="s">
        <v>17</v>
      </c>
      <c r="P143" s="8" t="s">
        <v>1161</v>
      </c>
      <c r="Q143" s="10" t="s">
        <v>171</v>
      </c>
      <c r="R143" s="10" t="s">
        <v>1154</v>
      </c>
      <c r="S143" s="8" t="s">
        <v>1009</v>
      </c>
      <c r="T143" s="10" t="s">
        <v>1092</v>
      </c>
      <c r="U143" s="10" t="s">
        <v>27</v>
      </c>
    </row>
    <row r="144" spans="1:21" s="10" customFormat="1" x14ac:dyDescent="0.25">
      <c r="A144" s="10" t="s">
        <v>1162</v>
      </c>
      <c r="B144" s="10" t="s">
        <v>1084</v>
      </c>
      <c r="C144" s="10" t="s">
        <v>175</v>
      </c>
      <c r="D144" s="10" t="s">
        <v>1163</v>
      </c>
      <c r="E144" s="8" t="s">
        <v>1164</v>
      </c>
      <c r="F144" s="8" t="s">
        <v>1165</v>
      </c>
      <c r="G144" s="10" t="s">
        <v>27</v>
      </c>
      <c r="H144" s="8" t="s">
        <v>1159</v>
      </c>
      <c r="I144" s="10" t="s">
        <v>1166</v>
      </c>
      <c r="J144" s="8" t="s">
        <v>1006</v>
      </c>
      <c r="K144" s="8" t="s">
        <v>27</v>
      </c>
      <c r="L144" s="8" t="s">
        <v>27</v>
      </c>
      <c r="M144" s="10" t="s">
        <v>27</v>
      </c>
      <c r="N144" s="8" t="s">
        <v>27</v>
      </c>
      <c r="O144" s="10" t="s">
        <v>17</v>
      </c>
      <c r="P144" s="8" t="s">
        <v>1167</v>
      </c>
      <c r="Q144" s="10" t="s">
        <v>171</v>
      </c>
      <c r="R144" s="10" t="s">
        <v>1154</v>
      </c>
      <c r="S144" s="8" t="s">
        <v>1009</v>
      </c>
      <c r="T144" s="10" t="s">
        <v>202</v>
      </c>
      <c r="U144" s="10" t="s">
        <v>27</v>
      </c>
    </row>
    <row r="145" spans="1:21" s="10" customFormat="1" x14ac:dyDescent="0.25">
      <c r="A145" s="10" t="s">
        <v>1168</v>
      </c>
      <c r="B145" s="10" t="s">
        <v>1169</v>
      </c>
      <c r="C145" s="11" t="s">
        <v>164</v>
      </c>
      <c r="D145" s="10" t="s">
        <v>1170</v>
      </c>
      <c r="E145" s="8" t="s">
        <v>1171</v>
      </c>
      <c r="F145" s="8" t="s">
        <v>814</v>
      </c>
      <c r="G145" s="10" t="s">
        <v>27</v>
      </c>
      <c r="H145" s="8" t="s">
        <v>312</v>
      </c>
      <c r="I145" s="10" t="s">
        <v>542</v>
      </c>
      <c r="J145" s="8" t="s">
        <v>783</v>
      </c>
      <c r="K145" s="8" t="s">
        <v>27</v>
      </c>
      <c r="L145" s="8" t="s">
        <v>27</v>
      </c>
      <c r="M145" s="10" t="s">
        <v>27</v>
      </c>
      <c r="N145" s="8" t="s">
        <v>27</v>
      </c>
      <c r="O145" s="10" t="s">
        <v>17</v>
      </c>
      <c r="P145" s="8" t="s">
        <v>1172</v>
      </c>
      <c r="Q145" s="10" t="s">
        <v>171</v>
      </c>
      <c r="R145" s="10" t="s">
        <v>353</v>
      </c>
      <c r="S145" s="8" t="s">
        <v>537</v>
      </c>
      <c r="T145" s="10" t="s">
        <v>1173</v>
      </c>
      <c r="U145" s="10" t="s">
        <v>27</v>
      </c>
    </row>
    <row r="146" spans="1:21" s="10" customFormat="1" x14ac:dyDescent="0.25">
      <c r="A146" s="10" t="s">
        <v>1174</v>
      </c>
      <c r="B146" s="10" t="s">
        <v>1169</v>
      </c>
      <c r="C146" s="11" t="s">
        <v>164</v>
      </c>
      <c r="D146" s="10" t="s">
        <v>1175</v>
      </c>
      <c r="E146" s="8" t="s">
        <v>1176</v>
      </c>
      <c r="F146" s="8" t="s">
        <v>1177</v>
      </c>
      <c r="G146" s="10" t="s">
        <v>27</v>
      </c>
      <c r="H146" s="8" t="s">
        <v>1178</v>
      </c>
      <c r="I146" s="10" t="s">
        <v>542</v>
      </c>
      <c r="J146" s="8" t="s">
        <v>783</v>
      </c>
      <c r="K146" s="8" t="s">
        <v>27</v>
      </c>
      <c r="L146" s="8" t="s">
        <v>27</v>
      </c>
      <c r="M146" s="10" t="s">
        <v>27</v>
      </c>
      <c r="N146" s="8" t="s">
        <v>27</v>
      </c>
      <c r="O146" s="10" t="s">
        <v>17</v>
      </c>
      <c r="P146" s="8" t="s">
        <v>1179</v>
      </c>
      <c r="Q146" s="10" t="s">
        <v>188</v>
      </c>
      <c r="R146" s="10" t="s">
        <v>561</v>
      </c>
      <c r="S146" s="8" t="s">
        <v>537</v>
      </c>
      <c r="T146" s="10" t="s">
        <v>1173</v>
      </c>
      <c r="U146" s="10" t="s">
        <v>27</v>
      </c>
    </row>
    <row r="147" spans="1:21" s="10" customFormat="1" x14ac:dyDescent="0.25">
      <c r="A147" s="10" t="s">
        <v>1180</v>
      </c>
      <c r="B147" s="10" t="s">
        <v>1169</v>
      </c>
      <c r="C147" s="11" t="s">
        <v>164</v>
      </c>
      <c r="D147" s="10" t="s">
        <v>1181</v>
      </c>
      <c r="E147" s="8" t="s">
        <v>1182</v>
      </c>
      <c r="F147" s="8" t="s">
        <v>1183</v>
      </c>
      <c r="G147" s="10" t="s">
        <v>27</v>
      </c>
      <c r="H147" s="8" t="s">
        <v>1178</v>
      </c>
      <c r="I147" s="10" t="s">
        <v>542</v>
      </c>
      <c r="J147" s="8" t="s">
        <v>783</v>
      </c>
      <c r="K147" s="8" t="s">
        <v>27</v>
      </c>
      <c r="L147" s="8" t="s">
        <v>27</v>
      </c>
      <c r="M147" s="10" t="s">
        <v>27</v>
      </c>
      <c r="N147" s="8" t="s">
        <v>1184</v>
      </c>
      <c r="O147" s="10" t="s">
        <v>17</v>
      </c>
      <c r="P147" s="8" t="s">
        <v>1185</v>
      </c>
      <c r="Q147" s="10" t="s">
        <v>188</v>
      </c>
      <c r="R147" s="10" t="s">
        <v>561</v>
      </c>
      <c r="S147" s="8" t="s">
        <v>168</v>
      </c>
      <c r="T147" s="10" t="s">
        <v>1173</v>
      </c>
      <c r="U147" s="10" t="s">
        <v>27</v>
      </c>
    </row>
    <row r="148" spans="1:21" s="10" customFormat="1" x14ac:dyDescent="0.25">
      <c r="A148" s="10" t="s">
        <v>1186</v>
      </c>
      <c r="B148" s="10" t="s">
        <v>1169</v>
      </c>
      <c r="C148" s="11" t="s">
        <v>164</v>
      </c>
      <c r="D148" s="10" t="s">
        <v>1187</v>
      </c>
      <c r="E148" s="8" t="s">
        <v>1188</v>
      </c>
      <c r="F148" s="8" t="s">
        <v>1189</v>
      </c>
      <c r="G148" s="10" t="s">
        <v>27</v>
      </c>
      <c r="H148" s="8" t="s">
        <v>1190</v>
      </c>
      <c r="I148" s="10" t="s">
        <v>542</v>
      </c>
      <c r="J148" s="8" t="s">
        <v>1191</v>
      </c>
      <c r="K148" s="8" t="s">
        <v>27</v>
      </c>
      <c r="L148" s="8" t="s">
        <v>27</v>
      </c>
      <c r="M148" s="10" t="s">
        <v>27</v>
      </c>
      <c r="N148" s="8" t="s">
        <v>1192</v>
      </c>
      <c r="O148" s="10" t="s">
        <v>17</v>
      </c>
      <c r="P148" s="8" t="s">
        <v>1193</v>
      </c>
      <c r="Q148" s="10" t="s">
        <v>171</v>
      </c>
      <c r="R148" s="10" t="s">
        <v>1194</v>
      </c>
      <c r="S148" s="8" t="s">
        <v>287</v>
      </c>
      <c r="T148" s="10" t="s">
        <v>1173</v>
      </c>
      <c r="U148" s="10" t="s">
        <v>27</v>
      </c>
    </row>
    <row r="149" spans="1:21" s="10" customFormat="1" x14ac:dyDescent="0.25">
      <c r="A149" s="10" t="s">
        <v>1195</v>
      </c>
      <c r="B149" s="10" t="s">
        <v>1169</v>
      </c>
      <c r="C149" s="11" t="s">
        <v>164</v>
      </c>
      <c r="D149" s="10" t="s">
        <v>1196</v>
      </c>
      <c r="E149" s="8" t="s">
        <v>1197</v>
      </c>
      <c r="F149" s="8" t="s">
        <v>1198</v>
      </c>
      <c r="G149" s="10" t="s">
        <v>27</v>
      </c>
      <c r="H149" s="8" t="s">
        <v>1199</v>
      </c>
      <c r="I149" s="10" t="s">
        <v>542</v>
      </c>
      <c r="J149" s="8" t="s">
        <v>1191</v>
      </c>
      <c r="K149" s="8" t="s">
        <v>27</v>
      </c>
      <c r="L149" s="8" t="s">
        <v>27</v>
      </c>
      <c r="M149" s="10" t="s">
        <v>27</v>
      </c>
      <c r="N149" s="8" t="s">
        <v>1200</v>
      </c>
      <c r="O149" s="10" t="s">
        <v>17</v>
      </c>
      <c r="P149" s="8" t="s">
        <v>1201</v>
      </c>
      <c r="Q149" s="10" t="s">
        <v>188</v>
      </c>
      <c r="R149" s="10" t="s">
        <v>1194</v>
      </c>
      <c r="S149" s="8" t="s">
        <v>287</v>
      </c>
      <c r="T149" s="10" t="s">
        <v>1173</v>
      </c>
      <c r="U149" s="10" t="s">
        <v>27</v>
      </c>
    </row>
    <row r="150" spans="1:21" s="10" customFormat="1" x14ac:dyDescent="0.25">
      <c r="A150" s="10" t="s">
        <v>1202</v>
      </c>
      <c r="B150" s="10" t="s">
        <v>1169</v>
      </c>
      <c r="C150" s="11" t="s">
        <v>164</v>
      </c>
      <c r="D150" s="10" t="s">
        <v>1203</v>
      </c>
      <c r="E150" s="8" t="s">
        <v>1204</v>
      </c>
      <c r="F150" s="8" t="s">
        <v>1205</v>
      </c>
      <c r="G150" s="10" t="s">
        <v>27</v>
      </c>
      <c r="H150" s="8" t="s">
        <v>1206</v>
      </c>
      <c r="I150" s="10" t="s">
        <v>1207</v>
      </c>
      <c r="J150" s="8" t="s">
        <v>1208</v>
      </c>
      <c r="K150" s="8" t="s">
        <v>27</v>
      </c>
      <c r="L150" s="8" t="s">
        <v>27</v>
      </c>
      <c r="M150" s="10" t="s">
        <v>27</v>
      </c>
      <c r="N150" s="8" t="s">
        <v>1209</v>
      </c>
      <c r="O150" s="10" t="s">
        <v>17</v>
      </c>
      <c r="P150" s="8" t="s">
        <v>1210</v>
      </c>
      <c r="Q150" s="10" t="s">
        <v>188</v>
      </c>
      <c r="R150" s="10" t="s">
        <v>353</v>
      </c>
      <c r="S150" s="8" t="s">
        <v>1211</v>
      </c>
      <c r="T150" s="10" t="s">
        <v>1173</v>
      </c>
      <c r="U150" s="10" t="s">
        <v>27</v>
      </c>
    </row>
    <row r="151" spans="1:21" s="10" customFormat="1" x14ac:dyDescent="0.25">
      <c r="A151" s="10" t="s">
        <v>1212</v>
      </c>
      <c r="B151" s="10" t="s">
        <v>1169</v>
      </c>
      <c r="C151" s="11" t="s">
        <v>164</v>
      </c>
      <c r="D151" s="10" t="s">
        <v>1213</v>
      </c>
      <c r="E151" s="8" t="s">
        <v>1214</v>
      </c>
      <c r="F151" s="8" t="s">
        <v>1215</v>
      </c>
      <c r="G151" s="10" t="s">
        <v>27</v>
      </c>
      <c r="H151" s="8" t="s">
        <v>1216</v>
      </c>
      <c r="I151" s="10" t="s">
        <v>1207</v>
      </c>
      <c r="J151" s="8" t="s">
        <v>1217</v>
      </c>
      <c r="K151" s="8" t="s">
        <v>27</v>
      </c>
      <c r="L151" s="8" t="s">
        <v>27</v>
      </c>
      <c r="M151" s="10" t="s">
        <v>27</v>
      </c>
      <c r="N151" s="8" t="s">
        <v>27</v>
      </c>
      <c r="O151" s="10" t="s">
        <v>17</v>
      </c>
      <c r="P151" s="8" t="s">
        <v>1218</v>
      </c>
      <c r="Q151" s="10" t="s">
        <v>188</v>
      </c>
      <c r="R151" s="10" t="s">
        <v>353</v>
      </c>
      <c r="S151" s="8" t="s">
        <v>1219</v>
      </c>
      <c r="T151" s="10" t="s">
        <v>1173</v>
      </c>
      <c r="U151" s="10" t="s">
        <v>27</v>
      </c>
    </row>
    <row r="152" spans="1:21" s="10" customFormat="1" x14ac:dyDescent="0.25">
      <c r="A152" s="10" t="s">
        <v>1220</v>
      </c>
      <c r="B152" s="10" t="s">
        <v>1169</v>
      </c>
      <c r="C152" s="11" t="s">
        <v>164</v>
      </c>
      <c r="D152" s="10" t="s">
        <v>1221</v>
      </c>
      <c r="E152" s="8" t="s">
        <v>1222</v>
      </c>
      <c r="F152" s="8" t="s">
        <v>1223</v>
      </c>
      <c r="G152" s="10" t="s">
        <v>27</v>
      </c>
      <c r="H152" s="8" t="s">
        <v>1224</v>
      </c>
      <c r="I152" s="10" t="s">
        <v>542</v>
      </c>
      <c r="J152" s="8" t="s">
        <v>1191</v>
      </c>
      <c r="K152" s="8" t="s">
        <v>27</v>
      </c>
      <c r="L152" s="8" t="s">
        <v>27</v>
      </c>
      <c r="M152" s="10" t="s">
        <v>27</v>
      </c>
      <c r="N152" s="8" t="s">
        <v>1225</v>
      </c>
      <c r="O152" s="10" t="s">
        <v>17</v>
      </c>
      <c r="P152" s="8" t="s">
        <v>1226</v>
      </c>
      <c r="Q152" s="10" t="s">
        <v>188</v>
      </c>
      <c r="R152" s="10" t="s">
        <v>561</v>
      </c>
      <c r="S152" s="8" t="s">
        <v>287</v>
      </c>
      <c r="T152" s="10" t="s">
        <v>1173</v>
      </c>
      <c r="U152" s="10" t="s">
        <v>27</v>
      </c>
    </row>
    <row r="153" spans="1:21" s="10" customFormat="1" x14ac:dyDescent="0.25">
      <c r="A153" s="10" t="s">
        <v>1227</v>
      </c>
      <c r="B153" s="10" t="s">
        <v>1169</v>
      </c>
      <c r="C153" s="10" t="s">
        <v>175</v>
      </c>
      <c r="D153" s="10" t="s">
        <v>1228</v>
      </c>
      <c r="E153" s="8" t="s">
        <v>1229</v>
      </c>
      <c r="F153" s="8" t="s">
        <v>1230</v>
      </c>
      <c r="G153" s="10" t="s">
        <v>27</v>
      </c>
      <c r="H153" s="8" t="s">
        <v>1224</v>
      </c>
      <c r="I153" s="10" t="s">
        <v>542</v>
      </c>
      <c r="J153" s="8" t="s">
        <v>1191</v>
      </c>
      <c r="K153" s="8" t="s">
        <v>27</v>
      </c>
      <c r="L153" s="8" t="s">
        <v>27</v>
      </c>
      <c r="M153" s="10" t="s">
        <v>27</v>
      </c>
      <c r="N153" s="8" t="s">
        <v>27</v>
      </c>
      <c r="O153" s="10" t="s">
        <v>17</v>
      </c>
      <c r="P153" s="8" t="s">
        <v>1231</v>
      </c>
      <c r="Q153" s="10" t="s">
        <v>171</v>
      </c>
      <c r="R153" s="10" t="s">
        <v>561</v>
      </c>
      <c r="S153" s="8" t="s">
        <v>168</v>
      </c>
      <c r="T153" s="10" t="s">
        <v>1173</v>
      </c>
      <c r="U153" s="10" t="s">
        <v>27</v>
      </c>
    </row>
    <row r="154" spans="1:21" s="10" customFormat="1" x14ac:dyDescent="0.25">
      <c r="A154" s="10" t="s">
        <v>1232</v>
      </c>
      <c r="B154" s="10" t="s">
        <v>1169</v>
      </c>
      <c r="C154" s="10" t="s">
        <v>175</v>
      </c>
      <c r="D154" s="10" t="s">
        <v>1233</v>
      </c>
      <c r="E154" s="8" t="s">
        <v>1234</v>
      </c>
      <c r="F154" s="8" t="s">
        <v>1235</v>
      </c>
      <c r="G154" s="10" t="s">
        <v>27</v>
      </c>
      <c r="H154" s="8" t="s">
        <v>1236</v>
      </c>
      <c r="I154" s="10" t="s">
        <v>542</v>
      </c>
      <c r="J154" s="8" t="s">
        <v>1191</v>
      </c>
      <c r="K154" s="8" t="s">
        <v>27</v>
      </c>
      <c r="L154" s="8" t="s">
        <v>27</v>
      </c>
      <c r="M154" s="10" t="s">
        <v>27</v>
      </c>
      <c r="N154" s="8" t="s">
        <v>27</v>
      </c>
      <c r="O154" s="10" t="s">
        <v>17</v>
      </c>
      <c r="P154" s="8" t="s">
        <v>1237</v>
      </c>
      <c r="Q154" s="10" t="s">
        <v>188</v>
      </c>
      <c r="R154" s="10" t="s">
        <v>561</v>
      </c>
      <c r="S154" s="8" t="s">
        <v>287</v>
      </c>
      <c r="T154" s="10" t="s">
        <v>202</v>
      </c>
      <c r="U154" s="10" t="s">
        <v>27</v>
      </c>
    </row>
    <row r="155" spans="1:21" s="10" customFormat="1" x14ac:dyDescent="0.25">
      <c r="A155" s="10" t="s">
        <v>1238</v>
      </c>
      <c r="B155" s="10" t="s">
        <v>1169</v>
      </c>
      <c r="C155" s="10" t="s">
        <v>175</v>
      </c>
      <c r="D155" s="10" t="s">
        <v>1239</v>
      </c>
      <c r="E155" s="8" t="s">
        <v>1240</v>
      </c>
      <c r="F155" s="8" t="s">
        <v>1241</v>
      </c>
      <c r="G155" s="10" t="s">
        <v>27</v>
      </c>
      <c r="H155" s="8" t="s">
        <v>1178</v>
      </c>
      <c r="I155" s="10" t="s">
        <v>542</v>
      </c>
      <c r="J155" s="8" t="s">
        <v>783</v>
      </c>
      <c r="K155" s="8" t="s">
        <v>27</v>
      </c>
      <c r="L155" s="8" t="s">
        <v>27</v>
      </c>
      <c r="M155" s="10" t="s">
        <v>27</v>
      </c>
      <c r="N155" s="8" t="s">
        <v>27</v>
      </c>
      <c r="O155" s="10" t="s">
        <v>17</v>
      </c>
      <c r="P155" s="8" t="s">
        <v>1242</v>
      </c>
      <c r="Q155" s="10" t="s">
        <v>171</v>
      </c>
      <c r="R155" s="10" t="s">
        <v>561</v>
      </c>
      <c r="S155" s="8" t="s">
        <v>168</v>
      </c>
      <c r="T155" s="10" t="s">
        <v>202</v>
      </c>
      <c r="U155" s="10" t="s">
        <v>27</v>
      </c>
    </row>
    <row r="156" spans="1:21" s="10" customFormat="1" x14ac:dyDescent="0.25">
      <c r="A156" s="10" t="s">
        <v>1243</v>
      </c>
      <c r="B156" s="10" t="s">
        <v>1169</v>
      </c>
      <c r="C156" s="11" t="s">
        <v>164</v>
      </c>
      <c r="D156" s="10" t="s">
        <v>1244</v>
      </c>
      <c r="E156" s="8" t="s">
        <v>1245</v>
      </c>
      <c r="F156" s="8" t="s">
        <v>1246</v>
      </c>
      <c r="G156" s="10" t="s">
        <v>27</v>
      </c>
      <c r="H156" s="8" t="s">
        <v>168</v>
      </c>
      <c r="I156" s="10" t="s">
        <v>542</v>
      </c>
      <c r="J156" s="8" t="s">
        <v>783</v>
      </c>
      <c r="K156" s="8" t="s">
        <v>27</v>
      </c>
      <c r="L156" s="8" t="s">
        <v>27</v>
      </c>
      <c r="M156" s="10" t="s">
        <v>27</v>
      </c>
      <c r="N156" s="8" t="s">
        <v>1247</v>
      </c>
      <c r="O156" s="10" t="s">
        <v>17</v>
      </c>
      <c r="P156" s="8" t="s">
        <v>1248</v>
      </c>
      <c r="Q156" s="10" t="s">
        <v>188</v>
      </c>
      <c r="R156" s="10" t="s">
        <v>353</v>
      </c>
      <c r="S156" s="8" t="s">
        <v>1249</v>
      </c>
      <c r="T156" s="10" t="s">
        <v>202</v>
      </c>
      <c r="U156" s="10" t="s">
        <v>27</v>
      </c>
    </row>
    <row r="157" spans="1:21" s="10" customFormat="1" x14ac:dyDescent="0.25">
      <c r="A157" s="10" t="s">
        <v>1250</v>
      </c>
      <c r="B157" s="10" t="s">
        <v>1251</v>
      </c>
      <c r="C157" s="11" t="s">
        <v>164</v>
      </c>
      <c r="D157" s="10" t="s">
        <v>1252</v>
      </c>
      <c r="E157" s="8" t="s">
        <v>1253</v>
      </c>
      <c r="F157" s="8" t="s">
        <v>1254</v>
      </c>
      <c r="G157" s="10" t="s">
        <v>27</v>
      </c>
      <c r="H157" s="8" t="s">
        <v>1255</v>
      </c>
      <c r="I157" s="10" t="s">
        <v>656</v>
      </c>
      <c r="J157" s="8" t="s">
        <v>1256</v>
      </c>
      <c r="K157" s="8" t="s">
        <v>27</v>
      </c>
      <c r="L157" s="8" t="s">
        <v>27</v>
      </c>
      <c r="M157" s="10" t="s">
        <v>27</v>
      </c>
      <c r="N157" s="8" t="s">
        <v>27</v>
      </c>
      <c r="O157" s="10" t="s">
        <v>17</v>
      </c>
      <c r="P157" s="8" t="s">
        <v>1257</v>
      </c>
      <c r="Q157" s="10" t="s">
        <v>188</v>
      </c>
      <c r="R157" s="10" t="s">
        <v>639</v>
      </c>
      <c r="S157" s="8" t="s">
        <v>1258</v>
      </c>
      <c r="T157" s="10" t="s">
        <v>1259</v>
      </c>
      <c r="U157" s="10" t="s">
        <v>27</v>
      </c>
    </row>
    <row r="158" spans="1:21" s="10" customFormat="1" x14ac:dyDescent="0.25">
      <c r="A158" s="10" t="s">
        <v>1260</v>
      </c>
      <c r="B158" s="10" t="s">
        <v>1251</v>
      </c>
      <c r="C158" s="11" t="s">
        <v>164</v>
      </c>
      <c r="D158" s="10" t="s">
        <v>1261</v>
      </c>
      <c r="E158" s="8" t="s">
        <v>1262</v>
      </c>
      <c r="F158" s="8" t="s">
        <v>1263</v>
      </c>
      <c r="G158" s="10" t="s">
        <v>27</v>
      </c>
      <c r="H158" s="8" t="s">
        <v>1264</v>
      </c>
      <c r="I158" s="10" t="s">
        <v>656</v>
      </c>
      <c r="J158" s="8" t="s">
        <v>1256</v>
      </c>
      <c r="K158" s="8" t="s">
        <v>27</v>
      </c>
      <c r="L158" s="8" t="s">
        <v>27</v>
      </c>
      <c r="M158" s="10" t="s">
        <v>27</v>
      </c>
      <c r="N158" s="8" t="s">
        <v>1265</v>
      </c>
      <c r="O158" s="10" t="s">
        <v>17</v>
      </c>
      <c r="P158" s="8" t="s">
        <v>1266</v>
      </c>
      <c r="Q158" s="10" t="s">
        <v>188</v>
      </c>
      <c r="R158" s="10" t="s">
        <v>639</v>
      </c>
      <c r="S158" s="8" t="s">
        <v>168</v>
      </c>
      <c r="T158" s="10" t="s">
        <v>1259</v>
      </c>
      <c r="U158" s="10" t="s">
        <v>27</v>
      </c>
    </row>
    <row r="159" spans="1:21" s="10" customFormat="1" x14ac:dyDescent="0.25">
      <c r="A159" s="10" t="s">
        <v>1267</v>
      </c>
      <c r="B159" s="10" t="s">
        <v>1251</v>
      </c>
      <c r="C159" s="11" t="s">
        <v>164</v>
      </c>
      <c r="D159" s="10" t="s">
        <v>118</v>
      </c>
      <c r="E159" s="8" t="s">
        <v>1268</v>
      </c>
      <c r="F159" s="8" t="s">
        <v>1269</v>
      </c>
      <c r="G159" s="10" t="s">
        <v>27</v>
      </c>
      <c r="H159" s="8" t="s">
        <v>168</v>
      </c>
      <c r="I159" s="10" t="s">
        <v>542</v>
      </c>
      <c r="J159" s="8" t="s">
        <v>1256</v>
      </c>
      <c r="K159" s="8" t="s">
        <v>27</v>
      </c>
      <c r="L159" s="8" t="s">
        <v>27</v>
      </c>
      <c r="M159" s="10" t="s">
        <v>27</v>
      </c>
      <c r="N159" s="8" t="s">
        <v>1270</v>
      </c>
      <c r="O159" s="10" t="s">
        <v>17</v>
      </c>
      <c r="P159" s="8" t="s">
        <v>1271</v>
      </c>
      <c r="Q159" s="10" t="s">
        <v>188</v>
      </c>
      <c r="R159" s="10" t="s">
        <v>639</v>
      </c>
      <c r="S159" s="8" t="s">
        <v>1272</v>
      </c>
      <c r="T159" s="10" t="s">
        <v>1259</v>
      </c>
      <c r="U159" s="10" t="s">
        <v>27</v>
      </c>
    </row>
    <row r="160" spans="1:21" s="10" customFormat="1" x14ac:dyDescent="0.25">
      <c r="A160" s="10" t="s">
        <v>1273</v>
      </c>
      <c r="B160" s="10" t="s">
        <v>1251</v>
      </c>
      <c r="C160" s="11" t="s">
        <v>164</v>
      </c>
      <c r="D160" s="10" t="s">
        <v>1274</v>
      </c>
      <c r="E160" s="8" t="s">
        <v>1275</v>
      </c>
      <c r="F160" s="8" t="s">
        <v>1276</v>
      </c>
      <c r="G160" s="10" t="s">
        <v>27</v>
      </c>
      <c r="H160" s="8" t="s">
        <v>168</v>
      </c>
      <c r="I160" s="10" t="s">
        <v>487</v>
      </c>
      <c r="J160" s="8" t="s">
        <v>1256</v>
      </c>
      <c r="K160" s="8" t="s">
        <v>27</v>
      </c>
      <c r="L160" s="8" t="s">
        <v>27</v>
      </c>
      <c r="M160" s="10" t="s">
        <v>27</v>
      </c>
      <c r="N160" s="8" t="s">
        <v>27</v>
      </c>
      <c r="O160" s="10" t="s">
        <v>17</v>
      </c>
      <c r="P160" s="8" t="s">
        <v>1277</v>
      </c>
      <c r="Q160" s="10" t="s">
        <v>188</v>
      </c>
      <c r="R160" s="10" t="s">
        <v>909</v>
      </c>
      <c r="S160" s="8" t="s">
        <v>1278</v>
      </c>
      <c r="T160" s="10" t="s">
        <v>1259</v>
      </c>
      <c r="U160" s="10" t="s">
        <v>27</v>
      </c>
    </row>
    <row r="161" spans="1:21" s="10" customFormat="1" x14ac:dyDescent="0.25">
      <c r="A161" s="10" t="s">
        <v>1279</v>
      </c>
      <c r="B161" s="10" t="s">
        <v>1251</v>
      </c>
      <c r="C161" s="11" t="s">
        <v>164</v>
      </c>
      <c r="D161" s="10" t="s">
        <v>1280</v>
      </c>
      <c r="E161" s="8" t="s">
        <v>1281</v>
      </c>
      <c r="F161" s="8" t="s">
        <v>1282</v>
      </c>
      <c r="G161" s="10" t="s">
        <v>27</v>
      </c>
      <c r="H161" s="8" t="s">
        <v>168</v>
      </c>
      <c r="I161" s="10" t="s">
        <v>956</v>
      </c>
      <c r="J161" s="8" t="s">
        <v>1256</v>
      </c>
      <c r="K161" s="8" t="s">
        <v>27</v>
      </c>
      <c r="L161" s="8" t="s">
        <v>27</v>
      </c>
      <c r="M161" s="10" t="s">
        <v>27</v>
      </c>
      <c r="N161" s="8" t="s">
        <v>1283</v>
      </c>
      <c r="O161" s="10" t="s">
        <v>17</v>
      </c>
      <c r="P161" s="8" t="s">
        <v>1284</v>
      </c>
      <c r="Q161" s="10" t="s">
        <v>188</v>
      </c>
      <c r="R161" s="10" t="s">
        <v>958</v>
      </c>
      <c r="S161" s="8" t="s">
        <v>1285</v>
      </c>
      <c r="T161" s="10" t="s">
        <v>1259</v>
      </c>
      <c r="U161" s="10" t="s">
        <v>27</v>
      </c>
    </row>
    <row r="162" spans="1:21" s="10" customFormat="1" x14ac:dyDescent="0.25">
      <c r="A162" s="10" t="s">
        <v>1286</v>
      </c>
      <c r="B162" s="10" t="s">
        <v>1251</v>
      </c>
      <c r="C162" s="11" t="s">
        <v>164</v>
      </c>
      <c r="D162" s="10" t="s">
        <v>1287</v>
      </c>
      <c r="E162" s="8" t="s">
        <v>1288</v>
      </c>
      <c r="F162" s="8" t="s">
        <v>1289</v>
      </c>
      <c r="G162" s="10" t="s">
        <v>27</v>
      </c>
      <c r="H162" s="8" t="s">
        <v>168</v>
      </c>
      <c r="I162" s="10" t="s">
        <v>956</v>
      </c>
      <c r="J162" s="8" t="s">
        <v>1256</v>
      </c>
      <c r="K162" s="8" t="s">
        <v>27</v>
      </c>
      <c r="L162" s="8" t="s">
        <v>27</v>
      </c>
      <c r="M162" s="10" t="s">
        <v>27</v>
      </c>
      <c r="N162" s="8" t="s">
        <v>1290</v>
      </c>
      <c r="O162" s="10" t="s">
        <v>17</v>
      </c>
      <c r="P162" s="8" t="s">
        <v>1291</v>
      </c>
      <c r="Q162" s="10" t="s">
        <v>188</v>
      </c>
      <c r="R162" s="10" t="s">
        <v>958</v>
      </c>
      <c r="S162" s="8" t="s">
        <v>1292</v>
      </c>
      <c r="T162" s="10" t="s">
        <v>1259</v>
      </c>
      <c r="U162" s="10" t="s">
        <v>27</v>
      </c>
    </row>
    <row r="163" spans="1:21" s="10" customFormat="1" x14ac:dyDescent="0.25">
      <c r="A163" s="10" t="s">
        <v>1293</v>
      </c>
      <c r="B163" s="10" t="s">
        <v>1251</v>
      </c>
      <c r="C163" s="11" t="s">
        <v>164</v>
      </c>
      <c r="D163" s="10" t="s">
        <v>1294</v>
      </c>
      <c r="E163" s="8" t="s">
        <v>1295</v>
      </c>
      <c r="F163" s="8" t="s">
        <v>1289</v>
      </c>
      <c r="G163" s="10" t="s">
        <v>27</v>
      </c>
      <c r="H163" s="8" t="s">
        <v>168</v>
      </c>
      <c r="I163" s="10" t="s">
        <v>427</v>
      </c>
      <c r="J163" s="8" t="s">
        <v>1256</v>
      </c>
      <c r="K163" s="8" t="s">
        <v>27</v>
      </c>
      <c r="L163" s="8" t="s">
        <v>27</v>
      </c>
      <c r="M163" s="10" t="s">
        <v>27</v>
      </c>
      <c r="N163" s="8" t="s">
        <v>27</v>
      </c>
      <c r="O163" s="10" t="s">
        <v>17</v>
      </c>
      <c r="P163" s="8" t="s">
        <v>1296</v>
      </c>
      <c r="Q163" s="10" t="s">
        <v>188</v>
      </c>
      <c r="R163" s="10" t="s">
        <v>639</v>
      </c>
      <c r="S163" s="8" t="s">
        <v>1297</v>
      </c>
      <c r="T163" s="10" t="s">
        <v>1259</v>
      </c>
      <c r="U163" s="10" t="s">
        <v>27</v>
      </c>
    </row>
    <row r="164" spans="1:21" s="10" customFormat="1" x14ac:dyDescent="0.25">
      <c r="A164" s="10" t="s">
        <v>1298</v>
      </c>
      <c r="B164" s="10" t="s">
        <v>1251</v>
      </c>
      <c r="C164" s="11" t="s">
        <v>164</v>
      </c>
      <c r="D164" s="10" t="s">
        <v>1299</v>
      </c>
      <c r="E164" s="8" t="s">
        <v>1300</v>
      </c>
      <c r="F164" s="8" t="s">
        <v>1289</v>
      </c>
      <c r="G164" s="10" t="s">
        <v>27</v>
      </c>
      <c r="H164" s="8" t="s">
        <v>168</v>
      </c>
      <c r="I164" s="10" t="s">
        <v>1301</v>
      </c>
      <c r="J164" s="8" t="s">
        <v>1256</v>
      </c>
      <c r="K164" s="8" t="s">
        <v>27</v>
      </c>
      <c r="L164" s="8" t="s">
        <v>27</v>
      </c>
      <c r="M164" s="10" t="s">
        <v>27</v>
      </c>
      <c r="N164" s="8" t="s">
        <v>27</v>
      </c>
      <c r="O164" s="10" t="s">
        <v>17</v>
      </c>
      <c r="P164" s="8" t="s">
        <v>1302</v>
      </c>
      <c r="Q164" s="10" t="s">
        <v>188</v>
      </c>
      <c r="R164" s="10" t="s">
        <v>639</v>
      </c>
      <c r="S164" s="8" t="s">
        <v>1303</v>
      </c>
      <c r="T164" s="10" t="s">
        <v>1259</v>
      </c>
      <c r="U164" s="10" t="s">
        <v>27</v>
      </c>
    </row>
    <row r="165" spans="1:21" s="10" customFormat="1" x14ac:dyDescent="0.25">
      <c r="A165" s="10" t="s">
        <v>1304</v>
      </c>
      <c r="B165" s="10" t="s">
        <v>1251</v>
      </c>
      <c r="C165" s="11" t="s">
        <v>164</v>
      </c>
      <c r="D165" s="10" t="s">
        <v>1305</v>
      </c>
      <c r="E165" s="8" t="s">
        <v>1306</v>
      </c>
      <c r="F165" s="8" t="s">
        <v>1307</v>
      </c>
      <c r="G165" s="10" t="s">
        <v>27</v>
      </c>
      <c r="H165" s="8" t="s">
        <v>168</v>
      </c>
      <c r="I165" s="10" t="s">
        <v>913</v>
      </c>
      <c r="J165" s="8" t="s">
        <v>1256</v>
      </c>
      <c r="K165" s="8" t="s">
        <v>27</v>
      </c>
      <c r="L165" s="8" t="s">
        <v>27</v>
      </c>
      <c r="M165" s="10" t="s">
        <v>27</v>
      </c>
      <c r="N165" s="8" t="s">
        <v>27</v>
      </c>
      <c r="O165" s="10" t="s">
        <v>17</v>
      </c>
      <c r="P165" s="8" t="s">
        <v>1308</v>
      </c>
      <c r="Q165" s="10" t="s">
        <v>188</v>
      </c>
      <c r="R165" s="10" t="s">
        <v>353</v>
      </c>
      <c r="S165" s="8" t="s">
        <v>723</v>
      </c>
      <c r="T165" s="10" t="s">
        <v>1259</v>
      </c>
      <c r="U165" s="10" t="s">
        <v>27</v>
      </c>
    </row>
    <row r="166" spans="1:21" s="10" customFormat="1" x14ac:dyDescent="0.25">
      <c r="A166" s="10" t="s">
        <v>1309</v>
      </c>
      <c r="B166" s="10" t="s">
        <v>1251</v>
      </c>
      <c r="C166" s="11" t="s">
        <v>164</v>
      </c>
      <c r="D166" s="10" t="s">
        <v>1310</v>
      </c>
      <c r="E166" s="8" t="s">
        <v>1311</v>
      </c>
      <c r="F166" s="8" t="s">
        <v>1312</v>
      </c>
      <c r="G166" s="10" t="s">
        <v>27</v>
      </c>
      <c r="H166" s="8" t="s">
        <v>1313</v>
      </c>
      <c r="I166" s="10" t="s">
        <v>542</v>
      </c>
      <c r="J166" s="8" t="s">
        <v>1256</v>
      </c>
      <c r="K166" s="8" t="s">
        <v>27</v>
      </c>
      <c r="L166" s="8" t="s">
        <v>27</v>
      </c>
      <c r="M166" s="10" t="s">
        <v>27</v>
      </c>
      <c r="N166" s="8" t="s">
        <v>27</v>
      </c>
      <c r="O166" s="10" t="s">
        <v>17</v>
      </c>
      <c r="P166" s="8" t="s">
        <v>1314</v>
      </c>
      <c r="Q166" s="10" t="s">
        <v>188</v>
      </c>
      <c r="R166" s="10" t="s">
        <v>639</v>
      </c>
      <c r="S166" s="8" t="s">
        <v>1315</v>
      </c>
      <c r="T166" s="10" t="s">
        <v>1259</v>
      </c>
      <c r="U166" s="10" t="s">
        <v>27</v>
      </c>
    </row>
    <row r="167" spans="1:21" s="10" customFormat="1" x14ac:dyDescent="0.25">
      <c r="A167" s="10" t="s">
        <v>1316</v>
      </c>
      <c r="B167" s="10" t="s">
        <v>1251</v>
      </c>
      <c r="C167" s="11" t="s">
        <v>164</v>
      </c>
      <c r="D167" s="10" t="s">
        <v>1317</v>
      </c>
      <c r="E167" s="8" t="s">
        <v>1318</v>
      </c>
      <c r="F167" s="8" t="s">
        <v>1319</v>
      </c>
      <c r="G167" s="10" t="s">
        <v>27</v>
      </c>
      <c r="H167" s="8" t="s">
        <v>1264</v>
      </c>
      <c r="I167" s="10" t="s">
        <v>656</v>
      </c>
      <c r="J167" s="8" t="s">
        <v>1256</v>
      </c>
      <c r="K167" s="8" t="s">
        <v>27</v>
      </c>
      <c r="L167" s="8" t="s">
        <v>27</v>
      </c>
      <c r="M167" s="10" t="s">
        <v>27</v>
      </c>
      <c r="N167" s="8" t="s">
        <v>27</v>
      </c>
      <c r="O167" s="10" t="s">
        <v>17</v>
      </c>
      <c r="P167" s="8" t="s">
        <v>1320</v>
      </c>
      <c r="Q167" s="10" t="s">
        <v>188</v>
      </c>
      <c r="R167" s="10" t="s">
        <v>639</v>
      </c>
      <c r="S167" s="8" t="s">
        <v>1321</v>
      </c>
      <c r="T167" s="10" t="s">
        <v>1259</v>
      </c>
      <c r="U167" s="10" t="s">
        <v>27</v>
      </c>
    </row>
    <row r="168" spans="1:21" s="10" customFormat="1" x14ac:dyDescent="0.25">
      <c r="A168" s="10" t="s">
        <v>1322</v>
      </c>
      <c r="B168" s="10" t="s">
        <v>1251</v>
      </c>
      <c r="C168" s="11" t="s">
        <v>164</v>
      </c>
      <c r="D168" s="10" t="s">
        <v>1323</v>
      </c>
      <c r="E168" s="8" t="s">
        <v>1324</v>
      </c>
      <c r="F168" s="8" t="s">
        <v>1325</v>
      </c>
      <c r="G168" s="10" t="s">
        <v>27</v>
      </c>
      <c r="H168" s="8" t="s">
        <v>1326</v>
      </c>
      <c r="I168" s="10" t="s">
        <v>542</v>
      </c>
      <c r="J168" s="8" t="s">
        <v>1256</v>
      </c>
      <c r="K168" s="8" t="s">
        <v>27</v>
      </c>
      <c r="L168" s="8" t="s">
        <v>27</v>
      </c>
      <c r="M168" s="10" t="s">
        <v>27</v>
      </c>
      <c r="N168" s="8" t="s">
        <v>1327</v>
      </c>
      <c r="O168" s="10" t="s">
        <v>17</v>
      </c>
      <c r="P168" s="8" t="s">
        <v>1328</v>
      </c>
      <c r="Q168" s="10" t="s">
        <v>188</v>
      </c>
      <c r="R168" s="10" t="s">
        <v>639</v>
      </c>
      <c r="S168" s="8" t="s">
        <v>699</v>
      </c>
      <c r="T168" s="10" t="s">
        <v>1259</v>
      </c>
      <c r="U168" s="10" t="s">
        <v>27</v>
      </c>
    </row>
    <row r="169" spans="1:21" s="10" customFormat="1" x14ac:dyDescent="0.25">
      <c r="A169" s="10" t="s">
        <v>1329</v>
      </c>
      <c r="B169" s="10" t="s">
        <v>1251</v>
      </c>
      <c r="C169" s="11" t="s">
        <v>164</v>
      </c>
      <c r="D169" s="10" t="s">
        <v>1330</v>
      </c>
      <c r="E169" s="8" t="s">
        <v>1331</v>
      </c>
      <c r="F169" s="8" t="s">
        <v>1332</v>
      </c>
      <c r="G169" s="10" t="s">
        <v>27</v>
      </c>
      <c r="H169" s="8" t="s">
        <v>168</v>
      </c>
      <c r="I169" s="10" t="s">
        <v>542</v>
      </c>
      <c r="J169" s="8" t="s">
        <v>1333</v>
      </c>
      <c r="K169" s="8" t="s">
        <v>27</v>
      </c>
      <c r="L169" s="8" t="s">
        <v>27</v>
      </c>
      <c r="M169" s="10" t="s">
        <v>27</v>
      </c>
      <c r="N169" s="8" t="s">
        <v>1334</v>
      </c>
      <c r="O169" s="10" t="s">
        <v>17</v>
      </c>
      <c r="P169" s="8" t="s">
        <v>1335</v>
      </c>
      <c r="Q169" s="10" t="s">
        <v>188</v>
      </c>
      <c r="R169" s="10" t="s">
        <v>168</v>
      </c>
      <c r="S169" s="8" t="s">
        <v>168</v>
      </c>
      <c r="T169" s="10" t="s">
        <v>1259</v>
      </c>
      <c r="U169" s="10" t="s">
        <v>27</v>
      </c>
    </row>
    <row r="170" spans="1:21" s="10" customFormat="1" x14ac:dyDescent="0.25">
      <c r="A170" s="10" t="s">
        <v>1336</v>
      </c>
      <c r="B170" s="10" t="s">
        <v>1251</v>
      </c>
      <c r="C170" s="11" t="s">
        <v>164</v>
      </c>
      <c r="D170" s="10" t="s">
        <v>1337</v>
      </c>
      <c r="E170" s="8" t="s">
        <v>1338</v>
      </c>
      <c r="F170" s="8" t="s">
        <v>1339</v>
      </c>
      <c r="G170" s="10" t="s">
        <v>27</v>
      </c>
      <c r="H170" s="8" t="s">
        <v>1340</v>
      </c>
      <c r="I170" s="10" t="s">
        <v>542</v>
      </c>
      <c r="J170" s="8" t="s">
        <v>1256</v>
      </c>
      <c r="K170" s="8" t="s">
        <v>27</v>
      </c>
      <c r="L170" s="8" t="s">
        <v>27</v>
      </c>
      <c r="M170" s="10" t="s">
        <v>27</v>
      </c>
      <c r="N170" s="8" t="s">
        <v>1341</v>
      </c>
      <c r="O170" s="10" t="s">
        <v>17</v>
      </c>
      <c r="P170" s="8" t="s">
        <v>1342</v>
      </c>
      <c r="Q170" s="10" t="s">
        <v>188</v>
      </c>
      <c r="R170" s="10" t="s">
        <v>639</v>
      </c>
      <c r="S170" s="8" t="s">
        <v>168</v>
      </c>
      <c r="T170" s="10" t="s">
        <v>202</v>
      </c>
      <c r="U170" s="10" t="s">
        <v>27</v>
      </c>
    </row>
    <row r="171" spans="1:21" s="10" customFormat="1" x14ac:dyDescent="0.25">
      <c r="A171" s="10" t="s">
        <v>1343</v>
      </c>
      <c r="B171" s="10" t="s">
        <v>1251</v>
      </c>
      <c r="C171" s="11" t="s">
        <v>164</v>
      </c>
      <c r="D171" s="10" t="s">
        <v>1344</v>
      </c>
      <c r="E171" s="8" t="s">
        <v>1345</v>
      </c>
      <c r="F171" s="8" t="s">
        <v>1346</v>
      </c>
      <c r="G171" s="10" t="s">
        <v>27</v>
      </c>
      <c r="H171" s="8" t="s">
        <v>168</v>
      </c>
      <c r="I171" s="10" t="s">
        <v>542</v>
      </c>
      <c r="J171" s="8" t="s">
        <v>1256</v>
      </c>
      <c r="K171" s="8" t="s">
        <v>27</v>
      </c>
      <c r="L171" s="8" t="s">
        <v>27</v>
      </c>
      <c r="M171" s="10" t="s">
        <v>27</v>
      </c>
      <c r="N171" s="8" t="s">
        <v>27</v>
      </c>
      <c r="O171" s="10" t="s">
        <v>17</v>
      </c>
      <c r="P171" s="8" t="s">
        <v>1347</v>
      </c>
      <c r="Q171" s="10" t="s">
        <v>188</v>
      </c>
      <c r="R171" s="10" t="s">
        <v>639</v>
      </c>
      <c r="S171" s="8" t="s">
        <v>168</v>
      </c>
      <c r="T171" s="10" t="s">
        <v>202</v>
      </c>
      <c r="U171" s="10" t="s">
        <v>27</v>
      </c>
    </row>
    <row r="172" spans="1:21" s="10" customFormat="1" x14ac:dyDescent="0.25">
      <c r="A172" s="10" t="s">
        <v>1348</v>
      </c>
      <c r="B172" s="10" t="s">
        <v>1251</v>
      </c>
      <c r="C172" s="11" t="s">
        <v>164</v>
      </c>
      <c r="D172" s="10" t="s">
        <v>1349</v>
      </c>
      <c r="E172" s="8" t="s">
        <v>1350</v>
      </c>
      <c r="F172" s="8" t="s">
        <v>1351</v>
      </c>
      <c r="G172" s="10" t="s">
        <v>27</v>
      </c>
      <c r="H172" s="8" t="s">
        <v>1352</v>
      </c>
      <c r="I172" s="10" t="s">
        <v>487</v>
      </c>
      <c r="J172" s="8" t="s">
        <v>1256</v>
      </c>
      <c r="K172" s="8" t="s">
        <v>27</v>
      </c>
      <c r="L172" s="8" t="s">
        <v>27</v>
      </c>
      <c r="M172" s="10" t="s">
        <v>27</v>
      </c>
      <c r="N172" s="8" t="s">
        <v>1353</v>
      </c>
      <c r="O172" s="10" t="s">
        <v>17</v>
      </c>
      <c r="P172" s="8" t="s">
        <v>1354</v>
      </c>
      <c r="Q172" s="10" t="s">
        <v>188</v>
      </c>
      <c r="R172" s="10" t="s">
        <v>1355</v>
      </c>
      <c r="S172" s="8" t="s">
        <v>1356</v>
      </c>
      <c r="T172" s="10" t="s">
        <v>1259</v>
      </c>
      <c r="U172" s="10" t="s">
        <v>27</v>
      </c>
    </row>
    <row r="173" spans="1:21" s="10" customFormat="1" x14ac:dyDescent="0.25">
      <c r="A173" s="10" t="s">
        <v>1357</v>
      </c>
      <c r="B173" s="10" t="s">
        <v>1358</v>
      </c>
      <c r="C173" s="11" t="s">
        <v>164</v>
      </c>
      <c r="D173" s="10" t="s">
        <v>1359</v>
      </c>
      <c r="E173" s="8" t="s">
        <v>1360</v>
      </c>
      <c r="F173" s="8" t="s">
        <v>1361</v>
      </c>
      <c r="G173" s="10" t="s">
        <v>27</v>
      </c>
      <c r="H173" s="8" t="s">
        <v>168</v>
      </c>
      <c r="I173" s="10" t="s">
        <v>542</v>
      </c>
      <c r="J173" s="8" t="s">
        <v>1362</v>
      </c>
      <c r="K173" s="8" t="s">
        <v>27</v>
      </c>
      <c r="L173" s="8" t="s">
        <v>27</v>
      </c>
      <c r="M173" s="10" t="s">
        <v>27</v>
      </c>
      <c r="N173" s="8" t="s">
        <v>27</v>
      </c>
      <c r="O173" s="10" t="s">
        <v>17</v>
      </c>
      <c r="P173" s="8" t="s">
        <v>1363</v>
      </c>
      <c r="Q173" s="10" t="s">
        <v>171</v>
      </c>
      <c r="R173" s="10" t="s">
        <v>353</v>
      </c>
      <c r="S173" s="8" t="s">
        <v>168</v>
      </c>
      <c r="T173" s="10" t="s">
        <v>1364</v>
      </c>
      <c r="U173" s="10" t="s">
        <v>27</v>
      </c>
    </row>
    <row r="174" spans="1:21" s="10" customFormat="1" x14ac:dyDescent="0.25">
      <c r="A174" s="10" t="s">
        <v>1365</v>
      </c>
      <c r="B174" s="10" t="s">
        <v>1358</v>
      </c>
      <c r="C174" s="10" t="s">
        <v>175</v>
      </c>
      <c r="D174" s="10" t="s">
        <v>1366</v>
      </c>
      <c r="E174" s="8" t="s">
        <v>1367</v>
      </c>
      <c r="F174" s="8" t="s">
        <v>1368</v>
      </c>
      <c r="G174" s="10" t="s">
        <v>27</v>
      </c>
      <c r="H174" s="8" t="s">
        <v>1369</v>
      </c>
      <c r="I174" s="10" t="s">
        <v>542</v>
      </c>
      <c r="J174" s="8" t="s">
        <v>1370</v>
      </c>
      <c r="K174" s="8" t="s">
        <v>27</v>
      </c>
      <c r="L174" s="8" t="s">
        <v>27</v>
      </c>
      <c r="M174" s="10" t="s">
        <v>27</v>
      </c>
      <c r="N174" s="8" t="s">
        <v>27</v>
      </c>
      <c r="O174" s="10" t="s">
        <v>17</v>
      </c>
      <c r="P174" s="8" t="s">
        <v>1371</v>
      </c>
      <c r="Q174" s="10" t="s">
        <v>171</v>
      </c>
      <c r="R174" s="10" t="s">
        <v>353</v>
      </c>
      <c r="S174" s="8" t="s">
        <v>1372</v>
      </c>
      <c r="T174" s="10" t="s">
        <v>1364</v>
      </c>
      <c r="U174" s="10" t="s">
        <v>27</v>
      </c>
    </row>
    <row r="175" spans="1:21" s="10" customFormat="1" x14ac:dyDescent="0.25">
      <c r="A175" s="10" t="s">
        <v>1373</v>
      </c>
      <c r="B175" s="10" t="s">
        <v>1358</v>
      </c>
      <c r="C175" s="10" t="s">
        <v>175</v>
      </c>
      <c r="D175" s="10" t="s">
        <v>1374</v>
      </c>
      <c r="E175" s="8" t="s">
        <v>1375</v>
      </c>
      <c r="F175" s="8" t="s">
        <v>1376</v>
      </c>
      <c r="G175" s="10" t="s">
        <v>27</v>
      </c>
      <c r="H175" s="8" t="s">
        <v>168</v>
      </c>
      <c r="I175" s="10" t="s">
        <v>832</v>
      </c>
      <c r="J175" s="8" t="s">
        <v>1362</v>
      </c>
      <c r="K175" s="8" t="s">
        <v>27</v>
      </c>
      <c r="L175" s="8" t="s">
        <v>27</v>
      </c>
      <c r="M175" s="10" t="s">
        <v>27</v>
      </c>
      <c r="N175" s="8" t="s">
        <v>27</v>
      </c>
      <c r="O175" s="10" t="s">
        <v>17</v>
      </c>
      <c r="P175" s="8" t="s">
        <v>1377</v>
      </c>
      <c r="Q175" s="10" t="s">
        <v>171</v>
      </c>
      <c r="R175" s="10" t="s">
        <v>353</v>
      </c>
      <c r="S175" s="8" t="s">
        <v>168</v>
      </c>
      <c r="T175" s="10" t="s">
        <v>202</v>
      </c>
      <c r="U175" s="10" t="s">
        <v>27</v>
      </c>
    </row>
    <row r="176" spans="1:21" s="10" customFormat="1" x14ac:dyDescent="0.25">
      <c r="A176" s="10" t="s">
        <v>1378</v>
      </c>
      <c r="B176" s="10" t="s">
        <v>1358</v>
      </c>
      <c r="C176" s="10" t="s">
        <v>175</v>
      </c>
      <c r="D176" s="10" t="s">
        <v>1379</v>
      </c>
      <c r="E176" s="8" t="s">
        <v>1380</v>
      </c>
      <c r="F176" s="8" t="s">
        <v>888</v>
      </c>
      <c r="G176" s="10" t="s">
        <v>27</v>
      </c>
      <c r="H176" s="8" t="s">
        <v>618</v>
      </c>
      <c r="I176" s="10" t="s">
        <v>27</v>
      </c>
      <c r="J176" s="8" t="s">
        <v>1362</v>
      </c>
      <c r="K176" s="8" t="s">
        <v>27</v>
      </c>
      <c r="L176" s="8" t="s">
        <v>27</v>
      </c>
      <c r="M176" s="10" t="s">
        <v>27</v>
      </c>
      <c r="N176" s="8" t="s">
        <v>27</v>
      </c>
      <c r="O176" s="10" t="s">
        <v>17</v>
      </c>
      <c r="P176" s="8" t="s">
        <v>1381</v>
      </c>
      <c r="Q176" s="10" t="s">
        <v>777</v>
      </c>
      <c r="R176" s="10" t="s">
        <v>639</v>
      </c>
      <c r="S176" s="8" t="s">
        <v>168</v>
      </c>
      <c r="T176" s="10" t="s">
        <v>1364</v>
      </c>
      <c r="U176" s="10" t="s">
        <v>27</v>
      </c>
    </row>
    <row r="177" spans="1:21" s="10" customFormat="1" x14ac:dyDescent="0.25">
      <c r="A177" s="10" t="s">
        <v>1382</v>
      </c>
      <c r="B177" s="10" t="s">
        <v>1358</v>
      </c>
      <c r="C177" s="11" t="s">
        <v>164</v>
      </c>
      <c r="D177" s="10" t="s">
        <v>1383</v>
      </c>
      <c r="E177" s="8" t="s">
        <v>1384</v>
      </c>
      <c r="F177" s="8" t="s">
        <v>1385</v>
      </c>
      <c r="G177" s="10" t="s">
        <v>27</v>
      </c>
      <c r="H177" s="8" t="s">
        <v>1386</v>
      </c>
      <c r="I177" s="10" t="s">
        <v>1387</v>
      </c>
      <c r="J177" s="8" t="s">
        <v>1362</v>
      </c>
      <c r="K177" s="8" t="s">
        <v>27</v>
      </c>
      <c r="L177" s="8" t="s">
        <v>27</v>
      </c>
      <c r="M177" s="10" t="s">
        <v>27</v>
      </c>
      <c r="N177" s="8" t="s">
        <v>1388</v>
      </c>
      <c r="O177" s="10" t="s">
        <v>17</v>
      </c>
      <c r="P177" s="8" t="s">
        <v>1389</v>
      </c>
      <c r="Q177" s="10" t="s">
        <v>188</v>
      </c>
      <c r="R177" s="10" t="s">
        <v>353</v>
      </c>
      <c r="S177" s="8" t="s">
        <v>1390</v>
      </c>
      <c r="T177" s="10" t="s">
        <v>1364</v>
      </c>
      <c r="U177" s="10" t="s">
        <v>27</v>
      </c>
    </row>
    <row r="178" spans="1:21" s="10" customFormat="1" x14ac:dyDescent="0.25">
      <c r="A178" s="10" t="s">
        <v>1391</v>
      </c>
      <c r="B178" s="10" t="s">
        <v>1358</v>
      </c>
      <c r="C178" s="10" t="s">
        <v>175</v>
      </c>
      <c r="D178" s="10" t="s">
        <v>1392</v>
      </c>
      <c r="E178" s="8" t="s">
        <v>1393</v>
      </c>
      <c r="F178" s="8" t="s">
        <v>873</v>
      </c>
      <c r="G178" s="10" t="s">
        <v>27</v>
      </c>
      <c r="H178" s="8" t="s">
        <v>168</v>
      </c>
      <c r="I178" s="10" t="s">
        <v>542</v>
      </c>
      <c r="J178" s="8" t="s">
        <v>1362</v>
      </c>
      <c r="K178" s="8" t="s">
        <v>27</v>
      </c>
      <c r="L178" s="8" t="s">
        <v>27</v>
      </c>
      <c r="M178" s="10" t="s">
        <v>27</v>
      </c>
      <c r="N178" s="8" t="s">
        <v>27</v>
      </c>
      <c r="O178" s="10" t="s">
        <v>17</v>
      </c>
      <c r="P178" s="8" t="s">
        <v>1394</v>
      </c>
      <c r="Q178" s="10" t="s">
        <v>171</v>
      </c>
      <c r="R178" s="10" t="s">
        <v>353</v>
      </c>
      <c r="S178" s="8" t="s">
        <v>168</v>
      </c>
      <c r="T178" s="10" t="s">
        <v>202</v>
      </c>
      <c r="U178" s="10" t="s">
        <v>27</v>
      </c>
    </row>
  </sheetData>
  <autoFilter ref="A1:U178"/>
  <conditionalFormatting sqref="G2:G178">
    <cfRule type="cellIs" dxfId="10" priority="1" operator="equal">
      <formula>"PASS"</formula>
    </cfRule>
    <cfRule type="cellIs" dxfId="11" priority="2" operator="equal">
      <formula>"FAIL"</formula>
    </cfRule>
    <cfRule type="cellIs" dxfId="12" priority="3" operator="equal">
      <formula>"BLOCKED"</formula>
    </cfRule>
  </conditionalFormatting>
  <conditionalFormatting sqref="A2:U178">
    <cfRule type="expression" dxfId="13" priority="10">
      <formula>$G2="FAIL"</formula>
    </cfRule>
  </conditionalFormatting>
  <dataValidations count="8">
    <dataValidation type="list" allowBlank="1" showErrorMessage="1" errorStyle="warning" errorTitle="Not a valid value" error="Choose one of: P1, P2, P3" sqref="C10:C178">
      <formula1>"P1,P2,P3"</formula1>
    </dataValidation>
    <dataValidation type="list" allowBlank="1" showErrorMessage="1" errorStyle="warning" errorTitle="Not a valid value" error="Choose one of: P1, P2, P3" sqref="C2:C178">
      <formula1>"P1,P2,P3"</formula1>
    </dataValidation>
    <dataValidation type="list" allowBlank="1" showErrorMessage="1" errorStyle="warning" errorTitle="Not a valid value" error="Choose one of: PASS, FAIL, BLOCKED, N/A" sqref="G10:G178">
      <formula1>"PASS,FAIL,BLOCKED,N/A"</formula1>
    </dataValidation>
    <dataValidation type="list" allowBlank="1" showErrorMessage="1" errorStyle="warning" errorTitle="Not a valid value" error="Choose one of: PASS, FAIL, BLOCKED, N/A" sqref="G2:G178">
      <formula1>"PASS,FAIL,BLOCKED,N/A"</formula1>
    </dataValidation>
    <dataValidation type="list" allowBlank="1" showErrorMessage="1" errorStyle="warning" errorTitle="Not a valid value" error="Choose one of: Y, N" sqref="M10:M178">
      <formula1>"Y,N"</formula1>
    </dataValidation>
    <dataValidation type="list" allowBlank="1" showErrorMessage="1" errorStyle="warning" errorTitle="Not a valid value" error="Choose one of: Y, N" sqref="M2:M178">
      <formula1>"Y,N"</formula1>
    </dataValidation>
    <dataValidation type="list" allowBlank="1" showErrorMessage="1" errorStyle="warning" errorTitle="Not a valid value" error="Choose one of: Positive, Negative, Boundary, RBAC, Cross-Module" sqref="Q10:Q178">
      <formula1>"Positive,Negative,Boundary,RBAC,Cross-Module"</formula1>
    </dataValidation>
    <dataValidation type="list" allowBlank="1" showErrorMessage="1" errorStyle="warning" errorTitle="Not a valid value" error="Choose one of: Positive, Negative, Boundary, RBAC, Cross-Module" sqref="Q2:Q178">
      <formula1>"Positive,Negative,Boundary,RBAC,Cross-Module"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1"/>
  <sheetViews>
    <sheetView workbookViewId="0">
      <pane xSplit="1" ySplit="1" topLeftCell="B2" activePane="bottomRight" state="frozen"/>
      <selection pane="bottomRight"/>
    </sheetView>
  </sheetViews>
  <sheetFormatPr defaultRowHeight="18" outlineLevelRow="0" outlineLevelCol="0" x14ac:dyDescent="55" customHeight="1"/>
  <cols>
    <col min="1" max="1" width="16" customWidth="1"/>
    <col min="2" max="2" width="12" customWidth="1"/>
    <col min="3" max="3" width="10" customWidth="1"/>
    <col min="4" max="4" width="20" customWidth="1"/>
    <col min="5" max="5" width="18" customWidth="1"/>
    <col min="6" max="6" width="12" customWidth="1"/>
    <col min="7" max="7" width="50" customWidth="1"/>
    <col min="8" max="8" width="60" customWidth="1"/>
    <col min="9" max="9" width="44" customWidth="1"/>
    <col min="10" max="11" width="16" customWidth="1"/>
    <col min="12" max="12" width="14" customWidth="1"/>
    <col min="13" max="13" width="40" customWidth="1"/>
  </cols>
  <sheetData>
    <row r="1" ht="34" customHeight="1" spans="1:13" x14ac:dyDescent="0.25">
      <c r="A1" s="12" t="s">
        <v>161</v>
      </c>
      <c r="B1" s="12" t="s">
        <v>1395</v>
      </c>
      <c r="C1" s="12" t="s">
        <v>0</v>
      </c>
      <c r="D1" s="12" t="s">
        <v>143</v>
      </c>
      <c r="E1" s="12" t="s">
        <v>1396</v>
      </c>
      <c r="F1" s="12" t="s">
        <v>1397</v>
      </c>
      <c r="G1" s="12" t="s">
        <v>1398</v>
      </c>
      <c r="H1" s="12" t="s">
        <v>1399</v>
      </c>
      <c r="I1" s="12" t="s">
        <v>1400</v>
      </c>
      <c r="J1" s="12" t="s">
        <v>1401</v>
      </c>
      <c r="K1" s="12" t="s">
        <v>1402</v>
      </c>
      <c r="L1" s="12" t="s">
        <v>22</v>
      </c>
      <c r="M1" s="12" t="s">
        <v>1403</v>
      </c>
    </row>
    <row r="2" spans="6:12" x14ac:dyDescent="0.25"/>
    <row r="3" spans="6:12" x14ac:dyDescent="0.25"/>
    <row r="4" spans="6:12" x14ac:dyDescent="0.25"/>
    <row r="5" spans="6:12" x14ac:dyDescent="0.25"/>
    <row r="6" spans="6:12" x14ac:dyDescent="0.25"/>
    <row r="7" spans="6:12" x14ac:dyDescent="0.25"/>
    <row r="8" spans="6:12" x14ac:dyDescent="0.25"/>
    <row r="9" spans="6:12" x14ac:dyDescent="0.25"/>
    <row r="10" spans="6:12" x14ac:dyDescent="0.25"/>
    <row r="11" spans="6:12" x14ac:dyDescent="0.25"/>
    <row r="12" spans="6:12" x14ac:dyDescent="0.25"/>
    <row r="13" spans="6:12" x14ac:dyDescent="0.25"/>
    <row r="14" spans="6:12" x14ac:dyDescent="0.25"/>
    <row r="15" spans="6:12" x14ac:dyDescent="0.25"/>
    <row r="16" spans="6:12" x14ac:dyDescent="0.25"/>
    <row r="17" spans="6:12" x14ac:dyDescent="0.25"/>
    <row r="18" spans="6:12" x14ac:dyDescent="0.25"/>
    <row r="19" spans="6:12" x14ac:dyDescent="0.25"/>
    <row r="20" spans="6:12" x14ac:dyDescent="0.25"/>
    <row r="21" spans="6:12" x14ac:dyDescent="0.25"/>
    <row r="22" spans="6:12" x14ac:dyDescent="0.25"/>
    <row r="23" spans="6:12" x14ac:dyDescent="0.25"/>
    <row r="24" spans="6:12" x14ac:dyDescent="0.25"/>
    <row r="25" spans="6:12" x14ac:dyDescent="0.25"/>
    <row r="26" spans="6:12" x14ac:dyDescent="0.25"/>
    <row r="27" spans="6:12" x14ac:dyDescent="0.25"/>
    <row r="28" spans="6:12" x14ac:dyDescent="0.25"/>
    <row r="29" spans="6:12" x14ac:dyDescent="0.25"/>
    <row r="30" spans="6:12" x14ac:dyDescent="0.25"/>
    <row r="31" spans="6:12" x14ac:dyDescent="0.25"/>
    <row r="32" spans="6:12" x14ac:dyDescent="0.25"/>
    <row r="33" spans="6:12" x14ac:dyDescent="0.25"/>
    <row r="34" spans="6:12" x14ac:dyDescent="0.25"/>
    <row r="35" spans="6:12" x14ac:dyDescent="0.25"/>
    <row r="36" spans="6:12" x14ac:dyDescent="0.25"/>
    <row r="37" spans="6:12" x14ac:dyDescent="0.25"/>
    <row r="38" spans="6:12" x14ac:dyDescent="0.25"/>
    <row r="39" spans="6:12" x14ac:dyDescent="0.25"/>
    <row r="40" spans="6:12" x14ac:dyDescent="0.25"/>
    <row r="41" spans="6:12" x14ac:dyDescent="0.25"/>
    <row r="42" spans="6:12" x14ac:dyDescent="0.25"/>
    <row r="43" spans="6:12" x14ac:dyDescent="0.25"/>
    <row r="44" spans="6:12" x14ac:dyDescent="0.25"/>
    <row r="45" spans="6:12" x14ac:dyDescent="0.25"/>
    <row r="46" spans="6:12" x14ac:dyDescent="0.25"/>
    <row r="47" spans="6:12" x14ac:dyDescent="0.25"/>
    <row r="48" spans="6:12" x14ac:dyDescent="0.25"/>
    <row r="49" spans="6:12" x14ac:dyDescent="0.25"/>
    <row r="50" spans="6:12" x14ac:dyDescent="0.25"/>
    <row r="51" spans="6:12" x14ac:dyDescent="0.25"/>
    <row r="52" spans="6:12" x14ac:dyDescent="0.25"/>
    <row r="53" spans="6:12" x14ac:dyDescent="0.25"/>
    <row r="54" spans="6:12" x14ac:dyDescent="0.25"/>
    <row r="55" spans="6:12" x14ac:dyDescent="0.25"/>
    <row r="56" spans="6:12" x14ac:dyDescent="0.25"/>
    <row r="57" spans="6:12" x14ac:dyDescent="0.25"/>
    <row r="58" spans="6:12" x14ac:dyDescent="0.25"/>
    <row r="59" spans="6:12" x14ac:dyDescent="0.25"/>
    <row r="60" spans="6:12" x14ac:dyDescent="0.25"/>
    <row r="61" spans="6:12" x14ac:dyDescent="0.25"/>
    <row r="62" spans="6:12" x14ac:dyDescent="0.25"/>
    <row r="63" spans="6:12" x14ac:dyDescent="0.25"/>
    <row r="64" spans="6:12" x14ac:dyDescent="0.25"/>
    <row r="65" spans="6:12" x14ac:dyDescent="0.25"/>
    <row r="66" spans="6:12" x14ac:dyDescent="0.25"/>
    <row r="67" spans="6:12" x14ac:dyDescent="0.25"/>
    <row r="68" spans="6:12" x14ac:dyDescent="0.25"/>
    <row r="69" spans="6:12" x14ac:dyDescent="0.25"/>
    <row r="70" spans="6:12" x14ac:dyDescent="0.25"/>
    <row r="71" spans="6:12" x14ac:dyDescent="0.25"/>
    <row r="72" spans="6:12" x14ac:dyDescent="0.25"/>
    <row r="73" spans="6:12" x14ac:dyDescent="0.25"/>
    <row r="74" spans="6:12" x14ac:dyDescent="0.25"/>
    <row r="75" spans="6:12" x14ac:dyDescent="0.25"/>
    <row r="76" spans="6:12" x14ac:dyDescent="0.25"/>
    <row r="77" spans="6:12" x14ac:dyDescent="0.25"/>
    <row r="78" spans="6:12" x14ac:dyDescent="0.25"/>
    <row r="79" spans="6:12" x14ac:dyDescent="0.25"/>
    <row r="80" spans="6:12" x14ac:dyDescent="0.25"/>
    <row r="81" spans="6:12" x14ac:dyDescent="0.25"/>
    <row r="82" spans="6:12" x14ac:dyDescent="0.25"/>
    <row r="83" spans="6:12" x14ac:dyDescent="0.25"/>
    <row r="84" spans="6:12" x14ac:dyDescent="0.25"/>
    <row r="85" spans="6:12" x14ac:dyDescent="0.25"/>
    <row r="86" spans="6:12" x14ac:dyDescent="0.25"/>
    <row r="87" spans="6:12" x14ac:dyDescent="0.25"/>
    <row r="88" spans="6:12" x14ac:dyDescent="0.25"/>
    <row r="89" spans="6:12" x14ac:dyDescent="0.25"/>
    <row r="90" spans="6:12" x14ac:dyDescent="0.25"/>
    <row r="91" spans="6:12" x14ac:dyDescent="0.25"/>
    <row r="92" spans="6:12" x14ac:dyDescent="0.25"/>
    <row r="93" spans="6:12" x14ac:dyDescent="0.25"/>
    <row r="94" spans="6:12" x14ac:dyDescent="0.25"/>
    <row r="95" spans="6:12" x14ac:dyDescent="0.25"/>
    <row r="96" spans="6:12" x14ac:dyDescent="0.25"/>
    <row r="97" spans="6:12" x14ac:dyDescent="0.25"/>
    <row r="98" spans="6:12" x14ac:dyDescent="0.25"/>
    <row r="99" spans="6:12" x14ac:dyDescent="0.25"/>
    <row r="100" spans="6:12" x14ac:dyDescent="0.25"/>
    <row r="101" spans="6:12" x14ac:dyDescent="0.25"/>
    <row r="102" spans="6:12" x14ac:dyDescent="0.25"/>
    <row r="103" spans="6:12" x14ac:dyDescent="0.25"/>
    <row r="104" spans="6:12" x14ac:dyDescent="0.25"/>
    <row r="105" spans="6:12" x14ac:dyDescent="0.25"/>
    <row r="106" spans="6:12" x14ac:dyDescent="0.25"/>
    <row r="107" spans="6:12" x14ac:dyDescent="0.25"/>
    <row r="108" spans="6:12" x14ac:dyDescent="0.25"/>
    <row r="109" spans="6:12" x14ac:dyDescent="0.25"/>
    <row r="110" spans="6:12" x14ac:dyDescent="0.25"/>
    <row r="111" spans="6:12" x14ac:dyDescent="0.25"/>
    <row r="112" spans="6:12" x14ac:dyDescent="0.25"/>
    <row r="113" spans="6:12" x14ac:dyDescent="0.25"/>
    <row r="114" spans="6:12" x14ac:dyDescent="0.25"/>
    <row r="115" spans="6:12" x14ac:dyDescent="0.25"/>
    <row r="116" spans="6:12" x14ac:dyDescent="0.25"/>
    <row r="117" spans="6:12" x14ac:dyDescent="0.25"/>
    <row r="118" spans="6:12" x14ac:dyDescent="0.25"/>
    <row r="119" spans="6:12" x14ac:dyDescent="0.25"/>
    <row r="120" spans="6:12" x14ac:dyDescent="0.25"/>
    <row r="121" spans="6:12" x14ac:dyDescent="0.25"/>
    <row r="122" spans="6:12" x14ac:dyDescent="0.25"/>
    <row r="123" spans="6:12" x14ac:dyDescent="0.25"/>
    <row r="124" spans="6:12" x14ac:dyDescent="0.25"/>
    <row r="125" spans="6:12" x14ac:dyDescent="0.25"/>
    <row r="126" spans="6:12" x14ac:dyDescent="0.25"/>
    <row r="127" spans="6:12" x14ac:dyDescent="0.25"/>
    <row r="128" spans="6:12" x14ac:dyDescent="0.25"/>
    <row r="129" spans="6:12" x14ac:dyDescent="0.25"/>
    <row r="130" spans="6:12" x14ac:dyDescent="0.25"/>
    <row r="131" spans="6:12" x14ac:dyDescent="0.25"/>
    <row r="132" spans="6:12" x14ac:dyDescent="0.25"/>
    <row r="133" spans="6:12" x14ac:dyDescent="0.25"/>
    <row r="134" spans="6:12" x14ac:dyDescent="0.25"/>
    <row r="135" spans="6:12" x14ac:dyDescent="0.25"/>
    <row r="136" spans="6:12" x14ac:dyDescent="0.25"/>
    <row r="137" spans="6:12" x14ac:dyDescent="0.25"/>
    <row r="138" spans="6:12" x14ac:dyDescent="0.25"/>
    <row r="139" spans="6:12" x14ac:dyDescent="0.25"/>
    <row r="140" spans="6:12" x14ac:dyDescent="0.25"/>
    <row r="141" spans="6:12" x14ac:dyDescent="0.25"/>
    <row r="142" spans="6:12" x14ac:dyDescent="0.25"/>
    <row r="143" spans="6:12" x14ac:dyDescent="0.25"/>
    <row r="144" spans="6:12" x14ac:dyDescent="0.25"/>
    <row r="145" spans="6:12" x14ac:dyDescent="0.25"/>
    <row r="146" spans="6:12" x14ac:dyDescent="0.25"/>
    <row r="147" spans="6:12" x14ac:dyDescent="0.25"/>
    <row r="148" spans="6:12" x14ac:dyDescent="0.25"/>
    <row r="149" spans="6:12" x14ac:dyDescent="0.25"/>
    <row r="150" spans="6:12" x14ac:dyDescent="0.25"/>
    <row r="151" spans="6:12" x14ac:dyDescent="0.25"/>
    <row r="152" spans="6:12" x14ac:dyDescent="0.25"/>
    <row r="153" spans="6:12" x14ac:dyDescent="0.25"/>
    <row r="154" spans="6:12" x14ac:dyDescent="0.25"/>
    <row r="155" spans="6:12" x14ac:dyDescent="0.25"/>
    <row r="156" spans="6:12" x14ac:dyDescent="0.25"/>
    <row r="157" spans="6:12" x14ac:dyDescent="0.25"/>
    <row r="158" spans="6:12" x14ac:dyDescent="0.25"/>
    <row r="159" spans="6:12" x14ac:dyDescent="0.25"/>
    <row r="160" spans="6:12" x14ac:dyDescent="0.25"/>
    <row r="161" spans="6:12" x14ac:dyDescent="0.25"/>
    <row r="162" spans="6:12" x14ac:dyDescent="0.25"/>
    <row r="163" spans="6:12" x14ac:dyDescent="0.25"/>
    <row r="164" spans="6:12" x14ac:dyDescent="0.25"/>
    <row r="165" spans="6:12" x14ac:dyDescent="0.25"/>
    <row r="166" spans="6:12" x14ac:dyDescent="0.25"/>
    <row r="167" spans="6:12" x14ac:dyDescent="0.25"/>
    <row r="168" spans="6:12" x14ac:dyDescent="0.25"/>
    <row r="169" spans="6:12" x14ac:dyDescent="0.25"/>
    <row r="170" spans="6:12" x14ac:dyDescent="0.25"/>
    <row r="171" spans="6:12" x14ac:dyDescent="0.25"/>
    <row r="172" spans="6:12" x14ac:dyDescent="0.25"/>
    <row r="173" spans="6:12" x14ac:dyDescent="0.25"/>
    <row r="174" spans="6:12" x14ac:dyDescent="0.25"/>
    <row r="175" spans="6:12" x14ac:dyDescent="0.25"/>
    <row r="176" spans="6:12" x14ac:dyDescent="0.25"/>
    <row r="177" spans="6:12" x14ac:dyDescent="0.25"/>
    <row r="178" spans="6:12" x14ac:dyDescent="0.25"/>
    <row r="179" spans="6:12" x14ac:dyDescent="0.25"/>
    <row r="180" spans="6:12" x14ac:dyDescent="0.25"/>
    <row r="181" spans="6:12" x14ac:dyDescent="0.25"/>
    <row r="182" spans="6:12" x14ac:dyDescent="0.25"/>
    <row r="183" spans="6:12" x14ac:dyDescent="0.25"/>
    <row r="184" spans="6:12" x14ac:dyDescent="0.25"/>
    <row r="185" spans="6:12" x14ac:dyDescent="0.25"/>
    <row r="186" spans="6:12" x14ac:dyDescent="0.25"/>
    <row r="187" spans="6:12" x14ac:dyDescent="0.25"/>
    <row r="188" spans="6:12" x14ac:dyDescent="0.25"/>
    <row r="189" spans="6:12" x14ac:dyDescent="0.25"/>
    <row r="190" spans="6:12" x14ac:dyDescent="0.25"/>
    <row r="191" spans="6:12" x14ac:dyDescent="0.25"/>
    <row r="192" spans="6:12" x14ac:dyDescent="0.25"/>
    <row r="193" spans="6:12" x14ac:dyDescent="0.25"/>
    <row r="194" spans="6:12" x14ac:dyDescent="0.25"/>
    <row r="195" spans="6:12" x14ac:dyDescent="0.25"/>
    <row r="196" spans="6:12" x14ac:dyDescent="0.25"/>
    <row r="197" spans="6:12" x14ac:dyDescent="0.25"/>
    <row r="198" spans="6:12" x14ac:dyDescent="0.25"/>
    <row r="199" spans="6:12" x14ac:dyDescent="0.25"/>
    <row r="200" spans="6:12" x14ac:dyDescent="0.25"/>
    <row r="201" spans="6:12" x14ac:dyDescent="0.25"/>
  </sheetData>
  <conditionalFormatting sqref="L2:L201">
    <cfRule type="cellIs" dxfId="14" priority="1" operator="equal">
      <formula>"Verified"</formula>
    </cfRule>
    <cfRule type="cellIs" dxfId="15" priority="2" operator="equal">
      <formula>"Open"</formula>
    </cfRule>
    <cfRule type="cellIs" dxfId="16" priority="3" operator="equal">
      <formula>"Reopened"</formula>
    </cfRule>
  </conditionalFormatting>
  <dataValidations count="6">
    <dataValidation type="list" allowBlank="1" showErrorMessage="1" errorStyle="warning" sqref="F10:F201">
      <formula1>"P1 - Critical,P2 - Major,P3 - Minor"</formula1>
    </dataValidation>
    <dataValidation type="list" allowBlank="1" showErrorMessage="1" errorStyle="warning" sqref="F2:F201">
      <formula1>"P1 - Critical,P2 - Major,P3 - Minor"</formula1>
    </dataValidation>
    <dataValidation type="list" allowBlank="1" showErrorMessage="1" errorStyle="warning" sqref="K10:K201">
      <formula1>"Priya,Ravi,Meera,Kiran,Ananya,Arjun,Dr. Ramesh,Dr. Nalini,Sunita"</formula1>
    </dataValidation>
    <dataValidation type="list" allowBlank="1" showErrorMessage="1" errorStyle="warning" sqref="K2:K201">
      <formula1>"Priya,Ravi,Meera,Kiran,Ananya,Arjun,Dr. Ramesh,Dr. Nalini,Sunita"</formula1>
    </dataValidation>
    <dataValidation type="list" allowBlank="1" showErrorMessage="1" errorStyle="warning" sqref="L10:L201">
      <formula1>"Open,Fixing,Fixed,Verified,Reopened,Won't fix"</formula1>
    </dataValidation>
    <dataValidation type="list" allowBlank="1" showErrorMessage="1" errorStyle="warning" sqref="L2:L201">
      <formula1>"Open,Fixing,Fixed,Verified,Reopened,Won't fix"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Scenario Status</vt:lpstr>
      <vt:lpstr>Go-Live Readiness</vt:lpstr>
      <vt:lpstr>Phase 01 Foundation &amp; Access</vt:lpstr>
      <vt:lpstr>Defect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Aumrti QA</dc:creator>
  <dc:title/>
  <dc:subject/>
  <dc:description/>
  <cp:keywords/>
  <cp:category/>
  <cp:lastModifiedBy>Unknown</cp:lastModifiedBy>
  <dcterms:created xsi:type="dcterms:W3CDTF">2026-07-26T16:18:20Z</dcterms:created>
  <dcterms:modified xsi:type="dcterms:W3CDTF">2026-07-26T16:18:20Z</dcterms:modified>
</cp:coreProperties>
</file>