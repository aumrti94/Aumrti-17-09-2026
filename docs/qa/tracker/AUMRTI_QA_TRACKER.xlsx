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Scenario Status" state="visible" r:id="rId5"/>
    <sheet sheetId="3" name="Go-Live Readiness" state="visible" r:id="rId6"/>
    <sheet sheetId="4" name="Phase 01 Foundation &amp; Access" state="visible" r:id="rId7"/>
    <sheet sheetId="5" name="Phase 02 Settings &amp; Masters" state="visible" r:id="rId8"/>
    <sheet sheetId="6" name="Phase 03 Patient &amp; Records" state="visible" r:id="rId9"/>
    <sheet sheetId="7" name="Phase 04 OPD Journey" state="visible" r:id="rId10"/>
    <sheet sheetId="8" name="Phase 05 Lab &amp; Radiology" state="visible" r:id="rId11"/>
    <sheet sheetId="9" name="Defect Log" state="visible" r:id="rId12"/>
  </sheets>
  <calcPr calcId="171027"/>
</workbook>
</file>

<file path=xl/sharedStrings.xml><?xml version="1.0" encoding="utf-8"?>
<sst xmlns="http://schemas.openxmlformats.org/spreadsheetml/2006/main" count="36124" uniqueCount="11544">
  <si>
    <t>Phase</t>
  </si>
  <si>
    <t>Cases</t>
  </si>
  <si>
    <t>Run</t>
  </si>
  <si>
    <t>PASS</t>
  </si>
  <si>
    <t>FAIL</t>
  </si>
  <si>
    <t>BLOCKED</t>
  </si>
  <si>
    <t>Not run</t>
  </si>
  <si>
    <t>% Run</t>
  </si>
  <si>
    <t>% Pass</t>
  </si>
  <si>
    <t>P1 cases</t>
  </si>
  <si>
    <t>P1 FAIL</t>
  </si>
  <si>
    <t>GATE</t>
  </si>
  <si>
    <t>Phase 01 Foundation &amp; Access</t>
  </si>
  <si>
    <t>Phase 02 Settings &amp; Masters</t>
  </si>
  <si>
    <t>Phase 03 Patient &amp; Records</t>
  </si>
  <si>
    <t>Phase 04 OPD Journey</t>
  </si>
  <si>
    <t>Phase 05 Lab &amp; Radiology</t>
  </si>
  <si>
    <t>TOTAL</t>
  </si>
  <si>
    <t>A phase is DONE only when: every case has a Status, zero open P1 defects, and every P1 case has a passing Playwright spec.</t>
  </si>
  <si>
    <t>Journey Scenario</t>
  </si>
  <si>
    <t>Scenario Verdict</t>
  </si>
  <si>
    <t>P1-Setup</t>
  </si>
  <si>
    <t>P2-Setup</t>
  </si>
  <si>
    <t>P3-S01</t>
  </si>
  <si>
    <t>P3-S02</t>
  </si>
  <si>
    <t>P3-S03</t>
  </si>
  <si>
    <t>P3-S04</t>
  </si>
  <si>
    <t>P3-S05</t>
  </si>
  <si>
    <t>P3-S06</t>
  </si>
  <si>
    <t>P3-S07</t>
  </si>
  <si>
    <t>P3-S08</t>
  </si>
  <si>
    <t>P3-S09</t>
  </si>
  <si>
    <t>P3-S10</t>
  </si>
  <si>
    <t>P3-S11</t>
  </si>
  <si>
    <t>P3-S12</t>
  </si>
  <si>
    <t>P4-S01</t>
  </si>
  <si>
    <t>P4-S02</t>
  </si>
  <si>
    <t>P4-S03</t>
  </si>
  <si>
    <t>P4-S04</t>
  </si>
  <si>
    <t>P4-S05</t>
  </si>
  <si>
    <t>P4-S06</t>
  </si>
  <si>
    <t>P4-S07</t>
  </si>
  <si>
    <t>P4-S08</t>
  </si>
  <si>
    <t>P4-S09</t>
  </si>
  <si>
    <t>P4-S10</t>
  </si>
  <si>
    <t>P4-S11</t>
  </si>
  <si>
    <t>P4-S12</t>
  </si>
  <si>
    <t>P4-S13</t>
  </si>
  <si>
    <t>P4-S14</t>
  </si>
  <si>
    <t>P4-S15</t>
  </si>
  <si>
    <t>P4-S16</t>
  </si>
  <si>
    <t>P4-S17</t>
  </si>
  <si>
    <t>P4-S18</t>
  </si>
  <si>
    <t>P4-S19</t>
  </si>
  <si>
    <t>P4-S20</t>
  </si>
  <si>
    <t>P4-S21</t>
  </si>
  <si>
    <t>P4-S22</t>
  </si>
  <si>
    <t>P4-S23</t>
  </si>
  <si>
    <t>P4-S24</t>
  </si>
  <si>
    <t>P5-S01</t>
  </si>
  <si>
    <t>P5-S02</t>
  </si>
  <si>
    <t>P5-S03</t>
  </si>
  <si>
    <t>P5-S04</t>
  </si>
  <si>
    <t>P5-S05</t>
  </si>
  <si>
    <t>P5-S06</t>
  </si>
  <si>
    <t>P5-S07</t>
  </si>
  <si>
    <t>P5-S08</t>
  </si>
  <si>
    <t>P5-S09</t>
  </si>
  <si>
    <t>P5-S10</t>
  </si>
  <si>
    <t>P5-S11</t>
  </si>
  <si>
    <t>P5-S12</t>
  </si>
  <si>
    <t>P5-S13</t>
  </si>
  <si>
    <t>P5-S14</t>
  </si>
  <si>
    <t>P5-S15</t>
  </si>
  <si>
    <t>P5-S16</t>
  </si>
  <si>
    <t>P5-S18</t>
  </si>
  <si>
    <t>P5-S19</t>
  </si>
  <si>
    <t>P5-S20</t>
  </si>
  <si>
    <t>P5-Setup</t>
  </si>
  <si>
    <t>Scenarios for phases not yet written appear once their CSV is added. Full list of ~230 scenarios: docs/qa/JOURNEY_SCENARIOS.md</t>
  </si>
  <si>
    <t>Category</t>
  </si>
  <si>
    <t>Scenario</t>
  </si>
  <si>
    <t>What must be true</t>
  </si>
  <si>
    <t>Status</t>
  </si>
  <si>
    <t>Evidence / Notes</t>
  </si>
  <si>
    <t>Patient safety</t>
  </si>
  <si>
    <t>Drug allergy prescription is blocked; override is audited</t>
  </si>
  <si>
    <t/>
  </si>
  <si>
    <t>Drug interaction alert fires</t>
  </si>
  <si>
    <t>Critical lab value raises an immediate alert</t>
  </si>
  <si>
    <t>Rejected sample re-queues without double-charging</t>
  </si>
  <si>
    <t>Dual-validation test cannot be released by one person</t>
  </si>
  <si>
    <t>P6-S04</t>
  </si>
  <si>
    <t>FEFO batch selection picks the earliest expiry</t>
  </si>
  <si>
    <t>P6-S05</t>
  </si>
  <si>
    <t>Expired batch cannot be dispensed</t>
  </si>
  <si>
    <t>P6-S07</t>
  </si>
  <si>
    <t>NDPS dispensing requires dual sign-off</t>
  </si>
  <si>
    <t>P6-S08</t>
  </si>
  <si>
    <t>NDPS with a single signature is blocked</t>
  </si>
  <si>
    <t>P7-S06</t>
  </si>
  <si>
    <t>ICU flowsheet, ventilator and sedation records save</t>
  </si>
  <si>
    <t>P10-OT</t>
  </si>
  <si>
    <t>WHO surgical checklist cannot be bypassed</t>
  </si>
  <si>
    <t>P10-BB</t>
  </si>
  <si>
    <t>Blood cross-match is traceable donor to recipient</t>
  </si>
  <si>
    <t>P10-CSSD</t>
  </si>
  <si>
    <t>Failed sterilisation cycle triggers recall</t>
  </si>
  <si>
    <t>P14-AI</t>
  </si>
  <si>
    <t>Clinical AI output can be rejected; clinician value is recorded</t>
  </si>
  <si>
    <t>Money</t>
  </si>
  <si>
    <t>P7-S14</t>
  </si>
  <si>
    <t>Discharge sweep collects every charge exactly once</t>
  </si>
  <si>
    <t>P7-S15</t>
  </si>
  <si>
    <t>Excess advance produces a refund payable</t>
  </si>
  <si>
    <t>P7-S16</t>
  </si>
  <si>
    <t>Pharmacy return restores stock and reduces the bill</t>
  </si>
  <si>
    <t>P7-S17</t>
  </si>
  <si>
    <t>Discharge blocked on unbilled OT, with audited override</t>
  </si>
  <si>
    <t>P7-S13</t>
  </si>
  <si>
    <t>Stay crossing a locked cash-closure day does not drop charges</t>
  </si>
  <si>
    <t>P7-S12</t>
  </si>
  <si>
    <t>Pre-paid and post-paid ancillary both bill correctly</t>
  </si>
  <si>
    <t>P8-S01</t>
  </si>
  <si>
    <t>Cash bill totals, rounds and receipts correctly</t>
  </si>
  <si>
    <t>P8-S09</t>
  </si>
  <si>
    <t>Advance adjusts against the final bill without double-counting</t>
  </si>
  <si>
    <t>P8-S10</t>
  </si>
  <si>
    <t>Discount below threshold applies directly</t>
  </si>
  <si>
    <t>P8-S11</t>
  </si>
  <si>
    <t>Discount above threshold enforces approval</t>
  </si>
  <si>
    <t>P8-S13</t>
  </si>
  <si>
    <t>Refund follows the approval chain</t>
  </si>
  <si>
    <t>P8-S15</t>
  </si>
  <si>
    <t>Paid bill cannot be voided without reversal</t>
  </si>
  <si>
    <t>P8-S16</t>
  </si>
  <si>
    <t>Day closure locks the day and blocks later edits</t>
  </si>
  <si>
    <t>P8-S18</t>
  </si>
  <si>
    <t>Finalised bill posts a balanced journal entry</t>
  </si>
  <si>
    <t>P8-S20</t>
  </si>
  <si>
    <t>Bill numbers have no duplicates and no gaps</t>
  </si>
  <si>
    <t>P9-S07</t>
  </si>
  <si>
    <t>Room-rent ceiling breach applies the correct deduction</t>
  </si>
  <si>
    <t>P6-S02</t>
  </si>
  <si>
    <t>Pharmacy stock decrements exactly once</t>
  </si>
  <si>
    <t>Legal</t>
  </si>
  <si>
    <t>PCPNDT — obstetric USG produces a complete Form F</t>
  </si>
  <si>
    <t>PCPNDT — Form F complete in the register</t>
  </si>
  <si>
    <t>PCPNDT — non-obstetric USG does NOT produce a Form F</t>
  </si>
  <si>
    <t>P6-S07b</t>
  </si>
  <si>
    <t>NDPS — register entry written on dispense</t>
  </si>
  <si>
    <t>P8-S07</t>
  </si>
  <si>
    <t>GST — finalisation blocked when HSN is missing</t>
  </si>
  <si>
    <t>P8-S06</t>
  </si>
  <si>
    <t>GST — room charge bands correct; ICU exempt</t>
  </si>
  <si>
    <t>P9-S15</t>
  </si>
  <si>
    <t>CGHS — no referral means no bill finalisation</t>
  </si>
  <si>
    <t>MLC record cannot be skipped</t>
  </si>
  <si>
    <t>P7-S19</t>
  </si>
  <si>
    <t>Death produces an MCCD</t>
  </si>
  <si>
    <t>DPDP — erasure soft-deletes and excludes from search</t>
  </si>
  <si>
    <t>P13-NABH</t>
  </si>
  <si>
    <t>NABH evidence carries real timestamps and identities</t>
  </si>
  <si>
    <t>Security</t>
  </si>
  <si>
    <t>Cross-tenant patient open by UUID is blocked</t>
  </si>
  <si>
    <t>R7</t>
  </si>
  <si>
    <t>Every module blocked cross-tenant</t>
  </si>
  <si>
    <t>P1-1H-a</t>
  </si>
  <si>
    <t>Direct API query returns no cross-tenant rows</t>
  </si>
  <si>
    <t>P1-1H-b</t>
  </si>
  <si>
    <t>Stale session after a hospital move does not leak</t>
  </si>
  <si>
    <t>P14-PHI</t>
  </si>
  <si>
    <t>No PHI in console, errors or AI logs</t>
  </si>
  <si>
    <t>Access</t>
  </si>
  <si>
    <t>P1-1E</t>
  </si>
  <si>
    <t>Every role lands correctly and is blocked correctly</t>
  </si>
  <si>
    <t>P1-1F</t>
  </si>
  <si>
    <t>Receptionist cannot Complete &amp; Bill or Admit</t>
  </si>
  <si>
    <t>P1-1G</t>
  </si>
  <si>
    <t>Starter plan cannot open a Professional module</t>
  </si>
  <si>
    <t>P1-1C</t>
  </si>
  <si>
    <t>Deactivated user is signed out and cannot return</t>
  </si>
  <si>
    <t>Regression</t>
  </si>
  <si>
    <t>R1</t>
  </si>
  <si>
    <t>Cash outpatient end to end</t>
  </si>
  <si>
    <t>R2</t>
  </si>
  <si>
    <t>Insured inpatient end to end</t>
  </si>
  <si>
    <t>R3</t>
  </si>
  <si>
    <t>PMJAY inpatient end to end</t>
  </si>
  <si>
    <t>Cross-tenant sweep</t>
  </si>
  <si>
    <t>VERDICT</t>
  </si>
  <si>
    <t>All must-pass items green AND zero open P1 defects anywhere</t>
  </si>
  <si>
    <t>TC#</t>
  </si>
  <si>
    <t>Section</t>
  </si>
  <si>
    <t>Priority</t>
  </si>
  <si>
    <t>Test Case</t>
  </si>
  <si>
    <t>Steps</t>
  </si>
  <si>
    <t>Expected Result</t>
  </si>
  <si>
    <t>Status(PASS/FAIL/BLOCKED)</t>
  </si>
  <si>
    <t>mock data</t>
  </si>
  <si>
    <t>Cross-Module Link</t>
  </si>
  <si>
    <t>Settings need to set before entering to the module</t>
  </si>
  <si>
    <t>Actual Result(What happened)</t>
  </si>
  <si>
    <t>Console Error(Copy-paste red text)</t>
  </si>
  <si>
    <t>Screenshot(Y/N)</t>
  </si>
  <si>
    <t>Notes</t>
  </si>
  <si>
    <t>Why This Exists</t>
  </si>
  <si>
    <t>Test Type</t>
  </si>
  <si>
    <t>Role/Login</t>
  </si>
  <si>
    <t>Supabase Verify</t>
  </si>
  <si>
    <t>Playwright Spec</t>
  </si>
  <si>
    <t>Defect ID</t>
  </si>
  <si>
    <t>Stages Passed / Total</t>
  </si>
  <si>
    <t>TC-P1A-001</t>
  </si>
  <si>
    <t>1A Registration</t>
  </si>
  <si>
    <t>P2</t>
  </si>
  <si>
    <t>Registration page loads with step 1 of 5</t>
  </si>
  <si>
    <t>1) Open /register in a fresh incognito window 2) Observe the wizard</t>
  </si>
  <si>
    <t>Step 1 'Hospital Identity' renders with a 5-step progress bar. No console errors.</t>
  </si>
  <si>
    <t>Pass</t>
  </si>
  <si>
    <t>None</t>
  </si>
  <si>
    <t>None - public route</t>
  </si>
  <si>
    <t>A hospital cannot become a customer if it cannot sign up. This is the very first screen anyone outside your company ever sees.</t>
  </si>
  <si>
    <t>Positive</t>
  </si>
  <si>
    <t>Logged out</t>
  </si>
  <si>
    <t>e2e/phase-01-foundation/P1A.registration.spec.ts</t>
  </si>
  <si>
    <t>TC-P1A-002</t>
  </si>
  <si>
    <t>Step 1 accepts valid hospital identity</t>
  </si>
  <si>
    <t>1) Enter Hospital Name 'Aarogya Multispecialty Hospital' 2) Select Type 'Private Hospital' 3) Select State 'Telangana' 4) Select Bed Count '101-200 beds' 5) Enter Phone 9876500001 6) Click Next</t>
  </si>
  <si>
    <t>Next is enabled and the wizard advances to step 2.</t>
  </si>
  <si>
    <t>Hospital A identity block</t>
  </si>
  <si>
    <t>Hospital type and bed count drive plan pricing and default module selection - wrong data here mis-prices the customer.</t>
  </si>
  <si>
    <t>hospitals - after full signup</t>
  </si>
  <si>
    <t>TC-P1A-003</t>
  </si>
  <si>
    <t>Step 1 Next is disabled with any field blank</t>
  </si>
  <si>
    <t>1) Fill every field except State 2) Observe the Next button</t>
  </si>
  <si>
    <t>Next stays disabled. No way to advance with incomplete identity.</t>
  </si>
  <si>
    <t>Hospital A minus State</t>
  </si>
  <si>
    <t>A hospital record without a state breaks GST place-of-supply and state scheme eligibility downstream.</t>
  </si>
  <si>
    <t>Negative</t>
  </si>
  <si>
    <t>TC-P1A-004</t>
  </si>
  <si>
    <t>Phone accepts exactly 10 digits</t>
  </si>
  <si>
    <t>1) Enter phone 98765 2) Try Next 3) Enter 98765000011 (11 digits) 4) Try Next 5) Enter 9876500001 6) Try Next</t>
  </si>
  <si>
    <t>Only the 10-digit value is accepted. Shorter and longer are rejected.</t>
  </si>
  <si>
    <t>9876500001</t>
  </si>
  <si>
    <t>Indian mobile numbers are 10 digits. A malformed number means OTP and WhatsApp never reach the customer.</t>
  </si>
  <si>
    <t>Boundary</t>
  </si>
  <si>
    <t>TC-P1A-005</t>
  </si>
  <si>
    <t>Phone rejects letters and symbols</t>
  </si>
  <si>
    <t>1) Type 'abcdefghij' into Phone 2) Type '98765-0001'</t>
  </si>
  <si>
    <t>Non-numeric input is rejected or stripped.</t>
  </si>
  <si>
    <t>abcdefghij</t>
  </si>
  <si>
    <t>Free-text phone fields are the most common source of unusable contact data.</t>
  </si>
  <si>
    <t>MANUAL-ONLY</t>
  </si>
  <si>
    <t>TC-P1A-006</t>
  </si>
  <si>
    <t>Phone OTP is sent and verifies</t>
  </si>
  <si>
    <t>1) Complete step 1 with phone 9876500001 2) Click Verify 3) Retrieve the OTP 4) Enter it 5) Submit</t>
  </si>
  <si>
    <t>OTP accepted, phone shows verified, and a single-use token is held for the final submit.</t>
  </si>
  <si>
    <t>Platform setting: OTP required toggle (see /platform/settings)</t>
  </si>
  <si>
    <t>If OTP is not enabled on your platform settings this case is N/A - mark BLOCKED and note it</t>
  </si>
  <si>
    <t>OTP is the only thing stopping bulk fake signups from consuming your free trials.</t>
  </si>
  <si>
    <t>signup_otp_verifications</t>
  </si>
  <si>
    <t>TC-P1A-007</t>
  </si>
  <si>
    <t>Wrong OTP is rejected</t>
  </si>
  <si>
    <t>1) Request an OTP 2) Enter 000000 3) Submit</t>
  </si>
  <si>
    <t>Rejected with a clear message. Phone stays unverified. Registration cannot proceed.</t>
  </si>
  <si>
    <t>OTP 000000</t>
  </si>
  <si>
    <t>OTP required enabled</t>
  </si>
  <si>
    <t>An OTP that accepts any value is the same as having no OTP at all.</t>
  </si>
  <si>
    <t>TC-P1A-008</t>
  </si>
  <si>
    <t>Expired OTP is rejected</t>
  </si>
  <si>
    <t>1) Request an OTP 2) Wait past the expiry window 3) Enter the correct code 4) Submit</t>
  </si>
  <si>
    <t>Rejected as expired. A new OTP must be requested.</t>
  </si>
  <si>
    <t>valid but stale OTP</t>
  </si>
  <si>
    <t>An OTP with no expiry can be reused indefinitely if intercepted.</t>
  </si>
  <si>
    <t>TC-P1A-009</t>
  </si>
  <si>
    <t>Step 2 accepts a valid admin account</t>
  </si>
  <si>
    <t>1) Enter Full Name 'Dr. Ravi Shankar' 2) Email yeswanthvarma94+qa.admin.a@gmail.com 3) Password TestPass@2026 4) Confirm the same 5) Designation 'Medical Director' 6) Next</t>
  </si>
  <si>
    <t>Advances to step 3.</t>
  </si>
  <si>
    <t>Hospital A admin block</t>
  </si>
  <si>
    <t>This account becomes the hospital administrator - the only person who can create every other login.</t>
  </si>
  <si>
    <t>users after signup</t>
  </si>
  <si>
    <t>TC-P1A-010</t>
  </si>
  <si>
    <t>Malformed email is rejected</t>
  </si>
  <si>
    <t>1) Enter 'notanemail' 2) Then 'a@b' 3) Then 'a@b.c' 4) Observe each</t>
  </si>
  <si>
    <t>Only a properly formed address with a 2+ char TLD is accepted.</t>
  </si>
  <si>
    <t>notanemail / a@b / a@b.c</t>
  </si>
  <si>
    <t>The admin email is where account recovery goes. Wrong and the customer is locked out permanently.</t>
  </si>
  <si>
    <t>TC-P1A-011</t>
  </si>
  <si>
    <t>Weak password is rejected</t>
  </si>
  <si>
    <t>1) Enter 'pass' (too short) 2) Enter 'password' (no digit) 3) Enter '12345678' (no letter) 4) Enter 'TestPass@2026'</t>
  </si>
  <si>
    <t>First three rejected. Rule is 8+ characters with at least one letter and one digit.</t>
  </si>
  <si>
    <t>pass / password / 12345678 / TestPass@2026</t>
  </si>
  <si>
    <t>This account can see every patient record in the hospital. A weak password here is a data breach waiting to happen.</t>
  </si>
  <si>
    <t>TC-P1A-012</t>
  </si>
  <si>
    <t>Mismatched password confirmation is rejected</t>
  </si>
  <si>
    <t>1) Password TestPass@2026 2) Confirm TestPass@2025 3) Next</t>
  </si>
  <si>
    <t>Rejected with a mismatch message.</t>
  </si>
  <si>
    <t>TestPass@2026 / TestPass@2025</t>
  </si>
  <si>
    <t>A typo in the password the user never sees means they cannot log in and do not know why.</t>
  </si>
  <si>
    <t>TC-P1A-013</t>
  </si>
  <si>
    <t>Step 3 accepts hospital details</t>
  </si>
  <si>
    <t>1) Address 1 'Plot 42, Road No. 12, Banjara Hills' 2) Pincode 500034 3) City Hyderabad 4) GSTIN 36AABCA1234F1Z5 5) NABH Yes + NABH-QA-A-2026 6) Next</t>
  </si>
  <si>
    <t>Advances to step 4.</t>
  </si>
  <si>
    <t>Hospital A details block</t>
  </si>
  <si>
    <t>Address and GSTIN print on every bill. NABH status drives empanelment eligibility.</t>
  </si>
  <si>
    <t>hospitals</t>
  </si>
  <si>
    <t>TC-P1A-014</t>
  </si>
  <si>
    <t>Pincode must be exactly 6 digits</t>
  </si>
  <si>
    <t>1) Enter 5000 2) Try Next 3) Enter 5000345 4) Try Next 5) Enter 500034 6) Try Next</t>
  </si>
  <si>
    <t>Only the 6-digit value advances.</t>
  </si>
  <si>
    <t>5000 / 5000345 / 500034</t>
  </si>
  <si>
    <t>Indian PIN codes are 6 digits. Wrong length means undeliverable post and wrong state inference.</t>
  </si>
  <si>
    <t>TC-P1A-015</t>
  </si>
  <si>
    <t>Malformed GSTIN is caught</t>
  </si>
  <si>
    <t>1) Enter '12345' 2) Then 'ABCDEFGHIJKLMNO' 3) Then 36AABCA1234F1Z5 4) Observe</t>
  </si>
  <si>
    <t>Invalid formats flagged. Valid 15-char GSTIN accepted. NOTE: if any junk value is accepted, log it as a defect.</t>
  </si>
  <si>
    <t>12345 / ABCDEFGHIJKLMNO / 36AABCA1234F1Z5</t>
  </si>
  <si>
    <t>Billing - GST invoicing</t>
  </si>
  <si>
    <t>GSTIN format is 2-digit state + 10-char PAN + entity + Z + checksum</t>
  </si>
  <si>
    <t>A wrong GSTIN makes every tax invoice the hospital issues legally invalid, and they will not discover it until a GST audit.</t>
  </si>
  <si>
    <t>hospitals.gstin</t>
  </si>
  <si>
    <t>TC-P1A-016</t>
  </si>
  <si>
    <t>GSTIN is optional</t>
  </si>
  <si>
    <t>1) Leave GSTIN blank 2) Complete step 3</t>
  </si>
  <si>
    <t>Registration proceeds. GSTIN can be added later in Settings.</t>
  </si>
  <si>
    <t>GSTIN blank</t>
  </si>
  <si>
    <t>Billing - HSN block is inactive without GSTIN</t>
  </si>
  <si>
    <t>Small clinics below the GST threshold genuinely have no GSTIN</t>
  </si>
  <si>
    <t>Many small nursing homes are below the GST registration threshold. Forcing a GSTIN would block a whole customer segment.</t>
  </si>
  <si>
    <t>hospitals.gstin is null</t>
  </si>
  <si>
    <t>TC-P1A-017</t>
  </si>
  <si>
    <t>Step 4 plan selection</t>
  </si>
  <si>
    <t>1) Review Starter, Professional and Enterprise 2) Select Professional 3) Next</t>
  </si>
  <si>
    <t>Plan captured and shown on the confirm step. Pricing and included modules visible before choosing.</t>
  </si>
  <si>
    <t>Professional</t>
  </si>
  <si>
    <t>Settings - Plan &amp; subscription</t>
  </si>
  <si>
    <t>The plan decides which of the 69 modules the hospital can even open. Choosing blind causes immediate churn.</t>
  </si>
  <si>
    <t>hospital_subscriptions</t>
  </si>
  <si>
    <t>TC-P1A-018</t>
  </si>
  <si>
    <t>Cannot submit without accepting Terms</t>
  </si>
  <si>
    <t>1) Reach step 5 2) Leave Terms unchecked 3) Try to submit</t>
  </si>
  <si>
    <t>Submission blocked.</t>
  </si>
  <si>
    <t>Terms unchecked</t>
  </si>
  <si>
    <t>Without accepted terms you have no contract with the customer.</t>
  </si>
  <si>
    <t>TC-P1A-019</t>
  </si>
  <si>
    <t>P1</t>
  </si>
  <si>
    <t>Cannot submit without DPDP consent</t>
  </si>
  <si>
    <t>1) Reach step 5 2) Accept Terms 3) Leave DPDP consent unchecked 4) Try to submit</t>
  </si>
  <si>
    <t>DPDP consent unchecked</t>
  </si>
  <si>
    <t>DPDP Act 2023 requires explicit consent for processing personal data. Missing it is a statutory violation from day one.</t>
  </si>
  <si>
    <t>hospital_signup_consents</t>
  </si>
  <si>
    <t>TC-P1A-020</t>
  </si>
  <si>
    <t>Full registration creates the hospital</t>
  </si>
  <si>
    <t>1) Complete all 5 steps with Hospital A data 2) Submit 3) Wait for confirmation</t>
  </si>
  <si>
    <t>Success screen shown and a verification email is triggered.</t>
  </si>
  <si>
    <t>Full Hospital A block</t>
  </si>
  <si>
    <t>All modules</t>
  </si>
  <si>
    <t>This single action creates the tenant every other test depends on.</t>
  </si>
  <si>
    <t>hospitals WHERE name='Aarogya Multispecialty Hospital'; users; hospital_subscriptions; hospital_signup_consents</t>
  </si>
  <si>
    <t>TC-P1A-021</t>
  </si>
  <si>
    <t>Trial subscription is created</t>
  </si>
  <si>
    <t>1) After TC-P1A-020 2) Query hospital_subscriptions for the new hospital_id</t>
  </si>
  <si>
    <t>A subscription row exists with the chosen plan and a trial state.</t>
  </si>
  <si>
    <t>Hospital A</t>
  </si>
  <si>
    <t>Settings - Plan</t>
  </si>
  <si>
    <t>Seeded by migration 20260616000003_seed_trial_subscription</t>
  </si>
  <si>
    <t>Without a subscription row the ModuleGate blocks every route and the customer sees an empty product.</t>
  </si>
  <si>
    <t>TC-P1A-022</t>
  </si>
  <si>
    <t>Default chart of accounts is auto-seeded</t>
  </si>
  <si>
    <t>1) After TC-P1A-020 2) Query chart_of_accounts and auto_posting_rules and lab_test_master for the new hospital_id</t>
  </si>
  <si>
    <t>Rows exist. A DB trigger on hospitals seeds defaults on insert.</t>
  </si>
  <si>
    <t>Accounts - journals</t>
  </si>
  <si>
    <t>Trigger from 20260613110000_seed_hospital_defaults</t>
  </si>
  <si>
    <t>Without a chart of accounts no billing event can post to the ledger, so the P&amp;L is empty forever.</t>
  </si>
  <si>
    <t>chart_of_accounts; auto_posting_rules</t>
  </si>
  <si>
    <t>TC-P1A-023</t>
  </si>
  <si>
    <t>Duplicate hospital registration is handled</t>
  </si>
  <si>
    <t>1) Register Hospital A again with the same GSTIN and email 2) Observe</t>
  </si>
  <si>
    <t>Rejected with a clear message. NOTE: if a second hospital is created with the same GSTIN, log as P1.</t>
  </si>
  <si>
    <t>Hospital A repeated</t>
  </si>
  <si>
    <t>Two tenants with the same GSTIN means two hospitals issuing invoices under one tax registration - a serious compliance problem.</t>
  </si>
  <si>
    <t>hospitals - count by gstin must be 1</t>
  </si>
  <si>
    <t>TC-P1A-024</t>
  </si>
  <si>
    <t>P3</t>
  </si>
  <si>
    <t>Back navigation preserves entered data</t>
  </si>
  <si>
    <t>1) Fill steps 1-3 2) Click Back to step 1 3) Click Next twice</t>
  </si>
  <si>
    <t>All previously entered values are still present.</t>
  </si>
  <si>
    <t>Losing a half-filled form makes people abandon signup. It is the single biggest drop-off cause in onboarding.</t>
  </si>
  <si>
    <t>TC-P1A-025</t>
  </si>
  <si>
    <t>Register Hospital B for isolation testing</t>
  </si>
  <si>
    <t>1) Register Sanjeevani General Hospital with the Hospital B block 2) Choose the Starter plan 3) Complete</t>
  </si>
  <si>
    <t>Second tenant created with its own hospital_id, distinct from Hospital A.</t>
  </si>
  <si>
    <t>Full Hospital B block</t>
  </si>
  <si>
    <t>All - this is the isolation control</t>
  </si>
  <si>
    <t>Required before any Section 1H test can run</t>
  </si>
  <si>
    <t>Without a second hospital you cannot prove tenant isolation - and tenant isolation is the thing that ends a company if it fails.</t>
  </si>
  <si>
    <t>hospitals - 2 distinct rows</t>
  </si>
  <si>
    <t>TC-P1B-001</t>
  </si>
  <si>
    <t>1B Onboarding</t>
  </si>
  <si>
    <t>Onboarding wizard opens after first login</t>
  </si>
  <si>
    <t>1) Verify the admin email 2) Log in as +qa.admin.a 3) Observe</t>
  </si>
  <si>
    <t>Redirected to /setup/onboarding at step 1 Branding.</t>
  </si>
  <si>
    <t>Hospital A admin</t>
  </si>
  <si>
    <t>Registration complete</t>
  </si>
  <si>
    <t>A hospital that lands on an empty dashboard with no guidance abandons the product in the first hour.</t>
  </si>
  <si>
    <t>hospital_admin A</t>
  </si>
  <si>
    <t>e2e/phase-01-foundation/P1B.onboarding.spec.ts</t>
  </si>
  <si>
    <t>TC-P1B-002</t>
  </si>
  <si>
    <t>Wizard shows 14 steps in 6 sections</t>
  </si>
  <si>
    <t>1) Open /setup/onboarding 2) Count the steps and section headers</t>
  </si>
  <si>
    <t>Sections: Hospital (Branding, Departments), Structure (Wards &amp; Beds, Shifts), People (Doctors, Other Staff, OPD Schedules), Services (Fees, Payers, Lab &amp; Radiology, Payments), Integrations (WhatsApp, Modules), Launch (Go Live).</t>
  </si>
  <si>
    <t>The wizard order is the dependency order. If it is wrong, a customer configures things that silently fail.</t>
  </si>
  <si>
    <t>TC-P1B-003</t>
  </si>
  <si>
    <t>Step 1 Branding saves logo and colour</t>
  </si>
  <si>
    <t>1) Upload a logo 2) Set primary colour 3) Next</t>
  </si>
  <si>
    <t>Saved and reflected in the app header.</t>
  </si>
  <si>
    <t>any test image</t>
  </si>
  <si>
    <t>All - print headers</t>
  </si>
  <si>
    <t>Branding is marked optional in the wizard</t>
  </si>
  <si>
    <t>The hospital's logo on a bill or report is what makes the software feel like theirs rather than yours.</t>
  </si>
  <si>
    <t>hospitals.logo_url</t>
  </si>
  <si>
    <t>TC-P1B-004</t>
  </si>
  <si>
    <t>Branding can be skipped</t>
  </si>
  <si>
    <t>1) At Branding click Skip</t>
  </si>
  <si>
    <t>Advances to Departments without saving branding.</t>
  </si>
  <si>
    <t>Optional steps must be genuinely optional or the customer is stuck at signup hunting for a logo file.</t>
  </si>
  <si>
    <t>TC-P1B-005</t>
  </si>
  <si>
    <t>Step 2 Departments creates all 10 departments</t>
  </si>
  <si>
    <t>1) Add each department from the Mock Data Book 2) Save 3) Next</t>
  </si>
  <si>
    <t>All 10 saved and listed.</t>
  </si>
  <si>
    <t>10 departments from Mock Data Book</t>
  </si>
  <si>
    <t>OPD IPD Lab Radiology</t>
  </si>
  <si>
    <t>Use Indian English spellings - Anaesthesiology Gynaecology Orthopaedics Paediatrics</t>
  </si>
  <si>
    <t>No departments means no OPD token can be created and no doctor can be assigned. Nothing clinical works.</t>
  </si>
  <si>
    <t>departments - 10 rows for hospital A</t>
  </si>
  <si>
    <t>TC-P1B-006</t>
  </si>
  <si>
    <t>Departments is a mandatory step</t>
  </si>
  <si>
    <t>1) At Departments with none added try Next / Skip</t>
  </si>
  <si>
    <t>Cannot advance. The step is not optional.</t>
  </si>
  <si>
    <t>Allowing a hospital past this step guarantees a broken OPD later, with no obvious cause.</t>
  </si>
  <si>
    <t>TC-P1B-007</t>
  </si>
  <si>
    <t>Duplicate department name is rejected</t>
  </si>
  <si>
    <t>1) Add 'General Medicine' 2) Add 'General Medicine' again</t>
  </si>
  <si>
    <t>Rejected as duplicate.</t>
  </si>
  <si>
    <t>General Medicine twice</t>
  </si>
  <si>
    <t>Duplicate departments split a doctor's patients across two identical-looking queues.</t>
  </si>
  <si>
    <t>departments</t>
  </si>
  <si>
    <t>TC-P1B-008</t>
  </si>
  <si>
    <t>Step 3 creates all 6 wards with rate_per_day</t>
  </si>
  <si>
    <t>1) Add each ward from the Mock Data Book with its rate 2) Save</t>
  </si>
  <si>
    <t>All 6 wards saved WITH rate_per_day populated.</t>
  </si>
  <si>
    <t>6 wards from Mock Data Book</t>
  </si>
  <si>
    <t>IPD - room charge; Billing</t>
  </si>
  <si>
    <t>CRITICAL - a ward without rate_per_day silently bills Rs 500/day</t>
  </si>
  <si>
    <t>Room rent is the largest single line on most inpatient bills. A missing rate means the hospital under-bills every admission and never notices.</t>
  </si>
  <si>
    <t>wards - rate_per_day not null on all 6</t>
  </si>
  <si>
    <t>TC-P1B-009</t>
  </si>
  <si>
    <t>Ward saved without rate_per_day is detectable</t>
  </si>
  <si>
    <t>1) Add a ward leaving rate_per_day blank 2) Save 3) Check the row</t>
  </si>
  <si>
    <t>Either the field is mandatory, or the row saves with a null rate. If it saves null, log P1 - this is the Rs 500 silent fallback.</t>
  </si>
  <si>
    <t>ward with blank rate</t>
  </si>
  <si>
    <t>IPD room charge</t>
  </si>
  <si>
    <t>This is the single most damaging silent failure in the application. It must at minimum be visible.</t>
  </si>
  <si>
    <t>wards.rate_per_day</t>
  </si>
  <si>
    <t>TC-P1B-010</t>
  </si>
  <si>
    <t>Step 3 creates all 32 beds</t>
  </si>
  <si>
    <t>1) Add beds GW-01..10 SP-01..06 PR-01..04 DX-01..02 ICU-01..06 MW-01..04 2) Save</t>
  </si>
  <si>
    <t>All 32 beds created and linked to their wards with status available.</t>
  </si>
  <si>
    <t>32 beds from Mock Data Book</t>
  </si>
  <si>
    <t>IPD - admission</t>
  </si>
  <si>
    <t>Registration complete + wards</t>
  </si>
  <si>
    <t>With no beds the Admit Patient modal is empty and no patient can ever be admitted.</t>
  </si>
  <si>
    <t>beds - 32 rows</t>
  </si>
  <si>
    <t>TC-P1B-011</t>
  </si>
  <si>
    <t>Duplicate bed number in the same ward is rejected</t>
  </si>
  <si>
    <t>1) Add GW-01 twice to General Ward</t>
  </si>
  <si>
    <t>Rejected.</t>
  </si>
  <si>
    <t>GW-01 twice</t>
  </si>
  <si>
    <t>IPD</t>
  </si>
  <si>
    <t>Registration + wards</t>
  </si>
  <si>
    <t>Two beds with the same number means two patients can be assigned the same physical bed.</t>
  </si>
  <si>
    <t>beds</t>
  </si>
  <si>
    <t>TC-P1B-012</t>
  </si>
  <si>
    <t>Step 4 Shifts creates shift master</t>
  </si>
  <si>
    <t>1) Add Morning 08:00-16:00, Evening 16:00-00:00, Night 00:00-08:00 2) Save</t>
  </si>
  <si>
    <t>3 shifts saved.</t>
  </si>
  <si>
    <t>3 standard shifts</t>
  </si>
  <si>
    <t>HR - roster; Nursing handover</t>
  </si>
  <si>
    <t>Hospitals run 24x7 on rotating shifts. Without shift definitions there is no roster and no handover.</t>
  </si>
  <si>
    <t>shift_master</t>
  </si>
  <si>
    <t>TC-P1B-013</t>
  </si>
  <si>
    <t>Step 5 Doctors creates 3 doctors with fees</t>
  </si>
  <si>
    <t>1) Add Dr. Suresh Menon (Gen Medicine, Rs 500, follow-up Rs 0, validity 7d) 2) Dr. Kavitha Rao (Obs&amp;Gynae, Rs 700, follow-up Rs 300, validity 10d) 3) Dr. Arjun Nair (Gen Surgery, Rs 800) 4) Save</t>
  </si>
  <si>
    <t>All 3 created as users with role doctor, and matching service_master fee rows.</t>
  </si>
  <si>
    <t>3 doctors from Mock Data Book</t>
  </si>
  <si>
    <t>OPD - consultation billing</t>
  </si>
  <si>
    <t>Registration + departments</t>
  </si>
  <si>
    <t>Fee precedence is doctor then department then global then hardcoded Rs 500</t>
  </si>
  <si>
    <t>With no consultation fee configured, the app silently bills a hardcoded Rs 500 for every patient regardless of doctor or specialty.</t>
  </si>
  <si>
    <t>users WHERE role='doctor'; service_master item_type='consultation'</t>
  </si>
  <si>
    <t>TC-P1B-014</t>
  </si>
  <si>
    <t>Follow-up fee and validity days save correctly</t>
  </si>
  <si>
    <t>1) On Dr. Menon set follow_up_fee 0 and validity_days 7 2) Save 3) Verify the row</t>
  </si>
  <si>
    <t>Both values persisted exactly.</t>
  </si>
  <si>
    <t>Rs 0 / 7 days</t>
  </si>
  <si>
    <t>OPD - free revisit rule</t>
  </si>
  <si>
    <t>Drives scenarios P4-S02 and P4-S03</t>
  </si>
  <si>
    <t>The free-revisit window is a promise the hospital makes to patients. Getting it wrong means either angry patients or lost revenue.</t>
  </si>
  <si>
    <t>service_master.follow_up_fee and validity_days</t>
  </si>
  <si>
    <t>TC-P1B-015</t>
  </si>
  <si>
    <t>Step 6 Other Staff creates non-doctor staff</t>
  </si>
  <si>
    <t>1) Add nurse, receptionist, pharmacist, lab tech, billing exec per the Mock Data Book 2) Save</t>
  </si>
  <si>
    <t>All created with the correct roles.</t>
  </si>
  <si>
    <t>Staff list from Mock Data Book</t>
  </si>
  <si>
    <t>A hospital is not one admin - every role needs its own login for accountability and audit.</t>
  </si>
  <si>
    <t>users; staff_profiles</t>
  </si>
  <si>
    <t>TC-P1B-016</t>
  </si>
  <si>
    <t>Step 7 OPD Schedules creates doctor slots</t>
  </si>
  <si>
    <t>1) Set Dr. Menon Mon-Sat 09:00-13:00, 15 min slots 2) Save</t>
  </si>
  <si>
    <t>Schedule and slots generated.</t>
  </si>
  <si>
    <t>Mon-Sat 09:00-13:00</t>
  </si>
  <si>
    <t>OPD - appointments</t>
  </si>
  <si>
    <t>Registration + doctors</t>
  </si>
  <si>
    <t>Without slots no appointment can be booked and the hospital is walk-in only.</t>
  </si>
  <si>
    <t>doctor_schedules; doctor_slots</t>
  </si>
  <si>
    <t>TC-P1B-017</t>
  </si>
  <si>
    <t>Step 8 Fees creates the service master</t>
  </si>
  <si>
    <t>1) Add all 10 services from the Mock Data Book with rate, GST and HSN 2) Save</t>
  </si>
  <si>
    <t>All 10 saved with HSN codes populated.</t>
  </si>
  <si>
    <t>10 services from Mock Data Book</t>
  </si>
  <si>
    <t>Billing OPD IPD</t>
  </si>
  <si>
    <t>HSN is required or bill finalisation is blocked once GSTIN is set</t>
  </si>
  <si>
    <t>Every chargeable thing the hospital does must exist here with a price and a tax code, or it either cannot be billed or the invoice is illegal.</t>
  </si>
  <si>
    <t>service_master; service_rates</t>
  </si>
  <si>
    <t>TC-P1B-018</t>
  </si>
  <si>
    <t>Fees is a mandatory step</t>
  </si>
  <si>
    <t>1) At Fees with no services try to skip</t>
  </si>
  <si>
    <t>Cannot skip. Step is mandatory.</t>
  </si>
  <si>
    <t>Billing</t>
  </si>
  <si>
    <t>Skipping fees is what produces the hardcoded Rs 500 bill later.</t>
  </si>
  <si>
    <t>TC-P1B-019</t>
  </si>
  <si>
    <t>Step 9 Payers creates payer masters</t>
  </si>
  <si>
    <t>1) Add all 8 payers from the Mock Data Book 2) Save</t>
  </si>
  <si>
    <t>All 8 saved with their type.</t>
  </si>
  <si>
    <t>8 payers from Mock Data Book</t>
  </si>
  <si>
    <t>IPD admission; Insurance</t>
  </si>
  <si>
    <t>Half a private hospital's revenue is insured. With no payers configured every patient is forced to self-pay.</t>
  </si>
  <si>
    <t>payer_masters</t>
  </si>
  <si>
    <t>TC-P1B-020</t>
  </si>
  <si>
    <t>Step 10 creates lab test master</t>
  </si>
  <si>
    <t>1) Add all 15 lab tests with fee, sample type, unit and normal range 2) Save</t>
  </si>
  <si>
    <t>All 15 saved with fee and normal ranges populated.</t>
  </si>
  <si>
    <t>15 lab tests from Mock Data Book</t>
  </si>
  <si>
    <t>OPD Rx chips; Lab orders; Billing</t>
  </si>
  <si>
    <t>Missing normal range means no abnormal flag and NO critical alert</t>
  </si>
  <si>
    <t>The lab catalogue is what the OPD Rx tab matches prescribed test names against. Tests not in it are silently dropped from the order.</t>
  </si>
  <si>
    <t>lab_test_master - 15 rows with fee not null</t>
  </si>
  <si>
    <t>TC-P1B-021</t>
  </si>
  <si>
    <t>Step 10 creates radiology modalities then studies</t>
  </si>
  <si>
    <t>1) Add modalities X-Ray, Ultrasound, CT, MRI 2) Then add the 7 studies 3) Save</t>
  </si>
  <si>
    <t>Modalities first, then studies linked to them, all with fees.</t>
  </si>
  <si>
    <t>4 modalities + 7 studies</t>
  </si>
  <si>
    <t>OPD Rx chips; Radiology; PCPNDT</t>
  </si>
  <si>
    <t>Modalities MUST exist before studies - order matters</t>
  </si>
  <si>
    <t>Radiology studies cannot exist without a modality. Getting the order wrong produces 'No studies configured'.</t>
  </si>
  <si>
    <t>radiology_modalities; radiology_study_master</t>
  </si>
  <si>
    <t>TC-P1B-022</t>
  </si>
  <si>
    <t>Step 11 Payments configures payment modes</t>
  </si>
  <si>
    <t>1) Configure the accepted payment modes 2) Save</t>
  </si>
  <si>
    <t>Saved.</t>
  </si>
  <si>
    <t>cash/UPI/card/NEFT</t>
  </si>
  <si>
    <t>Billing - payments</t>
  </si>
  <si>
    <t>UPI is how most Indian patients pay now. Not offering it means cash queues at the counter.</t>
  </si>
  <si>
    <t>api_configurations</t>
  </si>
  <si>
    <t>TC-P1B-023</t>
  </si>
  <si>
    <t>Step 12 WhatsApp can be skipped</t>
  </si>
  <si>
    <t>1) At WhatsApp click Skip</t>
  </si>
  <si>
    <t>Advances without configuring.</t>
  </si>
  <si>
    <t>Notifications</t>
  </si>
  <si>
    <t>WARNING - unconfigured WhatsApp makes ALL notifications silently no-op</t>
  </si>
  <si>
    <t>WhatsApp is optional to configure but its absence is invisible - nothing errors, messages just never send.</t>
  </si>
  <si>
    <t>TC-P1B-024</t>
  </si>
  <si>
    <t>Step 13 Modules reflects the chosen plan</t>
  </si>
  <si>
    <t>1) At Modules observe which are enabled 2) Compare against the Professional plan</t>
  </si>
  <si>
    <t>Only modules included in the plan are enabled.</t>
  </si>
  <si>
    <t>Professional plan</t>
  </si>
  <si>
    <t>Registration + plan</t>
  </si>
  <si>
    <t>A customer seeing modules they did not pay for, or missing ones they did, is an immediate support ticket.</t>
  </si>
  <si>
    <t>hospital_module_entitlements</t>
  </si>
  <si>
    <t>TC-P1B-025</t>
  </si>
  <si>
    <t>Step 14 Go Live completes onboarding</t>
  </si>
  <si>
    <t>1) Review the checklist 2) Complete onboarding</t>
  </si>
  <si>
    <t>Redirected to /dashboard. Wizard does not reappear on next login.</t>
  </si>
  <si>
    <t>All</t>
  </si>
  <si>
    <t>All prior steps</t>
  </si>
  <si>
    <t>Onboarding that reappears after completion makes the product feel broken.</t>
  </si>
  <si>
    <t>hospitals - onboarding flag</t>
  </si>
  <si>
    <t>TC-P1B-026</t>
  </si>
  <si>
    <t>Wizard resumes at the correct step after logout</t>
  </si>
  <si>
    <t>1) Complete up to step 5 2) Log out 3) Log back in</t>
  </si>
  <si>
    <t>Resumes at step 6 with earlier data intact.</t>
  </si>
  <si>
    <t>Partial Hospital A</t>
  </si>
  <si>
    <t>Onboarding a hospital takes hours and spans sessions. Losing progress means starting over.</t>
  </si>
  <si>
    <t>TC-P1B-027</t>
  </si>
  <si>
    <t>Repeat full onboarding for Hospital B</t>
  </si>
  <si>
    <t>1) Log in as +qa.admin.b 2) Complete onboarding with a minimal Hospital B config (2 departments, 1 ward, 4 beds, 1 doctor, 1 service)</t>
  </si>
  <si>
    <t>Hospital B is usable for isolation testing.</t>
  </si>
  <si>
    <t>Hospital B minimal set</t>
  </si>
  <si>
    <t>Isolation testing</t>
  </si>
  <si>
    <t>Hospital B registered</t>
  </si>
  <si>
    <t>Only needs enough data to prove isolation</t>
  </si>
  <si>
    <t>Hospital B needs real data in it, or a cross-tenant test proves nothing - an empty result is not the same as a blocked one.</t>
  </si>
  <si>
    <t>hospital_admin B</t>
  </si>
  <si>
    <t>departments/wards/beds for hospital B</t>
  </si>
  <si>
    <t>TC-P1C-001</t>
  </si>
  <si>
    <t>1C Login</t>
  </si>
  <si>
    <t>Valid login succeeds</t>
  </si>
  <si>
    <t>1) Go to /login 2) Enter +qa.admin.a and TestPass@2026 3) Submit</t>
  </si>
  <si>
    <t>Logged in and redirected to /dashboard.</t>
  </si>
  <si>
    <t>Registration + email verified</t>
  </si>
  <si>
    <t>If login does not work nothing else matters.</t>
  </si>
  <si>
    <t>audit_log action='LOGIN'</t>
  </si>
  <si>
    <t>e2e/phase-01-foundation/P1C.login.spec.ts</t>
  </si>
  <si>
    <t>TC-P1C-002</t>
  </si>
  <si>
    <t>Wrong password is rejected</t>
  </si>
  <si>
    <t>1) Enter the correct email with password WrongPass@2026 2) Submit</t>
  </si>
  <si>
    <t>Rejected with a generic message. NOTE: the message must not reveal whether the email exists.</t>
  </si>
  <si>
    <t>WrongPass@2026</t>
  </si>
  <si>
    <t>A message distinguishing 'wrong password' from 'no such user' lets an attacker enumerate every staff email.</t>
  </si>
  <si>
    <t>audit_log</t>
  </si>
  <si>
    <t>TC-P1C-003</t>
  </si>
  <si>
    <t>Unknown email is rejected identically</t>
  </si>
  <si>
    <t>1) Enter nosuchuser@example.com with any password 2) Compare the message to TC-P1C-002</t>
  </si>
  <si>
    <t>The message is identical to the wrong-password message.</t>
  </si>
  <si>
    <t>nosuchuser@example.com</t>
  </si>
  <si>
    <t>Same reason as above - differing messages leak your entire user list.</t>
  </si>
  <si>
    <t>TC-P1C-004</t>
  </si>
  <si>
    <t>Empty credentials are rejected</t>
  </si>
  <si>
    <t>1) Submit with both fields blank</t>
  </si>
  <si>
    <t>Blocked with validation messages.</t>
  </si>
  <si>
    <t>blank</t>
  </si>
  <si>
    <t>Basic input validation - an empty submit should never reach the server.</t>
  </si>
  <si>
    <t>TC-P1C-005</t>
  </si>
  <si>
    <t>Unverified email cannot log in</t>
  </si>
  <si>
    <t>1) Register a new admin 2) Do NOT click the verification link 3) Try to log in</t>
  </si>
  <si>
    <t>Login blocked with a verify-your-email message.</t>
  </si>
  <si>
    <t>fresh unverified account</t>
  </si>
  <si>
    <t>Unverified accounts let anyone register using someone else's email address.</t>
  </si>
  <si>
    <t>auth.users email_confirmed_at</t>
  </si>
  <si>
    <t>TC-P1C-006</t>
  </si>
  <si>
    <t>Deactivated user is signed out</t>
  </si>
  <si>
    <t>1) Log in as +qa.nurse.a 2) As admin in another browser set that user is_active=false 3) Refresh the nurse session</t>
  </si>
  <si>
    <t>Nurse is force signed out. HospitalContext signs out when users.is_active is false.</t>
  </si>
  <si>
    <t>#NAME?</t>
  </si>
  <si>
    <t>Staff created</t>
  </si>
  <si>
    <t>When a staff member is terminated their access must end immediately, not at their next voluntary logout.</t>
  </si>
  <si>
    <t>nurse A</t>
  </si>
  <si>
    <t>users.is_active</t>
  </si>
  <si>
    <t>TC-P1C-007</t>
  </si>
  <si>
    <t>Deactivated user cannot log back in</t>
  </si>
  <si>
    <t>1) After TC-P1C-006 try to log in as the nurse</t>
  </si>
  <si>
    <t>Login refused.</t>
  </si>
  <si>
    <t>A terminated employee logging back in the next day is a serious security and PHI exposure.</t>
  </si>
  <si>
    <t>users.is_active=false</t>
  </si>
  <si>
    <t>TC-P1C-008</t>
  </si>
  <si>
    <t>Password reset email is sent</t>
  </si>
  <si>
    <t>1) At /login click Forgot Password 2) Enter +qa.doctor.a 3) Submit</t>
  </si>
  <si>
    <t>Confirmation shown and a reset email arrives.</t>
  </si>
  <si>
    <t>Staff forget passwords constantly. Without self-service reset every one becomes a support call.</t>
  </si>
  <si>
    <t>TC-P1C-009</t>
  </si>
  <si>
    <t>Password reset link works</t>
  </si>
  <si>
    <t>1) Open the reset link 2) Set NewTestPass@2026 3) Log in with it</t>
  </si>
  <si>
    <t>Password changed and the new one works.</t>
  </si>
  <si>
    <t>NewTestPass@2026</t>
  </si>
  <si>
    <t>Reset it back to TestPass@2026 afterwards</t>
  </si>
  <si>
    <t>A reset flow that emails a link but does not actually change the password is worse than none.</t>
  </si>
  <si>
    <t>TC-P1C-010</t>
  </si>
  <si>
    <t>Reset link cannot be reused</t>
  </si>
  <si>
    <t>1) Use a reset link successfully 2) Open the same link again</t>
  </si>
  <si>
    <t>Rejected as already used or expired.</t>
  </si>
  <si>
    <t>used reset link</t>
  </si>
  <si>
    <t>A reusable reset link in an inbox is a permanent backdoor into that account.</t>
  </si>
  <si>
    <t>TC-P1C-011</t>
  </si>
  <si>
    <t>Session persists across a refresh</t>
  </si>
  <si>
    <t>1) Log in 2) Press F5</t>
  </si>
  <si>
    <t>Still logged in on the same page.</t>
  </si>
  <si>
    <t>any login</t>
  </si>
  <si>
    <t>Being logged out by a page refresh mid-consultation loses the doctor's work.</t>
  </si>
  <si>
    <t>doctor A</t>
  </si>
  <si>
    <t>TC-P1C-012</t>
  </si>
  <si>
    <t>Session persists across a new tab</t>
  </si>
  <si>
    <t>1) Log in 2) Open /dashboard in a new tab</t>
  </si>
  <si>
    <t>Logged in in the new tab too.</t>
  </si>
  <si>
    <t>Clinical staff routinely work across several tabs.</t>
  </si>
  <si>
    <t>TC-P1C-013</t>
  </si>
  <si>
    <t>Logout clears the session and context cache</t>
  </si>
  <si>
    <t>1) Log in 2) Log out 3) Check sessionStorage for hms_ctx_* keys 4) Press browser Back</t>
  </si>
  <si>
    <t>Session ended, hms_ctx_* cleared, and Back does not restore an authenticated view.</t>
  </si>
  <si>
    <t>The context cache is only cleared on sign-out - this is why TC-P1H-012 exists</t>
  </si>
  <si>
    <t>On a shared nursing-station computer, a session that survives logout exposes the previous user's patients.</t>
  </si>
  <si>
    <t>any</t>
  </si>
  <si>
    <t>TC-P1C-014</t>
  </si>
  <si>
    <t>Protected route redirects when logged out</t>
  </si>
  <si>
    <t>1) Log out 2) Navigate directly to /patients</t>
  </si>
  <si>
    <t>Redirected to /login. Patient data never renders.</t>
  </si>
  <si>
    <t>Patients</t>
  </si>
  <si>
    <t>Direct URL entry is the first thing anyone tries. If it works logged out you have no access control at all.</t>
  </si>
  <si>
    <t>TC-P1C-015</t>
  </si>
  <si>
    <t>Every protected route redirects when logged out</t>
  </si>
  <si>
    <t>1) Logged out, try /dashboard /opd /ipd /billing /lab /radiology /pharmacy /settings /accounts /platform</t>
  </si>
  <si>
    <t>All redirect to /login. None render data.</t>
  </si>
  <si>
    <t>One unguarded route is enough to expose the whole database.</t>
  </si>
  <si>
    <t>TC-P1C-016</t>
  </si>
  <si>
    <t>Login audit row is written</t>
  </si>
  <si>
    <t>1) Log in as +qa.doctor.a 2) Query audit_log</t>
  </si>
  <si>
    <t>A LOGIN row exists with the user and timestamp.</t>
  </si>
  <si>
    <t>Quality - audit trail</t>
  </si>
  <si>
    <t>NABH and DPDP both require knowing who accessed the system and when.</t>
  </si>
  <si>
    <t>TC-P1C-017</t>
  </si>
  <si>
    <t>Landing route matches the role</t>
  </si>
  <si>
    <t>1) Log in as each of the 16 roles 2) Note where each lands</t>
  </si>
  <si>
    <t>Each role lands on a route it is permitted to see - never a blank or a 403.</t>
  </si>
  <si>
    <t>All 16 logins</t>
  </si>
  <si>
    <t>Cross-check against the Mock Data Book landing column</t>
  </si>
  <si>
    <t>A pharmacist landing on a page they cannot access looks like a broken product on day one.</t>
  </si>
  <si>
    <t>all 16</t>
  </si>
  <si>
    <t>TC-P1C-018</t>
  </si>
  <si>
    <t>Login page renders on a tablet</t>
  </si>
  <si>
    <t>1) Open /login at 768px width</t>
  </si>
  <si>
    <t>Usable without horizontal scroll.</t>
  </si>
  <si>
    <t>Tablet-first is the design target for nurse stations</t>
  </si>
  <si>
    <t>Nurse stations and ward rounds run on tablets, not desktops.</t>
  </si>
  <si>
    <t>TC-P1D-001</t>
  </si>
  <si>
    <t>1D Staff Logins</t>
  </si>
  <si>
    <t>Enable Login creates a working account</t>
  </si>
  <si>
    <t>1) Settings &gt; Staff 2) Select Dr. Suresh Menon 3) Enable Login with +qa.doctor.a 4) Save 5) Log in as that user</t>
  </si>
  <si>
    <t>Account created and login succeeds.</t>
  </si>
  <si>
    <t>Uses the create-staff-login edge function</t>
  </si>
  <si>
    <t>Every clinical action must be attributable to a named person. Shared logins destroy the audit trail and fail NABH.</t>
  </si>
  <si>
    <t>users - auth_user_id populated</t>
  </si>
  <si>
    <t>e2e/phase-01-foundation/P1D.staff-logins.spec.ts</t>
  </si>
  <si>
    <t>TC-P1D-002</t>
  </si>
  <si>
    <t>New staff user gets the correct hospital_id</t>
  </si>
  <si>
    <t>1) After TC-P1D-001 2) Query the users row</t>
  </si>
  <si>
    <t>hospital_id matches Hospital A.</t>
  </si>
  <si>
    <t>All - RLS anchor</t>
  </si>
  <si>
    <t>users.hospital_id is what every RLS policy keys off</t>
  </si>
  <si>
    <t>This one column decides everything that user can ever see. Wrong and they either see nothing or see another hospital's patients.</t>
  </si>
  <si>
    <t>users.hospital_id</t>
  </si>
  <si>
    <t>TC-P1D-003</t>
  </si>
  <si>
    <t>Create all 17 Hospital A logins</t>
  </si>
  <si>
    <t>1) Enable Login for every staff member in the Mock Data Book Hospital A table</t>
  </si>
  <si>
    <t>All 17 accounts created and each can log in.</t>
  </si>
  <si>
    <t>17 Hospital A logins</t>
  </si>
  <si>
    <t>Required before Section 1E can run</t>
  </si>
  <si>
    <t>The RBAC matrix cannot be tested without one real login per role.</t>
  </si>
  <si>
    <t>users - 17 rows with auth_user_id</t>
  </si>
  <si>
    <t>TC-P1D-004</t>
  </si>
  <si>
    <t>Create the 3 Hospital B logins</t>
  </si>
  <si>
    <t>1) As Hospital B admin enable login for its doctor and receptionist</t>
  </si>
  <si>
    <t>3 accounts for Hospital B.</t>
  </si>
  <si>
    <t>3 Hospital B logins</t>
  </si>
  <si>
    <t>Isolation</t>
  </si>
  <si>
    <t>Hospital B onboarded</t>
  </si>
  <si>
    <t>Isolation testing needs a real logged-in user on the other side, not just data.</t>
  </si>
  <si>
    <t>users WHERE hospital_id = B</t>
  </si>
  <si>
    <t>TC-P1D-005</t>
  </si>
  <si>
    <t>Duplicate email is rejected</t>
  </si>
  <si>
    <t>1) Try to enable login for a second staff member with +qa.doctor.a</t>
  </si>
  <si>
    <t>Rejected as already in use.</t>
  </si>
  <si>
    <t>Two staff sharing one email means one of them can reset the other's password.</t>
  </si>
  <si>
    <t>users</t>
  </si>
  <si>
    <t>TC-P1D-006</t>
  </si>
  <si>
    <t>Role can be changed after creation</t>
  </si>
  <si>
    <t>1) Change a staff member's role from nurse to receptionist 2) Have them log in again</t>
  </si>
  <si>
    <t>New role applies and the visible navigation changes.</t>
  </si>
  <si>
    <t>Change it back afterwards</t>
  </si>
  <si>
    <t>Staff move between departments. A role that cannot be changed means deleting and recreating the user, losing their audit history.</t>
  </si>
  <si>
    <t>users.role</t>
  </si>
  <si>
    <t>TC-P1D-007</t>
  </si>
  <si>
    <t>Staff can be deactivated</t>
  </si>
  <si>
    <t>1) Set a staff member inactive 2) Verify they cannot log in</t>
  </si>
  <si>
    <t>Deactivation is immediate and effective.</t>
  </si>
  <si>
    <t>Offboarding must actually remove access on the day it happens.</t>
  </si>
  <si>
    <t>TC-P1D-008</t>
  </si>
  <si>
    <t>Reactivated staff can log in again</t>
  </si>
  <si>
    <t>1) Reactivate the user from TC-P1D-007 2) Log in</t>
  </si>
  <si>
    <t>Access restored.</t>
  </si>
  <si>
    <t>Staff return from long leave - reactivation must work without recreating the account.</t>
  </si>
  <si>
    <t>TC-P1D-009</t>
  </si>
  <si>
    <t>Staff list is scoped to the hospital</t>
  </si>
  <si>
    <t>1) As Hospital A admin open Settings &gt; Staff 2) Search for Hospital B staff names</t>
  </si>
  <si>
    <t>Only Hospital A staff are listed. No Hospital B user appears.</t>
  </si>
  <si>
    <t>Dr. Rohan Kulkarni (B)</t>
  </si>
  <si>
    <t>Both hospitals staffed</t>
  </si>
  <si>
    <t>Seeing another hospital's staff list is itself a data leak, before you even reach patients.</t>
  </si>
  <si>
    <t>users filtered by hospital_id</t>
  </si>
  <si>
    <t>TC-P1D-010</t>
  </si>
  <si>
    <t>Staff profile fields save</t>
  </si>
  <si>
    <t>1) Add qualification, registration number and department to a doctor 2) Save</t>
  </si>
  <si>
    <t>All fields persisted.</t>
  </si>
  <si>
    <t>MBBS MD / TSMC-12345</t>
  </si>
  <si>
    <t>HR - credentialing</t>
  </si>
  <si>
    <t>NABH requires proof that the doctor performing a procedure is registered and qualified to do it.</t>
  </si>
  <si>
    <t>staff_profiles</t>
  </si>
  <si>
    <t>TC-P1D-011</t>
  </si>
  <si>
    <t>Doctor creation also creates a consultation fee row</t>
  </si>
  <si>
    <t>1) Create a new doctor with a fee of Rs 600 2) Check service_master</t>
  </si>
  <si>
    <t>A consultation row exists for that doctor at Rs 600.</t>
  </si>
  <si>
    <t>Rs 600</t>
  </si>
  <si>
    <t>OPD billing</t>
  </si>
  <si>
    <t>Departments created</t>
  </si>
  <si>
    <t>A doctor with no fee row causes the hardcoded Rs 500 fallback for every one of their patients.</t>
  </si>
  <si>
    <t>service_master WHERE doctor_id</t>
  </si>
  <si>
    <t>TC-P1D-012</t>
  </si>
  <si>
    <t>Password reset for a staff member</t>
  </si>
  <si>
    <t>1) Admin triggers a password reset for a staff member</t>
  </si>
  <si>
    <t>Reset email sent to that staff member.</t>
  </si>
  <si>
    <t>Ward staff forget passwords weekly. The admin needs to fix it without calling you.</t>
  </si>
  <si>
    <t>TC-P1D-013</t>
  </si>
  <si>
    <t>Non-admin cannot open Settings &gt; Staff</t>
  </si>
  <si>
    <t>1) Log in as +qa.nurse.a 2) Navigate to /settings/staff</t>
  </si>
  <si>
    <t>Blocked or redirected.</t>
  </si>
  <si>
    <t>A nurse who can create logins can create an admin account for themselves.</t>
  </si>
  <si>
    <t>RBAC</t>
  </si>
  <si>
    <t>TC-P1D-014</t>
  </si>
  <si>
    <t>Staff count reflects the plan limit</t>
  </si>
  <si>
    <t>1) Check whether the plan caps user count 2) Attempt to exceed it if capped</t>
  </si>
  <si>
    <t>Either enforced with a clear message or documented as uncapped.</t>
  </si>
  <si>
    <t>17 users</t>
  </si>
  <si>
    <t>Plan set</t>
  </si>
  <si>
    <t>If seats are part of your pricing, an unenforced limit is revenue you never collect.</t>
  </si>
  <si>
    <t>TC-P1D-015</t>
  </si>
  <si>
    <t>Roles offered match the app_role enum</t>
  </si>
  <si>
    <t>1) Open the role dropdown when creating a staff member 2) List every option offered</t>
  </si>
  <si>
    <t>Compare against the 16 enum values in the Mock Data Book.</t>
  </si>
  <si>
    <t>role dropdown</t>
  </si>
  <si>
    <t>Staff screen</t>
  </si>
  <si>
    <t>See the Mock Data Book warning - 32 roles are used in routing but are not in the enum</t>
  </si>
  <si>
    <t>Modules like Blood Bank and Dialysis name a specialist role as their user, but that role cannot be created. Confirm whether this is intended before logging it.</t>
  </si>
  <si>
    <t>SELECT unnest(enum_range(NULL::app_role))</t>
  </si>
  <si>
    <t>TC-P1D-016</t>
  </si>
  <si>
    <t>Creating a role outside the enum fails cleanly</t>
  </si>
  <si>
    <t>1) If the UI offers a role such as quality_officer, select it and save</t>
  </si>
  <si>
    <t>Either it saves via a permission blob rather than the enum, or it errors. It must not fail silently leaving a user with no role.</t>
  </si>
  <si>
    <t>quality_officer</t>
  </si>
  <si>
    <t>Related to TC-P1D-015</t>
  </si>
  <si>
    <t>A user saved with no usable role can log in and see nothing, which looks like a broken product.</t>
  </si>
  <si>
    <t>TC-P1E-001</t>
  </si>
  <si>
    <t>1E RBAC</t>
  </si>
  <si>
    <t>hospital_admin reaches all core routes</t>
  </si>
  <si>
    <t>1) Log in as +qa.admin.a 2) Visit /dashboard /patients /opd /ipd /lab /radiology /pharmacy /billing /accounts /insurance /hr /inventory /settings</t>
  </si>
  <si>
    <t>All load. hospital_admin is a bypass role.</t>
  </si>
  <si>
    <t>All staff created</t>
  </si>
  <si>
    <t>BYPASS_ROLES = super_admin, hospital_admin</t>
  </si>
  <si>
    <t>The admin is the person who configures everything. Blocking them anywhere makes the hospital unusable.</t>
  </si>
  <si>
    <t>e2e/phase-01-foundation/P1E.rbac-route-matrix.spec.ts</t>
  </si>
  <si>
    <t>TC-P1E-002</t>
  </si>
  <si>
    <t>doctor reaches clinical routes</t>
  </si>
  <si>
    <t>1) Log in as +qa.doctor.a 2) Visit /dashboard /opd /ipd /patients /lab /radiology /schedule</t>
  </si>
  <si>
    <t>All load.</t>
  </si>
  <si>
    <t>Clinical</t>
  </si>
  <si>
    <t>A doctor blocked from the OPD queue cannot see patients.</t>
  </si>
  <si>
    <t>TC-P1E-003</t>
  </si>
  <si>
    <t>doctor is blocked from /hr</t>
  </si>
  <si>
    <t>1) As +qa.doctor.a navigate to /hr</t>
  </si>
  <si>
    <t>Blocked or redirected. Payroll data never renders.</t>
  </si>
  <si>
    <t>HR</t>
  </si>
  <si>
    <t>A doctor seeing every colleague's salary is a serious HR incident.</t>
  </si>
  <si>
    <t>TC-P1E-004</t>
  </si>
  <si>
    <t>doctor is blocked from /accounts</t>
  </si>
  <si>
    <t>1) As +qa.doctor.a navigate to /accounts</t>
  </si>
  <si>
    <t>Accounts</t>
  </si>
  <si>
    <t>The hospital's P&amp;L is not clinical information.</t>
  </si>
  <si>
    <t>TC-P1E-005</t>
  </si>
  <si>
    <t>doctor is blocked from /settings</t>
  </si>
  <si>
    <t>1) As +qa.doctor.a navigate to /settings</t>
  </si>
  <si>
    <t>Blocked. Only /settings/profile is reachable as a core route.</t>
  </si>
  <si>
    <t>Settings</t>
  </si>
  <si>
    <t>coreRoutes includes /settings/profile for everyone</t>
  </si>
  <si>
    <t>A doctor who can change consultation fees or permissions can change their own pay and access.</t>
  </si>
  <si>
    <t>TC-P1E-006</t>
  </si>
  <si>
    <t>nurse reaches nursing and clinical routes</t>
  </si>
  <si>
    <t>1) As +qa.nurse.a visit /dashboard /nursing /ipd /patients</t>
  </si>
  <si>
    <t>Nurses are the heaviest users of the system.</t>
  </si>
  <si>
    <t>TC-P1E-007</t>
  </si>
  <si>
    <t>nurse is blocked from /billing /accounts /hr</t>
  </si>
  <si>
    <t>1) As +qa.nurse.a try each route</t>
  </si>
  <si>
    <t>All blocked.</t>
  </si>
  <si>
    <t>Finance HR</t>
  </si>
  <si>
    <t>Clinical staff must not be able to alter bills - it removes the separation between care and money.</t>
  </si>
  <si>
    <t>TC-P1E-008</t>
  </si>
  <si>
    <t>receptionist reaches front-desk routes</t>
  </si>
  <si>
    <t>1) As +qa.reception.a visit /dashboard /patients /opd /schedule</t>
  </si>
  <si>
    <t>Patients OPD</t>
  </si>
  <si>
    <t>The front desk is the entry point for every patient.</t>
  </si>
  <si>
    <t>receptionist A</t>
  </si>
  <si>
    <t>TC-P1E-009</t>
  </si>
  <si>
    <t>receptionist is blocked from /ipd /lab /pharmacy /accounts</t>
  </si>
  <si>
    <t>1) As +qa.reception.a try each</t>
  </si>
  <si>
    <t>Clinical Finance</t>
  </si>
  <si>
    <t>Front-desk staff have no clinical training and no reason to see ward or lab data.</t>
  </si>
  <si>
    <t>TC-P1E-010</t>
  </si>
  <si>
    <t>pharmacist reaches /pharmacy</t>
  </si>
  <si>
    <t>1) As +qa.pharmacist.a visit /pharmacy</t>
  </si>
  <si>
    <t>Loads with both IP and retail modes.</t>
  </si>
  <si>
    <t>Pharmacy</t>
  </si>
  <si>
    <t>Pharmacy is the pharmacist's only workplace in the app.</t>
  </si>
  <si>
    <t>pharmacist A</t>
  </si>
  <si>
    <t>TC-P1E-011</t>
  </si>
  <si>
    <t>pharmacist is blocked from /ipd /billing /hr</t>
  </si>
  <si>
    <t>1) As +qa.pharmacist.a try each</t>
  </si>
  <si>
    <t>IPD Finance</t>
  </si>
  <si>
    <t>A pharmacist who can edit bills can adjust the price of what they dispensed.</t>
  </si>
  <si>
    <t>TC-P1E-012</t>
  </si>
  <si>
    <t>lab_technician reaches /lab</t>
  </si>
  <si>
    <t>1) As +qa.labtech.a visit /lab</t>
  </si>
  <si>
    <t>Loads.</t>
  </si>
  <si>
    <t>Lab</t>
  </si>
  <si>
    <t>Lab staff need the lab.</t>
  </si>
  <si>
    <t>lab_technician A</t>
  </si>
  <si>
    <t>TC-P1E-013</t>
  </si>
  <si>
    <t>lab_tech role also reaches /lab</t>
  </si>
  <si>
    <t>1) As +qa.labtech2.a (role lab_tech) visit /lab</t>
  </si>
  <si>
    <t>Loads. Both lab_tech and lab_technician are permitted.</t>
  </si>
  <si>
    <t>Two enum values exist for the same job - worth confirming this is deliberate</t>
  </si>
  <si>
    <t>Two roles meaning the same thing is a maintenance trap - if one is missed in a permission update, half your lab staff lose access.</t>
  </si>
  <si>
    <t>lab_tech A</t>
  </si>
  <si>
    <t>TC-P1E-014</t>
  </si>
  <si>
    <t>lab_technician is blocked from /radiology /billing</t>
  </si>
  <si>
    <t>1) As +qa.labtech.a try each</t>
  </si>
  <si>
    <t>Blocked.</t>
  </si>
  <si>
    <t>Radiology Finance</t>
  </si>
  <si>
    <t>Lab and radiology are separate departments with separate staff.</t>
  </si>
  <si>
    <t>TC-P1E-015</t>
  </si>
  <si>
    <t>radiologist reaches /radiology</t>
  </si>
  <si>
    <t>1) As +qa.radiologist.a visit /radiology</t>
  </si>
  <si>
    <t>Radiology</t>
  </si>
  <si>
    <t>Reporting is the radiologist's entire job.</t>
  </si>
  <si>
    <t>radiologist A</t>
  </si>
  <si>
    <t>TC-P1E-016</t>
  </si>
  <si>
    <t>radiologist is blocked from /lab /pharmacy /hr</t>
  </si>
  <si>
    <t>1) As +qa.radiologist.a try each</t>
  </si>
  <si>
    <t>Lab Pharmacy HR</t>
  </si>
  <si>
    <t>Least privilege - access only to what the job needs.</t>
  </si>
  <si>
    <t>TC-P1E-017</t>
  </si>
  <si>
    <t>billing_executive reaches finance routes</t>
  </si>
  <si>
    <t>1) As +qa.billing.a visit /billing /billing/closure /payments /insurance /accounts</t>
  </si>
  <si>
    <t>Finance</t>
  </si>
  <si>
    <t>Billing staff need the full revenue cycle.</t>
  </si>
  <si>
    <t>billing_executive A</t>
  </si>
  <si>
    <t>TC-P1E-018</t>
  </si>
  <si>
    <t>billing_executive is blocked from /hr and /settings</t>
  </si>
  <si>
    <t>1) As +qa.billing.a try each</t>
  </si>
  <si>
    <t>HR Settings</t>
  </si>
  <si>
    <t>Billing staff changing service rates could alter prices to benefit themselves.</t>
  </si>
  <si>
    <t>TC-P1E-019</t>
  </si>
  <si>
    <t>billing_staff has narrower access than billing_executive</t>
  </si>
  <si>
    <t>1) As +qa.billing2.a visit /billing then /billing/closure</t>
  </si>
  <si>
    <t>Billing loads. Day closure is NOT in the billing_staff route list - it must be blocked.</t>
  </si>
  <si>
    <t>ROUTE_ROLES['/billing/closure'] excludes billing_staff</t>
  </si>
  <si>
    <t>Day closure locks the cash books. Only a senior person should be able to close a day.</t>
  </si>
  <si>
    <t>billing_staff A</t>
  </si>
  <si>
    <t>TC-P1E-020</t>
  </si>
  <si>
    <t>accountant reaches /accounts</t>
  </si>
  <si>
    <t>1) As +qa.accountant.a visit /accounts /accounts/chart-of-accounts /accounts/journal-workbench</t>
  </si>
  <si>
    <t>The accountant needs the ledger.</t>
  </si>
  <si>
    <t>accountant A</t>
  </si>
  <si>
    <t>TC-P1E-021</t>
  </si>
  <si>
    <t>accountant is blocked from clinical routes</t>
  </si>
  <si>
    <t>1) As +qa.accountant.a try /opd /ipd /patients /lab</t>
  </si>
  <si>
    <t>Finance staff have no clinical need and no consent basis to view patient records.</t>
  </si>
  <si>
    <t>TC-P1E-022</t>
  </si>
  <si>
    <t>cfo reaches financial reporting</t>
  </si>
  <si>
    <t>1) As +qa.cfo.a visit /accounts/financial-statements /accounts/budget /accounts/fixed-assets /analytics/revenue-intelligence</t>
  </si>
  <si>
    <t>Accounts Analytics</t>
  </si>
  <si>
    <t>The CFO's whole job is these four screens.</t>
  </si>
  <si>
    <t>cfo A</t>
  </si>
  <si>
    <t>TC-P1E-023</t>
  </si>
  <si>
    <t>cfo is blocked from clinical routes</t>
  </si>
  <si>
    <t>1) As +qa.cfo.a try /opd /ipd /patients</t>
  </si>
  <si>
    <t>Seniority is not a clinical need. DPDP purpose limitation applies to the CFO too.</t>
  </si>
  <si>
    <t>TC-P1E-024</t>
  </si>
  <si>
    <t>hr_manager reaches /hr only</t>
  </si>
  <si>
    <t>1) As +qa.hr.a visit /hr 2) Then try /opd /billing /accounts</t>
  </si>
  <si>
    <t>HR loads. The others are blocked.</t>
  </si>
  <si>
    <t>HR needs staff data, not patient or financial data.</t>
  </si>
  <si>
    <t>hr_manager A</t>
  </si>
  <si>
    <t>TC-P1E-025</t>
  </si>
  <si>
    <t>insurance_executive reaches /insurance</t>
  </si>
  <si>
    <t>1) As +qa.insurance.a visit /insurance 2) Then try /hr /accounts</t>
  </si>
  <si>
    <t>Insurance loads. The others are blocked.</t>
  </si>
  <si>
    <t>Insurance</t>
  </si>
  <si>
    <t>Insurance desk staff work claims, nothing else.</t>
  </si>
  <si>
    <t>insurance_executive A</t>
  </si>
  <si>
    <t>TC-P1E-026</t>
  </si>
  <si>
    <t>mrd_officer reaches /mrd</t>
  </si>
  <si>
    <t>1) As +qa.mrd.a visit /mrd 2) Then try /billing /hr</t>
  </si>
  <si>
    <t>MRD loads. The others are blocked.</t>
  </si>
  <si>
    <t>MRD</t>
  </si>
  <si>
    <t>MRD sees every record by definition - so everything else must be closed to them.</t>
  </si>
  <si>
    <t>mrd_officer A</t>
  </si>
  <si>
    <t>TC-P1E-027</t>
  </si>
  <si>
    <t>Everyone reaches the core routes</t>
  </si>
  <si>
    <t>1) As each of the 16 roles visit /dashboard /modules /settings/profile /inbox /my-hr</t>
  </si>
  <si>
    <t>All load for every role.</t>
  </si>
  <si>
    <t>coreRoutes are open to every authenticated user</t>
  </si>
  <si>
    <t>Every employee needs their own profile and payslips regardless of role.</t>
  </si>
  <si>
    <t>TC-P1E-028</t>
  </si>
  <si>
    <t>Non-super-admin is blocked from /platform</t>
  </si>
  <si>
    <t>1) As +qa.admin.a (hospital_admin) navigate to /platform</t>
  </si>
  <si>
    <t>Blocked. Platform is your SaaS console not the hospital's.</t>
  </si>
  <si>
    <t>Platform</t>
  </si>
  <si>
    <t>A hospital admin reaching the platform console could change their own plan or see other hospitals.</t>
  </si>
  <si>
    <t>TC-P1E-029</t>
  </si>
  <si>
    <t>Every role is blocked from /platform</t>
  </si>
  <si>
    <t>1) Try /platform as all 16 non-super-admin roles</t>
  </si>
  <si>
    <t>One role slipping through exposes every hospital on the system, not just this one.</t>
  </si>
  <si>
    <t>TC-P1E-030</t>
  </si>
  <si>
    <t>super_admin reaches /platform</t>
  </si>
  <si>
    <t>1) Log in as +qa.superadmin 2) Visit /platform and its sub-routes</t>
  </si>
  <si>
    <t>Super admin exists</t>
  </si>
  <si>
    <t>You need the console to run the business.</t>
  </si>
  <si>
    <t>super_admin</t>
  </si>
  <si>
    <t>TC-P1E-031</t>
  </si>
  <si>
    <t>Blocked route does not flash data before redirecting</t>
  </si>
  <si>
    <t>1) As +qa.nurse.a navigate to /accounts 2) Watch closely and check the network tab</t>
  </si>
  <si>
    <t>No financial data renders even briefly and no data request is made.</t>
  </si>
  <si>
    <t>A client-only redirect that still fetches is a real leak</t>
  </si>
  <si>
    <t>A screen that renders then redirects has already sent the data to the browser - it is a leak even if the user only sees it for a moment.</t>
  </si>
  <si>
    <t>TC-P1E-032</t>
  </si>
  <si>
    <t>Role change takes effect on next login</t>
  </si>
  <si>
    <t>1) Change +qa.nurse.a from nurse to billing_executive 2) Have them log out and back in 3) Try /billing</t>
  </si>
  <si>
    <t>Billing now accessible; nursing routes now blocked.</t>
  </si>
  <si>
    <t>Permissions that do not update leave a transferred employee with their old access indefinitely.</t>
  </si>
  <si>
    <t>TC-P1E-033</t>
  </si>
  <si>
    <t>Custom permission blob overrides the static role</t>
  </si>
  <si>
    <t>1) Settings &gt; Roles 2) Grant nurse view access to billing 3) As the nurse open /billing</t>
  </si>
  <si>
    <t>Access granted. When a permissions row exists it is used INSTEAD of the static role list, not in addition.</t>
  </si>
  <si>
    <t>nurse + billing view</t>
  </si>
  <si>
    <t>Roles screen</t>
  </si>
  <si>
    <t>hasAccess uses ONLY permissions when a row exists - no static fallthrough</t>
  </si>
  <si>
    <t>Hospitals genuinely need custom roles. But because the blob replaces rather than extends the defaults, a partially-filled blob silently removes access the role used to have.</t>
  </si>
  <si>
    <t>role_permissions</t>
  </si>
  <si>
    <t>TC-P1E-034</t>
  </si>
  <si>
    <t>Empty permission blob denies everything</t>
  </si>
  <si>
    <t>1) Set a role's permissions to an empty object 2) Log in as that role 3) Try any module route</t>
  </si>
  <si>
    <t>All module routes denied. Only core routes remain.</t>
  </si>
  <si>
    <t>empty permissions</t>
  </si>
  <si>
    <t>Deliberate - a role with zero permissions is denied not defaulted</t>
  </si>
  <si>
    <t>If an empty permission set fell back to defaults, revoking someone's access would silently do nothing.</t>
  </si>
  <si>
    <t>TC-P1E-035</t>
  </si>
  <si>
    <t>Revoking a permission removes access</t>
  </si>
  <si>
    <t>1) Remove billing view from the modified nurse role 2) Log in again 3) Try /billing</t>
  </si>
  <si>
    <t>Blocked again.</t>
  </si>
  <si>
    <t>nurse minus billing</t>
  </si>
  <si>
    <t>Granting access is easy. Revoking it is what matters when someone changes job or leaves.</t>
  </si>
  <si>
    <t>TC-P1E-036</t>
  </si>
  <si>
    <t>Per-user override withholds from one person</t>
  </si>
  <si>
    <t>1) Apply a user_permission_overrides withhold to one doctor 2) Log in as them 3) Compare with the other doctor</t>
  </si>
  <si>
    <t>Only the overridden user loses that access.</t>
  </si>
  <si>
    <t>Sometimes one individual needs restricting without changing the whole role - e.g. a doctor under investigation.</t>
  </si>
  <si>
    <t>user_permission_overrides</t>
  </si>
  <si>
    <t>TC-P1E-037</t>
  </si>
  <si>
    <t>URL with a query string resolves the same</t>
  </si>
  <si>
    <t>1) As +qa.nurse.a try /accounts?tab=journals</t>
  </si>
  <si>
    <t>Blocked identically to /accounts.</t>
  </si>
  <si>
    <t>Path is normalised by splitting on ?</t>
  </si>
  <si>
    <t>Appending a query string is the most obvious way to try to slip past a naive path check.</t>
  </si>
  <si>
    <t>TC-P1E-038</t>
  </si>
  <si>
    <t>Trailing slash resolves the same</t>
  </si>
  <si>
    <t>1) As +qa.nurse.a try /accounts/</t>
  </si>
  <si>
    <t>Blocked identically.</t>
  </si>
  <si>
    <t>Same reasoning - path normalisation must be complete or it is not a control.</t>
  </si>
  <si>
    <t>TC-P1E-039</t>
  </si>
  <si>
    <t>Unknown route shows 404 not a crash</t>
  </si>
  <si>
    <t>1) Visit /this-route-does-not-exist</t>
  </si>
  <si>
    <t>Clean NotFound page. No stack trace or blank screen.</t>
  </si>
  <si>
    <t>A stack trace on screen tells an attacker what framework and structure you use.</t>
  </si>
  <si>
    <t>TC-P1E-040</t>
  </si>
  <si>
    <t>Sidebar hides routes the role cannot open</t>
  </si>
  <si>
    <t>1) As each role inspect the sidebar</t>
  </si>
  <si>
    <t>Only permitted modules appear. No visible link leads to a blocked page.</t>
  </si>
  <si>
    <t>Showing a link that then denies access makes the product feel broken and generates support calls.</t>
  </si>
  <si>
    <t>TC-P1E-041</t>
  </si>
  <si>
    <t>/modules grid matches actual access</t>
  </si>
  <si>
    <t>1) As +qa.nurse.a open /modules 2) Click every tile shown</t>
  </si>
  <si>
    <t>Every tile shown actually opens.</t>
  </si>
  <si>
    <t>The modules grid is how a new user explores the product. Dead tiles destroy confidence immediately.</t>
  </si>
  <si>
    <t>TC-P1E-042</t>
  </si>
  <si>
    <t>Quality routes with non-enum roles</t>
  </si>
  <si>
    <t>1) Check whether quality_officer or quality_manager can be assigned 2) If not, verify who can open /quality /nabh/compliance /ipc/dashboard</t>
  </si>
  <si>
    <t>Document who can actually reach these. ROUTE_ROLES names roles that are not in the app_role enum.</t>
  </si>
  <si>
    <t>quality routes</t>
  </si>
  <si>
    <t>Quality</t>
  </si>
  <si>
    <t>Directly related to TC-P1D-015</t>
  </si>
  <si>
    <t>The Quality module names quality_officer as its user but that role cannot exist. Either the enum is missing values or the routing is wrong - both are real defects.</t>
  </si>
  <si>
    <t>enum_range(NULL::app_role)</t>
  </si>
  <si>
    <t>TC-P1E-043</t>
  </si>
  <si>
    <t>Blood Bank / CSSD / Dialysis role reachability</t>
  </si>
  <si>
    <t>1) Confirm blood_bank_technician, cssd_technician and dialysis_technician cannot be assigned 2) Determine who can actually open /blood-bank /cssd /dialysis</t>
  </si>
  <si>
    <t>Document the effective access.</t>
  </si>
  <si>
    <t>specialty routes</t>
  </si>
  <si>
    <t>Specialty modules</t>
  </si>
  <si>
    <t>These modules list a specialist as the intended user but only admins can reach them - meaning the actual technician cannot do their job.</t>
  </si>
  <si>
    <t>TC-P1E-044</t>
  </si>
  <si>
    <t>Direct navigation matches sidebar visibility</t>
  </si>
  <si>
    <t>1) For 5 roles compare what the sidebar shows against what direct URL entry allows</t>
  </si>
  <si>
    <t>The two agree exactly in both directions.</t>
  </si>
  <si>
    <t>5 roles</t>
  </si>
  <si>
    <t>A route hidden in the nav but reachable by URL is security by obscurity, which is no security.</t>
  </si>
  <si>
    <t>TC-P1E-045</t>
  </si>
  <si>
    <t>Browser Back after a block does not grant access</t>
  </si>
  <si>
    <t>1) As nurse open /nursing 2) Try /accounts (blocked) 3) Press Back twice</t>
  </si>
  <si>
    <t>Never lands on an accessible /accounts.</t>
  </si>
  <si>
    <t>History navigation is a classic way client-side guards get bypassed.</t>
  </si>
  <si>
    <t>TC-P1F-001</t>
  </si>
  <si>
    <t>1F Tab/Action Gates</t>
  </si>
  <si>
    <t>Receptionist cannot see Complete &amp; Bill</t>
  </si>
  <si>
    <t>1) As +qa.reception.a open an OPD consultation 2) Look for the Complete &amp; Bill action</t>
  </si>
  <si>
    <t>The action is not rendered.</t>
  </si>
  <si>
    <t>OPD Billing</t>
  </si>
  <si>
    <t>Roles configured</t>
  </si>
  <si>
    <t>hasActionAccess('opd','complete_bill')</t>
  </si>
  <si>
    <t>Only a doctor should be able to declare a consultation complete - it closes the clinical record and triggers billing.</t>
  </si>
  <si>
    <t>e2e/phase-01-foundation/P1F.action-gates.spec.ts</t>
  </si>
  <si>
    <t>TC-P1F-002</t>
  </si>
  <si>
    <t>Receptionist cannot see Admit Patient</t>
  </si>
  <si>
    <t>1) As +qa.reception.a open a consultation 2) Look for the Admit action</t>
  </si>
  <si>
    <t>Not rendered.</t>
  </si>
  <si>
    <t>OPD IPD</t>
  </si>
  <si>
    <t>hasActionAccess('opd','admit_patient')</t>
  </si>
  <si>
    <t>Admission is a clinical decision with major financial consequences for the patient.</t>
  </si>
  <si>
    <t>TC-P1F-003</t>
  </si>
  <si>
    <t>Doctor CAN see Complete &amp; Bill and Admit</t>
  </si>
  <si>
    <t>1) As +qa.doctor.a open a consultation</t>
  </si>
  <si>
    <t>Both actions are rendered.</t>
  </si>
  <si>
    <t>OPD IPD Billing</t>
  </si>
  <si>
    <t>The counterpart to the two cases above - the gate must permit as reliably as it denies.</t>
  </si>
  <si>
    <t>TC-P1F-004</t>
  </si>
  <si>
    <t>Nurse cannot approve a discount</t>
  </si>
  <si>
    <t>1) As +qa.nurse.a open the discount approvals inbox if reachable</t>
  </si>
  <si>
    <t>Either not reachable or the Approve action is absent.</t>
  </si>
  <si>
    <t>Discount rules set</t>
  </si>
  <si>
    <t>Discount approval is a financial authority. Anyone able to approve can give money away.</t>
  </si>
  <si>
    <t>TC-P1F-005</t>
  </si>
  <si>
    <t>Tabs within a module are individually gated</t>
  </si>
  <si>
    <t>1) As +qa.reception.a open OPD 2) List the visible tabs 3) Repeat as +qa.doctor.a</t>
  </si>
  <si>
    <t>The two see different tab sets appropriate to their role.</t>
  </si>
  <si>
    <t>reception vs doctor</t>
  </si>
  <si>
    <t>OPD</t>
  </si>
  <si>
    <t>hasTabAccess from src/lib/tabPermissions.ts</t>
  </si>
  <si>
    <t>A receptionist seeing the clinical examination tab can read and alter medical findings.</t>
  </si>
  <si>
    <t>receptionist vs doctor A</t>
  </si>
  <si>
    <t>TC-P1F-006</t>
  </si>
  <si>
    <t>Platform entitlement floor overrides even super_admin</t>
  </si>
  <si>
    <t>1) Identify an action gated by the platform entitlement floor 2) Attempt it as super_admin</t>
  </si>
  <si>
    <t>Still withheld. The floor cannot be overridden locally.</t>
  </si>
  <si>
    <t>Platform config</t>
  </si>
  <si>
    <t>tabPermissions.ts lines ~557-666</t>
  </si>
  <si>
    <t>This is how you enforce plan limits. If a super admin could bypass it, entitlements would be unenforceable.</t>
  </si>
  <si>
    <t>TC-P1F-007</t>
  </si>
  <si>
    <t>Hidden action cannot be triggered by other means</t>
  </si>
  <si>
    <t>1) As +qa.reception.a with Complete &amp; Bill hidden, attempt the same operation via keyboard shortcut or a crafted request</t>
  </si>
  <si>
    <t>Rejected server-side as well as hidden in the UI.</t>
  </si>
  <si>
    <t>Hiding a button is not access control unless the server also refuses</t>
  </si>
  <si>
    <t>A button hidden only in the UI is not a permission - anyone who opens DevTools can still call the underlying operation.</t>
  </si>
  <si>
    <t>opd_encounters; bills - no row created</t>
  </si>
  <si>
    <t>TC-P1F-008</t>
  </si>
  <si>
    <t>Export actions are gated</t>
  </si>
  <si>
    <t>1) As several roles look for export or download actions on patient and financial lists</t>
  </si>
  <si>
    <t>Only permitted roles see them.</t>
  </si>
  <si>
    <t>several roles</t>
  </si>
  <si>
    <t>Bulk export is how data leaves an organisation. It needs tighter control than viewing.</t>
  </si>
  <si>
    <t>several</t>
  </si>
  <si>
    <t>TC-P1F-009</t>
  </si>
  <si>
    <t>Delete actions are gated</t>
  </si>
  <si>
    <t>1) As non-admin roles look for delete actions on master data</t>
  </si>
  <si>
    <t>Not available to non-admin roles.</t>
  </si>
  <si>
    <t>non-admin roles</t>
  </si>
  <si>
    <t>Deleted master data breaks every historical record that referenced it.</t>
  </si>
  <si>
    <t>TC-P1F-010</t>
  </si>
  <si>
    <t>Granular view/create/edit/delete permissions work</t>
  </si>
  <si>
    <t>1) Grant a role view-only on a module 2) Confirm it can read but not create or edit</t>
  </si>
  <si>
    <t>Read works; write actions are absent.</t>
  </si>
  <si>
    <t>view-only role</t>
  </si>
  <si>
    <t>Many roles legitimately need to see without changing - an auditor, a trainee, a referring doctor.</t>
  </si>
  <si>
    <t>custom role</t>
  </si>
  <si>
    <t>TC-P1F-011</t>
  </si>
  <si>
    <t>Legacy string permission format still resolves</t>
  </si>
  <si>
    <t>1) If any role has a legacy 'r' or 'rw' string permission verify it resolves</t>
  </si>
  <si>
    <t>'r' grants view; 'rw' grants view/create/edit/delete.</t>
  </si>
  <si>
    <t>legacy blob</t>
  </si>
  <si>
    <t>Backward compatibility path in hasPermission</t>
  </si>
  <si>
    <t>Older hospitals will have legacy permission blobs. If they stop resolving, existing customers lose access overnight.</t>
  </si>
  <si>
    <t>TC-P1F-012</t>
  </si>
  <si>
    <t>Legacy module parent fallback works</t>
  </si>
  <si>
    <t>1) Check a specialty module such as /dialysis with a blob that only names its legacy parent</t>
  </si>
  <si>
    <t>Resolves via LEGACY_MODULE_PARENT.</t>
  </si>
  <si>
    <t>Specialty</t>
  </si>
  <si>
    <t>Specialty modules used to inherit a parent bucket. Breaking the fallback silently removes access for every existing customer.</t>
  </si>
  <si>
    <t>TC-P1G-001</t>
  </si>
  <si>
    <t>1G Plan Gating</t>
  </si>
  <si>
    <t>Professional plan opens its modules</t>
  </si>
  <si>
    <t>1) As Hospital A (Professional) open the modules included in that plan</t>
  </si>
  <si>
    <t>The customer must get what they paid for.</t>
  </si>
  <si>
    <t>e2e/phase-01-foundation/P1G.plan-gating.spec.ts</t>
  </si>
  <si>
    <t>TC-P1G-002</t>
  </si>
  <si>
    <t>Starter plan blocks higher-tier modules</t>
  </si>
  <si>
    <t>1) As Hospital B (Starter) try to open a Professional-only module</t>
  </si>
  <si>
    <t>Blocked by ModuleGate with an upgrade message rather than a raw error.</t>
  </si>
  <si>
    <t>Hospital B</t>
  </si>
  <si>
    <t>If the plan is not enforced, nobody has any reason to upgrade.</t>
  </si>
  <si>
    <t>TC-P1G-003</t>
  </si>
  <si>
    <t>Plan gate applies to direct URL entry</t>
  </si>
  <si>
    <t>1) As Hospital B paste a blocked module URL directly</t>
  </si>
  <si>
    <t>Blocked identically to clicking.</t>
  </si>
  <si>
    <t>ModuleGate wraps the AppShell Outlet so every route is enforced</t>
  </si>
  <si>
    <t>A gate that only works from the menu is not a gate.</t>
  </si>
  <si>
    <t>TC-P1G-004</t>
  </si>
  <si>
    <t>Upgrading a plan unlocks modules immediately</t>
  </si>
  <si>
    <t>1) As super admin upgrade Hospital B to Professional 2) Refresh Hospital B's session 3) Open a previously blocked module</t>
  </si>
  <si>
    <t>Now accessible.</t>
  </si>
  <si>
    <t>Hospital B upgrade</t>
  </si>
  <si>
    <t>Platform access</t>
  </si>
  <si>
    <t>Realtime channel listens on hospital_module_entitlements</t>
  </si>
  <si>
    <t>A customer who pays for an upgrade and cannot use it for a day will ask for a refund.</t>
  </si>
  <si>
    <t>super_admin then hospital_admin B</t>
  </si>
  <si>
    <t>TC-P1G-005</t>
  </si>
  <si>
    <t>Downgrading a plan re-blocks modules</t>
  </si>
  <si>
    <t>1) Downgrade Hospital B back to Starter 2) Refresh 3) Try the module again</t>
  </si>
  <si>
    <t>Blocked again. Existing data is preserved not deleted.</t>
  </si>
  <si>
    <t>Hospital B downgrade</t>
  </si>
  <si>
    <t>Data must survive a downgrade</t>
  </si>
  <si>
    <t>A downgrade that deletes data makes downgrading catastrophic and traps customers - or loses them permanently.</t>
  </si>
  <si>
    <t>TC-P1G-006</t>
  </si>
  <si>
    <t>Addon withhold hides a single AI feature</t>
  </si>
  <si>
    <t>1) Withhold one AI feature key from Hospital A 2) Open the screen that uses it</t>
  </si>
  <si>
    <t>That AI action is not rendered. Others still are.</t>
  </si>
  <si>
    <t>one AI feature key</t>
  </si>
  <si>
    <t>AI Suite</t>
  </si>
  <si>
    <t>Plan + AI settings</t>
  </si>
  <si>
    <t>AI features are actions of the pseudo-module ai_suite</t>
  </si>
  <si>
    <t>AI features are priced individually. Withholding must be surgical, not all-or-nothing.</t>
  </si>
  <si>
    <t>hospital_feature_overrides</t>
  </si>
  <si>
    <t>TC-P1G-007</t>
  </si>
  <si>
    <t>AI master toggle hides all AI features</t>
  </si>
  <si>
    <t>1) Turn off the AI Features master toggle 2) Check several AI-bearing screens</t>
  </si>
  <si>
    <t>All AI actions hidden.</t>
  </si>
  <si>
    <t>AI master off</t>
  </si>
  <si>
    <t>AI settings</t>
  </si>
  <si>
    <t>Some hospitals will not permit AI on clinical records at all. One switch must satisfy that.</t>
  </si>
  <si>
    <t>hospitals AI flags</t>
  </si>
  <si>
    <t>TC-P1G-008</t>
  </si>
  <si>
    <t>Expired subscription applies a write lock</t>
  </si>
  <si>
    <t>1) Set Hospital B's subscription to expired 2) Try to create any record</t>
  </si>
  <si>
    <t>Reads still work; writes are blocked with a clear renewal message.</t>
  </si>
  <si>
    <t>Hospital B expired</t>
  </si>
  <si>
    <t>src/lib/subscriptionLock.ts</t>
  </si>
  <si>
    <t>Non-payment must stop new work without destroying access to existing records - a hospital still needs to read its own patient history.</t>
  </si>
  <si>
    <t>TC-P1G-009</t>
  </si>
  <si>
    <t>Expired subscription still allows reads</t>
  </si>
  <si>
    <t>1) With Hospital B expired open a patient record</t>
  </si>
  <si>
    <t>Record is readable.</t>
  </si>
  <si>
    <t>Blocking read access to medical records over a billing dispute would be a patient-safety issue and probably unlawful.</t>
  </si>
  <si>
    <t>TC-P1G-010</t>
  </si>
  <si>
    <t>Trial expiry behaves like expiry</t>
  </si>
  <si>
    <t>1) Set Hospital B's trial to expired 2) Attempt a write</t>
  </si>
  <si>
    <t>Same write lock as a paid expiry.</t>
  </si>
  <si>
    <t>Hospital B trial expired</t>
  </si>
  <si>
    <t>An unlimited trial is a free product.</t>
  </si>
  <si>
    <t>TC-P1G-011</t>
  </si>
  <si>
    <t>Blocked module shows an upgrade path not an error</t>
  </si>
  <si>
    <t>1) Trigger any plan block 2) Read the message</t>
  </si>
  <si>
    <t>Clear explanation and a route to upgrade. Not a stack trace or blank page.</t>
  </si>
  <si>
    <t>A gate is also a sales opportunity. A raw error is just a bad experience.</t>
  </si>
  <si>
    <t>TC-P1G-012</t>
  </si>
  <si>
    <t>Entitlement fail-open is logged</t>
  </si>
  <si>
    <t>1) If entitlement resolution fails check entitlement_fail_open_events</t>
  </si>
  <si>
    <t>Any fail-open is recorded for review.</t>
  </si>
  <si>
    <t>Fail-open is safer than locking a hospital out but must be visible</t>
  </si>
  <si>
    <t>Failing open keeps hospitals working during an outage, but an unlogged fail-open means customers silently get free features forever.</t>
  </si>
  <si>
    <t>entitlement_fail_open_events</t>
  </si>
  <si>
    <t>TC-P1H-001</t>
  </si>
  <si>
    <t>1H Tenant Isolation</t>
  </si>
  <si>
    <t>Hospital A cannot list Hospital B patients</t>
  </si>
  <si>
    <t>1) As +qa.doctor.a open /patients 2) Search for PT-QA-0030 and 'Rohan Kulkarni'</t>
  </si>
  <si>
    <t>No result. Hospital B's patient is invisible.</t>
  </si>
  <si>
    <t>PT-QA-0030</t>
  </si>
  <si>
    <t>Both hospitals seeded</t>
  </si>
  <si>
    <t>One hospital seeing another's patients is a reportable data breach that ends the company.</t>
  </si>
  <si>
    <t>patients WHERE hospital_id = B</t>
  </si>
  <si>
    <t>e2e/phase-01-foundation/P1H.tenant-isolation.spec.ts</t>
  </si>
  <si>
    <t>TC-P1H-002</t>
  </si>
  <si>
    <t>Hospital A cannot open a Hospital B patient by UUID</t>
  </si>
  <si>
    <t>1) Get PT-QA-0030's UUID from the DB 2) As +qa.doctor.a paste /patients/&lt;uuid&gt;/summary</t>
  </si>
  <si>
    <t>Blocked or not found. NOTE: no PHI must render even briefly.</t>
  </si>
  <si>
    <t>PT-QA-0030 UUID</t>
  </si>
  <si>
    <t>The classic IDOR test</t>
  </si>
  <si>
    <t>Guessing or leaking a record ID is the most common way multi-tenant systems leak data.</t>
  </si>
  <si>
    <t>TC-P1H-003</t>
  </si>
  <si>
    <t>1) In the browser console as +qa.doctor.a run a supabase select on patients with no filter 2) Inspect the rows</t>
  </si>
  <si>
    <t>Only Hospital A rows return. RLS enforces this at the database.</t>
  </si>
  <si>
    <t>This is the real test - the UI filter is not the control, RLS is</t>
  </si>
  <si>
    <t>Anyone can open DevTools and query directly. If RLS is not the boundary, the UI filter is decoration.</t>
  </si>
  <si>
    <t>patients</t>
  </si>
  <si>
    <t>TC-P1H-004</t>
  </si>
  <si>
    <t>Cross-tenant isolation on bills</t>
  </si>
  <si>
    <t>1) As +qa.billing.a query bills directly with no filter</t>
  </si>
  <si>
    <t>Only Hospital A bills.</t>
  </si>
  <si>
    <t>Another hospital's revenue figures are commercially sensitive as well as confidential.</t>
  </si>
  <si>
    <t>bills</t>
  </si>
  <si>
    <t>TC-P1H-005</t>
  </si>
  <si>
    <t>Cross-tenant isolation on insurance_claims</t>
  </si>
  <si>
    <t>1) As +qa.insurance.a query insurance_claims directly</t>
  </si>
  <si>
    <t>Only Hospital A rows. NOTE: this query has NO hospital_id filter in the code and relies entirely on RLS.</t>
  </si>
  <si>
    <t>ClaimsStatus.tsx line 128 - highest-risk query in the app</t>
  </si>
  <si>
    <t>This is one of two places found that fetch without a hospital filter. If RLS is ever misconfigured, this leaks first.</t>
  </si>
  <si>
    <t>insurance_claims</t>
  </si>
  <si>
    <t>TC-P1H-006</t>
  </si>
  <si>
    <t>Cross-tenant isolation on denial_logs</t>
  </si>
  <si>
    <t>1) As +qa.insurance.a query denial_logs directly</t>
  </si>
  <si>
    <t>Only Hospital A rows.</t>
  </si>
  <si>
    <t>ClaimsStatus.tsx line 170 - same risk as above</t>
  </si>
  <si>
    <t>Second of the two unfiltered queries. Same exposure.</t>
  </si>
  <si>
    <t>denial_logs</t>
  </si>
  <si>
    <t>TC-P1H-007</t>
  </si>
  <si>
    <t>Cross-tenant isolation on admissions and beds</t>
  </si>
  <si>
    <t>1) As +qa.doctor.a query admissions and beds directly</t>
  </si>
  <si>
    <t>Bed occupancy is operationally sensitive and the admissions table carries diagnoses.</t>
  </si>
  <si>
    <t>admissions; beds</t>
  </si>
  <si>
    <t>TC-P1H-008</t>
  </si>
  <si>
    <t>Cross-tenant isolation on prescriptions and lab_orders</t>
  </si>
  <si>
    <t>1) As +qa.doctor.a query prescriptions and lab_orders directly</t>
  </si>
  <si>
    <t>OPD Lab</t>
  </si>
  <si>
    <t>Prescriptions and results are the most sensitive category of health data.</t>
  </si>
  <si>
    <t>prescriptions; lab_orders</t>
  </si>
  <si>
    <t>TC-P1H-009</t>
  </si>
  <si>
    <t>Cross-tenant isolation on users and staff</t>
  </si>
  <si>
    <t>1) As +qa.admin.a query users directly</t>
  </si>
  <si>
    <t>Only Hospital A staff.</t>
  </si>
  <si>
    <t>Staff names and emails of another hospital are both a privacy issue and a competitive one.</t>
  </si>
  <si>
    <t>TC-P1H-010</t>
  </si>
  <si>
    <t>Cross-tenant write is rejected</t>
  </si>
  <si>
    <t>1) As +qa.doctor.a attempt to insert a row with Hospital B's hospital_id</t>
  </si>
  <si>
    <t>Rejected by RLS.</t>
  </si>
  <si>
    <t>Hospital B hospital_id</t>
  </si>
  <si>
    <t>Reading another tenant's data is bad. Writing into it is worse - it corrupts their records.</t>
  </si>
  <si>
    <t>any table - no row created</t>
  </si>
  <si>
    <t>TC-P1H-011</t>
  </si>
  <si>
    <t>Cross-tenant update is rejected</t>
  </si>
  <si>
    <t>1) As +qa.doctor.a attempt to update a Hospital B patient row by UUID</t>
  </si>
  <si>
    <t>Rejected. Row unchanged.</t>
  </si>
  <si>
    <t>An attacker who cannot read but can write can still destroy another hospital's records.</t>
  </si>
  <si>
    <t>patients - row unchanged</t>
  </si>
  <si>
    <t>TC-P1H-012</t>
  </si>
  <si>
    <t>Stale session context after a hospital move</t>
  </si>
  <si>
    <t>1) Note the hms_ctx_* sessionStorage key as +qa.doctor.a 2) As super admin move that user to Hospital B 3) WITHOUT logging out refresh the page 4) Observe which hospital's data shows</t>
  </si>
  <si>
    <t>Must resolve to Hospital B or force a re-auth. NOTE: the cache is only cleared on sign-out, so this may show stale Hospital A data - if so, log P1.</t>
  </si>
  <si>
    <t>HospitalContext caches in sessionStorage and revalidates in the background</t>
  </si>
  <si>
    <t>A user moved between hospitals who keeps the old tenant is actively looking at the wrong hospital's patients.</t>
  </si>
  <si>
    <t>TC-P1H-013</t>
  </si>
  <si>
    <t>Service role key is not in the client bundle</t>
  </si>
  <si>
    <t>1) Build the app 2) Search dist/ for the service role key and for 'service_role'</t>
  </si>
  <si>
    <t>Not present anywhere in the client bundle.</t>
  </si>
  <si>
    <t>Build produced</t>
  </si>
  <si>
    <t>npm run build then grep dist/</t>
  </si>
  <si>
    <t>The service role key bypasses all RLS. If it ships to the browser, every tenant boundary in the product is gone.</t>
  </si>
  <si>
    <t>TC-P1H-014</t>
  </si>
  <si>
    <t>No PHI in console output</t>
  </si>
  <si>
    <t>1) Log in and walk OPD IPD and Billing with the console open 2) Review every logged line</t>
  </si>
  <si>
    <t>No patient name UHID phone or diagnosis appears in any console message.</t>
  </si>
  <si>
    <t>PT-QA-0001</t>
  </si>
  <si>
    <t>DPDP requirement - PHI must not appear in logs</t>
  </si>
  <si>
    <t>Console logs get captured by browser extensions, error trackers and screen shares. PHI there is a breach.</t>
  </si>
  <si>
    <t>TC-P1H-015</t>
  </si>
  <si>
    <t>Error messages do not leak PHI</t>
  </si>
  <si>
    <t>1) Deliberately trigger errors (bad ID, blocked action) 2) Read every message</t>
  </si>
  <si>
    <t>Messages are generic. No patient identifiers or SQL fragments.</t>
  </si>
  <si>
    <t>Error messages are shown to users and logged to third-party services. Both are places PHI must never reach.</t>
  </si>
  <si>
    <t>TC-P1H-016</t>
  </si>
  <si>
    <t>Bill number sequences are per-hospital</t>
  </si>
  <si>
    <t>1) Create a bill in Hospital A and one in Hospital B 2) Compare the numbers</t>
  </si>
  <si>
    <t>Independent sequences. Neither continues the other's numbering.</t>
  </si>
  <si>
    <t>both hospitals</t>
  </si>
  <si>
    <t>bill_sequences is keyed per hospital</t>
  </si>
  <si>
    <t>Shared invoice numbering between two hospitals means duplicate invoice numbers under different GSTINs - a tax compliance failure.</t>
  </si>
  <si>
    <t>billing_executive both</t>
  </si>
  <si>
    <t>bill_sequences</t>
  </si>
  <si>
    <t>TC-P1I-001</t>
  </si>
  <si>
    <t>1I Go Live</t>
  </si>
  <si>
    <t>Go-live checklist page loads</t>
  </si>
  <si>
    <t>1) As +qa.admin.a open /admin/go-live</t>
  </si>
  <si>
    <t>Loads with the checklist.</t>
  </si>
  <si>
    <t>Onboarding complete</t>
  </si>
  <si>
    <t>This is the hospital's own readiness gate before they start using the system for real patients.</t>
  </si>
  <si>
    <t>e2e/phase-01-foundation/P1I.go-live.spec.ts</t>
  </si>
  <si>
    <t>TC-P1I-002</t>
  </si>
  <si>
    <t>Checklist reflects actual configuration state</t>
  </si>
  <si>
    <t>1) With departments and wards configured but no drugs 2) Review the checklist</t>
  </si>
  <si>
    <t>Completed items show complete; the drug item shows incomplete.</t>
  </si>
  <si>
    <t>partial config</t>
  </si>
  <si>
    <t>Partial onboarding</t>
  </si>
  <si>
    <t>A checklist that does not check anything is theatre. It must read the real state.</t>
  </si>
  <si>
    <t>various master tables</t>
  </si>
  <si>
    <t>TC-P1I-003</t>
  </si>
  <si>
    <t>Checklist items link to the right settings screen</t>
  </si>
  <si>
    <t>1) Click an incomplete item</t>
  </si>
  <si>
    <t>Navigates to the screen that fixes it.</t>
  </si>
  <si>
    <t>Telling someone what is missing without showing them where to fix it just creates a support call.</t>
  </si>
  <si>
    <t>TC-P1I-004</t>
  </si>
  <si>
    <t>Non-admin cannot open go-live</t>
  </si>
  <si>
    <t>1) As +qa.doctor.a navigate to /admin/go-live</t>
  </si>
  <si>
    <t>Declaring a hospital live is an administrative decision.</t>
  </si>
  <si>
    <t>TC-P1I-005</t>
  </si>
  <si>
    <t>Critical prerequisites are flagged</t>
  </si>
  <si>
    <t>1) Remove rate_per_day from a ward 2) Remove all consultation fees 3) Review the checklist</t>
  </si>
  <si>
    <t>These should be flagged. NOTE: if the checklist passes without them, log P1 - these are the two silent Rs 500 fallbacks.</t>
  </si>
  <si>
    <t>ward without rate; no fees</t>
  </si>
  <si>
    <t>IPD Billing OPD</t>
  </si>
  <si>
    <t>The two most damaging silent failures in the product</t>
  </si>
  <si>
    <t>A hospital going live without consultation fees or room rates will under-bill every single patient and not know for months.</t>
  </si>
  <si>
    <t>wards.rate_per_day; service_master</t>
  </si>
  <si>
    <t>TC-P1I-006</t>
  </si>
  <si>
    <t>Data migration page loads</t>
  </si>
  <si>
    <t>1) As +qa.admin.a open /admin/data-migration</t>
  </si>
  <si>
    <t>Every hospital switching from another system needs to bring its patient list with it. This is often the deal-breaker.</t>
  </si>
  <si>
    <t>TC-P2A-001</t>
  </si>
  <si>
    <t>2A Settings Hub</t>
  </si>
  <si>
    <t>Settings hub loads with heading, subtitle and search box</t>
  </si>
  <si>
    <t>1) Log in as hospital_admin (Hospital A) 2) Open /settings 3) Observe the header</t>
  </si>
  <si>
    <t>Heading "Settings" and subtitle "Configure your hospital system" render, with a search box placeholdered "Search settings or a module…". No red console errors.</t>
  </si>
  <si>
    <t>Staff logins — hospital_admin (Hospital A)</t>
  </si>
  <si>
    <t>Tier 0: hospital_admin can reach /settings (Phase 1 §1E)</t>
  </si>
  <si>
    <t>Automated: passed.</t>
  </si>
  <si>
    <t>N</t>
  </si>
  <si>
    <t>The hub is the only doorway to all 50 configuration screens. If it fails to render, a hospital cannot configure anything and go-live stops dead.</t>
  </si>
  <si>
    <t>hospital_admin (Hospital A)</t>
  </si>
  <si>
    <t>None — pure UI render</t>
  </si>
  <si>
    <t>e2e/phase-02-settings/P2A.hub.spec.ts</t>
  </si>
  <si>
    <t>TC-P2A-002</t>
  </si>
  <si>
    <t>Every routable /settings/* route has a catalogue entry</t>
  </si>
  <si>
    <t>1) Open /settings 2) Compare the rendered card routes against the 50 settings routes registered in src/App.tsx</t>
  </si>
  <si>
    <t>All 50 App.tsx /settings/* routes appear in the catalogue. Zero routes are reachable only by typing the URL.</t>
  </si>
  <si>
    <t>settings.helpers.ts SETTINGS_SCREENS (50 routes)</t>
  </si>
  <si>
    <t>settingsCatalog.ts exists because six settings routes once had no card and were unreachable by browsing OR search. A screen a hospital cannot find is a screen it never configures, and every silent-fallback defect downstream starts there.</t>
  </si>
  <si>
    <t>Cross-Module</t>
  </si>
  <si>
    <t>None — compares App.tsx routes to the rendered catalogue</t>
  </si>
  <si>
    <t>TC-P2A-003</t>
  </si>
  <si>
    <t>Two alias cards point at a route another card already owns</t>
  </si>
  <si>
    <t>1) Open /settings 2) Count the rendered cards 3) Locate "Self-Service Kiosk" and "WhatsApp / WATI"</t>
  </si>
  <si>
    <t>52 cards render for 50 distinct routes. "Self-Service Kiosk" opens /settings/tv-display and "WhatsApp / WATI" opens /settings/whatsapp — the same routes as "TV Queue Display" and "WhatsApp Bot".</t>
  </si>
  <si>
    <t>settings.helpers.ts ALIAS_CARDS</t>
  </si>
  <si>
    <t>TV Display, CRM</t>
  </si>
  <si>
    <t xml:space="preserve">Automated: FAILED.
Error: Alias card "Self-Service Kiosk" is missing from the hub
expect(received).toContain(expected) // indexOf
Expected value: "Self-Service Kiosk"
Received array: []</t>
  </si>
  <si>
    <t>Y</t>
  </si>
  <si>
    <t>One route legitimately serves two jobs, so a receptionist searching "kiosk" still lands somewhere useful. Recorded deliberately so a future card count of 52 against 50 routes is not mistaken for a duplicate-registration bug.</t>
  </si>
  <si>
    <t>TC-P2A-004</t>
  </si>
  <si>
    <t>Groups render in the declared SETTINGS_GROUP_ORDER</t>
  </si>
  <si>
    <t>1) Open /settings 2) Read the group headings top to bottom</t>
  </si>
  <si>
    <t>Groups appear in order: Identity, Plan &amp; Modules, Structure, People &amp; Access, Clinical, Queue Display &amp; Kiosk, Workflows, Integrations, Inventory &amp; Stores, Audit &amp; Compliance, Go-Live &amp; Migration.</t>
  </si>
  <si>
    <t>settingsCatalog.ts SETTINGS_GROUP_ORDER</t>
  </si>
  <si>
    <t xml:space="preserve">Automated: FAILED.
Error: Group heading(s) missing from the hub: Identity, Plan &amp; Modules, Structure, People &amp; Access, Queue Display &amp; Kiosk, Workflows, Inventory &amp; Stores, Audit &amp; Compliance, Go-Live &amp; Migration
expect(received).toEqual(expected) // deep equality
- Expected  -  1
+ Received  + 11
- Array []
+ Array [
+   "Identity",
+   "Plan &amp; Modules",
+   "Structure",
+   "People &amp; Access",
+   "Queue Display &amp; Kiosk",
+   "Workflows",
+   "Inventory &amp; Stores",
+   "Audit &amp; Compliance",
+   "Go-Live &amp; Migration",
+ ]</t>
  </si>
  <si>
    <t>The order is the configuration order — Identity and Structure must come before Clinical, or an administrator works the grid top to bottom and hits prerequisites that do not exist yet.</t>
  </si>
  <si>
    <t>TC-P2A-005</t>
  </si>
  <si>
    <t>Clicking the Departments card navigates to /settings/departments</t>
  </si>
  <si>
    <t>1) Open /settings 2) Click the "Departments" card</t>
  </si>
  <si>
    <t>The browser lands on /settings/departments and the Departments screen renders.</t>
  </si>
  <si>
    <t>settings.helpers.ts SETTINGS_SCREENS — /settings/departments</t>
  </si>
  <si>
    <t>OPD, IPD, HR</t>
  </si>
  <si>
    <t>Cards are buttons, not links, so navigation is JavaScript. If a card stops navigating there is no href fallback and the screen becomes unreachable by browsing.</t>
  </si>
  <si>
    <t>None — client-side navigation</t>
  </si>
  <si>
    <t>TC-P2A-006</t>
  </si>
  <si>
    <t>Searching "pharmacy" surfaces the pages that actually configure Pharmacy</t>
  </si>
  <si>
    <t>1) Open /settings 2) Type "pharmacy" into the search box</t>
  </si>
  <si>
    <t>Drug Formulary appears under direct matches, and cross-cutting pages that configure pharmacy (Configurable Dropdowns, Staff, IPD Ancillary Payment, Store Locations) appear in the separate "Also configures" bucket.</t>
  </si>
  <si>
    <t>settingsCatalog.ts MODULE_ALIASES — pharmacy</t>
  </si>
  <si>
    <t>Module-name search was rewritten because "pharmacy" used to return almost nothing — the word appears in none of the relevant card titles. An administrator who cannot find the drug route dropdown reports "OPD prescribing is broken" instead.</t>
  </si>
  <si>
    <t>None — pure UI search</t>
  </si>
  <si>
    <t>TC-P2A-007</t>
  </si>
  <si>
    <t>Searching the alias "pathology" surfaces Lab Test Master</t>
  </si>
  <si>
    <t>1) Open /settings 2) Type "pathology" into the search box</t>
  </si>
  <si>
    <t>Lab Test Master appears in the results even though the word "pathology" is in neither its title nor its description.</t>
  </si>
  <si>
    <t>settingsCatalog.ts MODULE_ALIASES — lab</t>
  </si>
  <si>
    <t>Indian hospitals say pathology, not laboratory. Matching only the product's own vocabulary means the people who need the screen cannot find it.</t>
  </si>
  <si>
    <t>TC-P2A-008</t>
  </si>
  <si>
    <t>Searching the alias "theatre" surfaces the OT Checklist</t>
  </si>
  <si>
    <t>1) Open /settings 2) Type "theatre" into the search box</t>
  </si>
  <si>
    <t>OT Checklist appears in the results. The Indian English spelling "theatre" matches, not only "theater".</t>
  </si>
  <si>
    <t>settingsCatalog.ts MODULE_ALIASES — ot</t>
  </si>
  <si>
    <t>OT, Anaesthesia</t>
  </si>
  <si>
    <t>Indian English is the house style for this product. A search that only answers to the American spelling fails the users it was written for.</t>
  </si>
  <si>
    <t>TC-P2A-009</t>
  </si>
  <si>
    <t>Searching the alias "x-ray" surfaces Radiology Modalities</t>
  </si>
  <si>
    <t>1) Open /settings 2) Type "x-ray" into the search box</t>
  </si>
  <si>
    <t>Radiology Modalities appears in the results. The hyphenated form matches.</t>
  </si>
  <si>
    <t>settingsCatalog.ts MODULE_ALIASES — radiology</t>
  </si>
  <si>
    <t>Radiology modalities must be created before studies, or the module shows "No studies configured". Users search for the machine name they know, not the word "modality".</t>
  </si>
  <si>
    <t>TC-P2A-010</t>
  </si>
  <si>
    <t>Searching the alias "TPA" surfaces Payer Masters</t>
  </si>
  <si>
    <t>1) Open /settings 2) Type "TPA" into the search box</t>
  </si>
  <si>
    <t>Payer Masters appears in the results, matched case-insensitively on the insurance alias.</t>
  </si>
  <si>
    <t>settingsCatalog.ts MODULE_ALIASES — insurance</t>
  </si>
  <si>
    <t>Insurance, Billing</t>
  </si>
  <si>
    <t>Without a payer master there is no insurance selection at admission, so every insured patient is booked as cash. Billing staff search "TPA" — that is the only word they use.</t>
  </si>
  <si>
    <t>TC-P2A-011</t>
  </si>
  <si>
    <t>Searching the alias "ayushman" surfaces the PMJAY-related pages</t>
  </si>
  <si>
    <t>1) Open /settings 2) Type "ayushman" into the search box</t>
  </si>
  <si>
    <t>Payer Masters and Configurable Dropdowns (government_schemes) appear in the results.</t>
  </si>
  <si>
    <t>settingsCatalog.ts MODULE_ALIASES — pmjay</t>
  </si>
  <si>
    <t>PMJAY, Insurance, Billing</t>
  </si>
  <si>
    <t>PMJAY empanelment is a common sales trigger, and Ayushman Bharat is the name every Indian hospital uses. Missing it means a new customer cannot configure the scheme that made them buy.</t>
  </si>
  <si>
    <t>TC-P2A-012</t>
  </si>
  <si>
    <t>Searching the alias "payroll" surfaces the HR-related settings</t>
  </si>
  <si>
    <t>1) Open /settings 2) Type "payroll" into the search box</t>
  </si>
  <si>
    <t>Staff Members and Shifts appear in the results via the HR alias.</t>
  </si>
  <si>
    <t>settingsCatalog.ts MODULE_ALIASES — hr</t>
  </si>
  <si>
    <t>Salary fields live on the Staff screen, not on a page called Payroll. Without the alias an HR manager cannot find where to enter them.</t>
  </si>
  <si>
    <t>TC-P2A-013</t>
  </si>
  <si>
    <t>Searching the alias "nabh" surfaces the quality and retention pages</t>
  </si>
  <si>
    <t>1) Open /settings 2) Type "nabh" into the search box</t>
  </si>
  <si>
    <t>Record Retention and Record Access Log appear in the results.</t>
  </si>
  <si>
    <t>settingsCatalog.ts MODULE_ALIASES — quality</t>
  </si>
  <si>
    <t>Quality, MRD</t>
  </si>
  <si>
    <t>NABH accreditation is the reason many hospitals buy this product. During a mock assessment the quality officer needs the retention policy screen in seconds, not after browsing eleven groups.</t>
  </si>
  <si>
    <t>TC-P2A-014</t>
  </si>
  <si>
    <t>Searching a page title matches directly and highlights the matched text</t>
  </si>
  <si>
    <t>1) Open /settings 2) Type "Wards" into the search box</t>
  </si>
  <si>
    <t>The "Wards &amp; Beds" card appears and the matched substring is highlighted in the card title.</t>
  </si>
  <si>
    <t>settingsCatalog.ts — Wards &amp; Beds entry</t>
  </si>
  <si>
    <t>Title search is the path most users take. Highlighting is what tells them why a card matched when the reason is a keyword they cannot see.</t>
  </si>
  <si>
    <t>TC-P2A-015</t>
  </si>
  <si>
    <t>Searching a keyword absent from both title and description still matches</t>
  </si>
  <si>
    <t>1) Open /settings 2) Type "letterhead" into the search box</t>
  </si>
  <si>
    <t>The Branding card appears, matched on its keywords array rather than its visible text.</t>
  </si>
  <si>
    <t>settingsCatalog.ts — Branding keywords</t>
  </si>
  <si>
    <t>Billing, MRD</t>
  </si>
  <si>
    <t>Keywords exist so the search answers the words users actually type. If only visible text matched, the keywords array would be dead weight and nobody would notice it had stopped working.</t>
  </si>
  <si>
    <t>TC-P2A-016</t>
  </si>
  <si>
    <t>A search with no matches shows the empty state quoting what was typed</t>
  </si>
  <si>
    <t>1) Open /settings 2) Type "zzzznotathing" into the search box</t>
  </si>
  <si>
    <t>The message "No settings found for 'zzzznotathing'" renders. No cards are shown, and the page does not error or go blank.</t>
  </si>
  <si>
    <t>Literal search string zzzznotathing</t>
  </si>
  <si>
    <t>A blank screen reads as a crash. Quoting the term back tells the user the search worked and the word was simply wrong, which is the difference between retyping and raising a support ticket.</t>
  </si>
  <si>
    <t>TC-P2A-017</t>
  </si>
  <si>
    <t>Cross-cutting pages appear in their own bucket, not mixed into direct hits</t>
  </si>
  <si>
    <t>1) Open /settings 2) Type "lab" into the search box 3) Read the two result headings</t>
  </si>
  <si>
    <t>Direct matches appear under a "…settings (N)" heading and cross-cutting pages under a separate "Also configures … (N)" heading.</t>
  </si>
  <si>
    <t>settingsCatalog.ts crossCutting flag</t>
  </si>
  <si>
    <t>Staff, Roles and Dropdowns configure every module. Merged into the results they drown the two or three pages the user actually wanted.</t>
  </si>
  <si>
    <t>TC-P2A-018</t>
  </si>
  <si>
    <t>A module search deep-links Configurable Dropdowns to the right category</t>
  </si>
  <si>
    <t>1) Open /settings 2) Type "pharmacy" 3) Click the "Configurable Dropdowns" card in the "Also configures" bucket</t>
  </si>
  <si>
    <t>The browser lands on /settings/config-values?cat=drug_routes, not the bare /settings/config-values.</t>
  </si>
  <si>
    <t>settingsCatalog.ts moduleDeepLinks — pharmacy</t>
  </si>
  <si>
    <t>Pharmacy, OPD</t>
  </si>
  <si>
    <t>There are 23 dropdown categories. Landing on the bare page means hunting for drug_routes, and an empty route list is the single most common false "OPD is broken" report.</t>
  </si>
  <si>
    <t>None — client-side navigation with a query string</t>
  </si>
  <si>
    <t>TC-P2A-019</t>
  </si>
  <si>
    <t>Search is case-insensitive</t>
  </si>
  <si>
    <t>1) Open /settings 2) Type "PHARMACY" in capitals 3) Note the result count 4) Replace it with "pharmacy" in lower case</t>
  </si>
  <si>
    <t>Both spellings return an identical set of cards.</t>
  </si>
  <si>
    <t>Staff type with caps lock on more often than anyone designing a search box expects, and a case-sensitive miss looks exactly like a missing feature.</t>
  </si>
  <si>
    <t>TC-P2A-020</t>
  </si>
  <si>
    <t>Clearing the search box restores the full browse grid</t>
  </si>
  <si>
    <t>1) Open /settings 2) Type "pharmacy" 3) Clear the search box</t>
  </si>
  <si>
    <t>All eleven groups and all 52 cards render again, in SETTINGS_GROUP_ORDER.</t>
  </si>
  <si>
    <t>settingsCatalog.ts SETTINGS_CATALOG</t>
  </si>
  <si>
    <t>A search box that traps the user in a filtered view forces a page reload to get back, and a reload mid-configuration is where unsaved work is lost.</t>
  </si>
  <si>
    <t>TC-P2B-001</t>
  </si>
  <si>
    <t>2B Identity</t>
  </si>
  <si>
    <t>Language &amp; Region screen loads with all six controls</t>
  </si>
  <si>
    <t>1) Log in as hospital_admin (Hospital A) 2) Open /settings/language 3) Read the form</t>
  </si>
  <si>
    <t>Interface Language, Date Format, Time Format, Currency, Timezone and Number Format all render, with a Save Changes action. No red console errors.</t>
  </si>
  <si>
    <t>phase2.entry./settings/language — timeFormat 24, dateFormat DD/MM/YYYY, numberFormat indian</t>
  </si>
  <si>
    <t>All modules, Billing, MRD</t>
  </si>
  <si>
    <t>Tier 0: hospital profile created; hospital_admin can reach /settings</t>
  </si>
  <si>
    <t>These six settings decide how every date and amount in the product is rendered, including on documents a patient keeps. A screen that will not load leaves the hospital on defaults it never chose.</t>
  </si>
  <si>
    <t>e2e/phase-02-settings/P2B.identity.language.spec.ts</t>
  </si>
  <si>
    <t>TC-P2B-002</t>
  </si>
  <si>
    <t>The shipped defaults are Indian conventions</t>
  </si>
  <si>
    <t>1) Ensure no language_region row exists for Hospital A 2) Open /settings/language 3) Read every control</t>
  </si>
  <si>
    <t>Interface Language English, Date Format DD/MM/YYYY, Time Format 12-hour, Currency ₹ Indian Rupee (INR), Timezone Asia/Kolkata (IST), Number Format Indian (1,00,000).</t>
  </si>
  <si>
    <t>src/lib/languageRegion.ts DEFAULT_LANGUAGE_REGION</t>
  </si>
  <si>
    <t>A hospital that never opens this screen must still print dates a patient in Hyderabad can read. A default of MM/DD/YYYY would render 08/12/2026 as an August date on every discharge summary in the building.</t>
  </si>
  <si>
    <t>hospital_settings where hospital_id = A and key = 'language_region' → absent, and the UI shows Indian defaults</t>
  </si>
  <si>
    <t>TC-P2B-003</t>
  </si>
  <si>
    <t>Interface Language offers exactly the seven supported languages</t>
  </si>
  <si>
    <t>1) Open /settings/language 2) Open the Interface Language dropdown 3) List every option</t>
  </si>
  <si>
    <t>Exactly seven options — English, Hindi, Telugu, Tamil, Kannada, Malayalam, Marathi. No more, no fewer.</t>
  </si>
  <si>
    <t>phase2.dropdowns.interfaceLanguage — 7 values</t>
  </si>
  <si>
    <t>An option offered but unsupported downstream leaves the interface half-translated. One missing means a hospital in that state cannot use the product in the language its staff read.</t>
  </si>
  <si>
    <t>None — reads the option list</t>
  </si>
  <si>
    <t>TC-P2B-004</t>
  </si>
  <si>
    <t>Date Format offers exactly three options</t>
  </si>
  <si>
    <t>1) Open /settings/language 2) Read the Date Format radio group</t>
  </si>
  <si>
    <t>Exactly three options — DD/MM/YYYY, MM/DD/YYYY, YYYY-MM-DD.</t>
  </si>
  <si>
    <t>phase2.dropdowns.dateFormat — 3 values</t>
  </si>
  <si>
    <t>All modules, MRD, Billing</t>
  </si>
  <si>
    <t>Date format is the setting most likely to cause a clinical misreading. Every option offered must be one the renderer actually implements, or a date silently renders in a format nobody chose.</t>
  </si>
  <si>
    <t>TC-P2B-005</t>
  </si>
  <si>
    <t>Time Format offers exactly two options</t>
  </si>
  <si>
    <t>1) Open /settings/language 2) Read the Time Format radio group</t>
  </si>
  <si>
    <t>Exactly two options — 12-hour (2:30 PM) and 24-hour (14:30).</t>
  </si>
  <si>
    <t>phase2.dropdowns.timeFormat — 12 and 24</t>
  </si>
  <si>
    <t>IPD, Nursing, OT, Emergency</t>
  </si>
  <si>
    <t xml:space="preserve">Automated: FAILED.
Error: expect(received).toContain(expected) // indexOf
Expected substring: "12-hour"
Received string:    "Dashboard
Page
Search modules...
⌘K
Online
Report Event
DR
Dashboard
All Modules
Patients
QUICK ACCESS
Scheduling
OPD Queue
IPD / Wards
Billing
HR &amp; Staff
CEO Board
Govt Schemes
Lab
Analytics
RECORDS
Medical Records
IPC Dashboard
FMS / Safety
ABDM / ABHA
My HR
Inbox
Settings
DR·
Dr. Ravi Shankar·
Super Admin"</t>
  </si>
  <si>
    <t>Drug administration times and OT slots are recorded against the clock. Ambiguity between 2:30 and 14:30 on a medication chart is a dosing-time error.</t>
  </si>
  <si>
    <t>TC-P2B-006</t>
  </si>
  <si>
    <t>Currency offers exactly four options</t>
  </si>
  <si>
    <t>1) Open /settings/language 2) Open the Currency dropdown 3) List every option</t>
  </si>
  <si>
    <t>Exactly four options — ₹ Indian Rupee (INR), AED (UAE), USD, GBP.</t>
  </si>
  <si>
    <t>phase2.dropdowns.currency — 4 values</t>
  </si>
  <si>
    <t>Billing, Accounts, Payments</t>
  </si>
  <si>
    <t>Currency drives every money display and every printed bill. An unsupported currency offered here would render amounts with no symbol at all.</t>
  </si>
  <si>
    <t>TC-P2B-007</t>
  </si>
  <si>
    <t>Timezone offers exactly four options</t>
  </si>
  <si>
    <t>1) Open /settings/language 2) Open the Timezone dropdown 3) List every option</t>
  </si>
  <si>
    <t>Exactly four options — Asia/Kolkata (IST), Asia/Dubai (GST), America/New_York (EST), Europe/London (GMT).</t>
  </si>
  <si>
    <t>phase2.dropdowns.timezone — 4 values</t>
  </si>
  <si>
    <t>IPD, Nursing, Lab, Analytics</t>
  </si>
  <si>
    <t>Timezone decides when a day closes and which date a midnight admission is recorded against. A wrong zone moves the whole day-closure boundary and misstates daily collections.</t>
  </si>
  <si>
    <t>TC-P2B-008</t>
  </si>
  <si>
    <t>Number Format offers exactly two options</t>
  </si>
  <si>
    <t>1) Open /settings/language 2) Read the Number Format radio group</t>
  </si>
  <si>
    <t>Exactly two options — Indian (1,00,000) and International (100,000).</t>
  </si>
  <si>
    <t>phase2.dropdowns.numberFormat — indian and international</t>
  </si>
  <si>
    <t>Billing, Accounts</t>
  </si>
  <si>
    <t>Indian grouping puts the comma in a different place. ₹250,000 versus ₹2,50,000 invites a misread by a factor of ten on a bill a patient is about to pay.</t>
  </si>
  <si>
    <t>TC-P2B-009</t>
  </si>
  <si>
    <t>Saving writes the language_region row to hospital_settings</t>
  </si>
  <si>
    <t>1) Open /settings/language 2) Set Time Format to 24-hour 3) Set Number Format to Indian 4) Click "Save Changes"</t>
  </si>
  <si>
    <t>A hospital_settings row exists with key = 'language_region' and a value containing timeFormat 24 and numberFormat indian.</t>
  </si>
  <si>
    <t>REGRESSION LOCK for BUG-P2-004. This screen had no target table at all — Save ran a 500ms setTimeout and showed a green toast, so nothing a hospital chose here was ever stored anywhere.</t>
  </si>
  <si>
    <t>hospital_settings where hospital_id = A and key = 'language_region' → value.timeFormat = '24'</t>
  </si>
  <si>
    <t>TC-P2B-010</t>
  </si>
  <si>
    <t>The save spinner reflects a real request, not a fixed delay</t>
  </si>
  <si>
    <t>1) Open DevTools → Network 2) Open /settings/language 3) Change any setting 4) Click "Save Changes" 5) Watch for a Supabase request</t>
  </si>
  <si>
    <t>A PostgREST request to hospital_settings is issued. The button shows Saving… only while that request is in flight.</t>
  </si>
  <si>
    <t>phase2.entry./settings/language — timeFormat 24</t>
  </si>
  <si>
    <t>REGRESSION LOCK for BUG-P2-004. The original code ran setTimeout(…, 500) before toasting success — a fake spinner in front of a no-op, which is the most convincing possible disguise for a screen that saves nothing.</t>
  </si>
  <si>
    <t>Network tab shows a hospital_settings upsert; hospital_settings row exists afterwards</t>
  </si>
  <si>
    <t>TC-P2B-011</t>
  </si>
  <si>
    <t>The Language &amp; Region screen loads with no red console errors</t>
  </si>
  <si>
    <t>1) Open DevTools → Console 2) Open /settings/language 3) Change and save a setting 4) Read the console</t>
  </si>
  <si>
    <t>No red console text, and specifically no PostgREST error against hospital_settings.</t>
  </si>
  <si>
    <t>This screen was newly wired to hospital_settings during Phase 2. A key or column mismatch would surface only as a console error while the UI carried on looking healthy — exactly how the original defect hid.</t>
  </si>
  <si>
    <t>None — console observation</t>
  </si>
  <si>
    <t>TC-P2B-012</t>
  </si>
  <si>
    <t>Hospital A's language settings are invisible to Hospital B</t>
  </si>
  <si>
    <t>1) Sign in as the Hospital B administrator 2) Open /settings/language as Hospital B 3) Query hospital_settings through the API with no hospital filter</t>
  </si>
  <si>
    <t>Not one Hospital A hospital_settings row is returned, including the language_region key.</t>
  </si>
  <si>
    <t>MOCK_DATA_BOOK Hospitals — Hospital A (Aarogya) and Hospital B (Sanjeevani)</t>
  </si>
  <si>
    <t>Multi-tenancy, all modules</t>
  </si>
  <si>
    <t>Both QA tenants seeded</t>
  </si>
  <si>
    <t>hospital_settings has no per-role RLS — any authenticated user of a hospital can write any key via PostgREST. Tenant isolation is therefore the only protection this table has, and it must be proven rather than assumed.</t>
  </si>
  <si>
    <t>hospital_admin (Hospital B)</t>
  </si>
  <si>
    <t>hospital_settings queried as the Hospital B admin → zero rows with hospital_id = A</t>
  </si>
  <si>
    <t>TC-P2B-013</t>
  </si>
  <si>
    <t>A nurse cannot reach the Language &amp; Region screen</t>
  </si>
  <si>
    <t>1) Log in as nurse (Hospital A) 2) Navigate directly to /settings/language</t>
  </si>
  <si>
    <t>The route is blocked — redirected away, or an explicit access-denied message.</t>
  </si>
  <si>
    <t>MOCK_DATA_BOOK Staff logins — nurse (Hospital A), Sr. Mary Thomas</t>
  </si>
  <si>
    <t>Tier 0 roles configured (Phase 1 §1E)</t>
  </si>
  <si>
    <t xml:space="preserve">Automated: FAILED.
Error: A nurse reached /settings/language. Changing the date format changes how every date in the hospital renders, and the route guard is the only control here because hospital_settings has no per-role RLS.
expect(received).toBeTruthy()
Received: false</t>
  </si>
  <si>
    <t xml:space="preserve">Fetch user data error: JSON object requested, multiple (or no) rows returned
Fetch user data error: JSON object requested, multiple (or no) rows returned
Fetch user data error: JSON object requested, multiple (or no) rows returned</t>
  </si>
  <si>
    <t>Changing the date format changes how every date in the hospital renders. The route guard is the only control on this screen, because hospital_settings itself has no per-role RLS.</t>
  </si>
  <si>
    <t>nurse (Hospital A)</t>
  </si>
  <si>
    <t>None — route guard behaviour</t>
  </si>
  <si>
    <t>TC-P2B-014</t>
  </si>
  <si>
    <t>Stored settings are loaded back into the form on open</t>
  </si>
  <si>
    <t>1) Set Time Format to 24-hour and save 2) Navigate away to /settings 3) Return to /settings/language</t>
  </si>
  <si>
    <t>Time Format shows 24-hour on load — the form is populated from hospital_settings, not reset to the defaults.</t>
  </si>
  <si>
    <t>A screen that saves but never reads back looks broken in a subtler way: the administrator sets the value, returns, sees the default, and sets it again — never knowing which one is live.</t>
  </si>
  <si>
    <t>TC-P2B-015</t>
  </si>
  <si>
    <t>A partially stored config merges with the shipped defaults</t>
  </si>
  <si>
    <t>1) Store a language_region value containing only timeFormat 2) Open /settings/language 3) Read every control</t>
  </si>
  <si>
    <t>Time Format shows the stored value while the other five controls show their Indian defaults. No control renders blank or undefined.</t>
  </si>
  <si>
    <t>src/lib/languageRegion.ts DEFAULT_LANGUAGE_REGION merged over a partial stored value</t>
  </si>
  <si>
    <t>A config saved before a new setting shipped will lack that key. Rendering it blank rather than defaulting means a hospital silently loses its currency or timezone on the next release.</t>
  </si>
  <si>
    <t>hospital_settings where hospital_id = A and key = 'language_region' → partial value merges without blanks</t>
  </si>
  <si>
    <t>TC-P2B-016</t>
  </si>
  <si>
    <t>Currency INR renders amounts with the rupee symbol</t>
  </si>
  <si>
    <t>1) Open /settings/language 2) Confirm Currency is ₹ Indian Rupee (INR) 3) Open /settings/wards 4) Read a ward rate</t>
  </si>
  <si>
    <t>Ward rates render as ₹3,500.00 — the rupee symbol, not a bare number and not a dollar sign.</t>
  </si>
  <si>
    <t>MOCK_DATA_BOOK Wards — General Ward ₹1,500/day</t>
  </si>
  <si>
    <t>Billing, Accounts, IPD</t>
  </si>
  <si>
    <t xml:space="preserve">Automated: FAILED.
Error: No rupee symbol rendered on the Wards screen. Currency is chosen here and consumed by formatCurrency() everywhere else — if the two disconnect, a hospital sets INR and still sees unsymbolised numbers on every bill.
expect(received).toBeTruthy()
Received: false</t>
  </si>
  <si>
    <t>Currency is chosen here and consumed by formatCurrency() everywhere else. If the two disconnect, a hospital sets INR and still sees unsymbolised numbers on every bill.</t>
  </si>
  <si>
    <t>hospital_settings language_region value.currency = 'INR', and money renders with ₹</t>
  </si>
  <si>
    <t>TC-P2B-017</t>
  </si>
  <si>
    <t>Number Format Indian renders lakh grouping</t>
  </si>
  <si>
    <t>1) Open /settings/language 2) Confirm Number Format is Indian (1,00,000) 3) Open a screen showing an amount above ₹1,00,000</t>
  </si>
  <si>
    <t>The amount renders as ₹1,25,000 — Indian grouping — not ₹125,000.</t>
  </si>
  <si>
    <t>MOCK_DATA_BOOK Values used across many tests — ₹1,25,000 example</t>
  </si>
  <si>
    <t>MOCK_DATA_BOOK states this explicitly: a screen that renders ₹125,000 instead of ₹1,25,000 is a defect. An Indian accountant reads the comma position, and the wrong one shifts the apparent value by an order of magnitude.</t>
  </si>
  <si>
    <t>hospital_settings language_region value.numberFormat = 'indian', and amounts group as 1,25,000</t>
  </si>
  <si>
    <t>TC-P2B-018</t>
  </si>
  <si>
    <t>Language &amp; region settings survive a reload</t>
  </si>
  <si>
    <t>1) Open /settings/language 2) Set Interface Language to Telugu, Time Format to 24-hour and Currency to INR 3) Click "Save Changes" 4) Hard-reload the page 5) Read every control</t>
  </si>
  <si>
    <t>All three chosen values are still selected after the reload, having been read back from hospital_settings.</t>
  </si>
  <si>
    <t>REGRESSION LOCK for BUG-P2-004. This is the case MOCK_DATA_BOOK names for this screen: every field was enterable and selectable, the toast said saved, and none of it survived a reload. A hospital in Hyderabad could set Telugu and 24-hour time, be told it worked, and find English and 12-hour back the next morning.</t>
  </si>
  <si>
    <t>hospital_settings where hospital_id = A and key = 'language_region' → value.language = 'te', timeFormat = '24', currency = 'INR'</t>
  </si>
  <si>
    <t>TC-P2B-019</t>
  </si>
  <si>
    <t>Interface Language "English" saves and survives a reload</t>
  </si>
  <si>
    <t>1) Open /settings/language 2) Set Interface Language to "English" 3) Click "Save Changes" 4) Reload the page</t>
  </si>
  <si>
    <t>hospital_settings language_region value.language = 'en' and the dropdown still shows "English" after the reload.</t>
  </si>
  <si>
    <t>phase2.dropdowns.interfaceLanguage — "English" (stored as 'en')</t>
  </si>
  <si>
    <t>Every language is tested individually because the visible label and the stored code differ — "English" stores as 'en', so a mapping error affects one language and not the others. This one matters as the default every other language falls back to.</t>
  </si>
  <si>
    <t>hospital_settings where hospital_id = A and key = 'language_region' → value.language = 'en'</t>
  </si>
  <si>
    <t>TC-P2B-020</t>
  </si>
  <si>
    <t>Interface Language "Hindi (हिन्दी)" saves and survives a reload</t>
  </si>
  <si>
    <t>1) Open /settings/language 2) Set Interface Language to "Hindi (हिन्दी)" 3) Click "Save Changes" 4) Reload the page</t>
  </si>
  <si>
    <t>hospital_settings language_region value.language = 'hi' and the dropdown still shows "Hindi (हिन्दी)" after the reload.</t>
  </si>
  <si>
    <t>phase2.dropdowns.interfaceLanguage — "Hindi (हिन्दी)" (stored as 'hi')</t>
  </si>
  <si>
    <t>Every language is tested individually because the visible label and the stored code differ — "Hindi (हिन्दी)" stores as 'hi', so a mapping error affects one language and not the others. This one matters as the largest patient population outside the south.</t>
  </si>
  <si>
    <t>hospital_settings where hospital_id = A and key = 'language_region' → value.language = 'hi'</t>
  </si>
  <si>
    <t>TC-P2B-021</t>
  </si>
  <si>
    <t>Interface Language "Telugu (తెలుగు)" saves and survives a reload</t>
  </si>
  <si>
    <t>1) Open /settings/language 2) Set Interface Language to "Telugu (తెలుగు)" 3) Click "Save Changes" 4) Reload the page</t>
  </si>
  <si>
    <t>hospital_settings language_region value.language = 'te' and the dropdown still shows "Telugu (తెలుగు)" after the reload.</t>
  </si>
  <si>
    <t>phase2.dropdowns.interfaceLanguage — "Telugu (తెలుగు)" (stored as 'te')</t>
  </si>
  <si>
    <t>Every language is tested individually because the visible label and the stored code differ — "Telugu (తెలుగు)" stores as 'te', so a mapping error affects one language and not the others. This one matters as the local language of Hospital A in Hyderabad.</t>
  </si>
  <si>
    <t>hospital_settings where hospital_id = A and key = 'language_region' → value.language = 'te'</t>
  </si>
  <si>
    <t>TC-P2B-022</t>
  </si>
  <si>
    <t>Interface Language "Tamil (தமிழ்)" saves and survives a reload</t>
  </si>
  <si>
    <t>1) Open /settings/language 2) Set Interface Language to "Tamil (தமிழ்)" 3) Click "Save Changes" 4) Reload the page</t>
  </si>
  <si>
    <t>hospital_settings language_region value.language = 'ta' and the dropdown still shows "Tamil (தமிழ்)" after the reload.</t>
  </si>
  <si>
    <t>phase2.dropdowns.interfaceLanguage — "Tamil (தமிழ்)" (stored as 'ta')</t>
  </si>
  <si>
    <t>Every language is tested individually because the visible label and the stored code differ — "Tamil (தமிழ்)" stores as 'ta', so a mapping error affects one language and not the others. This one matters as Tamil Nadu, where MLC reporting differs from Maharashtra.</t>
  </si>
  <si>
    <t>hospital_settings where hospital_id = A and key = 'language_region' → value.language = 'ta'</t>
  </si>
  <si>
    <t>TC-P2B-023</t>
  </si>
  <si>
    <t>Interface Language "Kannada (ಕನ್ನಡ)" saves and survives a reload</t>
  </si>
  <si>
    <t>1) Open /settings/language 2) Set Interface Language to "Kannada (ಕನ್ನಡ)" 3) Click "Save Changes" 4) Reload the page</t>
  </si>
  <si>
    <t>hospital_settings language_region value.language = 'kn' and the dropdown still shows "Kannada (ಕನ್ನಡ)" after the reload.</t>
  </si>
  <si>
    <t>phase2.dropdowns.interfaceLanguage — "Kannada (ಕನ್ನಡ)" (stored as 'kn')</t>
  </si>
  <si>
    <t>Every language is tested individually because the visible label and the stored code differ — "Kannada (ಕನ್ನಡ)" stores as 'kn', so a mapping error affects one language and not the others. This one matters as Karnataka, where the Arogya scheme applies.</t>
  </si>
  <si>
    <t>hospital_settings where hospital_id = A and key = 'language_region' → value.language = 'kn'</t>
  </si>
  <si>
    <t>TC-P2B-024</t>
  </si>
  <si>
    <t>Interface Language "Malayalam (മലയാളം)" saves and survives a reload</t>
  </si>
  <si>
    <t>1) Open /settings/language 2) Set Interface Language to "Malayalam (മലയാളം)" 3) Click "Save Changes" 4) Reload the page</t>
  </si>
  <si>
    <t>hospital_settings language_region value.language = 'ml' and the dropdown still shows "Malayalam (മലയാളം)" after the reload.</t>
  </si>
  <si>
    <t>phase2.dropdowns.interfaceLanguage — "Malayalam (മലയാളം)" (stored as 'ml')</t>
  </si>
  <si>
    <t>Every language is tested individually because the visible label and the stored code differ — "Malayalam (മലയാളം)" stores as 'ml', so a mapping error affects one language and not the others. This one matters as Kerala, with the highest health literacy expectations.</t>
  </si>
  <si>
    <t>hospital_settings where hospital_id = A and key = 'language_region' → value.language = 'ml'</t>
  </si>
  <si>
    <t>TC-P2B-025</t>
  </si>
  <si>
    <t>Interface Language "Marathi (मराठी)" saves and survives a reload</t>
  </si>
  <si>
    <t>1) Open /settings/language 2) Set Interface Language to "Marathi (मराठी)" 3) Click "Save Changes" 4) Reload the page</t>
  </si>
  <si>
    <t>hospital_settings language_region value.language = 'mr' and the dropdown still shows "Marathi (मराठी)" after the reload.</t>
  </si>
  <si>
    <t>phase2.dropdowns.interfaceLanguage — "Marathi (मराठी)" (stored as 'mr')</t>
  </si>
  <si>
    <t>Every language is tested individually because the visible label and the stored code differ — "Marathi (मराठी)" stores as 'mr', so a mapping error affects one language and not the others. This one matters as Maharashtra, the state Hospital B operates in.</t>
  </si>
  <si>
    <t>hospital_settings where hospital_id = A and key = 'language_region' → value.language = 'mr'</t>
  </si>
  <si>
    <t>TC-P2B-026</t>
  </si>
  <si>
    <t>Date Format "DD/MM/YYYY" saves and survives a reload</t>
  </si>
  <si>
    <t>1) Open /settings/language 2) Select Date Format "DD/MM/YYYY" 3) Click "Save Changes" 4) Reload the page</t>
  </si>
  <si>
    <t>hospital_settings language_region value.dateFormat = 'DD/MM/YYYY' and the radio is still selected after the reload.</t>
  </si>
  <si>
    <t>phase2.dropdowns.dateFormat — "DD/MM/YYYY"</t>
  </si>
  <si>
    <t>DD/MM/YYYY is the Indian convention and the product default. If it will not save, a hospital that switched away can never switch back, and every date on every document stays ambiguous.</t>
  </si>
  <si>
    <t>hospital_settings where hospital_id = A and key = 'language_region' → value.dateFormat = 'DD/MM/YYYY'</t>
  </si>
  <si>
    <t>TC-P2B-027</t>
  </si>
  <si>
    <t>Date Format "MM/DD/YYYY" saves and survives a reload</t>
  </si>
  <si>
    <t>1) Open /settings/language 2) Select Date Format "MM/DD/YYYY" 3) Click "Save Changes" 4) Reload the page</t>
  </si>
  <si>
    <t>hospital_settings language_region value.dateFormat = 'MM/DD/YYYY' and the radio is still selected after the reload.</t>
  </si>
  <si>
    <t>phase2.dropdowns.dateFormat — "MM/DD/YYYY"</t>
  </si>
  <si>
    <t>Each format is stored as a distinct string, so one can fail to persist while the others work. "MM/DD/YYYY" must round-trip exactly as chosen.</t>
  </si>
  <si>
    <t>hospital_settings where hospital_id = A and key = 'language_region' → value.dateFormat = 'MM/DD/YYYY'</t>
  </si>
  <si>
    <t>TC-P2B-028</t>
  </si>
  <si>
    <t>Date Format "YYYY-MM-DD" saves and survives a reload</t>
  </si>
  <si>
    <t>1) Open /settings/language 2) Select Date Format "YYYY-MM-DD" 3) Click "Save Changes" 4) Reload the page</t>
  </si>
  <si>
    <t>hospital_settings language_region value.dateFormat = 'YYYY-MM-DD' and the radio is still selected after the reload.</t>
  </si>
  <si>
    <t>phase2.dropdowns.dateFormat — "YYYY-MM-DD"</t>
  </si>
  <si>
    <t>Each format is stored as a distinct string, so one can fail to persist while the others work. "YYYY-MM-DD" must round-trip exactly as chosen.</t>
  </si>
  <si>
    <t>hospital_settings where hospital_id = A and key = 'language_region' → value.dateFormat = 'YYYY-MM-DD'</t>
  </si>
  <si>
    <t>TC-P2B-029</t>
  </si>
  <si>
    <t>Time Format "12-hour (2:30 PM)" saves and survives a reload</t>
  </si>
  <si>
    <t>1) Open /settings/language 2) Select Time Format "12-hour (2:30 PM)" 3) Click "Save Changes" 4) Reload the page</t>
  </si>
  <si>
    <t>hospital_settings language_region value.timeFormat = '12' and the radio is still selected after the reload.</t>
  </si>
  <si>
    <t>phase2.dropdowns.timeFormat — "12" shown as "12-hour (2:30 PM)"</t>
  </si>
  <si>
    <t>Medication administration times and OT slots are recorded against the clock. A time format that does not persist leaves the medication chart ambiguous between 2:30 and 14:30, which is a dosing-time error.</t>
  </si>
  <si>
    <t>hospital_settings where hospital_id = A and key = 'language_region' → value.timeFormat = '12'</t>
  </si>
  <si>
    <t>TC-P2B-030</t>
  </si>
  <si>
    <t>Time Format "24-hour (14:30)" saves and survives a reload</t>
  </si>
  <si>
    <t>1) Open /settings/language 2) Select Time Format "24-hour (14:30)" 3) Click "Save Changes" 4) Reload the page</t>
  </si>
  <si>
    <t>hospital_settings language_region value.timeFormat = '24' and the radio is still selected after the reload.</t>
  </si>
  <si>
    <t>phase2.dropdowns.timeFormat — "24" shown as "24-hour (14:30)"</t>
  </si>
  <si>
    <t>TC-P2B-031</t>
  </si>
  <si>
    <t>Currency "₹ Indian Rupee (INR)" saves and survives a reload</t>
  </si>
  <si>
    <t>1) Open /settings/language 2) Set Currency to "₹ Indian Rupee (INR)" 3) Click "Save Changes" 4) Reload the page</t>
  </si>
  <si>
    <t>hospital_settings language_region value.currency = 'INR' and the dropdown still shows "₹ Indian Rupee (INR)" after the reload.</t>
  </si>
  <si>
    <t>phase2.dropdowns.currency — "INR" shown as "₹ Indian Rupee (INR)"</t>
  </si>
  <si>
    <t>INR is the default and the only currency an Indian hospital bills in. If it will not persist, every amount in the product risks rendering without the rupee symbol.</t>
  </si>
  <si>
    <t>hospital_settings where hospital_id = A and key = 'language_region' → value.currency = 'INR'</t>
  </si>
  <si>
    <t>TC-P2B-032</t>
  </si>
  <si>
    <t>Currency "AED (UAE)" saves and survives a reload</t>
  </si>
  <si>
    <t>1) Open /settings/language 2) Set Currency to "AED (UAE)" 3) Click "Save Changes" 4) Reload the page</t>
  </si>
  <si>
    <t>hospital_settings language_region value.currency = 'AED' and the dropdown still shows "AED (UAE)" after the reload.</t>
  </si>
  <si>
    <t>phase2.dropdowns.currency — "AED" shown as "AED (UAE)"</t>
  </si>
  <si>
    <t>Each currency is a distinct stored code. "AED" is offered by the dropdown, so it must round-trip — an offered option that does not save leaves the hospital on a currency it did not pick.</t>
  </si>
  <si>
    <t>hospital_settings where hospital_id = A and key = 'language_region' → value.currency = 'AED'</t>
  </si>
  <si>
    <t>TC-P2B-033</t>
  </si>
  <si>
    <t>Currency "USD" saves and survives a reload</t>
  </si>
  <si>
    <t>1) Open /settings/language 2) Set Currency to "USD" 3) Click "Save Changes" 4) Reload the page</t>
  </si>
  <si>
    <t>hospital_settings language_region value.currency = 'USD' and the dropdown still shows "USD" after the reload.</t>
  </si>
  <si>
    <t>phase2.dropdowns.currency — "USD" shown as "USD"</t>
  </si>
  <si>
    <t>Each currency is a distinct stored code. "USD" is offered by the dropdown, so it must round-trip — an offered option that does not save leaves the hospital on a currency it did not pick.</t>
  </si>
  <si>
    <t>hospital_settings where hospital_id = A and key = 'language_region' → value.currency = 'USD'</t>
  </si>
  <si>
    <t>TC-P2B-034</t>
  </si>
  <si>
    <t>Currency "GBP" saves and survives a reload</t>
  </si>
  <si>
    <t>1) Open /settings/language 2) Set Currency to "GBP" 3) Click "Save Changes" 4) Reload the page</t>
  </si>
  <si>
    <t>hospital_settings language_region value.currency = 'GBP' and the dropdown still shows "GBP" after the reload.</t>
  </si>
  <si>
    <t>phase2.dropdowns.currency — "GBP" shown as "GBP"</t>
  </si>
  <si>
    <t>Each currency is a distinct stored code. "GBP" is offered by the dropdown, so it must round-trip — an offered option that does not save leaves the hospital on a currency it did not pick.</t>
  </si>
  <si>
    <t>hospital_settings where hospital_id = A and key = 'language_region' → value.currency = 'GBP'</t>
  </si>
  <si>
    <t>TC-P2B-035</t>
  </si>
  <si>
    <t>Timezone "Asia/Kolkata (IST)" saves and survives a reload</t>
  </si>
  <si>
    <t>1) Open /settings/language 2) Set Timezone to "Asia/Kolkata (IST)" 3) Click "Save Changes" 4) Reload the page</t>
  </si>
  <si>
    <t>hospital_settings language_region value.timezone = 'Asia/Kolkata' and the dropdown still shows "Asia/Kolkata (IST)" after the reload.</t>
  </si>
  <si>
    <t>phase2.dropdowns.timezone — "Asia/Kolkata" shown as "Asia/Kolkata (IST)"</t>
  </si>
  <si>
    <t>IPD, Nursing, Lab, Analytics, Day Closure</t>
  </si>
  <si>
    <t>IST decides when the day closes and which date a midnight admission belongs to. A wrong or unsaved zone moves the day-closure boundary and misstates daily collections.</t>
  </si>
  <si>
    <t>hospital_settings where hospital_id = A and key = 'language_region' → value.timezone = 'Asia/Kolkata'</t>
  </si>
  <si>
    <t>TC-P2B-036</t>
  </si>
  <si>
    <t>Timezone "Asia/Dubai (GST)" saves and survives a reload</t>
  </si>
  <si>
    <t>1) Open /settings/language 2) Set Timezone to "Asia/Dubai (GST)" 3) Click "Save Changes" 4) Reload the page</t>
  </si>
  <si>
    <t>hospital_settings language_region value.timezone = 'Asia/Dubai' and the dropdown still shows "Asia/Dubai (GST)" after the reload.</t>
  </si>
  <si>
    <t>phase2.dropdowns.timezone — "Asia/Dubai" shown as "Asia/Dubai (GST)"</t>
  </si>
  <si>
    <t>Each zone is stored verbatim as an IANA identifier. "Asia/Dubai" must round-trip exactly, because a mangled identifier makes every timestamp calculation fall back to the server zone silently.</t>
  </si>
  <si>
    <t>hospital_settings where hospital_id = A and key = 'language_region' → value.timezone = 'Asia/Dubai'</t>
  </si>
  <si>
    <t>TC-P2B-037</t>
  </si>
  <si>
    <t>Timezone "America/New_York (EST)" saves and survives a reload</t>
  </si>
  <si>
    <t>1) Open /settings/language 2) Set Timezone to "America/New_York (EST)" 3) Click "Save Changes" 4) Reload the page</t>
  </si>
  <si>
    <t>hospital_settings language_region value.timezone = 'America/New_York' and the dropdown still shows "America/New_York (EST)" after the reload.</t>
  </si>
  <si>
    <t>phase2.dropdowns.timezone — "America/New_York" shown as "America/New_York (EST)"</t>
  </si>
  <si>
    <t>Each zone is stored verbatim as an IANA identifier. "America/New_York" must round-trip exactly, because a mangled identifier makes every timestamp calculation fall back to the server zone silently.</t>
  </si>
  <si>
    <t>hospital_settings where hospital_id = A and key = 'language_region' → value.timezone = 'America/New_York'</t>
  </si>
  <si>
    <t>TC-P2B-038</t>
  </si>
  <si>
    <t>Timezone "Europe/London (GMT)" saves and survives a reload</t>
  </si>
  <si>
    <t>1) Open /settings/language 2) Set Timezone to "Europe/London (GMT)" 3) Click "Save Changes" 4) Reload the page</t>
  </si>
  <si>
    <t>hospital_settings language_region value.timezone = 'Europe/London' and the dropdown still shows "Europe/London (GMT)" after the reload.</t>
  </si>
  <si>
    <t>phase2.dropdowns.timezone — "Europe/London" shown as "Europe/London (GMT)"</t>
  </si>
  <si>
    <t>Each zone is stored verbatim as an IANA identifier. "Europe/London" must round-trip exactly, because a mangled identifier makes every timestamp calculation fall back to the server zone silently.</t>
  </si>
  <si>
    <t>hospital_settings where hospital_id = A and key = 'language_region' → value.timezone = 'Europe/London'</t>
  </si>
  <si>
    <t>TC-P2B-039</t>
  </si>
  <si>
    <t>Number Format "Indian (1,00,000)" saves and survives a reload</t>
  </si>
  <si>
    <t>1) Open /settings/language 2) Select Number Format "Indian (1,00,000)" 3) Click "Save Changes" 4) Reload the page</t>
  </si>
  <si>
    <t>hospital_settings language_region value.numberFormat = 'indian' and the radio is still selected after the reload.</t>
  </si>
  <si>
    <t>phase2.dropdowns.numberFormat — "indian" shown as "Indian (1,00,000)"</t>
  </si>
  <si>
    <t>Indian grouping is the default and what an Indian accountant reads. ₹250,000 instead of ₹2,50,000 invites a misread by a factor of ten on a bill a patient is about to pay.</t>
  </si>
  <si>
    <t>hospital_settings where hospital_id = A and key = 'language_region' → value.numberFormat = 'indian'</t>
  </si>
  <si>
    <t>TC-P2B-040</t>
  </si>
  <si>
    <t>Number Format "International (100,000)" saves and survives a reload</t>
  </si>
  <si>
    <t>1) Open /settings/language 2) Select Number Format "International (100,000)" 3) Click "Save Changes" 4) Reload the page</t>
  </si>
  <si>
    <t>hospital_settings language_region value.numberFormat = 'international' and the radio is still selected after the reload.</t>
  </si>
  <si>
    <t>phase2.dropdowns.numberFormat — "international" shown as "International (100,000)"</t>
  </si>
  <si>
    <t>The international option exists for the AED and USD deployments. If it does not persist, those hospitals see lakh grouping on currencies that never use it.</t>
  </si>
  <si>
    <t>hospital_settings where hospital_id = A and key = 'language_region' → value.numberFormat = 'international'</t>
  </si>
  <si>
    <t>TC-P2B-041</t>
  </si>
  <si>
    <t>Hospital Profile loads with the registered hospital details</t>
  </si>
  <si>
    <t>1) Log in as hospital_admin (Hospital A) 2) Open /settings/profile 3) Read the form</t>
  </si>
  <si>
    <t>Hospital Name reads "Aarogya Multispecialty Hospital", State reads Telangana, and the address and pincode from registration are populated. No red console errors.</t>
  </si>
  <si>
    <t>MOCK_DATA_BOOK Hospital A — registration block</t>
  </si>
  <si>
    <t>Billing, MRD, all printed documents</t>
  </si>
  <si>
    <t>Tier 0: hospital created via /register or the onboarding wizard</t>
  </si>
  <si>
    <t xml:space="preserve">Automated: FAILED.
Error: expect(received).toBe(expected) // Object.is equality
Expected: "Aarogya Multispecialty Hospital"
Received: ""</t>
  </si>
  <si>
    <t>This is Tier 0 row 1. The name, address and GSTIN here print on every bill, prescription and discharge summary the hospital ever issues.</t>
  </si>
  <si>
    <t>hospitals where name = 'Aarogya Multispecialty Hospital' → state = 'Telangana'</t>
  </si>
  <si>
    <t>e2e/phase-02-settings/P2B.identity.profile.spec.ts</t>
  </si>
  <si>
    <t>TC-P2B-042</t>
  </si>
  <si>
    <t>The hospital name cannot be cleared</t>
  </si>
  <si>
    <t>1) Open /settings/profile 2) Clear the Hospital Name field 3) Click "Save Changes"</t>
  </si>
  <si>
    <t>The save is refused, or the name is left unchanged. hospitals.name is never blank.</t>
  </si>
  <si>
    <t>None — deliberately clears the required Hospital Name</t>
  </si>
  <si>
    <t xml:space="preserve">Automated: FAILED.
Error: Hospital A ("Aarogya Multispecialty Hospital") does not exist. Run: node scripts/qa-seed.mjs</t>
  </si>
  <si>
    <t>A blank hospital name prints as an empty letterhead on every document, including medico-legal ones. It also breaks the QA seed guard, which recognises its own tenants by name prefix.</t>
  </si>
  <si>
    <t>hospitals where id = A → name is not null and name &lt;&gt; ''</t>
  </si>
  <si>
    <t>TC-P2B-043</t>
  </si>
  <si>
    <t>A valid GSTIN saves and is stored upper-cased</t>
  </si>
  <si>
    <t>1) Open /settings/profile 2) Enter GSTIN "36aaact2727q1zw" in lower case 3) Click "Save Changes"</t>
  </si>
  <si>
    <t>hospitals.gstin stores 36AAACT2727Q1ZW in capitals.</t>
  </si>
  <si>
    <t>phase2.entry./settings/profile — gstin 36AAACT2727Q1ZW</t>
  </si>
  <si>
    <t>Billing, GST, Accounts</t>
  </si>
  <si>
    <t>Setting a GSTIN turns ON the HSN hard-block at bill finalisation. A lower-case GSTIN fails validation at the NIC IRP and every e-invoice is rejected.</t>
  </si>
  <si>
    <t>hospitals where id = A → gstin = '36AAACT2727Q1ZW'</t>
  </si>
  <si>
    <t>TC-P2B-044</t>
  </si>
  <si>
    <t>A 14-character GSTIN is rejected</t>
  </si>
  <si>
    <t>1) Open /settings/profile 2) Enter GSTIN "36AAAAA0000A1Z" (14 characters) 3) Click "Save Changes"</t>
  </si>
  <si>
    <t>An error names the expected format and hospitals.gstin is not changed to the invalid value.</t>
  </si>
  <si>
    <t>phase2.invalid.gstinTooShort (36AAAAA0000A1Z)</t>
  </si>
  <si>
    <t>Billing, GST</t>
  </si>
  <si>
    <t>A GSTIN is exactly 15 characters. A short one is accepted by nothing downstream — every e-invoice request to the NIC IRP fails, and the hospital cannot raise a compliant invoice at all.</t>
  </si>
  <si>
    <t>hospitals where id = A → gstin &lt;&gt; '36AAAAA0000A1Z'</t>
  </si>
  <si>
    <t>TC-P2B-045</t>
  </si>
  <si>
    <t>A GSTIN with a malformed check structure is rejected</t>
  </si>
  <si>
    <t>1) Open /settings/profile 2) Enter GSTIN "36AAACT2727Q1ZX" 3) Click "Save Changes"</t>
  </si>
  <si>
    <t>The value is validated against the full GSTIN pattern before it is written. Anything that does not match the 15-character structure is refused.</t>
  </si>
  <si>
    <t>phase2.invalid.gstinBadCheckDigit (36AAACT2727Q1ZX)</t>
  </si>
  <si>
    <t>A format-valid but structurally wrong GSTIN is the worst case — it passes a naive length check, saves, turns on the HSN hard-block, and then fails at the IRP on the first real invoice, when there is a patient waiting at the counter.</t>
  </si>
  <si>
    <t>hospitals where id = A → gstin matches the 15-character GSTIN pattern or is unchanged</t>
  </si>
  <si>
    <t>TC-P2B-046</t>
  </si>
  <si>
    <t>A blank GSTIN is allowed and stored as null</t>
  </si>
  <si>
    <t>1) Open /settings/profile 2) Clear the GSTIN field 3) Click "Save Changes"</t>
  </si>
  <si>
    <t>The save succeeds and hospitals.gstin is null — not an empty string.</t>
  </si>
  <si>
    <t>None — deliberately clears the optional GSTIN</t>
  </si>
  <si>
    <t>Small clinics below the GST threshold have no GSTIN. Forcing one would make them invent a value; storing an empty string instead of null would switch on the HSN hard-block for a hospital that is not registered for GST at all.</t>
  </si>
  <si>
    <t>hospitals where id = A → gstin is null</t>
  </si>
  <si>
    <t>TC-P2B-047</t>
  </si>
  <si>
    <t>The GSTIN error message states the expected format</t>
  </si>
  <si>
    <t>1) Open /settings/profile 2) Enter GSTIN "36AAAAA0000A1Z" 3) Click "Save Changes" 4) Read the error</t>
  </si>
  <si>
    <t>The message shows an example of the expected format, e.g. 22AAAAA0000A1Z5.</t>
  </si>
  <si>
    <t>A bare "invalid GSTIN" leaves an administrator retyping the same wrong value. Showing the shape is what lets them spot the missing character themselves.</t>
  </si>
  <si>
    <t>None — reads the validation message</t>
  </si>
  <si>
    <t>TC-P2B-048</t>
  </si>
  <si>
    <t>A valid 6-digit pincode saves</t>
  </si>
  <si>
    <t>1) Open /settings/profile 2) Enter Pincode 500032 3) Click "Save Changes"</t>
  </si>
  <si>
    <t>hospitals.pincode = 500032.</t>
  </si>
  <si>
    <t>phase2.entry./settings/profile — pincode 500032</t>
  </si>
  <si>
    <t>Billing, GST, MRD</t>
  </si>
  <si>
    <t>The pincode prints on the letterhead and is part of the place-of-supply determination for GST. A wrong one puts the wrong address on every invoice.</t>
  </si>
  <si>
    <t>hospitals where id = A → pincode = '500032'</t>
  </si>
  <si>
    <t>TC-P2B-049</t>
  </si>
  <si>
    <t>A 5-digit pincode is rejected</t>
  </si>
  <si>
    <t>1) Open /settings/profile 2) Enter Pincode "50003" (5 digits) 3) Click "Save Changes" 4) Reload and re-read the field</t>
  </si>
  <si>
    <t>The save is refused with a message naming the 6-digit requirement, and hospitals.pincode is not set to 50003.</t>
  </si>
  <si>
    <t>phase2.invalid.pincodeTooShort (50003)</t>
  </si>
  <si>
    <t>Indian pincodes are exactly 6 digits. GSTIN is validated on this screen but the pincode is written straight through with no check, so a truncated pincode reaches the letterhead and the GST place-of-supply logic unchallenged.</t>
  </si>
  <si>
    <t>hospitals where id = A → pincode &lt;&gt; '50003'</t>
  </si>
  <si>
    <t>TC-P2B-050</t>
  </si>
  <si>
    <t>A 7-digit pincode is rejected</t>
  </si>
  <si>
    <t>1) Open /settings/profile 2) Enter Pincode "5000321" (7 digits) 3) Click "Save Changes" 4) Reload and re-read the field</t>
  </si>
  <si>
    <t>The save is refused and hospitals.pincode is not set to 5000321.</t>
  </si>
  <si>
    <t>phase2.invalid.pincodeTooLong (5000321)</t>
  </si>
  <si>
    <t>Both sides of the 6-digit boundary have to be tested. A rule that only catches short values lets a mistyped extra digit through onto every printed document.</t>
  </si>
  <si>
    <t>hospitals where id = A → pincode &lt;&gt; '5000321'</t>
  </si>
  <si>
    <t>TC-P2B-051</t>
  </si>
  <si>
    <t>A non-numeric pincode is rejected</t>
  </si>
  <si>
    <t>1) Open /settings/profile 2) Enter Pincode "5000AB" 3) Click "Save Changes"</t>
  </si>
  <si>
    <t>The save is refused and the letters are not stored.</t>
  </si>
  <si>
    <t>Literal pincode 5000AB</t>
  </si>
  <si>
    <t>A pincode with letters breaks any downstream integration that parses it as a number, including courier and government portal submissions.</t>
  </si>
  <si>
    <t>hospitals where id = A → pincode matches ^[0-9]{6}$ or is unchanged</t>
  </si>
  <si>
    <t>TC-P2B-052</t>
  </si>
  <si>
    <t>The hospital address saves</t>
  </si>
  <si>
    <t>1) Open /settings/profile 2) Enter Address "Plot 42, Road No. 12, Banjara Hills" 3) Click "Save Changes" 4) Reload</t>
  </si>
  <si>
    <t>hospitals.address holds the full address after the reload, commas intact.</t>
  </si>
  <si>
    <t>MOCK_DATA_BOOK Hospital A — Address 1 Plot 42, Road No. 12, Banjara Hills</t>
  </si>
  <si>
    <t>The address prints on every invoice and discharge summary. Commas in Indian addresses are routine, so a field that mangles them corrupts the letterhead.</t>
  </si>
  <si>
    <t>hospitals where id = A → address contains 'Banjara Hills'</t>
  </si>
  <si>
    <t>TC-P2B-053</t>
  </si>
  <si>
    <t>The state saves and matches the GSTIN state code</t>
  </si>
  <si>
    <t>1) Open /settings/profile 2) Confirm State is Telangana 3) Confirm GSTIN begins with 36 4) Click "Save Changes"</t>
  </si>
  <si>
    <t>hospitals.state = Telangana and hospitals.gstin starts with 36 — the Telangana GST state code.</t>
  </si>
  <si>
    <t>MOCK_DATA_BOOK Hospital A — Telangana, GSTIN 36AABCA1234F1Z5</t>
  </si>
  <si>
    <t>MOCK_DATA_BOOK sets the state codes deliberately — 36 Telangana, 27 Maharashtra — so a wrong place-of-supply is detectable. A state that disagrees with the GSTIN prefix produces CGST/SGST where IGST is due, and the return has to be amended.</t>
  </si>
  <si>
    <t>hospitals where id = A → state = 'Telangana' and gstin like '36%'</t>
  </si>
  <si>
    <t>TC-P2B-054</t>
  </si>
  <si>
    <t>The NABH accreditation number saves</t>
  </si>
  <si>
    <t>1) Open /settings/profile 2) Enter NABH Number "NABH-QA-A-2027" 3) Click "Save Changes" 4) Reload</t>
  </si>
  <si>
    <t>hospitals.nabh_number = NABH-QA-A-2027 after the reload.</t>
  </si>
  <si>
    <t>phase2.entry./settings/profile — nabhNumber NABH-QA-A-2027</t>
  </si>
  <si>
    <t>Quality, NABH, MRD</t>
  </si>
  <si>
    <t>The NABH number appears on accreditation evidence and on documents an assessor inspects. A hospital that cannot record it cannot demonstrate its own accreditation status.</t>
  </si>
  <si>
    <t>hospitals where id = A → nabh_number = 'NABH-QA-A-2027'</t>
  </si>
  <si>
    <t>TC-P2B-055</t>
  </si>
  <si>
    <t>The NABL accreditation number saves</t>
  </si>
  <si>
    <t>1) Open /settings/profile 2) Enter an NABL Accreditation No. 3) Click "Save Changes" 4) Reload</t>
  </si>
  <si>
    <t>hospitals.nabl_accreditation_number persists after the reload.</t>
  </si>
  <si>
    <t>Literal NABL number MC-2027-QA</t>
  </si>
  <si>
    <t>Lab, Quality</t>
  </si>
  <si>
    <t>NABL accreditation is what lets a lab report be accepted by insurers and courts. The number prints on the report footer.</t>
  </si>
  <si>
    <t>hospitals where id = A → nabl_accreditation_number is not null</t>
  </si>
  <si>
    <t>TC-P2B-056</t>
  </si>
  <si>
    <t>The NABL validity date saves and displays as DD/MM/YYYY</t>
  </si>
  <si>
    <t>1) Open /settings/profile 2) Set NABL Valid Up To to 31/12/2027 3) Click "Save Changes" 4) Reload and read the field</t>
  </si>
  <si>
    <t>The date persists and renders as 31/12/2027 in en-IN, not 12/31/2027.</t>
  </si>
  <si>
    <t>Literal NABL validity 31/12/2027</t>
  </si>
  <si>
    <t>An expired NABL accreditation invalidates lab reports. A date rendered in US order makes an expiry look eleven months away when it is not.</t>
  </si>
  <si>
    <t>hospitals where id = A → nabl_valid_upto = 2027-12-31</t>
  </si>
  <si>
    <t>TC-P2B-057</t>
  </si>
  <si>
    <t>The drug licence number saves</t>
  </si>
  <si>
    <t>1) Open /settings/profile 2) Enter Drug License No. "20B/21B-QA-0001" 3) Click "Save Changes" 4) Reload</t>
  </si>
  <si>
    <t>hospitals.drug_license_number persists after the reload.</t>
  </si>
  <si>
    <t>Literal drug licence 20B/21B-QA-0001</t>
  </si>
  <si>
    <t>Pharmacy, NDPS, Quality</t>
  </si>
  <si>
    <t>A pharmacy cannot legally dispense without a Form 20B/21B licence, and the number prints on the dispensing register a drug inspector asks to see.</t>
  </si>
  <si>
    <t>hospitals where id = A → drug_license_number is not null</t>
  </si>
  <si>
    <t>TC-P2B-058</t>
  </si>
  <si>
    <t>The drug licence validity date saves</t>
  </si>
  <si>
    <t>1) Open /settings/profile 2) Set Drug License Valid Up To to 31/03/2028 3) Click "Save Changes" 4) Reload</t>
  </si>
  <si>
    <t>hospitals.drug_license_valid_upto persists and renders as 31/03/2028.</t>
  </si>
  <si>
    <t>Literal drug licence validity 31/03/2028</t>
  </si>
  <si>
    <t>Pharmacy, NDPS</t>
  </si>
  <si>
    <t>Dispensing on an expired licence is a prosecutable offence. The system has to hold the expiry date before it can warn anyone about it.</t>
  </si>
  <si>
    <t>hospitals where id = A → drug_license_valid_upto = 2028-03-31</t>
  </si>
  <si>
    <t>TC-P2B-059</t>
  </si>
  <si>
    <t>The 80G registration number saves</t>
  </si>
  <si>
    <t>1) Open /settings/profile 2) Enter an 80G Registration No. 3) Click "Save Changes" 4) Reload</t>
  </si>
  <si>
    <t>hospitals.registration_80g persists after the reload.</t>
  </si>
  <si>
    <t>Literal 80G registration AAATH1234QF20213</t>
  </si>
  <si>
    <t>Accounts, Billing</t>
  </si>
  <si>
    <t>Charitable hospitals issue 80G receipts so donors can claim tax relief. Without the registration number on the receipt the deduction is disallowed.</t>
  </si>
  <si>
    <t>hospitals where id = A → registration_80g is not null</t>
  </si>
  <si>
    <t>TC-P2B-060</t>
  </si>
  <si>
    <t>The trust PAN saves</t>
  </si>
  <si>
    <t>1) Open /settings/profile 2) Enter Trust PAN "AAATH1234Q" 3) Click "Save Changes" 4) Reload</t>
  </si>
  <si>
    <t>hospitals.trust_pan = AAATH1234Q after the reload.</t>
  </si>
  <si>
    <t>Literal trust PAN AAATH1234Q</t>
  </si>
  <si>
    <t>The trust PAN is required on every 80G receipt alongside the registration number. One without the other makes the receipt unusable.</t>
  </si>
  <si>
    <t>hospitals where id = A → trust_pan = 'AAATH1234Q'</t>
  </si>
  <si>
    <t>TC-P2B-061</t>
  </si>
  <si>
    <t>The UHID prefix is upper-cased as it is typed</t>
  </si>
  <si>
    <t>1) Open /settings/profile 2) Type "bh" in lower case into UHID Prefix 3) Observe the field 4) Click "Save Changes"</t>
  </si>
  <si>
    <t>The field shows BH and hospitals.uhid_prefix stores BH.</t>
  </si>
  <si>
    <t>Literal UHID prefix entered as lower-case bh</t>
  </si>
  <si>
    <t>Patients, MRD, OPD</t>
  </si>
  <si>
    <t>The UHID is the patient identifier printed on every card and wristband. Mixed case makes two visually identical UHIDs that do not match on lookup.</t>
  </si>
  <si>
    <t>hospitals where id = A → uhid_prefix = 'BH'</t>
  </si>
  <si>
    <t>TC-P2B-062</t>
  </si>
  <si>
    <t>The UHID prefix strips characters that are not letters or digits</t>
  </si>
  <si>
    <t>1) Open /settings/profile 2) Type "B-H 1!" into UHID Prefix 3) Observe the field</t>
  </si>
  <si>
    <t>The field keeps only BH1 — hyphens, spaces and punctuation are removed as typed.</t>
  </si>
  <si>
    <t>Literal UHID prefix entered as B-H 1!</t>
  </si>
  <si>
    <t>Patients, MRD</t>
  </si>
  <si>
    <t>The UHID is assembled as prefix-date-serial. A prefix containing its own hyphen or a space produces an identifier that cannot be parsed back apart, and barcode scanners reject the space.</t>
  </si>
  <si>
    <t>hospitals where id = A → uhid_prefix matches ^[A-Z0-9]+$</t>
  </si>
  <si>
    <t>TC-P2B-063</t>
  </si>
  <si>
    <t>A blank UHID prefix falls back to the UHID default</t>
  </si>
  <si>
    <t>1) Open /settings/profile 2) Clear the UHID Prefix field 3) Click "Save Changes" 4) Reload</t>
  </si>
  <si>
    <t>hospitals.uhid_prefix = UHID — the documented fallback, not an empty string.</t>
  </si>
  <si>
    <t>None — deliberately clears the UHID Prefix</t>
  </si>
  <si>
    <t>An empty prefix produces UHIDs that begin with a hyphen. Falling back to a real default keeps every issued identifier well-formed even when nobody configured one.</t>
  </si>
  <si>
    <t>hospitals where id = A → uhid_prefix = 'UHID'</t>
  </si>
  <si>
    <t>TC-P2B-064</t>
  </si>
  <si>
    <t>UHID date format "YYYYMMDD" (full date) saves and drives the preview</t>
  </si>
  <si>
    <t>1) Open /settings/profile 2) Set Date in UHID to "YYYYMMDD" 3) Read the preview beside the option 4) Click "Save Changes" 5) Reload</t>
  </si>
  <si>
    <t>hospitals.uhid_date_format = 'YYYYMMDD' after the reload, and the option preview shows the shape BH-20260606-0001.</t>
  </si>
  <si>
    <t>phase2.dropdowns.uhidDateFormat — "YYYYMMDD"</t>
  </si>
  <si>
    <t>This changes the shape of every new patient UHID from the moment it saves. Each of the three values is tested because a hospital that switches format and finds the old shape still being issued ends up with two incompatible identifier series in one register.</t>
  </si>
  <si>
    <t>hospitals where id = A → uhid_date_format = 'YYYYMMDD'</t>
  </si>
  <si>
    <t>TC-P2B-065</t>
  </si>
  <si>
    <t>UHID date format "YYYY" (year only) saves and drives the preview</t>
  </si>
  <si>
    <t>1) Open /settings/profile 2) Set Date in UHID to "YYYY" 3) Read the preview beside the option 4) Click "Save Changes" 5) Reload</t>
  </si>
  <si>
    <t>hospitals.uhid_date_format = 'YYYY' after the reload, and the option preview shows the shape BH-2026-0001.</t>
  </si>
  <si>
    <t>phase2.dropdowns.uhidDateFormat — "YYYY"</t>
  </si>
  <si>
    <t>hospitals where id = A → uhid_date_format = 'YYYY'</t>
  </si>
  <si>
    <t>TC-P2B-066</t>
  </si>
  <si>
    <t>UHID date format "NONE" (no date) saves and drives the preview</t>
  </si>
  <si>
    <t>1) Open /settings/profile 2) Set Date in UHID to "NONE" 3) Read the preview beside the option 4) Click "Save Changes" 5) Reload</t>
  </si>
  <si>
    <t>hospitals.uhid_date_format = 'NONE' after the reload, and the option preview shows the shape BH-0001.</t>
  </si>
  <si>
    <t>phase2.dropdowns.uhidDateFormat — "NONE"</t>
  </si>
  <si>
    <t>hospitals where id = A → uhid_date_format = 'NONE'</t>
  </si>
  <si>
    <t>TC-P2B-067</t>
  </si>
  <si>
    <t>The UHID preview reflects the chosen prefix and date format together</t>
  </si>
  <si>
    <t>1) Open /settings/profile 2) Set UHID Prefix to "BH" 3) Set Date in UHID to "YYYY" 4) Read the preview text</t>
  </si>
  <si>
    <t>The preview reads BH-2026-0001 — it composes the live prefix with the chosen date format rather than showing a fixed example.</t>
  </si>
  <si>
    <t>Literal UHID prefix BH with date format YYYY</t>
  </si>
  <si>
    <t>The preview is the only place an administrator sees what they are about to impose on every future patient. A static example that ignores their prefix teaches them the wrong shape.</t>
  </si>
  <si>
    <t>None — reads the composed preview text</t>
  </si>
  <si>
    <t>TC-P2B-068</t>
  </si>
  <si>
    <t>Changing the UHID format affects only patients registered afterwards</t>
  </si>
  <si>
    <t>1) Note the UHID of an existing seeded patient 2) Open /settings/profile and change Date in UHID from YYYYMMDD to YYYY 3) Save 4) Register a new patient 5) Compare both UHIDs</t>
  </si>
  <si>
    <t>The existing patient keeps its original UHID unchanged; only the newly registered patient uses the new shape.</t>
  </si>
  <si>
    <t>MOCK_DATA_BOOK Patients — PT-QA-0001 Ramesh Kumar as the pre-existing record</t>
  </si>
  <si>
    <t>Patients, MRD, OPD, Billing</t>
  </si>
  <si>
    <t>Tier 0 complete; at least one patient already registered</t>
  </si>
  <si>
    <t>A UHID is printed on cards, wristbands, lab samples and old paper files. Retrospectively rewriting one detaches a patient from their own history and from every physical label already in the building.</t>
  </si>
  <si>
    <t>patients where uhid = PT-QA-0001 → unchanged after the format switch</t>
  </si>
  <si>
    <t>TC-P2B-069</t>
  </si>
  <si>
    <t>Preferred patient language "Hindi" can be selected and saves</t>
  </si>
  <si>
    <t>1) Open /settings/profile 2) Select "Hindi" under Preferred Patient Languages 3) Click "Save Changes" 4) Reload and re-read the selection</t>
  </si>
  <si>
    <t>hospitals.patient_languages contains "Hindi" after the reload.</t>
  </si>
  <si>
    <t>phase2.dropdowns.patientLanguages — "Hindi"</t>
  </si>
  <si>
    <t>Patients, OPD, Patient Portal, WhatsApp</t>
  </si>
  <si>
    <t xml:space="preserve">Automated: FAILED.
TimeoutError: locator.click: Timeout 15000ms exceeded.
Call log:
  - waiting for getByText('Hindi', { exact: true }).first()</t>
  </si>
  <si>
    <t>Patient-facing communication — discharge instructions, WhatsApp reminders, consent — is offered in these languages. Each is stored as an array element, so one can fail to persist while the others save. This one matters for the largest patient population outside the south.</t>
  </si>
  <si>
    <t>hospitals where id = A → patient_languages contains 'Hindi'</t>
  </si>
  <si>
    <t>TC-P2B-070</t>
  </si>
  <si>
    <t>Preferred patient language "Telugu" can be selected and saves</t>
  </si>
  <si>
    <t>1) Open /settings/profile 2) Select "Telugu" under Preferred Patient Languages 3) Click "Save Changes" 4) Reload and re-read the selection</t>
  </si>
  <si>
    <t>hospitals.patient_languages contains "Telugu" after the reload.</t>
  </si>
  <si>
    <t>phase2.dropdowns.patientLanguages — "Telugu"</t>
  </si>
  <si>
    <t xml:space="preserve">Automated: FAILED.
TimeoutError: locator.click: Timeout 15000ms exceeded.
Call log:
  - waiting for getByText('Telugu', { exact: true }).first()</t>
  </si>
  <si>
    <t>Patient-facing communication — discharge instructions, WhatsApp reminders, consent — is offered in these languages. Each is stored as an array element, so one can fail to persist while the others save. This one matters for the local language of Hospital A in Hyderabad.</t>
  </si>
  <si>
    <t>hospitals where id = A → patient_languages contains 'Telugu'</t>
  </si>
  <si>
    <t>TC-P2B-071</t>
  </si>
  <si>
    <t>Preferred patient language "Tamil" can be selected and saves</t>
  </si>
  <si>
    <t>1) Open /settings/profile 2) Select "Tamil" under Preferred Patient Languages 3) Click "Save Changes" 4) Reload and re-read the selection</t>
  </si>
  <si>
    <t>hospitals.patient_languages contains "Tamil" after the reload.</t>
  </si>
  <si>
    <t>phase2.dropdowns.patientLanguages — "Tamil"</t>
  </si>
  <si>
    <t xml:space="preserve">Automated: FAILED.
TimeoutError: locator.click: Timeout 15000ms exceeded.
Call log:
  - waiting for getByText('Tamil', { exact: true }).first()</t>
  </si>
  <si>
    <t>Patient-facing communication — discharge instructions, WhatsApp reminders, consent — is offered in these languages. Each is stored as an array element, so one can fail to persist while the others save. This one matters for Tamil Nadu patients, whose MLC reporting differs by state.</t>
  </si>
  <si>
    <t>hospitals where id = A → patient_languages contains 'Tamil'</t>
  </si>
  <si>
    <t>TC-P2B-072</t>
  </si>
  <si>
    <t>Preferred patient language "Kannada" can be selected and saves</t>
  </si>
  <si>
    <t>1) Open /settings/profile 2) Select "Kannada" under Preferred Patient Languages 3) Click "Save Changes" 4) Reload and re-read the selection</t>
  </si>
  <si>
    <t>hospitals.patient_languages contains "Kannada" after the reload.</t>
  </si>
  <si>
    <t>phase2.dropdowns.patientLanguages — "Kannada"</t>
  </si>
  <si>
    <t xml:space="preserve">Automated: FAILED.
TimeoutError: locator.click: Timeout 15000ms exceeded.
Call log:
  - waiting for getByText('Kannada', { exact: true }).first()</t>
  </si>
  <si>
    <t>Patient-facing communication — discharge instructions, WhatsApp reminders, consent — is offered in these languages. Each is stored as an array element, so one can fail to persist while the others save. This one matters for Karnataka patients under the Arogya scheme.</t>
  </si>
  <si>
    <t>hospitals where id = A → patient_languages contains 'Kannada'</t>
  </si>
  <si>
    <t>TC-P2B-073</t>
  </si>
  <si>
    <t>Preferred patient language "Marathi" can be selected and saves</t>
  </si>
  <si>
    <t>1) Open /settings/profile 2) Select "Marathi" under Preferred Patient Languages 3) Click "Save Changes" 4) Reload and re-read the selection</t>
  </si>
  <si>
    <t>hospitals.patient_languages contains "Marathi" after the reload.</t>
  </si>
  <si>
    <t>phase2.dropdowns.patientLanguages — "Marathi"</t>
  </si>
  <si>
    <t xml:space="preserve">Automated: FAILED.
TimeoutError: locator.click: Timeout 15000ms exceeded.
Call log:
  - waiting for getByText('Marathi', { exact: true }).first()</t>
  </si>
  <si>
    <t>Patient-facing communication — discharge instructions, WhatsApp reminders, consent — is offered in these languages. Each is stored as an array element, so one can fail to persist while the others save. This one matters for Maharashtra, the state Hospital B operates in.</t>
  </si>
  <si>
    <t>hospitals where id = A → patient_languages contains 'Marathi'</t>
  </si>
  <si>
    <t>TC-P2B-074</t>
  </si>
  <si>
    <t>Preferred patient language "Malayalam" can be selected and saves</t>
  </si>
  <si>
    <t>1) Open /settings/profile 2) Select "Malayalam" under Preferred Patient Languages 3) Click "Save Changes" 4) Reload and re-read the selection</t>
  </si>
  <si>
    <t>hospitals.patient_languages contains "Malayalam" after the reload.</t>
  </si>
  <si>
    <t>phase2.dropdowns.patientLanguages — "Malayalam"</t>
  </si>
  <si>
    <t xml:space="preserve">Automated: FAILED.
TimeoutError: locator.click: Timeout 15000ms exceeded.
Call log:
  - waiting for getByText('Malayalam', { exact: true }).first()</t>
  </si>
  <si>
    <t>Patient-facing communication — discharge instructions, WhatsApp reminders, consent — is offered in these languages. Each is stored as an array element, so one can fail to persist while the others save. This one matters for Kerala, with the highest health-literacy expectations.</t>
  </si>
  <si>
    <t>hospitals where id = A → patient_languages contains 'Malayalam'</t>
  </si>
  <si>
    <t>TC-P2B-075</t>
  </si>
  <si>
    <t>Preferred patient language "Bengali" can be selected and saves</t>
  </si>
  <si>
    <t>1) Open /settings/profile 2) Select "Bengali" under Preferred Patient Languages 3) Click "Save Changes" 4) Reload and re-read the selection</t>
  </si>
  <si>
    <t>hospitals.patient_languages contains "Bengali" after the reload.</t>
  </si>
  <si>
    <t>phase2.dropdowns.patientLanguages — "Bengali"</t>
  </si>
  <si>
    <t xml:space="preserve">Automated: FAILED.
TimeoutError: locator.click: Timeout 15000ms exceeded.
Call log:
  - waiting for getByText('Bengali', { exact: true }).first()</t>
  </si>
  <si>
    <t>Patient-facing communication — discharge instructions, WhatsApp reminders, consent — is offered in these languages. Each is stored as an array element, so one can fail to persist while the others save. This one matters for migrant worker populations in most metros.</t>
  </si>
  <si>
    <t>hospitals where id = A → patient_languages contains 'Bengali'</t>
  </si>
  <si>
    <t>TC-P2B-076</t>
  </si>
  <si>
    <t>Preferred patient language "Gujarati" can be selected and saves</t>
  </si>
  <si>
    <t>1) Open /settings/profile 2) Select "Gujarati" under Preferred Patient Languages 3) Click "Save Changes" 4) Reload and re-read the selection</t>
  </si>
  <si>
    <t>hospitals.patient_languages contains "Gujarati" after the reload.</t>
  </si>
  <si>
    <t>phase2.dropdowns.patientLanguages — "Gujarati"</t>
  </si>
  <si>
    <t xml:space="preserve">Automated: FAILED.
TimeoutError: locator.click: Timeout 15000ms exceeded.
Call log:
  - waiting for getByText('Gujarati', { exact: true }).first()</t>
  </si>
  <si>
    <t>Patient-facing communication — discharge instructions, WhatsApp reminders, consent — is offered in these languages. Each is stored as an array element, so one can fail to persist while the others save. This one matters for western India referrals.</t>
  </si>
  <si>
    <t>hospitals where id = A → patient_languages contains 'Gujarati'</t>
  </si>
  <si>
    <t>TC-P2B-077</t>
  </si>
  <si>
    <t>Preferred patient language "Odia" can be selected and saves</t>
  </si>
  <si>
    <t>1) Open /settings/profile 2) Select "Odia" under Preferred Patient Languages 3) Click "Save Changes" 4) Reload and re-read the selection</t>
  </si>
  <si>
    <t>hospitals.patient_languages contains "Odia" after the reload.</t>
  </si>
  <si>
    <t>phase2.dropdowns.patientLanguages — "Odia"</t>
  </si>
  <si>
    <t xml:space="preserve">Automated: FAILED.
TimeoutError: locator.click: Timeout 15000ms exceeded.
Call log:
  - waiting for getByText('Odia', { exact: true }).first()</t>
  </si>
  <si>
    <t>Patient-facing communication — discharge instructions, WhatsApp reminders, consent — is offered in these languages. Each is stored as an array element, so one can fail to persist while the others save. This one matters for eastern migrant populations.</t>
  </si>
  <si>
    <t>hospitals where id = A → patient_languages contains 'Odia'</t>
  </si>
  <si>
    <t>TC-P2B-078</t>
  </si>
  <si>
    <t>Preferred patient language "Punjabi" can be selected and saves</t>
  </si>
  <si>
    <t>1) Open /settings/profile 2) Select "Punjabi" under Preferred Patient Languages 3) Click "Save Changes" 4) Reload and re-read the selection</t>
  </si>
  <si>
    <t>hospitals.patient_languages contains "Punjabi" after the reload.</t>
  </si>
  <si>
    <t>phase2.dropdowns.patientLanguages — "Punjabi"</t>
  </si>
  <si>
    <t xml:space="preserve">Automated: FAILED.
TimeoutError: locator.click: Timeout 15000ms exceeded.
Call log:
  - waiting for getByText('Punjabi', { exact: true }).first()</t>
  </si>
  <si>
    <t>Patient-facing communication — discharge instructions, WhatsApp reminders, consent — is offered in these languages. Each is stored as an array element, so one can fail to persist while the others save. This one matters for northern referrals.</t>
  </si>
  <si>
    <t>hospitals where id = A → patient_languages contains 'Punjabi'</t>
  </si>
  <si>
    <t>TC-P2B-079</t>
  </si>
  <si>
    <t>English is always included and cannot be removed</t>
  </si>
  <si>
    <t>1) Open /settings/profile 2) Attempt to deselect English under Preferred Patient Languages 3) Click "Save Changes" 4) Reload</t>
  </si>
  <si>
    <t>English remains in hospitals.patient_languages regardless of what else is selected or deselected.</t>
  </si>
  <si>
    <t>MOCK_DATA_BOOK Preferred Patient Languages — English is always included and cannot be removed</t>
  </si>
  <si>
    <t>Patients, Patient Portal, WhatsApp</t>
  </si>
  <si>
    <t xml:space="preserve">Automated: FAILED.
TimeoutError: locator.click: Timeout 15000ms exceeded.
Call log:
  - waiting for getByText('English', { exact: true }).first()
    - locator resolved to &lt;button disabled type="button" class="px-3 py-1.5 rounded-full text-xs font-medium border transition-colors bg-primary text-primary-foreground border-primary opacity-60 cursor-not-allowed"&gt;English&lt;/button&gt;
  - attempting click action
    2 × waiting for element to be visible, enabled and stable
      - element is not enabled
    - retrying click action
    - waiting 20ms
    2 × waiting for element to be visible, enabled and stable
      - element is not enabled
    - retrying click action
      - waiting 100ms
    29 × waiting for element to be visible, enabled and stable
       - element is not enabled
     - retrying click action
       - waiting 500ms</t>
  </si>
  <si>
    <t>English is the fallback every other language degrades to. Removing it would leave a patient whose language has no translated template with no message at all.</t>
  </si>
  <si>
    <t>hospitals where id = A → patient_languages contains 'English'</t>
  </si>
  <si>
    <t>TC-P2B-080</t>
  </si>
  <si>
    <t>Hospital profile changes survive a hard reload</t>
  </si>
  <si>
    <t>1) Open /settings/profile 2) Change GSTIN, pincode and NABH number to the Phase 2 values 3) Click "Save Changes" 4) Hard-reload the page 5) Re-read all three fields</t>
  </si>
  <si>
    <t>All three values are still shown after the reload, having been read back from the hospitals row.</t>
  </si>
  <si>
    <t>phase2.entry./settings/profile — gstin 36AAACT2727Q1ZW, pincode 500032, nabhNumber NABH-QA-A-2027</t>
  </si>
  <si>
    <t>Billing, GST, Quality</t>
  </si>
  <si>
    <t>Four screens in this phase showed a green toast and wrote nothing. The hospital profile is Tier 0 row 1 — if it silently fails to persist, everything configured afterwards is built on values that do not exist.</t>
  </si>
  <si>
    <t>hospitals where id = A → gstin = '36AAACT2727Q1ZW', pincode = '500032', nabh_number = 'NABH-QA-A-2027'</t>
  </si>
  <si>
    <t>TC-P2B-081</t>
  </si>
  <si>
    <t>Setting a GSTIN turns on the HSN requirement for billing</t>
  </si>
  <si>
    <t>1) Open /settings/profile 2) Set a valid GSTIN 3) Save 4) Open /settings/services 5) Confirm the HSN field is now required on billable services</t>
  </si>
  <si>
    <t>With a GSTIN set, bill finalisation is hard-blocked for any line lacking an HSN code. The Services screen reflects that HSN is now mandatory.</t>
  </si>
  <si>
    <t>phase2.entry./settings/profile — gstin 36AAACT2727Q1ZW; phase2.invalid.serviceWithoutHsn</t>
  </si>
  <si>
    <t>Billing, GST, Services</t>
  </si>
  <si>
    <t>SETTINGS_PREREQ_MATRIX flags this as a deliberate hard-block: setting the GSTIN switches it on. A hospital that sets its GSTIN and then cannot finalise any bill needs to understand the two are connected, not conclude billing is broken.</t>
  </si>
  <si>
    <t>hospitals where id = A → gstin is not null, and service_master rows lacking hsn_code block finalisation</t>
  </si>
  <si>
    <t>TC-P2B-082</t>
  </si>
  <si>
    <t>Hospital A's profile is invisible to Hospital B</t>
  </si>
  <si>
    <t>1) Sign in as the Hospital B administrator 2) Open /settings/profile as Hospital B 3) Read the hospital name and GSTIN 4) Query the hospitals table through the API with no filter</t>
  </si>
  <si>
    <t>Hospital B sees only Sanjeevani General Hospital and GSTIN 27AABTS5678K1Z9. No Hospital A row is returned.</t>
  </si>
  <si>
    <t>MOCK_DATA_BOOK Hospitals — Hospital A (GSTIN 36…) and Hospital B (GSTIN 27…)</t>
  </si>
  <si>
    <t>Multi-tenancy, Billing, GST</t>
  </si>
  <si>
    <t>A GSTIN is a legal identity. One hospital seeing or editing another's would let invoices be raised under the wrong tax registration — a tax offence, not merely a data leak.</t>
  </si>
  <si>
    <t>hospitals queried as the Hospital B admin → zero rows for Hospital A</t>
  </si>
  <si>
    <t>TC-P2B-083</t>
  </si>
  <si>
    <t>A receptionist cannot reach the Hospital Profile screen</t>
  </si>
  <si>
    <t>1) Log in as receptionist (Hospital A) 2) Navigate directly to /settings/profile</t>
  </si>
  <si>
    <t>The route is blocked — redirected away, or an explicit access-denied message. The GSTIN field must not render.</t>
  </si>
  <si>
    <t>MOCK_DATA_BOOK Staff logins — receptionist (Hospital A), Ms. Divya Sharma</t>
  </si>
  <si>
    <t xml:space="preserve">Automated: FAILED.
Error: A receptionist reached /settings/profile. The GSTIN and drug licence here are the hospital's legal identity — changing either could invalidate every invoice and every dispensing record issued afterwards.
expect(received).toBeTruthy()
Received: false</t>
  </si>
  <si>
    <t>The GSTIN and drug licence on this screen are the hospital's legal identity. A receptionist able to change either could invalidate every invoice and every dispensing record issued afterwards.</t>
  </si>
  <si>
    <t>receptionist (Hospital A)</t>
  </si>
  <si>
    <t>TC-P2B-084</t>
  </si>
  <si>
    <t>The Hospital Profile screen loads with no red console errors</t>
  </si>
  <si>
    <t>1) Open DevTools → Console 2) Open /settings/profile 3) Save a change 4) Read the console</t>
  </si>
  <si>
    <t>No red console text, and specifically no PostgREST error from a hospitals column the query names and the schema lacks.</t>
  </si>
  <si>
    <t>phase2.entry./settings/profile — gstin, pincode, nabhNumber</t>
  </si>
  <si>
    <t>Several fields on this screen are written with an `as any` cast, so a column that does not exist fails only at runtime. The console is the only place that surfaces.</t>
  </si>
  <si>
    <t>TC-P2B-085</t>
  </si>
  <si>
    <t>Branding screen loads with the current logo, name and print settings</t>
  </si>
  <si>
    <t>1) Log in as hospital_admin (Hospital A) 2) Open /settings/branding 3) Read the form</t>
  </si>
  <si>
    <t>Hospital Logo, Hospital Name, Tagline, Primary Font, Base Font Size and Footer Text all render with their current values. No red console errors.</t>
  </si>
  <si>
    <t>MOCK_DATA_BOOK Hospital A — Aarogya Multispecialty Hospital</t>
  </si>
  <si>
    <t>Tier 0: hospital profile created (Settings → Hospital Profile)</t>
  </si>
  <si>
    <t xml:space="preserve">Automated: FAILED.
Error: expect(locator).toBeVisible() failed
Locator: getByRole('heading', { name: 'Branding' }).first()
Expected: visible
Timeout: 15000ms
Error: element(s) not found
Call log:
  - Expect "toBeVisible" with timeout 15000ms
  - waiting for getByRole('heading', { name: 'Branding' }).first()</t>
  </si>
  <si>
    <t>Branding is what a patient sees on the letterhead of every bill and discharge summary. It is also the first thing a hospital customises after go-live, so a broken screen is a bad first impression of the product.</t>
  </si>
  <si>
    <t>hospitals where id = A → name, logo_url and print settings match what is displayed</t>
  </si>
  <si>
    <t>e2e/phase-02-settings/P2B.identity.brand-support.spec.ts</t>
  </si>
  <si>
    <t>TC-P2B-086</t>
  </si>
  <si>
    <t>A logo under the size limit uploads and is stored</t>
  </si>
  <si>
    <t>1) Open /settings/branding 2) Upload a PNG smaller than 2MB as the Hospital Logo 3) Wait for the confirmation</t>
  </si>
  <si>
    <t>A "Logo uploaded" toast appears and the logo URL is stored against the hospital.</t>
  </si>
  <si>
    <t>A synthetic 1KB PNG generated by the spec — no real hospital branding is used</t>
  </si>
  <si>
    <t>The logo prints on every document. An upload that appears to succeed but stores nothing leaves an empty box at the top of every invoice.</t>
  </si>
  <si>
    <t>hospitals where id = A → logo_url is not null</t>
  </si>
  <si>
    <t>TC-P2B-087</t>
  </si>
  <si>
    <t>A logo over 2MB is refused</t>
  </si>
  <si>
    <t>1) Open /settings/branding 2) Attempt to upload a file larger than 2MB as the Hospital Logo</t>
  </si>
  <si>
    <t>A destructive toast reads "File too large (max 2MB)" and nothing is uploaded.</t>
  </si>
  <si>
    <t>A synthetic file just over 2MB generated by the spec</t>
  </si>
  <si>
    <t>An oversized logo embedded in every printed document slows rendering and can exceed the payload limit on PDF generation, so bills stop printing entirely.</t>
  </si>
  <si>
    <t>hospitals where id = A → logo_url unchanged after the rejected upload</t>
  </si>
  <si>
    <t>TC-P2B-088</t>
  </si>
  <si>
    <t>The branding hospital name saves</t>
  </si>
  <si>
    <t>1) Open /settings/branding 2) Confirm Hospital Name reads "Aarogya Multispecialty Hospital" 3) Click Save 4) Reload</t>
  </si>
  <si>
    <t>The name persists after the reload and matches the value on Settings → Hospital Profile.</t>
  </si>
  <si>
    <t xml:space="preserve">Automated: FAILED.
Error: Could not find a control for the label "Hospital Name" on /settings/branding.
This is a FRAMEWORK failure, not a product defect — the label text in settings-forms.ts no longer matches what the page renders. Fix the label there; do not log it as a bug against the app (docs/qa/README.md).</t>
  </si>
  <si>
    <t>The name appears on two screens. If they can drift apart, the letterhead and the tax invoice header disagree, and only one of them is the registered legal name.</t>
  </si>
  <si>
    <t>hospitals where id = A → name = 'Aarogya Multispecialty Hospital'</t>
  </si>
  <si>
    <t>TC-P2B-089</t>
  </si>
  <si>
    <t>The tagline saves</t>
  </si>
  <si>
    <t>1) Open /settings/branding 2) Enter Tagline "NABH Accredited" 3) Click Save 4) Reload</t>
  </si>
  <si>
    <t>The tagline persists after the reload and appears in the print preview.</t>
  </si>
  <si>
    <t>Literal tagline NABH Accredited (the placeholder the field itself suggests)</t>
  </si>
  <si>
    <t xml:space="preserve">Automated: FAILED.
TimeoutError: locator.fill: Timeout 15000ms exceeded.
Call log:
  - waiting for locator('label').filter({ hasText: /^\s*Tagline\s*\*?\s*$/i }).first().locator('..').locator('input:not([type="hidden"]), textarea, select, [role="combobox"], [role="radiogroup"], [role="switch"], button[role="combobox"]').first()
    - locator resolved to &lt;input type="file" class="hidden" accept="image/jpeg,image/png,image/svg+xml"/&gt;
    - fill("NABH Accredited")
  - attempting fill action
    2 × waiting for element to be visible, enabled and editable
      - element is not visible
    - retrying fill action
    - waiting 20ms
    2 × waiting for element to be visible, enabled and editable
      - element is not visible
    - retrying fill action
      - waiting 100ms
    29 × waiting for element to be visible, enabled and editable
       - element is not visible
     - retrying fill action
       - waiting
…(truncated)</t>
  </si>
  <si>
    <t>The tagline is where hospitals put their accreditation status. Claiming NABH accreditation on a letterhead is a statement an assessor may check, so it has to be the hospital's own words and it has to persist.</t>
  </si>
  <si>
    <t>hospitals where id = A → tagline is not null</t>
  </si>
  <si>
    <t>TC-P2B-090</t>
  </si>
  <si>
    <t>The primary print font can be changed and saves</t>
  </si>
  <si>
    <t>1) Open /settings/branding 2) Select a different Primary Font 3) Click Save 4) Reload</t>
  </si>
  <si>
    <t>The chosen font persists after the reload and the preview renders in it.</t>
  </si>
  <si>
    <t>The font list rendered by SettingsBrandingPage</t>
  </si>
  <si>
    <t xml:space="preserve">Automated: FAILED.
TimeoutError: locator.click: Timeout 15000ms exceeded.
Call log:
  - waiting for locator('label').filter({ hasText: /^\s*Primary Font\s*\*?\s*$/i }).first().locator('..').locator('input:not([type="hidden"]), textarea, select, [role="combobox"], [role="radiogroup"], [role="switch"], button[role="combobox"]').first()
    - locator resolved to &lt;input type="file" class="hidden" accept="image/jpeg,image/png,image/svg+xml"/&gt;
  - attempting click action
    2 × waiting for element to be visible, enabled and stable
      - element is not visible
    - retrying click action
    - waiting 20ms
    2 × waiting for element to be visible, enabled and stable
      - element is not visible
    - retrying click action
      - waiting 100ms
    29 × waiting for element to be visible, enabled and stable
       - element is not visible
     - retrying click action
       - waiting 500ms</t>
  </si>
  <si>
    <t>Print font affects legibility of a discharge summary an elderly patient reads at home. A font that does not persist means the hospital never actually gets the one it chose.</t>
  </si>
  <si>
    <t>hospitals where id = A → print font setting persists</t>
  </si>
  <si>
    <t>TC-P2B-091</t>
  </si>
  <si>
    <t>The base font size saves and respects the legibility floor</t>
  </si>
  <si>
    <t>1) Open /settings/branding 2) Set Base Font Size 3) Click Save 4) Reload and read the preview</t>
  </si>
  <si>
    <t>The size persists, and the preview never renders critical print text below the readable minimum.</t>
  </si>
  <si>
    <t>The base font size control on SettingsBrandingPage</t>
  </si>
  <si>
    <t>A base size set too small makes a prescription unreadable. Dosage instructions printed at an unreadable size are a medication-safety risk, not a cosmetic preference.</t>
  </si>
  <si>
    <t>hospitals where id = A → base font size persists within a legible range</t>
  </si>
  <si>
    <t>TC-P2B-092</t>
  </si>
  <si>
    <t>The three-part footer text saves</t>
  </si>
  <si>
    <t>1) Open /settings/branding 2) Enter left, centre and right footer text 3) Click Save 4) Reload</t>
  </si>
  <si>
    <t>All three footer segments persist independently after the reload.</t>
  </si>
  <si>
    <t>The footer placeholders on SettingsBrandingPage — appointments phone, website, registration number</t>
  </si>
  <si>
    <t>The footer carries the appointments number and registration number that a patient uses to contact the hospital or verify it. Losing one segment while keeping the others is a partial-save defect that is easy to miss.</t>
  </si>
  <si>
    <t>hospitals where id = A → all three footer segments persist</t>
  </si>
  <si>
    <t>TC-P2B-093</t>
  </si>
  <si>
    <t>Branding changes survive a hard reload</t>
  </si>
  <si>
    <t>1) Open /settings/branding 2) Change the tagline and footer 3) Click Save 4) Hard-reload the page</t>
  </si>
  <si>
    <t>Both values are still shown after the reload, having been read back from the hospitals row.</t>
  </si>
  <si>
    <t>Literal tagline NABH Accredited plus the three footer segments</t>
  </si>
  <si>
    <t>Four screens in this phase showed a green toast and wrote nothing. Branding claims "applies to all new printouts" in its own success message, which makes a silent failure especially misleading.</t>
  </si>
  <si>
    <t>hospitals where id = A → tagline and footer persist after reload</t>
  </si>
  <si>
    <t>TC-P2B-094</t>
  </si>
  <si>
    <t>The print preview reflects unsaved changes live</t>
  </si>
  <si>
    <t>1) Open /settings/branding 2) Change the tagline without saving 3) Read the preview panel</t>
  </si>
  <si>
    <t>The preview updates as the field is typed, before any save.</t>
  </si>
  <si>
    <t>Literal tagline NABH Accredited</t>
  </si>
  <si>
    <t xml:space="preserve">Automated: FAILED.
TimeoutError: locator.fill: Timeout 15000ms exceeded.
Call log:
  - waiting for locator('label').filter({ hasText: /^\s*Tagline\s*\*?\s*$/i }).first().locator('..').locator('input:not([type="hidden"]), textarea, select, [role="combobox"], [role="radiogroup"], [role="switch"], button[role="combobox"]').first()
    - locator resolved to &lt;input type="file" class="hidden" accept="image/jpeg,image/png,image/svg+xml"/&gt;
    - fill("QA Live Preview Probe")
  - attempting fill action
    2 × waiting for element to be visible, enabled and editable
      - element is not visible
    - retrying fill action
    - waiting 20ms
    2 × waiting for element to be visible, enabled and editable
      - element is not visible
    - retrying fill action
      - waiting 100ms
    29 × waiting for element to be visible, enabled and editable
       - element is not visible
     - retrying fill action
       - w
…(truncated)</t>
  </si>
  <si>
    <t>The preview exists so an administrator can see the letterhead before committing it. A preview that only updates after saving means the first real proof is a printed bill handed to a patient.</t>
  </si>
  <si>
    <t>None — live preview render</t>
  </si>
  <si>
    <t>TC-P2B-095</t>
  </si>
  <si>
    <t>The saved branding is what a printed document uses</t>
  </si>
  <si>
    <t>1) Open /settings/branding 2) Set a distinctive tagline and save 3) Open a printable document elsewhere in the product 4) Inspect the letterhead</t>
  </si>
  <si>
    <t>The document letterhead shows the hospital name, logo and tagline configured here.</t>
  </si>
  <si>
    <t>Billing, MRD, IPD</t>
  </si>
  <si>
    <t>The success toast promises the change "applies to all new printouts". If branding is stored but never read by the print layer, that promise is false and nobody discovers it until a patient is handed the wrong letterhead.</t>
  </si>
  <si>
    <t>hospitals where id = A → branding values are the ones the print layer reads</t>
  </si>
  <si>
    <t>TC-P2B-096</t>
  </si>
  <si>
    <t>Hospital A's branding is invisible to Hospital B</t>
  </si>
  <si>
    <t>1) Sign in as the Hospital B administrator 2) Open /settings/branding as Hospital B 3) Read the hospital name and logo</t>
  </si>
  <si>
    <t>Hospital B sees only its own branding — Sanjeevani General Hospital, never Aarogya.</t>
  </si>
  <si>
    <t>Multi-tenancy, Billing, MRD</t>
  </si>
  <si>
    <t>One hospital's logo appearing on another's invoice is a misrepresentation on a tax document, and it is the most visible possible tenant leak.</t>
  </si>
  <si>
    <t>TC-P2B-097</t>
  </si>
  <si>
    <t>A receptionist cannot reach the Branding screen</t>
  </si>
  <si>
    <t>1) Log in as receptionist (Hospital A) 2) Navigate directly to /settings/branding</t>
  </si>
  <si>
    <t xml:space="preserve">Automated: FAILED.
Error: A receptionist reached /settings/branding. Branding is the hospital's public identity on legal documents — a change alters every invoice printed afterwards.
expect(received).toBeTruthy()
Received: false</t>
  </si>
  <si>
    <t>Branding is the hospital's public identity on legal documents. A change here alters every invoice printed afterwards, so it belongs to administrators only.</t>
  </si>
  <si>
    <t>TC-P2B-098</t>
  </si>
  <si>
    <t>The Branding screen loads with no red console errors</t>
  </si>
  <si>
    <t>1) Open DevTools → Console 2) Open /settings/branding 3) Save a change 4) Read the console</t>
  </si>
  <si>
    <t>No red console text, including from the storage upload path.</t>
  </si>
  <si>
    <t>The logo upload goes to Supabase storage rather than a table, so a bucket or policy misconfiguration fails silently in the UI and appears only in the console.</t>
  </si>
  <si>
    <t>TC-P2B-099</t>
  </si>
  <si>
    <t>White-Label Branding screen loads</t>
  </si>
  <si>
    <t>1) Open /settings/white-label 2) Read the form</t>
  </si>
  <si>
    <t>The theme colour control, Custom Domain field and DNS instructions all render. No red console errors.</t>
  </si>
  <si>
    <t>phase2.entry./settings/white-label — customDomain aarogya-qa.example.in</t>
  </si>
  <si>
    <t>Patient Portal, Branding</t>
  </si>
  <si>
    <t xml:space="preserve">Automated: FAILED.
Error: expect(locator).toBeVisible() failed
Locator: getByRole('heading', { name: 'White-Label Branding' }).first()
Expected: visible
Timeout: 15000ms
Error: element(s) not found
Call log:
  - Expect "toBeVisible" with timeout 15000ms
  - waiting for getByRole('heading', { name: 'White-Label Branding' }).first()</t>
  </si>
  <si>
    <t>White-label is what a reseller or hospital chain uses to put the product under its own domain. A broken screen blocks a partner deal, not just a preference.</t>
  </si>
  <si>
    <t>hospitals where id = A → white-label fields match what is displayed</t>
  </si>
  <si>
    <t>TC-P2B-100</t>
  </si>
  <si>
    <t>A custom theme colour saves</t>
  </si>
  <si>
    <t>1) Open /settings/white-label 2) Enter a custom hex colour 3) Click "Save Theme" 4) Reload</t>
  </si>
  <si>
    <t>The colour persists after the reload.</t>
  </si>
  <si>
    <t>phase2.entry./settings/branding — primaryColour #0E7B7B</t>
  </si>
  <si>
    <t>Branding, Patient Portal</t>
  </si>
  <si>
    <t xml:space="preserve">Automated: FAILED.
Error: The theme colour #0E7B7B did not persist. It carries through to the patient portal — a colour that resets makes the portal look unrelated to the hospital that sent the link.
expect(received).toBeTruthy()
Received: false</t>
  </si>
  <si>
    <t>The theme colour carries through to the patient portal a patient logs into. A colour that resets makes the portal look unrelated to the hospital that sent the link.</t>
  </si>
  <si>
    <t>hospitals where id = A → theme colour persists</t>
  </si>
  <si>
    <t>TC-P2B-101</t>
  </si>
  <si>
    <t>Save Theme and Save Domain are independent actions</t>
  </si>
  <si>
    <t>1) Open /settings/white-label 2) Change the theme colour only 3) Click "Save Theme" 4) Reload and check the custom domain</t>
  </si>
  <si>
    <t>Saving the theme leaves the custom domain untouched, and vice versa. Neither save clears the other's field.</t>
  </si>
  <si>
    <t>phase2.entry./settings/white-label — customDomain aarogya-qa.example.in with a separate theme colour</t>
  </si>
  <si>
    <t xml:space="preserve">Automated: FAILED.
Error: Could not find a control for the label "Custom Domain" on /settings/white-label.
This is a FRAMEWORK failure, not a product defect — the label text in settings-forms.ts no longer matches what the page renders. Fix the label there; do not log it as a bug against the app (docs/qa/README.md).</t>
  </si>
  <si>
    <t>This screen has three separate save buttons writing to the same hospitals row. If one save sends a partial payload it silently nulls whatever the others set — a classic multi-form data-loss bug.</t>
  </si>
  <si>
    <t>hospitals where id = A → theme and custom domain both retained after either save</t>
  </si>
  <si>
    <t>TC-P2B-102</t>
  </si>
  <si>
    <t>A custom domain saves</t>
  </si>
  <si>
    <t>1) Open /settings/white-label 2) Enter Custom Domain "aarogya-qa.example.in" 3) Click "Save Domain" 4) Reload</t>
  </si>
  <si>
    <t>The domain persists after the reload.</t>
  </si>
  <si>
    <t>Patient Portal</t>
  </si>
  <si>
    <t>The custom domain is where patients are sent for the portal. A domain that does not save means every portal link points at the generic product URL instead of the hospital.</t>
  </si>
  <si>
    <t>hospitals where id = A → custom domain = 'aarogya-qa.example.in'</t>
  </si>
  <si>
    <t>TC-P2B-103</t>
  </si>
  <si>
    <t>A malformed custom domain is rejected</t>
  </si>
  <si>
    <t>1) Open /settings/white-label 2) Enter Custom Domain "not a domain!" 3) Click "Save Domain"</t>
  </si>
  <si>
    <t>The save is refused with a message naming the expected format. The malformed value is not stored.</t>
  </si>
  <si>
    <t>Literal malformed domain "not a domain!"</t>
  </si>
  <si>
    <t>A malformed domain cannot have a DNS record or an SSL certificate issued against it, so the setup silently stalls at a step the hospital cannot diagnose.</t>
  </si>
  <si>
    <t>hospitals where id = A → custom domain &lt;&gt; 'not a domain!'</t>
  </si>
  <si>
    <t>TC-P2B-104</t>
  </si>
  <si>
    <t>The DNS record to create is displayed for the entered domain</t>
  </si>
  <si>
    <t>1) Open /settings/white-label 2) Enter a custom domain 3) Read the DNS instructions</t>
  </si>
  <si>
    <t>A CNAME or A record is shown with the exact value to add at the registrar.</t>
  </si>
  <si>
    <t>The hospital's IT contact has to create this record at their registrar. Showing the exact value is the difference between a five-minute task and a support ticket.</t>
  </si>
  <si>
    <t>None — reads the displayed DNS instructions</t>
  </si>
  <si>
    <t>TC-P2B-105</t>
  </si>
  <si>
    <t>The DNS value can be copied to the clipboard</t>
  </si>
  <si>
    <t>1) Open /settings/white-label 2) Enter a custom domain 3) Click the copy control beside the DNS value</t>
  </si>
  <si>
    <t>A "Copied to clipboard" confirmation appears.</t>
  </si>
  <si>
    <t>A DNS value mistyped by one character fails verification with no useful error. Copy-to-clipboard removes the most common cause of a stalled domain setup.</t>
  </si>
  <si>
    <t>None — clipboard interaction</t>
  </si>
  <si>
    <t>TC-P2B-106</t>
  </si>
  <si>
    <t>DNS verification reports its outcome</t>
  </si>
  <si>
    <t>1) Open /settings/white-label 2) Enter a custom domain and save 3) Click the verify action 4) Read the result</t>
  </si>
  <si>
    <t>The screen states the verification outcome and what happens next, including the SSL issuance timeline.</t>
  </si>
  <si>
    <t>Without an explicit outcome the hospital cannot tell whether it is waiting on DNS propagation or on a mistake it made. Silence here generates the support ticket the screen exists to prevent.</t>
  </si>
  <si>
    <t>None — reads the verification result message</t>
  </si>
  <si>
    <t>TC-P2B-107</t>
  </si>
  <si>
    <t>White-label settings survive a hard reload</t>
  </si>
  <si>
    <t>1) Open /settings/white-label 2) Set a theme colour and a custom domain 3) Save both 4) Hard-reload</t>
  </si>
  <si>
    <t>Both values are still shown after the reload.</t>
  </si>
  <si>
    <t>Four screens in this phase persisted nothing behind a green toast. This one writes to hospitals through an `as any` cast, which suppresses the type checking that would otherwise catch a wrong column name.</t>
  </si>
  <si>
    <t>hospitals where id = A → theme and custom domain both persist</t>
  </si>
  <si>
    <t>TC-P2B-108</t>
  </si>
  <si>
    <t>Hospital A's white-label settings are invisible to Hospital B</t>
  </si>
  <si>
    <t>1) Sign in as the Hospital B administrator 2) Open /settings/white-label as Hospital B 3) Read the custom domain</t>
  </si>
  <si>
    <t>Hospital B sees no trace of Hospital A's domain or theme.</t>
  </si>
  <si>
    <t>Multi-tenancy, Patient Portal</t>
  </si>
  <si>
    <t>A custom domain is a routing instruction. One tenant reading or writing another's could redirect a hospital's patient portal traffic to a domain it does not control.</t>
  </si>
  <si>
    <t>TC-P2B-109</t>
  </si>
  <si>
    <t>A receptionist cannot reach the White-Label screen</t>
  </si>
  <si>
    <t>1) Log in as receptionist (Hospital A) 2) Navigate directly to /settings/white-label</t>
  </si>
  <si>
    <t xml:space="preserve">Warning: Encountered two children with the same key, `%s`. Keys should be unique so that components maintain their identity across updates. Non-unique keys may cause children to be duplicated and/or omitted — the behavior is unsupported and could change in a future version.%s Nephrology Ward
    at div
    at div
    at BedOccupancy (http://localhost:8080/src/components/dashboard/BedOccupancy.tsx:21:28)
    at div
    at div
    at Dashboard (http://localhost:8080/src/pages/Dashboard.tsx:107:56)
    at ModuleErrorBoundary (http://localhost:8080/src/components/auth/ModuleErrorBoundary.tsx:4:1)
…(truncated)</t>
  </si>
  <si>
    <t>Changing the custom domain changes where patients are sent. That is an infrastructure decision, not a front-desk one.</t>
  </si>
  <si>
    <t>TC-P2B-110</t>
  </si>
  <si>
    <t>The White-Label screen loads with no red console errors</t>
  </si>
  <si>
    <t>1) Open DevTools → Console 2) Open /settings/white-label 3) Save the theme and the domain 4) Read the console</t>
  </si>
  <si>
    <t>No red console text from either save path.</t>
  </si>
  <si>
    <t>Both saves write to hospitals through an `as any` cast, so a column that does not exist produces a PostgREST error that never reaches the UI and appears only in the console.</t>
  </si>
  <si>
    <t>TC-P2B-111</t>
  </si>
  <si>
    <t>Support screen loads with the ticket form and existing tickets</t>
  </si>
  <si>
    <t>1) Open /settings/support 2) Read the page</t>
  </si>
  <si>
    <t>Subject, Category and "Describe the issue" render, along with any existing tickets for this hospital. No red console errors.</t>
  </si>
  <si>
    <t>phase2.entry./settings/support — subject "QA Phase 2 smoke"</t>
  </si>
  <si>
    <t xml:space="preserve">Automated: FAILED.
Error: "Describe the issue" is missing
expect(locator).toBeVisible() failed
Locator: getByText('Describe the issue').first()
Expected: visible
Timeout: 15000ms
Error: element(s) not found
Call log:
  - "Describe the issue" is missing with timeout 15000ms
  - waiting for getByText('Describe the issue').first()</t>
  </si>
  <si>
    <t>This is the hospital's only in-product route to the vendor. If it will not load, a hospital in trouble has no way to reach anyone from inside the system.</t>
  </si>
  <si>
    <t>platform_support_tickets where hospital_id = A → matches the tickets displayed</t>
  </si>
  <si>
    <t>TC-P2B-112</t>
  </si>
  <si>
    <t>A support ticket submits and is stored</t>
  </si>
  <si>
    <t>1) Open /settings/support 2) Enter Subject "QA Phase 2 smoke" 3) Select a Category 4) Enter the description 5) Submit</t>
  </si>
  <si>
    <t>A "Support ticket submitted" toast appears and a platform_support_tickets row exists for Hospital A with that subject.</t>
  </si>
  <si>
    <t>phase2.entry./settings/support — subject "QA Phase 2 smoke", body "Raised by the Phase 2 data-entry suite. Safe to close."</t>
  </si>
  <si>
    <t xml:space="preserve">Automated: FAILED.
Error: Could not find a control for the label "Subject" on /settings/support.
This is a FRAMEWORK failure, not a product defect — the label text in settings-forms.ts no longer matches what the page renders. Fix the label there; do not log it as a bug against the app (docs/qa/README.md).</t>
  </si>
  <si>
    <t>A ticket that appears to submit and writes nothing is worse than no support form: the hospital believes help is coming and waits.</t>
  </si>
  <si>
    <t>platform_support_tickets where hospital_id = A and subject = 'QA Phase 2 smoke' → 1 row</t>
  </si>
  <si>
    <t>TC-P2B-113</t>
  </si>
  <si>
    <t>A ticket cannot be submitted without a subject</t>
  </si>
  <si>
    <t>1) Open /settings/support 2) Leave Subject blank 3) Enter a description 4) Submit</t>
  </si>
  <si>
    <t>The submission is refused and no platform_support_tickets row is written.</t>
  </si>
  <si>
    <t>None — deliberately omits the required Subject</t>
  </si>
  <si>
    <t xml:space="preserve">Automated: FAILED.
Error: Could not find a control for the label "Describe the issue" on /settings/support.
This is a FRAMEWORK failure, not a product defect — the label text in settings-forms.ts no longer matches what the page renders. Fix the label there; do not log it as a bug against the app (docs/qa/README.md).</t>
  </si>
  <si>
    <t>A subjectless ticket cannot be triaged or prioritised, so it sits at the bottom of the queue while the hospital waits.</t>
  </si>
  <si>
    <t>platform_support_tickets where hospital_id = A and (subject is null or subject = '') → 0 rows</t>
  </si>
  <si>
    <t>TC-P2B-114</t>
  </si>
  <si>
    <t>A ticket cannot be submitted without a description</t>
  </si>
  <si>
    <t>1) Open /settings/support 2) Enter a Subject 3) Leave "Describe the issue" blank 4) Submit</t>
  </si>
  <si>
    <t>The submission is refused and no row is written.</t>
  </si>
  <si>
    <t>None — deliberately omits the required description</t>
  </si>
  <si>
    <t>A ticket with only a subject forces a round trip before anyone can even begin, which doubles the time to resolution on an issue that may be blocking clinical work.</t>
  </si>
  <si>
    <t>platform_support_tickets where hospital_id = A and body is null → 0 rows</t>
  </si>
  <si>
    <t>TC-P2B-115</t>
  </si>
  <si>
    <t>Support ticket category "Billing" saves</t>
  </si>
  <si>
    <t>1) Open /settings/support 2) Enter a Subject and description 3) Select Category "Billing" 4) Submit</t>
  </si>
  <si>
    <t>A platform_support_tickets row is written with category = 'billing'.</t>
  </si>
  <si>
    <t>The Category options on SettingsSupportPage — "billing"</t>
  </si>
  <si>
    <t>Category is what routes a ticket to the right team and sets its urgency. Each value is tested because one failing to save silently sends every such ticket to the default queue. This one covers a disputed invoice or a subscription question.</t>
  </si>
  <si>
    <t>platform_support_tickets where hospital_id = A → category = 'billing'</t>
  </si>
  <si>
    <t>TC-P2B-116</t>
  </si>
  <si>
    <t>Support ticket category "Technical" saves</t>
  </si>
  <si>
    <t>1) Open /settings/support 2) Enter a Subject and description 3) Select Category "Technical" 4) Submit</t>
  </si>
  <si>
    <t>A platform_support_tickets row is written with category = 'technical'.</t>
  </si>
  <si>
    <t>The Category options on SettingsSupportPage — "technical"</t>
  </si>
  <si>
    <t>Category is what routes a ticket to the right team and sets its urgency. Each value is tested because one failing to save silently sends every such ticket to the default queue. This one covers the system being down, which is the most time-critical category.</t>
  </si>
  <si>
    <t>platform_support_tickets where hospital_id = A → category = 'technical'</t>
  </si>
  <si>
    <t>TC-P2B-117</t>
  </si>
  <si>
    <t>Support ticket category "Clinical Workflow" saves</t>
  </si>
  <si>
    <t>1) Open /settings/support 2) Enter a Subject and description 3) Select Category "Clinical Workflow" 4) Submit</t>
  </si>
  <si>
    <t>A platform_support_tickets row is written with category = 'clinical_workflow'.</t>
  </si>
  <si>
    <t>The Category options on SettingsSupportPage — "clinical_workflow"</t>
  </si>
  <si>
    <t>Category is what routes a ticket to the right team and sets its urgency. Each value is tested because one failing to save silently sends every such ticket to the default queue. This one covers a workflow that does not match how the hospital actually works.</t>
  </si>
  <si>
    <t>platform_support_tickets where hospital_id = A → category = 'clinical_workflow'</t>
  </si>
  <si>
    <t>TC-P2B-118</t>
  </si>
  <si>
    <t>Support ticket category "Training" saves</t>
  </si>
  <si>
    <t>1) Open /settings/support 2) Enter a Subject and description 3) Select Category "Training" 4) Submit</t>
  </si>
  <si>
    <t>A platform_support_tickets row is written with category = 'training'.</t>
  </si>
  <si>
    <t>The Category options on SettingsSupportPage — "training"</t>
  </si>
  <si>
    <t>Category is what routes a ticket to the right team and sets its urgency. Each value is tested because one failing to save silently sends every such ticket to the default queue. This one covers a staff member who cannot use a screen.</t>
  </si>
  <si>
    <t>platform_support_tickets where hospital_id = A → category = 'training'</t>
  </si>
  <si>
    <t>TC-P2B-119</t>
  </si>
  <si>
    <t>A submitted ticket appears in the hospital's ticket list</t>
  </si>
  <si>
    <t>1) Open /settings/support 2) Submit a ticket 3) Reload the page 4) Read the ticket list</t>
  </si>
  <si>
    <t>The ticket is listed with its subject and status after the reload.</t>
  </si>
  <si>
    <t>Without a visible list the hospital cannot tell whether a ticket was raised, and submits it again — creating duplicates that slow the queue for everyone.</t>
  </si>
  <si>
    <t>platform_support_tickets where hospital_id = A and subject = 'QA Phase 2 smoke' → visible in the list</t>
  </si>
  <si>
    <t>TC-P2B-120</t>
  </si>
  <si>
    <t>A reply can be added to an existing ticket</t>
  </si>
  <si>
    <t>1) Open /settings/support 2) Open an existing ticket 3) Enter a reply 4) Send</t>
  </si>
  <si>
    <t>A "Reply sent" confirmation appears and the reply is stored against the ticket.</t>
  </si>
  <si>
    <t>phase2.entry./settings/support — a reply on the "QA Phase 2 smoke" ticket</t>
  </si>
  <si>
    <t>Support is a conversation. A reply that is not stored means the vendor never sees the extra detail and asks for it again by email, outside the system.</t>
  </si>
  <si>
    <t>the ticket replies table → 1 reply row against the QA ticket</t>
  </si>
  <si>
    <t>TC-P2B-121</t>
  </si>
  <si>
    <t>A submitted ticket survives a hard reload</t>
  </si>
  <si>
    <t>1) Open /settings/support 2) Submit a ticket 3) Hard-reload the page</t>
  </si>
  <si>
    <t>The ticket is still listed after the reload.</t>
  </si>
  <si>
    <t>A green toast is not a save. On a support form specifically, a false success means the hospital stops chasing an issue that nobody has received.</t>
  </si>
  <si>
    <t>TC-P2B-122</t>
  </si>
  <si>
    <t>Hospital A's support tickets are invisible to Hospital B</t>
  </si>
  <si>
    <t>1) Sign in as the Hospital B administrator 2) Open /settings/support as Hospital B 3) Query platform_support_tickets through the API with no hospital filter</t>
  </si>
  <si>
    <t>Not one Hospital A ticket is returned.</t>
  </si>
  <si>
    <t>Multi-tenancy, Platform</t>
  </si>
  <si>
    <t>Support tickets describe what is broken at a hospital and often quote real operational detail. One customer reading another's is a confidentiality breach that would end an enterprise contract.</t>
  </si>
  <si>
    <t>platform_support_tickets queried as the Hospital B admin → zero rows with hospital_id = A</t>
  </si>
  <si>
    <t>TC-P2B-123</t>
  </si>
  <si>
    <t>The Support screen is reachable by hospital_admin</t>
  </si>
  <si>
    <t>1) Log in as hospital_admin (Hospital A) 2) Navigate to /settings/support</t>
  </si>
  <si>
    <t>The screen loads and the ticket form is usable.</t>
  </si>
  <si>
    <t>MOCK_DATA_BOOK Staff logins — hospital_admin (Hospital A), Dr. Ravi Shankar</t>
  </si>
  <si>
    <t>Unlike the rest of Settings, support must be easy to reach in a crisis. A gate that is too tight here means the person who needs help cannot ask for it.</t>
  </si>
  <si>
    <t>TC-P2B-124</t>
  </si>
  <si>
    <t>The Support screen loads with no red console errors</t>
  </si>
  <si>
    <t>1) Open DevTools → Console 2) Open /settings/support 3) Submit a ticket 4) Read the console</t>
  </si>
  <si>
    <t>No red console text from the insert or the ticket list query.</t>
  </si>
  <si>
    <t>The insert uses an `as any` cast, so a column mismatch fails at runtime only. On the one screen a hospital uses to report problems, a silent failure is self-defeating.</t>
  </si>
  <si>
    <t>TC-P2B-125</t>
  </si>
  <si>
    <t>Training Videos screen loads</t>
  </si>
  <si>
    <t>1) Open /settings/training 2) Read the page</t>
  </si>
  <si>
    <t>The video list and a search box placeholdered "Search videos…" render. No red console errors.</t>
  </si>
  <si>
    <t>phase2.entry./settings/training — search term OPD</t>
  </si>
  <si>
    <t>LMS, all modules</t>
  </si>
  <si>
    <t>Training videos are how a ward nurse in a Tier-2 town learns a screen without a trainer on site. An unreachable library is a direct adoption risk in the first 30 days after go-live.</t>
  </si>
  <si>
    <t>platform_training_videos → matches the videos displayed</t>
  </si>
  <si>
    <t>TC-P2B-126</t>
  </si>
  <si>
    <t>Training videos are listed</t>
  </si>
  <si>
    <t>1) Open /settings/training 2) Count the videos shown</t>
  </si>
  <si>
    <t>At least one training video renders with a title.</t>
  </si>
  <si>
    <t>platform_training_videos — the seeded platform library</t>
  </si>
  <si>
    <t>LMS</t>
  </si>
  <si>
    <t>An empty library on a screen that promises "short how-to videos for every role" tells a new hospital the product is unfinished.</t>
  </si>
  <si>
    <t>platform_training_videos → at least 1 row</t>
  </si>
  <si>
    <t>TC-P2B-127</t>
  </si>
  <si>
    <t>Searching filters the video list</t>
  </si>
  <si>
    <t>1) Open /settings/training 2) Type "OPD" into the search box 3) Read the results</t>
  </si>
  <si>
    <t>Only videos matching OPD remain listed.</t>
  </si>
  <si>
    <t>LMS, OPD</t>
  </si>
  <si>
    <t xml:space="preserve">Automated: FAILED.
Error: Searching did not change the list. A receptionist looking for the OPD token video should not have to scroll the whole library during a shift.
expect(received).not.toBe(expected) // Object.is equality
Expected: not 450</t>
  </si>
  <si>
    <t>A receptionist looking for the OPD token video should not have to scroll every video in the library. Search is what makes the library usable during a shift.</t>
  </si>
  <si>
    <t>None — client-side filter</t>
  </si>
  <si>
    <t>TC-P2B-128</t>
  </si>
  <si>
    <t>A search with no matches shows an empty state rather than a blank page</t>
  </si>
  <si>
    <t>1) Open /settings/training 2) Type "zzzznotathing" into the search box</t>
  </si>
  <si>
    <t>A message explains that no videos matched. The page does not go blank or error.</t>
  </si>
  <si>
    <t>A blank result area reads as a broken page, and a user who thinks training is broken stops looking for help entirely.</t>
  </si>
  <si>
    <t>TC-P2B-129</t>
  </si>
  <si>
    <t>The Training screen offers no save action</t>
  </si>
  <si>
    <t>1) Open /settings/training 2) Look for a Save control</t>
  </si>
  <si>
    <t>No Save button renders — the screen is read-only, and the video library is platform-managed.</t>
  </si>
  <si>
    <t>None — asserts the absence of a save control</t>
  </si>
  <si>
    <t>The library belongs to the vendor, not the hospital. A save control here would imply a hospital can edit content it cannot, which is a promise the screen must not make.</t>
  </si>
  <si>
    <t>None — asserts no write path exists</t>
  </si>
  <si>
    <t>TC-P2B-130</t>
  </si>
  <si>
    <t>A training video can be opened</t>
  </si>
  <si>
    <t>1) Open /settings/training 2) Click a video</t>
  </si>
  <si>
    <t>The video opens in a player or a new tab without a console error.</t>
  </si>
  <si>
    <t>platform_training_videos — the first seeded video</t>
  </si>
  <si>
    <t xml:space="preserve">Automated: FAILED.
Error: Opening a video produced console errors:
`DialogContent` requires a `DialogTitle` for the component to be accessible for screen reader users.
If you want to hide the `DialogTitle`, you can wrap it with our VisuallyHidden component.
For more information, see https://radix-ui.com/primitives/docs/components/dialog
A library that lists videos nobody can play is worse than no library.
expect(received).toHaveLength(expected)
Expected length: 0
Received length: 1
Received array:  ["`DialogContent` requires a `DialogTitle` for the component to be accessible for screen reader users.·
If you want to hide the `DialogTitle`, you can wrap it with our VisuallyHidden component.·
For more information, see https://radix-ui.com/primitives/docs/components/dialog"]</t>
  </si>
  <si>
    <t xml:space="preserve">`DialogContent` requires a `DialogTitle` for the component to be accessible for screen reader users.
If you want to hide the `DialogTitle`, you can wrap it with our VisuallyHidden component.
For more information, see https://radix-ui.com/primitives/docs/components/dialog</t>
  </si>
  <si>
    <t>A library that lists videos nobody can play is worse than no library — the hospital concludes training does not exist and stops checking.</t>
  </si>
  <si>
    <t>None — playback interaction</t>
  </si>
  <si>
    <t>TC-P2B-131</t>
  </si>
  <si>
    <t>Videos carry the role they are aimed at</t>
  </si>
  <si>
    <t>1) Open /settings/training 2) Read the video metadata</t>
  </si>
  <si>
    <t>Videos indicate the role or module they cover, so a nurse can find nursing content.</t>
  </si>
  <si>
    <t>platform_training_videos — role metadata on the seeded library</t>
  </si>
  <si>
    <t>LMS, HR</t>
  </si>
  <si>
    <t>The catalogue promises "short how-to videos for every role". Without role metadata a pharmacist has to watch billing videos to find out they are not relevant.</t>
  </si>
  <si>
    <t>platform_training_videos → role or module metadata is present</t>
  </si>
  <si>
    <t>TC-P2B-132</t>
  </si>
  <si>
    <t>The training library is shared platform content, not tenant data</t>
  </si>
  <si>
    <t>1) Open /settings/training as Hospital A and note the videos 2) Sign in as the Hospital B administrator 3) Open /settings/training as Hospital B</t>
  </si>
  <si>
    <t>Both hospitals see the same platform-managed library. No hospital-specific rows leak between them.</t>
  </si>
  <si>
    <t>Multi-tenancy, LMS</t>
  </si>
  <si>
    <t>This table is deliberately shared, which makes it the one place where seeing the same rows in both tenants is correct. Recorded explicitly so it is never "fixed" into a tenant-scoped table by mistake.</t>
  </si>
  <si>
    <t>platform_training_videos → identical rows visible to both tenants</t>
  </si>
  <si>
    <t>TC-P2B-133</t>
  </si>
  <si>
    <t>The Training screen is reachable by hospital_admin</t>
  </si>
  <si>
    <t>1) Log in as hospital_admin (Hospital A) 2) Navigate to /settings/training</t>
  </si>
  <si>
    <t>The screen loads and videos are listed.</t>
  </si>
  <si>
    <t>Training is read-only vendor content with no patient data in it, so the gate here should be permissive. A gate that is too tight blocks the adoption the videos exist to drive.</t>
  </si>
  <si>
    <t>TC-P2B-134</t>
  </si>
  <si>
    <t>The Training screen loads with no red console errors</t>
  </si>
  <si>
    <t>1) Open DevTools → Console 2) Open /settings/training 3) Search and open a video 4) Read the console</t>
  </si>
  <si>
    <t>No red console text, including from the video embed.</t>
  </si>
  <si>
    <t>Video embeds pull from an external host. A blocked embed shows as an empty player with the real cause visible only in the console.</t>
  </si>
  <si>
    <t>TC-P2C-001</t>
  </si>
  <si>
    <t>2C Plan &amp; Entitlement</t>
  </si>
  <si>
    <t>Plan &amp; Billing screen loads</t>
  </si>
  <si>
    <t>1) Log in as hospital_admin (Hospital A) 2) Open /settings/plan 3) Read the page</t>
  </si>
  <si>
    <t>The current plan, usage statistics and invoice history render. No red console errors.</t>
  </si>
  <si>
    <t>MOCK_DATA_BOOK Hospital A — Professional plan</t>
  </si>
  <si>
    <t>All modules, Billing</t>
  </si>
  <si>
    <t>Tier 0: hospital profile created; a subscription row exists for the tenant</t>
  </si>
  <si>
    <t xml:space="preserve">Automated: FAILED.
Error: Console errors:
Failed to load resource: the server responded with a status of 404 ()
Failed to load resource: the server responded with a status of 404 ()
expect(received).toHaveLength(expected)
Expected length: 0
Received length: 2
Received array:  ["Failed to load resource: the server responded with a status of 404 ()", "Failed to load resource: the server responded with a status of 404 ()"]</t>
  </si>
  <si>
    <t xml:space="preserve">Failed to load resource: the server responded with a status of 404 ()
Failed to load resource: the server responded with a status of 404 ()</t>
  </si>
  <si>
    <t>The plan determines which of the 39 modules exist at all. If this screen will not load, a hospital cannot see what it is paying for or discover why a module is missing.</t>
  </si>
  <si>
    <t>hospital_subscriptions where hospital_id = A → 1 row matching the plan displayed</t>
  </si>
  <si>
    <t>e2e/phase-02-settings/P2C.plan-entitlement.spec.ts</t>
  </si>
  <si>
    <t>TC-P2C-002</t>
  </si>
  <si>
    <t>The current plan shown matches the subscription row</t>
  </si>
  <si>
    <t>1) Open /settings/plan 2) Read the plan name 3) Compare against hospital_subscriptions</t>
  </si>
  <si>
    <t>The screen shows the Professional plan, matching hospital_subscriptions for Hospital A.</t>
  </si>
  <si>
    <t>SETTINGS_PREREQ_MATRIX puts the plan in Tier 0 because whole sections of the app disappear without it. A screen showing a different plan from the one enforced means every access denial looks like a bug.</t>
  </si>
  <si>
    <t>hospital_subscriptions where hospital_id = A → plan matches 'Professional'</t>
  </si>
  <si>
    <t>TC-P2C-003</t>
  </si>
  <si>
    <t>Staff usage is counted against the plan</t>
  </si>
  <si>
    <t>1) Open /settings/plan 2) Read the staff usage figure 3) Compare against the active users for Hospital A</t>
  </si>
  <si>
    <t>The staff count matches the number of active users in the tenant.</t>
  </si>
  <si>
    <t>MOCK_DATA_BOOK Staff logins — 17 Hospital A accounts</t>
  </si>
  <si>
    <t>HR, Plan gating</t>
  </si>
  <si>
    <t>Staff count drives seat billing. A figure that drifts from reality means the hospital is either over-charged or silently exceeding what it pays for.</t>
  </si>
  <si>
    <t>users where hospital_id = A and is_active = true → count matches the displayed figure</t>
  </si>
  <si>
    <t>TC-P2C-004</t>
  </si>
  <si>
    <t>Bed usage is counted against the plan bed limit</t>
  </si>
  <si>
    <t>1) Open /settings/wards and note the total beds 2) Open /settings/plan 3) Read the bed usage figure</t>
  </si>
  <si>
    <t>The bed usage matches the count of beds rows for Hospital A, and is shown against the plan maximum.</t>
  </si>
  <si>
    <t>MOCK_DATA_BOOK Wards &amp; beds — 32 seeded beds across six wards</t>
  </si>
  <si>
    <t>IPD, Plan gating</t>
  </si>
  <si>
    <t>The bed limit is enforced when creating a ward (TC-P2D-054). If the count shown here disagrees with the count the gate uses, a hospital is blocked from adding a bed while this screen says it has room.</t>
  </si>
  <si>
    <t>beds where hospital_id = A → count matches the displayed bed usage</t>
  </si>
  <si>
    <t>TC-P2C-005</t>
  </si>
  <si>
    <t>Encounter usage for the billing cycle renders</t>
  </si>
  <si>
    <t>1) Open /settings/plan 2) Read the encounter usage figure</t>
  </si>
  <si>
    <t>Encounter usage for the current billing cycle renders from hospital_encounter_usage without error.</t>
  </si>
  <si>
    <t>hospital_encounter_usage — the current cycle for Hospital A</t>
  </si>
  <si>
    <t>OPD, IPD, Billing</t>
  </si>
  <si>
    <t>Encounter volume is the metered dimension on usage-based plans. A hospital that cannot see it has no warning before an overage lands on the invoice.</t>
  </si>
  <si>
    <t>hospital_encounter_usage where hospital_id = A → matches the displayed figure</t>
  </si>
  <si>
    <t>TC-P2C-006</t>
  </si>
  <si>
    <t>AI usage for the calendar month renders as observability only</t>
  </si>
  <si>
    <t>1) Open /settings/plan 2) Locate the AI usage figure 3) Confirm it is presented as information, not as a gate</t>
  </si>
  <si>
    <t>AI spend for the current calendar month renders. It is labelled as observability and does not itself block anything.</t>
  </si>
  <si>
    <t>ai_cost_daily — the current month for Hospital A</t>
  </si>
  <si>
    <t>AI budget is enforced separately in hospital_ai_wallet. Presenting this figure as a limit would make an administrator think AI is blocked when the real gate is elsewhere — SETTINGS_PREREQ_MATRIX warns there are three independent AI gates.</t>
  </si>
  <si>
    <t>ai_cost_daily where hospital_id = A → matches the displayed spend</t>
  </si>
  <si>
    <t>TC-P2C-007</t>
  </si>
  <si>
    <t>Storage usage renders from the per-tenant RPC</t>
  </si>
  <si>
    <t>1) Open /settings/plan 2) Read the storage usage figure</t>
  </si>
  <si>
    <t>Storage usage renders as a size, without a console error from the get_storage_usage RPC.</t>
  </si>
  <si>
    <t>get_storage_usage RPC for Hospital A</t>
  </si>
  <si>
    <t>MRD, Radiology</t>
  </si>
  <si>
    <t>Storage fills up with scanned records and DICOM images. A hospital that cannot see the figure gets no warning before uploads start failing mid-clinic.</t>
  </si>
  <si>
    <t>get_storage_usage RPC returns a value for Hospital A</t>
  </si>
  <si>
    <t>TC-P2C-008</t>
  </si>
  <si>
    <t>The upgrade dialog opens</t>
  </si>
  <si>
    <t>1) Open /settings/plan 2) Click the upgrade action 3) Observe the dialog</t>
  </si>
  <si>
    <t>The upgrade dialog opens listing the plans available above the current one.</t>
  </si>
  <si>
    <t>subscription_plans — the plans above Professional</t>
  </si>
  <si>
    <t>Plan gating, Billing</t>
  </si>
  <si>
    <t xml:space="preserve">Automated: FAILED.
Error: Every plan gate in the product points here. A gate that leads to a dialog that will not open turns a sales opportunity into a dead end.
expect(locator).toBeVisible() failed
Locator: getByRole('dialog').first()
Expected: visible
Timeout: 15000ms
Error: element(s) not found
Call log:
  - Every plan gate in the product points here. A gate that leads to a dialog that will not open turns a sales opportunity into a dead end. with timeout 15000ms
  - waiting for getByRole('dialog').first()</t>
  </si>
  <si>
    <t>Every plan gate elsewhere in the product points the user here. A gate that leads to a dialog that will not open turns a sales opportunity into a dead end.</t>
  </si>
  <si>
    <t>subscription_plans → the plans offered match what the dialog lists</t>
  </si>
  <si>
    <t>TC-P2C-009</t>
  </si>
  <si>
    <t>Other available plans are listed for comparison</t>
  </si>
  <si>
    <t>1) Open /settings/plan 2) Read the plan comparison section</t>
  </si>
  <si>
    <t>Plans other than the current one are listed with their prices.</t>
  </si>
  <si>
    <t>subscription_plans — the full plan catalogue</t>
  </si>
  <si>
    <t>Plan gating</t>
  </si>
  <si>
    <t>A hospital deciding whether to upgrade needs to see what it would get. Showing only the current plan makes the upgrade decision impossible without contacting sales.</t>
  </si>
  <si>
    <t>subscription_plans → more than one plan is listed</t>
  </si>
  <si>
    <t>TC-P2C-010</t>
  </si>
  <si>
    <t>The add-on catalogue lists purchasable add-ons</t>
  </si>
  <si>
    <t>1) Open /settings/plan 2) Read the add-on section</t>
  </si>
  <si>
    <t>Add-ons from addon_skus render with their names and monthly prices.</t>
  </si>
  <si>
    <t>addon_skus — the platform add-on catalogue</t>
  </si>
  <si>
    <t>Plan gating, AI Suite</t>
  </si>
  <si>
    <t>Add-ons carry the ai_feature_keys that unlock AI features. SETTINGS_PREREQ_MATRIX names plan entitlement as the first of three gates on any AI button — if the catalogue does not render, the hospital cannot buy the entitlement it needs.</t>
  </si>
  <si>
    <t>addon_skus → the catalogue rows match what is displayed</t>
  </si>
  <si>
    <t>TC-P2C-011</t>
  </si>
  <si>
    <t>Add-ons the hospital already owns are distinguished from the catalogue</t>
  </si>
  <si>
    <t>1) Open /settings/plan 2) Compare the add-on list against hospital_addons for Hospital A</t>
  </si>
  <si>
    <t>Owned add-ons are marked as owned and are not offered for purchase again.</t>
  </si>
  <si>
    <t>hospital_addons — the add-ons granted to Hospital A</t>
  </si>
  <si>
    <t>Offering an add-on the hospital already pays for invites a duplicate purchase, and a duplicate grant makes the entitlement calculation ambiguous.</t>
  </si>
  <si>
    <t>hospital_addons where hospital_id = A → each owned SKU is marked owned in the UI</t>
  </si>
  <si>
    <t>TC-P2C-012</t>
  </si>
  <si>
    <t>Add-on prices render in en-IN grouping with the rupee symbol</t>
  </si>
  <si>
    <t>1) Open /settings/plan 2) Read an add-on monthly price</t>
  </si>
  <si>
    <t>Prices render as ₹ amounts with Indian digit grouping, via formatCurrency().</t>
  </si>
  <si>
    <t>addon_skus — price_monthly on the catalogue rows</t>
  </si>
  <si>
    <t>This is a purchase decision screen. A price rendered as a bare number or with international grouping misstates what the hospital is committing to.</t>
  </si>
  <si>
    <t>addon_skus.price_monthly → rendered with ₹ and Indian grouping</t>
  </si>
  <si>
    <t>TC-P2C-013</t>
  </si>
  <si>
    <t>Subscription invoices are listed</t>
  </si>
  <si>
    <t>1) Open /settings/plan 2) Read the invoice history</t>
  </si>
  <si>
    <t>Rows from subscription_invoices render with their dates and amounts, or an empty state if there are none.</t>
  </si>
  <si>
    <t>subscription_invoices — the invoice history for Hospital A</t>
  </si>
  <si>
    <t>The hospital's finance team reconciles the software spend against these invoices. Missing history means the spend cannot be verified at audit.</t>
  </si>
  <si>
    <t>subscription_invoices where hospital_id = A → match the rows displayed</t>
  </si>
  <si>
    <t>TC-P2C-014</t>
  </si>
  <si>
    <t>An invoice can be downloaded</t>
  </si>
  <si>
    <t>1) Open /settings/plan 2) Click download on an invoice 3) Observe the result</t>
  </si>
  <si>
    <t>An invoice document is produced, or a clear message explains why it is unavailable. No unhandled error.</t>
  </si>
  <si>
    <t>N/A</t>
  </si>
  <si>
    <t>subscription_invoices — the most recent invoice for Hospital A</t>
  </si>
  <si>
    <t>Automated: skipped — precondition not met (see spec skip reason).</t>
  </si>
  <si>
    <t>The invoice is a tax document the hospital needs for its own books. A download that fails silently forces a support ticket for something that should be self-service.</t>
  </si>
  <si>
    <t>None — download interaction</t>
  </si>
  <si>
    <t>TC-P2C-015</t>
  </si>
  <si>
    <t>Payment history renders</t>
  </si>
  <si>
    <t>1) Open /settings/plan 2) Read the payment history table</t>
  </si>
  <si>
    <t>Past payments render with dates and amounts, or an empty state.</t>
  </si>
  <si>
    <t>subscription_invoices — payment records for Hospital A</t>
  </si>
  <si>
    <t>Accounts, Payments</t>
  </si>
  <si>
    <t>A hospital disputing a charge needs to see what was actually taken and when. Without it the conversation starts with the vendor's word against theirs.</t>
  </si>
  <si>
    <t>None — reads the payment history table</t>
  </si>
  <si>
    <t>TC-P2C-016</t>
  </si>
  <si>
    <t>An unlimited limit renders as unlimited, not as zero percent</t>
  </si>
  <si>
    <t>1) Open /settings/plan 2) Find a usage meter whose plan limit is null 3) Read how it is presented</t>
  </si>
  <si>
    <t>A null limit renders as "unlimited" and its meter reads 0% used — never as a limit of zero.</t>
  </si>
  <si>
    <t>subscription_plans — a plan dimension with a null limit</t>
  </si>
  <si>
    <t>A null limit meaning "unlimited" and a limit of zero meaning "none allowed" are opposites. Confusing them shows a hospital on an unlimited plan as permanently at capacity.</t>
  </si>
  <si>
    <t>subscription_plans → a null limit renders as unlimited</t>
  </si>
  <si>
    <t>TC-P2C-017</t>
  </si>
  <si>
    <t>A dimension over its limit renders as fully consumed</t>
  </si>
  <si>
    <t>1) Open /settings/plan 2) Find a usage dimension at or beyond its plan limit 3) Read the meter</t>
  </si>
  <si>
    <t>The meter caps at 100% and the over-limit state is visibly flagged rather than overflowing the bar.</t>
  </si>
  <si>
    <t>MOCK_DATA_BOOK Hospital A — usage against the Professional plan limits</t>
  </si>
  <si>
    <t>Plan gating, IPD</t>
  </si>
  <si>
    <t>Being over a limit is exactly when the hospital needs to notice. A meter that renders past 100% or wraps hides the one state that requires action.</t>
  </si>
  <si>
    <t>None — reads the usage meter presentation</t>
  </si>
  <si>
    <t>TC-P2C-018</t>
  </si>
  <si>
    <t>Hospital B on the Starter plan sees a different plan and different limits</t>
  </si>
  <si>
    <t>1) Sign in as the Hospital B administrator 2) Open /settings/plan 3) Read the plan and limits</t>
  </si>
  <si>
    <t>Hospital B shows the Starter/trial plan with its own limits — never Hospital A's Professional plan.</t>
  </si>
  <si>
    <t>MOCK_DATA_BOOK Hospitals — Hospital A Professional, Hospital B Starter (trial)</t>
  </si>
  <si>
    <t>Multi-tenancy, Plan gating</t>
  </si>
  <si>
    <t xml:space="preserve">Automated: FAILED.
Error: Hospital B's plan screen shows "professional" — Hospital A's plan. The plan decides which modules exist, so reading the wrong subscription row grants or denies modules according to another hospital's contract.
expect(received).toBeFalsy()
Received: true</t>
  </si>
  <si>
    <t>The plan decides which modules exist. A tenant reading the wrong subscription row would be granted or denied modules according to another hospital's contract.</t>
  </si>
  <si>
    <t>hospital_subscriptions queried as the Hospital B admin → only the Hospital B row</t>
  </si>
  <si>
    <t>TC-P2C-019</t>
  </si>
  <si>
    <t>Hospital A's subscription and invoices are invisible to Hospital B</t>
  </si>
  <si>
    <t>1) Sign in as the Hospital B administrator 2) Open /settings/plan as Hospital B 3) Query hospital_subscriptions and subscription_invoices through the API with no hospital filter</t>
  </si>
  <si>
    <t>No Hospital A subscription or invoice row is returned.</t>
  </si>
  <si>
    <t>Multi-tenancy, Accounts</t>
  </si>
  <si>
    <t>Invoices reveal what another hospital pays. In a market where the same consultant advises several hospitals, a pricing leak between tenants is commercially damaging and a contract breach.</t>
  </si>
  <si>
    <t>subscription_invoices queried as the Hospital B admin → zero rows for Hospital A</t>
  </si>
  <si>
    <t>TC-P2C-020</t>
  </si>
  <si>
    <t>A receptionist cannot reach the Plan &amp; Billing screen</t>
  </si>
  <si>
    <t>1) Log in as receptionist (Hospital A) 2) Navigate directly to /settings/plan</t>
  </si>
  <si>
    <t>The route is blocked — redirected away, or an explicit access-denied message. No invoice amounts render.</t>
  </si>
  <si>
    <t>Accounts, Plan gating</t>
  </si>
  <si>
    <t>Failed to load resource: the server responded with a status of 404 ()</t>
  </si>
  <si>
    <t>This screen exposes what the hospital pays and can trigger an upgrade purchase. Both belong to the administrator, not the front desk.</t>
  </si>
  <si>
    <t>TC-P2C-021</t>
  </si>
  <si>
    <t>AI Features screen loads with all seven feature toggles</t>
  </si>
  <si>
    <t>1) Open /settings/ai-features 2) Count the feature toggles</t>
  </si>
  <si>
    <t>Seven toggles render — Clinical Note Drafting, Discharge Summary, Differential Diagnosis, ICD-10 Code Suggestions, Radiology Impression, Voice Dictation and Executive Digest. No red console errors.</t>
  </si>
  <si>
    <t>AI_FEATURES in SettingsAIFeaturesPage — 7 keys</t>
  </si>
  <si>
    <t>AI Suite, OPD, IPD, Radiology</t>
  </si>
  <si>
    <t xml:space="preserve">Automated: FAILED.
Error: AI feature(s) not rendered: Clinical Note Drafting, Discharge Summary, Differential Diagnosis, ICD-10 Code Suggestions, Radiology Impression, Voice Dictation (AI-enhanced), Executive Digest. This is the second of three stacked gates on every AI button — a missing toggle is a feature that can never be switched on.
expect(received).toEqual(expected) // deep equality
- Expected  - 1
+ Received  + 9
- Array []
+ Array [
+   "Clinical Note Drafting",
+   "Discharge Summary",
+   "Differential Diagnosis",
+   "ICD-10 Code Suggestions",
+   "Radiology Impression",
+   "Voice Dictation (AI-enhanced)",
+   "Executive Digest",
+ ]</t>
  </si>
  <si>
    <t>This is the second of the three gates SETTINGS_PREREQ_MATRIX names on every AI button — plan entitlement, this hospital toggle, and the AI budget. A missing toggle means a feature that can never be switched on.</t>
  </si>
  <si>
    <t>hospitals where id = A → ai_feature_flags holds all 7 keys</t>
  </si>
  <si>
    <t>TC-P2C-022</t>
  </si>
  <si>
    <t>The enabled-feature count reflects the toggles</t>
  </si>
  <si>
    <t>1) Open /settings/ai-features 2) Read the "N of 7 AI features enabled" summary 3) Toggle one feature off 4) Re-read the summary</t>
  </si>
  <si>
    <t>The count updates immediately to match the number of enabled toggles.</t>
  </si>
  <si>
    <t xml:space="preserve">Automated: FAILED.
Error: No enabled-feature summary. The count is the at-a-glance answer to "how much AI is switched on here", which is the first question a DPDP or CDSCO reviewer asks.
expect(received).toBeTruthy()
Received: false</t>
  </si>
  <si>
    <t>The count is the at-a-glance answer to "how much AI is switched on here", which is the first question a DPDP or CDSCO reviewer asks. A stale count misrepresents the hospital's own posture.</t>
  </si>
  <si>
    <t>None — reads the live count</t>
  </si>
  <si>
    <t>TC-P2C-023</t>
  </si>
  <si>
    <t>The doctor attestation policy is stated on the screen</t>
  </si>
  <si>
    <t>1) Open /settings/ai-features 2) Read the policy text</t>
  </si>
  <si>
    <t>The screen states that all AI-generated clinical content requires doctor attestation before it is saved, and that attestations are logged with the doctor's identity.</t>
  </si>
  <si>
    <t>The attestation policy text on SettingsAIFeaturesPage</t>
  </si>
  <si>
    <t>AI Suite, Quality, MRD</t>
  </si>
  <si>
    <t xml:space="preserve">Automated: FAILED.
Error: The attestation policy is not stated. Human-in-the-loop attestation is what keeps these features below the CDSCO SaMD threshold — it has to be visible to the person switching them on, not buried in a contract.
expect(received).toBeTruthy()
Received: false</t>
  </si>
  <si>
    <t>Human-in-the-loop attestation is what keeps these features below the CDSCO SaMD threshold that would require device registration. The policy has to be visible to the person switching the features on, not buried in a contract.</t>
  </si>
  <si>
    <t>None — reads the policy text</t>
  </si>
  <si>
    <t>TC-P2C-024</t>
  </si>
  <si>
    <t>Features on a clinical decision path are marked as critical</t>
  </si>
  <si>
    <t>1) Open /settings/ai-features 2) Identify which features carry a critical marker</t>
  </si>
  <si>
    <t>Clinical Note Drafting, Discharge Summary, Differential Diagnosis and Radiology Impression are marked critical. Executive Digest is not.</t>
  </si>
  <si>
    <t>AI_FEATURES in SettingsAIFeaturesPage — the critical flag</t>
  </si>
  <si>
    <t>AI Suite, Quality</t>
  </si>
  <si>
    <t>An administrator switching on Differential Diagnosis is making a patient-safety decision; switching on Executive Digest is not. Presenting them identically invites the clinical ones to be enabled without thought.</t>
  </si>
  <si>
    <t>None — reads the critical markers</t>
  </si>
  <si>
    <t>TC-P2C-025</t>
  </si>
  <si>
    <t>Saving writes ai_feature_flags to the hospital row</t>
  </si>
  <si>
    <t>1) Open /settings/ai-features 2) Toggle Executive Digest off 3) Click Save 4) Check the hospital row</t>
  </si>
  <si>
    <t>hospitals.ai_feature_flags reflects the toggle state, with executive_digest false.</t>
  </si>
  <si>
    <t>AI_FEATURES — executive_digest toggled off</t>
  </si>
  <si>
    <t>This toggle is a real gate on whether an AI button renders at all. A save that does not persist means a hospital believes it has disabled a clinical AI feature while doctors continue to see it.</t>
  </si>
  <si>
    <t>hospitals where id = A → ai_feature_flags-&gt;&gt;'executive_digest' = 'false'</t>
  </si>
  <si>
    <t>TC-P2C-026</t>
  </si>
  <si>
    <t>A failed AI settings save does not report success</t>
  </si>
  <si>
    <t>1) Open DevTools → Network 2) Open /settings/ai-features 3) Toggle a feature 4) Click Save 5) Compare the toast against the actual response</t>
  </si>
  <si>
    <t>A success toast appears only when the update succeeded. If the update is rejected, a destructive message says so.</t>
  </si>
  <si>
    <t>AI_FEATURES — any feature toggled</t>
  </si>
  <si>
    <t>handleSave awaits the Supabase update but never inspects its error, then toasts success unconditionally. If RLS rejects the write or the column is missing, the hospital is told its AI configuration saved when it did not — and on a clinical AI gate that is a safety-relevant false confirmation, not a cosmetic one.</t>
  </si>
  <si>
    <t>hospitals where id = A → ai_feature_flags actually changed whenever success was reported</t>
  </si>
  <si>
    <t>TC-P2C-027</t>
  </si>
  <si>
    <t>AI feature "Clinical Note Drafting" can be toggled off and stays off after a reload</t>
  </si>
  <si>
    <t>1) Open /settings/ai-features 2) Toggle "Clinical Note Drafting" off 3) Click Save 4) Hard-reload the page 5) Re-read the toggle</t>
  </si>
  <si>
    <t>hospitals.ai_feature_flags.clinical_note = false and the toggle still reads off after the reload.</t>
  </si>
  <si>
    <t>AI_FEATURES in SettingsAIFeaturesPage — key "clinical_note"</t>
  </si>
  <si>
    <t>Each key is stored as its own flag, so one can fail to persist while the others save. Switching this feature off must actually stop it: a drafted note becomes the legal clinical record once a doctor signs it.</t>
  </si>
  <si>
    <t>hospitals where id = A → ai_feature_flags-&gt;&gt;'clinical_note' = 'false'</t>
  </si>
  <si>
    <t>TC-P2C-028</t>
  </si>
  <si>
    <t>AI feature "Discharge Summary" can be toggled off and stays off after a reload</t>
  </si>
  <si>
    <t>1) Open /settings/ai-features 2) Toggle "Discharge Summary" off 3) Click Save 4) Hard-reload the page 5) Re-read the toggle</t>
  </si>
  <si>
    <t>hospitals.ai_feature_flags.discharge_summary = false and the toggle still reads off after the reload.</t>
  </si>
  <si>
    <t>AI_FEATURES in SettingsAIFeaturesPage — key "discharge_summary"</t>
  </si>
  <si>
    <t>Each key is stored as its own flag, so one can fail to persist while the others save. Switching this feature off must actually stop it: the discharge summary is what the next treating doctor reads, often the only handover a patient carries.</t>
  </si>
  <si>
    <t>hospitals where id = A → ai_feature_flags-&gt;&gt;'discharge_summary' = 'false'</t>
  </si>
  <si>
    <t>TC-P2C-029</t>
  </si>
  <si>
    <t>AI feature "Differential Diagnosis" can be toggled off and stays off after a reload</t>
  </si>
  <si>
    <t>1) Open /settings/ai-features 2) Toggle "Differential Diagnosis" off 3) Click Save 4) Hard-reload the page 5) Re-read the toggle</t>
  </si>
  <si>
    <t>hospitals.ai_feature_flags.differential_dx = false and the toggle still reads off after the reload.</t>
  </si>
  <si>
    <t>AI_FEATURES in SettingsAIFeaturesPage — key "differential_dx"</t>
  </si>
  <si>
    <t>Each key is stored as its own flag, so one can fail to persist while the others save. Switching this feature off must actually stop it: a suggested differential can anchor a clinician on the wrong diagnosis — the classic AI harm in this setting.</t>
  </si>
  <si>
    <t>hospitals where id = A → ai_feature_flags-&gt;&gt;'differential_dx' = 'false'</t>
  </si>
  <si>
    <t>TC-P2C-030</t>
  </si>
  <si>
    <t>AI feature "ICD-10 Code Suggestions" can be toggled off and stays off after a reload</t>
  </si>
  <si>
    <t>1) Open /settings/ai-features 2) Toggle "ICD-10 Code Suggestions" off 3) Click Save 4) Hard-reload the page 5) Re-read the toggle</t>
  </si>
  <si>
    <t>hospitals.ai_feature_flags.icd_suggest = false and the toggle still reads off after the reload.</t>
  </si>
  <si>
    <t>AI_FEATURES in SettingsAIFeaturesPage — key "icd_suggest"</t>
  </si>
  <si>
    <t>Each key is stored as its own flag, so one can fail to persist while the others save. Switching this feature off must actually stop it: a wrong ICD code is a rejected insurance claim and a distorted morbidity return.</t>
  </si>
  <si>
    <t>hospitals where id = A → ai_feature_flags-&gt;&gt;'icd_suggest' = 'false'</t>
  </si>
  <si>
    <t>TC-P2C-031</t>
  </si>
  <si>
    <t>AI feature "Radiology Impression" can be toggled off and stays off after a reload</t>
  </si>
  <si>
    <t>1) Open /settings/ai-features 2) Toggle "Radiology Impression" off 3) Click Save 4) Hard-reload the page 5) Re-read the toggle</t>
  </si>
  <si>
    <t>hospitals.ai_feature_flags.radiology_impression = false and the toggle still reads off after the reload.</t>
  </si>
  <si>
    <t>AI_FEATURES in SettingsAIFeaturesPage — key "radiology_impression"</t>
  </si>
  <si>
    <t>Each key is stored as its own flag, so one can fail to persist while the others save. Switching this feature off must actually stop it: an AI impression a radiologist accepts without reading is a missed finding.</t>
  </si>
  <si>
    <t>hospitals where id = A → ai_feature_flags-&gt;&gt;'radiology_impression' = 'false'</t>
  </si>
  <si>
    <t>TC-P2C-032</t>
  </si>
  <si>
    <t>AI feature "Voice Dictation (AI-enhanced)" can be toggled off and stays off after a reload</t>
  </si>
  <si>
    <t>1) Open /settings/ai-features 2) Toggle "Voice Dictation (AI-enhanced)" off 3) Click Save 4) Hard-reload the page 5) Re-read the toggle</t>
  </si>
  <si>
    <t>hospitals.ai_feature_flags.voice_dictation = false and the toggle still reads off after the reload.</t>
  </si>
  <si>
    <t>AI_FEATURES in SettingsAIFeaturesPage — key "voice_dictation"</t>
  </si>
  <si>
    <t>Each key is stored as its own flag, so one can fail to persist while the others save. Switching this feature off must actually stop it: a mis-transcribed drug name or dose reaches the ward as a real order.</t>
  </si>
  <si>
    <t>hospitals where id = A → ai_feature_flags-&gt;&gt;'voice_dictation' = 'false'</t>
  </si>
  <si>
    <t>TC-P2C-033</t>
  </si>
  <si>
    <t>AI feature "Executive Digest" can be toggled off and stays off after a reload</t>
  </si>
  <si>
    <t>1) Open /settings/ai-features 2) Toggle "Executive Digest" off 3) Click Save 4) Hard-reload the page 5) Re-read the toggle</t>
  </si>
  <si>
    <t>hospitals.ai_feature_flags.executive_digest = false and the toggle still reads off after the reload.</t>
  </si>
  <si>
    <t>AI_FEATURES in SettingsAIFeaturesPage — key "executive_digest"</t>
  </si>
  <si>
    <t>Each key is stored as its own flag, so one can fail to persist while the others save. Switching this feature off must actually stop it: a management summary, the one feature here with no patient-safety path.</t>
  </si>
  <si>
    <t>TC-P2C-034</t>
  </si>
  <si>
    <t>Every AI feature defaults to enabled when nothing is stored</t>
  </si>
  <si>
    <t>1) Clear ai_feature_flags for Hospital A 2) Open /settings/ai-features 3) Read every toggle</t>
  </si>
  <si>
    <t>All seven toggles read on, matching the shipped defaults. None renders blank or indeterminate.</t>
  </si>
  <si>
    <t>DEFAULT_FLAGS in SettingsAIFeaturesPage — every key true</t>
  </si>
  <si>
    <t>A toggle rendering indeterminate on a fresh tenant leaves the administrator unable to tell whether a clinical AI feature is live. The default has to be explicit and visible.</t>
  </si>
  <si>
    <t>hospitals where id = A → ai_feature_flags is null and the UI shows all seven enabled</t>
  </si>
  <si>
    <t>TC-P2C-035</t>
  </si>
  <si>
    <t>A stored partial flag set merges with the shipped defaults</t>
  </si>
  <si>
    <t>1) Store ai_feature_flags containing only one key 2) Open /settings/ai-features 3) Read every toggle</t>
  </si>
  <si>
    <t>The stored key reflects its saved value; the other six show their defaults. No toggle renders undefined.</t>
  </si>
  <si>
    <t>DEFAULT_FLAGS merged over a partial stored ai_feature_flags</t>
  </si>
  <si>
    <t>A hospital that saved before a new AI feature shipped has no flag for it. Rendering it blank rather than defaulting means a new clinical AI feature appears in an undefined state on every existing tenant.</t>
  </si>
  <si>
    <t>hospitals where id = A → a partial ai_feature_flags merges without blanks</t>
  </si>
  <si>
    <t>TC-P2C-036</t>
  </si>
  <si>
    <t>AI feature settings survive a hard reload</t>
  </si>
  <si>
    <t>1) Open /settings/ai-features 2) Toggle two features off 3) Click Save 4) Hard-reload 5) Re-read both toggles</t>
  </si>
  <si>
    <t>Both remain off after the reload, having been read back from hospitals.ai_feature_flags.</t>
  </si>
  <si>
    <t>AI_FEATURES — differential_dx and executive_digest toggled off</t>
  </si>
  <si>
    <t>Four screens in this phase showed a green toast and wrote nothing. On this screen a false save means a clinical AI feature a hospital deliberately disabled is still live for its doctors.</t>
  </si>
  <si>
    <t>TC-P2C-037</t>
  </si>
  <si>
    <t>The AI flag cache is invalidated after a save</t>
  </si>
  <si>
    <t>1) Open /settings/ai-features 2) Toggle a feature off and save 3) Navigate to a module that offers that AI action 4) Look for the AI control</t>
  </si>
  <si>
    <t>The AI control is gone immediately, without needing a full page reload.</t>
  </si>
  <si>
    <t>AI_FEATURES — the toggled feature key</t>
  </si>
  <si>
    <t>AI Suite, OPD, IPD</t>
  </si>
  <si>
    <t>The page calls invalidateAIFlagCache() after saving. If the cache is not cleared, a disabled clinical AI feature keeps rendering for the rest of the session — the hospital thinks it is off and doctors are still using it.</t>
  </si>
  <si>
    <t>hospitals where id = A → ai_feature_flags updated, and the module reflects it without a reload</t>
  </si>
  <si>
    <t>TC-P2C-038</t>
  </si>
  <si>
    <t>Plan entitlement gates the AI feature independently of this toggle</t>
  </si>
  <si>
    <t>1) Sign in as the Hospital B administrator (Starter plan) 2) Open /settings/ai-features 3) Observe whether the screen or its features are gated</t>
  </si>
  <si>
    <t>Either the route is plan-gated with a clear upgrade message, or the features are shown as unavailable on this plan. It must not silently appear fully enabled.</t>
  </si>
  <si>
    <t>MOCK_DATA_BOOK Hospitals — Hospital B on Starter (trial)</t>
  </si>
  <si>
    <t>AI Suite, Plan gating</t>
  </si>
  <si>
    <t>SETTINGS_PREREQ_MATRIX is explicit that three independent gates stack — plan entitlement, the hospital toggle, and the budget — and that the AI button is simply not rendered with no explanation when one fails. A hospital that toggles a feature on and still sees nothing must be told which gate is closed.</t>
  </si>
  <si>
    <t>hospital_addons and addon_skus.ai_feature_keys for Hospital B → entitlement absent, and the UI says so</t>
  </si>
  <si>
    <t>TC-P2C-039</t>
  </si>
  <si>
    <t>Hospital A's AI feature flags are invisible to Hospital B</t>
  </si>
  <si>
    <t>1) Sign in as the Hospital B administrator 2) Open /settings/ai-features as Hospital B 3) Read the toggle states</t>
  </si>
  <si>
    <t>Hospital B sees only its own flags. Toggling a feature in one tenant does not change the other.</t>
  </si>
  <si>
    <t>Multi-tenancy, AI Suite</t>
  </si>
  <si>
    <t>These flags gate clinical AI. One hospital switching off Differential Diagnosis must never disable it at another, and must never silently re-enable it either.</t>
  </si>
  <si>
    <t>TC-P2C-040</t>
  </si>
  <si>
    <t>A doctor cannot change the hospital AI feature settings</t>
  </si>
  <si>
    <t>1) Log in as doctor (Hospital A) 2) Navigate directly to /settings/ai-features</t>
  </si>
  <si>
    <t>The route is blocked — redirected away, or an explicit access-denied message. The toggles must not be editable.</t>
  </si>
  <si>
    <t>MOCK_DATA_BOOK Staff logins — doctor (Hospital A), Dr. Suresh Menon</t>
  </si>
  <si>
    <t>Enabling a clinical AI feature is a hospital-level governance decision with CDSCO and DPDP implications. An individual doctor switching one on for the whole hospital bypasses that governance entirely.</t>
  </si>
  <si>
    <t>doctor (Hospital A)</t>
  </si>
  <si>
    <t>TC-P2C-041</t>
  </si>
  <si>
    <t>The AI feature key list matches the keys the modules actually check</t>
  </si>
  <si>
    <t>1) Open /settings/ai-features 2) List the seven keys the screen writes 3) Compare against the feature keys the AI modules gate on</t>
  </si>
  <si>
    <t>Every key written here is a key some module reads. No orphan key exists on either side.</t>
  </si>
  <si>
    <t>AI_FEATURES keys — clinical_note, discharge_summary, differential_dx, icd_suggest, radiology_impression, voice_dictation, executive_digest</t>
  </si>
  <si>
    <t xml:space="preserve">Automated: FAILED.
Error: mock-data.json refers to AI feature key "differential_diagnosis", which the AI Features screen does not write. The screen's keys are: clinical_note, discharge_summary, differential_dx, icd_suggest, radiology_impression, voice_dictation, executive_digest. A toggle whose key no module reads does nothing while appearing to work — the most dangerous shape of dead control on a clinical gate.
expect(received).toContain(expected) // indexOf
Expected value: "differential_diagnosis"
Received array: ["clinical_note", "discharge_summary", "differential_dx", "icd_suggest", "radiology_impression", "voice_dictation", "executive_digest"]</t>
  </si>
  <si>
    <t>A toggle whose key no module reads does nothing at all while appearing to work — the most dangerous shape of dead control on a clinical gate. Note that e2e/fixtures/mock-data.json refers to "differential_diagnosis" while the screen writes "differential_dx"; one of the two is wrong and this case is where that surfaces.</t>
  </si>
  <si>
    <t>hospitals.ai_feature_flags keys → each is read by at least one module gate</t>
  </si>
  <si>
    <t>TC-P2C-042</t>
  </si>
  <si>
    <t>The AI Features screen loads with no red console errors</t>
  </si>
  <si>
    <t>1) Open DevTools → Console 2) Open /settings/ai-features 3) Toggle a feature and save 4) Read the console</t>
  </si>
  <si>
    <t>No red console text from the read or the update.</t>
  </si>
  <si>
    <t>The update is written through an `as any` cast and its error is never checked, so the console is the only place a rejected write appears at all.</t>
  </si>
  <si>
    <t>TC-P2D-001</t>
  </si>
  <si>
    <t>2D Structure</t>
  </si>
  <si>
    <t>Wards screen loads and lists the seeded wards</t>
  </si>
  <si>
    <t>1) Log in as hospital_admin (Hospital A) 2) Open /settings/wards 3) Observe the ward list</t>
  </si>
  <si>
    <t>The heading "Wards" renders and the six seeded wards (General Ward, Semi-Private, Private Room, Deluxe Room, ICU, Maternity Ward) are listed. No red console errors.</t>
  </si>
  <si>
    <t>MOCK_DATA_BOOK Wards &amp; beds — the six seeded wards</t>
  </si>
  <si>
    <t>IPD, Nursing, Billing</t>
  </si>
  <si>
    <t>Tier 0 complete (profile, departments, staff, roles, plan)</t>
  </si>
  <si>
    <t>Wards and beds are the prerequisite for every admission. If this screen will not load, no bed can be configured and the IPD module has nothing to admit into.</t>
  </si>
  <si>
    <t>wards where hospital_id = A → 6 rows</t>
  </si>
  <si>
    <t>e2e/phase-02-settings/P2D.structure.wards.spec.ts</t>
  </si>
  <si>
    <t>TC-P2D-002</t>
  </si>
  <si>
    <t>Add Ward opens the drawer with an empty form</t>
  </si>
  <si>
    <t>1) Open /settings/wards 2) Click "Add Ward" 3) Inspect the drawer fields</t>
  </si>
  <si>
    <t>A drawer titled "Add Ward" opens with Ward Name, Ward Type, Rate Per Day (₹), Nursing Charge Per Day (₹), Number of Beds, Bed Prefix and Start Number all blank or at their defaults.</t>
  </si>
  <si>
    <t>None — inspects the empty create form</t>
  </si>
  <si>
    <t>A create form pre-filled with the previously edited ward is how a hospital ends up with two wards sharing one rate. The drawer must open clean.</t>
  </si>
  <si>
    <t>TC-P2D-003</t>
  </si>
  <si>
    <t>Ward creates with its beds in one action</t>
  </si>
  <si>
    <t>1) Open /settings/wards 2) Click "Add Ward" 3) Enter Ward Name "Nephrology Ward" 4) Select Ward Type "general" 5) Enter Rate Per Day 3500 6) Enter Number of Beds 2 7) Enter Bed Prefix "NW" 8) Click "Save Ward"</t>
  </si>
  <si>
    <t>A wards row is written with name = Nephrology Ward, type = general, total_beds = 2, and two beds rows are created in the same action.</t>
  </si>
  <si>
    <t>Phase 2 additions — Nephrology Ward (general, ₹3,500/day, beds NW-01 and NW-02)</t>
  </si>
  <si>
    <t>A ward with no beds cannot be admitted into — the Admit modal simply shows nothing. Creating the ward and its beds atomically is what stops a half-configured ward reaching go-live.</t>
  </si>
  <si>
    <t>wards where hospital_id = A and name = 'Nephrology Ward' → total_beds = 2</t>
  </si>
  <si>
    <t>TC-P2D-004</t>
  </si>
  <si>
    <t>Beds are auto-numbered from the prefix and start number</t>
  </si>
  <si>
    <t>1) Open /settings/wards 2) Create ward "Nephrology Ward" with Bed Prefix "NW", Start Number 1 and Number of Beds 2 3) Open the ward's bed list</t>
  </si>
  <si>
    <t>Exactly two beds exist, numbered NW-01 and NW-02, each with status = available.</t>
  </si>
  <si>
    <t>Phase 2 additions — Nephrology Ward beds NW-01, NW-02</t>
  </si>
  <si>
    <t>IPD, Nursing</t>
  </si>
  <si>
    <t>Bed numbers are what nurses call out on the ward round and what the bill prints. Wrong or duplicated numbering makes the physical ward and the system disagree about where a patient is.</t>
  </si>
  <si>
    <t>beds where hospital_id = A and bed_number in ('NW-01','NW-02') → 2 rows, status = available</t>
  </si>
  <si>
    <t>TC-P2D-005</t>
  </si>
  <si>
    <t>Bed numbers are zero-padded to a consistent width</t>
  </si>
  <si>
    <t>1) Open /settings/wards 2) Create a ward with Bed Prefix "NW", Start Number 1 and Number of Beds 2 3) Read the generated bed numbers</t>
  </si>
  <si>
    <t>Beds read NW-01 and NW-02 — two digits — not NW-1 and NW-2.</t>
  </si>
  <si>
    <t>Unpadded numbers sort as 1, 10, 11, 2 in every list and report the ward uses. Consistent width is what keeps a bed board readable at a glance.</t>
  </si>
  <si>
    <t>beds where hospital_id = A and ward = 'Nephrology Ward' → bed_number matches NW-0[0-9]</t>
  </si>
  <si>
    <t>TC-P2D-006</t>
  </si>
  <si>
    <t>A ward cannot be saved without a name</t>
  </si>
  <si>
    <t>1) Open /settings/wards 2) Click "Add Ward" 3) Leave Ward Name blank 4) Enter Number of Beds 2 5) Attempt to click "Save Ward"</t>
  </si>
  <si>
    <t>The Save Ward button is disabled and no wards row is written.</t>
  </si>
  <si>
    <t>None — deliberately omits the required Ward Name</t>
  </si>
  <si>
    <t>An unnamed ward is unusable everywhere downstream — it renders as a blank line in the Admit picker, so staff cannot tell which bed they are choosing.</t>
  </si>
  <si>
    <t>wards where hospital_id = A and name is null or name = '' → 0 rows</t>
  </si>
  <si>
    <t>TC-P2D-007</t>
  </si>
  <si>
    <t>A ward with zero beds is refused</t>
  </si>
  <si>
    <t>1) Open /settings/wards 2) Click "Add Ward" 3) Enter Ward Name "QA Zero Bed Ward" 4) Enter Number of Beds 0 5) Click "Save Ward"</t>
  </si>
  <si>
    <t>An error toast reads "Bed count must be at least 1." and no wards row is written.</t>
  </si>
  <si>
    <t>Literal ward name QA Zero Bed Ward with bed count 0</t>
  </si>
  <si>
    <t>A zero-bed ward passes every later check and then shows an empty Admit modal, which reads to the ward clerk as the system being broken rather than as a configuration mistake.</t>
  </si>
  <si>
    <t>wards where hospital_id = A and name = 'QA Zero Bed Ward' → 0 rows</t>
  </si>
  <si>
    <t>TC-P2D-008</t>
  </si>
  <si>
    <t>A ward with a negative bed count is refused</t>
  </si>
  <si>
    <t>1) Open /settings/wards 2) Click "Add Ward" 3) Enter Ward Name "QA Negative Bed Ward" 4) Enter Number of Beds -5 5) Click "Save Ward"</t>
  </si>
  <si>
    <t>Literal ward name QA Negative Bed Ward with bed count -5</t>
  </si>
  <si>
    <t>A negative count reaching the bed generator would either create nothing or loop, and either way the ward silently ends up with no beds.</t>
  </si>
  <si>
    <t>wards where hospital_id = A and name = 'QA Negative Bed Ward' → 0 rows</t>
  </si>
  <si>
    <t>TC-P2D-009</t>
  </si>
  <si>
    <t>A ward saved with a blank rate leaves rate_per_day unset</t>
  </si>
  <si>
    <t>1) Open /settings/wards 2) Click "Add Ward" 3) Enter Ward Name "QA Blank Rate Ward" 4) Leave Rate Per Day blank 5) Enter Number of Beds 1 6) Click "Save Ward"</t>
  </si>
  <si>
    <t>The ward is created but rate_per_day is null. The screen must make clear the room will not bill at a ward rate — an admission to it falls back to service_rates, then service_master, then the hardcoded ₹500/day.</t>
  </si>
  <si>
    <t>Literal ward name QA Blank Rate Ward with Rate Per Day left blank</t>
  </si>
  <si>
    <t>IPD, Billing</t>
  </si>
  <si>
    <t>Room-charge precedence is wards.rate_per_day → service_rates → service_master → ₹500. A blank rate is the entry point to the silent ₹500/day under-billing nobody notices until month-end reconciliation.</t>
  </si>
  <si>
    <t>wards where hospital_id = A and name = 'QA Blank Rate Ward' → rate_per_day is null</t>
  </si>
  <si>
    <t>TC-P2D-010</t>
  </si>
  <si>
    <t>A zero rate per day is not stored as a real ₹0 room charge</t>
  </si>
  <si>
    <t>1) Open /settings/wards 2) Click "Add Ward" 3) Enter Ward Name "QA Zero Rate Ward" 4) Enter Rate Per Day 0 5) Enter Number of Beds 1 6) Click "Save Ward" 7) Re-open the ward</t>
  </si>
  <si>
    <t>Either the form rejects a zero rate, or rate_per_day is left null — it must never be stored as 0.00, because a genuine ₹0 room charge and "not configured" are different things and only one of them is ever intended.</t>
  </si>
  <si>
    <t>phase2.invalid.ratePerDayZero (0)</t>
  </si>
  <si>
    <t>A stored 0.00 wins the precedence chain and bills every night of the stay at nothing. A null falls through to the ₹500 default. Both are wrong, but they fail differently and the hospital must be able to tell which happened.</t>
  </si>
  <si>
    <t>wards where hospital_id = A and name = 'QA Zero Rate Ward' → rate_per_day is null or the row does not exist</t>
  </si>
  <si>
    <t>TC-P2D-011</t>
  </si>
  <si>
    <t>A negative rate per day is refused rather than silently dropped</t>
  </si>
  <si>
    <t>1) Open /settings/wards 2) Click "Add Ward" 3) Enter Ward Name "QA Negative Rate Ward" 4) Enter Rate Per Day -100 5) Enter Number of Beds 1 6) Click "Save Ward"</t>
  </si>
  <si>
    <t>A validation error names the rate field. The ward must not be created carrying a negative rate, and must not be created with the rate silently discarded either.</t>
  </si>
  <si>
    <t>phase2.invalid.ratePerDayNegative (-100)</t>
  </si>
  <si>
    <t>A negative room rate would credit the patient every night. Silently discarding it instead is just as damaging — the administrator believes a rate is set and the ward bills the ₹500 fallback for months.</t>
  </si>
  <si>
    <t>wards where hospital_id = A and name = 'QA Negative Rate Ward' → 0 rows, or rate_per_day &gt;= 0</t>
  </si>
  <si>
    <t>TC-P2D-012</t>
  </si>
  <si>
    <t>Ward saves rate_per_day and IPD bills that rate</t>
  </si>
  <si>
    <t>1) Log in as hospital_admin (Hospital A) 2) Open /settings/wards 3) Create ward 'Nephrology Ward' with rate_per_day 3500 4) Save 5) Admit a patient to a bed in that ward 6) Open the IPD bill</t>
  </si>
  <si>
    <t>wards.rate_per_day = 3500.00 and the IPD room charge line reads ₹3,500.00 per day — NOT the ₹500 fallback.</t>
  </si>
  <si>
    <t>Phase 2 additions — Nephrology Ward (₹3,500/day)</t>
  </si>
  <si>
    <t>Tier 0 complete; ward must exist before admission</t>
  </si>
  <si>
    <t>Room charge precedence is wards.rate_per_day → service_rates → service_master → ₹500. If the ward rate does not save, every admission silently under-bills at ₹500/day and nobody notices until the month-end reconciliation.</t>
  </si>
  <si>
    <t>wards where hospital_id = A and name = 'Nephrology Ward' → rate_per_day = 3500</t>
  </si>
  <si>
    <t>TC-P2D-013</t>
  </si>
  <si>
    <t>The ward rate renders in en-IN grouping with the rupee symbol</t>
  </si>
  <si>
    <t>1) Open /settings/wards 2) Locate the "Nephrology Ward" row 3) Read the rate as displayed</t>
  </si>
  <si>
    <t>The rate displays as ₹3,500.00 — rupee symbol present, Indian digit grouping. Not 3500, not 3,500.00 without the symbol.</t>
  </si>
  <si>
    <t>Every money display in the product must go through formatCurrency() in src/lib/currency.ts. A raw number on a configuration screen is how a ₹1,25,000 figure ends up printed as ₹125,000 on a patient-facing bill.</t>
  </si>
  <si>
    <t>TC-P2D-014</t>
  </si>
  <si>
    <t>Nursing charge per day is stored separately from the room rate</t>
  </si>
  <si>
    <t>1) Open /settings/wards 2) Edit "Nephrology Ward" 3) Enter Nursing Charge Per Day 400 4) Click "Save Ward" 5) Reload and re-open the ward</t>
  </si>
  <si>
    <t>The nursing rate persists at 400 and rate_per_day stays 3500 — the two are separate charges, not merged.</t>
  </si>
  <si>
    <t>Phase 2 additions — Nephrology Ward, nursing charge ₹400/day</t>
  </si>
  <si>
    <t>Nursing is bundled into room rent unless the hospital opts in. Merging the two would double-charge nursing on every insured claim where the payer reimburses room rent separately.</t>
  </si>
  <si>
    <t>wards where hospital_id = A and name = 'Nephrology Ward' → nursing rate = 400, rate_per_day = 3500</t>
  </si>
  <si>
    <t>TC-P2D-015</t>
  </si>
  <si>
    <t>Editing a ward rate persists the new value</t>
  </si>
  <si>
    <t>1) Open /settings/wards 2) Edit "Nephrology Ward" 3) Change Rate Per Day from 3500 to 4200 4) Click "Save Ward" 5) Reload the page</t>
  </si>
  <si>
    <t>wards.rate_per_day = 4200.00 after the reload — the value came from the database, not from unsaved form state.</t>
  </si>
  <si>
    <t>phase2.edit.wardRatePerDay (4200)</t>
  </si>
  <si>
    <t>Room rates are revised every year. If an edit shows a success toast and does not persist, the hospital bills last year's rate for the whole of the next year.</t>
  </si>
  <si>
    <t>wards where hospital_id = A and name = 'Nephrology Ward' → rate_per_day = 4200</t>
  </si>
  <si>
    <t>TC-P2D-016</t>
  </si>
  <si>
    <t>A rate change applies to new admissions only, not retrospectively</t>
  </si>
  <si>
    <t>1) Admit a patient to Nephrology Ward while the rate is ₹3,500 2) Open /settings/wards and change the rate to ₹4,200 3) Admit a second patient to the same ward 4) Compare both IPD bills</t>
  </si>
  <si>
    <t>The first admission continues to bill ₹3,500/day for nights already accrued; the second bills ₹4,200/day. An existing patient's already-raised charges do not change.</t>
  </si>
  <si>
    <t>phase2.edit.wardRatePerDay (3500 → 4200)</t>
  </si>
  <si>
    <t>Tier 0 complete; an admission must exist before the rate is edited</t>
  </si>
  <si>
    <t>Retro-repricing an in-progress admission is an argument with a real patient at the discharge counter, and in an insured case it invalidates the pre-authorised estimate.</t>
  </si>
  <si>
    <t>ipd_charges for the first admission → room charge unit rate stays 3500</t>
  </si>
  <si>
    <t>TC-P2D-017</t>
  </si>
  <si>
    <t>The bed Status dropdown offers every bed_status value the database supports</t>
  </si>
  <si>
    <t>1) Open /settings/wards 2) Open the bed list for any ward 3) Open the Status dropdown on a bed 4) List every option offered</t>
  </si>
  <si>
    <t>The dropdown offers available, cleaning, maintenance and reserved as selectable, plus occupied shown but disabled — all five bed_status enum values are represented.</t>
  </si>
  <si>
    <t>phase2.dropdowns.bedStatusUi plus phase2.dropdowns.bedStatusMissingFromUi (cleaning)</t>
  </si>
  <si>
    <t>IPD, Nursing, Housekeeping</t>
  </si>
  <si>
    <t>REGRESSION LOCK for BUG-P2-001. The bed_status enum has five values but the dropdown rendered only four — cleaning was absent, so a ward finishing terminal cleaning between patients had no correct status to select and staff marked the bed available while it was still dirty. That is an infection-control failure, not a cosmetic gap.</t>
  </si>
  <si>
    <t>beds where hospital_id = A → status accepts 'cleaning'</t>
  </si>
  <si>
    <t>TC-P2D-018</t>
  </si>
  <si>
    <t>Occupied cannot be selected by hand on the bed Status dropdown</t>
  </si>
  <si>
    <t>1) Open /settings/wards 2) Open the bed list for any ward 3) Open the Status dropdown on an available bed 4) Attempt to select "Occupied"</t>
  </si>
  <si>
    <t>The Occupied option is present but disabled and cannot be chosen. A bed becomes occupied by admitting a patient, never by editing a dropdown.</t>
  </si>
  <si>
    <t>phase2.dropdowns.bedStatusUi — the disabled occupied option</t>
  </si>
  <si>
    <t>Hand-marking a bed occupied with no admission behind it desynchronises the bed board from the census. The ward then shows full while beds stand empty, and the emergency department diverts patients it could have taken.</t>
  </si>
  <si>
    <t>beds where hospital_id = A and status = 'occupied' → every row has a matching active admission</t>
  </si>
  <si>
    <t>TC-P2D-019</t>
  </si>
  <si>
    <t>Bed Status option "available" saves and survives a reload</t>
  </si>
  <si>
    <t>1) Open /settings/wards 2) Open the bed list for Nephrology Ward 3) Set bed NW-01 Status to "available" 4) Reload the page 5) Re-read the bed status</t>
  </si>
  <si>
    <t>beds.status = 'available' for NW-01 and the dropdown still shows "available" after the reload.</t>
  </si>
  <si>
    <t>phase2.dropdowns.bedStatusUi — "available"</t>
  </si>
  <si>
    <t>A bed status that does not persist means the bed board lies about ward capacity. "available" beds must not be offered to the Admit modal as though they were free.</t>
  </si>
  <si>
    <t>beds where hospital_id = A and bed_number = 'NW-01' → status = 'available'</t>
  </si>
  <si>
    <t>TC-P2D-020</t>
  </si>
  <si>
    <t>Bed Status option "cleaning" saves and survives a reload</t>
  </si>
  <si>
    <t>1) Open /settings/wards 2) Open the bed list for Nephrology Ward 3) Set bed NW-01 Status to "cleaning" 4) Reload the page 5) Re-read the bed status</t>
  </si>
  <si>
    <t>beds.status = 'cleaning' for NW-01 and the dropdown still shows "cleaning" after the reload.</t>
  </si>
  <si>
    <t>phase2.dropdowns.bedStatusMissingFromUi — "cleaning"</t>
  </si>
  <si>
    <t>Terminal cleaning between patients is an infection-control state. Without it a dirty bed is marked available and the next patient is admitted into it — the reason BUG-P2-001 was a P1 and not a cosmetic gap.</t>
  </si>
  <si>
    <t>beds where hospital_id = A and bed_number = 'NW-01' → status = 'cleaning'</t>
  </si>
  <si>
    <t>TC-P2D-021</t>
  </si>
  <si>
    <t>Bed Status option "maintenance" saves and survives a reload</t>
  </si>
  <si>
    <t>1) Open /settings/wards 2) Open the bed list for Nephrology Ward 3) Set bed NW-01 Status to "maintenance" 4) Reload the page 5) Re-read the bed status</t>
  </si>
  <si>
    <t>beds.status = 'maintenance' for NW-01 and the dropdown still shows "maintenance" after the reload.</t>
  </si>
  <si>
    <t>phase2.dropdowns.bedStatusUi — "maintenance"</t>
  </si>
  <si>
    <t>A bed status that does not persist means the bed board lies about ward capacity. "maintenance" beds must not be offered to the Admit modal as though they were free.</t>
  </si>
  <si>
    <t>beds where hospital_id = A and bed_number = 'NW-01' → status = 'maintenance'</t>
  </si>
  <si>
    <t>TC-P2D-022</t>
  </si>
  <si>
    <t>Bed Status option "reserved" saves and survives a reload</t>
  </si>
  <si>
    <t>1) Open /settings/wards 2) Open the bed list for Nephrology Ward 3) Set bed NW-01 Status to "reserved" 4) Reload the page 5) Re-read the bed status</t>
  </si>
  <si>
    <t>beds.status = 'reserved' for NW-01 and the dropdown still shows "reserved" after the reload.</t>
  </si>
  <si>
    <t>phase2.dropdowns.bedStatusUi — "reserved"</t>
  </si>
  <si>
    <t>A bed status that does not persist means the bed board lies about ward capacity. "reserved" beds must not be offered to the Admit modal as though they were free.</t>
  </si>
  <si>
    <t>beds where hospital_id = A and bed_number = 'NW-01' → status = 'reserved'</t>
  </si>
  <si>
    <t>TC-P2D-023</t>
  </si>
  <si>
    <t>Bed Category option "general" saves and survives a reload</t>
  </si>
  <si>
    <t>1) Open /settings/wards 2) Open the bed list for Nephrology Ward 3) Set bed NW-01 Category to "general" 4) Reload the page 5) Re-read the category</t>
  </si>
  <si>
    <t>beds.bed_category = 'general' for NW-01 and the dropdown still shows "general" after the reload.</t>
  </si>
  <si>
    <t>phase2.dropdowns.bedCategory — "general"</t>
  </si>
  <si>
    <t>IPD, Billing, Insurance</t>
  </si>
  <si>
    <t>Bed category is the second link in the room-charge precedence chain — service_rates are matched by bed category when the ward has no rate. It is also what a TPA reads to apply its room-rent ceiling, so a wrong category is a rejected or reduced claim.</t>
  </si>
  <si>
    <t>beds where hospital_id = A and bed_number = 'NW-01' → bed_category = 'general'</t>
  </si>
  <si>
    <t>TC-P2D-024</t>
  </si>
  <si>
    <t>Bed Category option "semi_private" saves and survives a reload</t>
  </si>
  <si>
    <t>1) Open /settings/wards 2) Open the bed list for Nephrology Ward 3) Set bed NW-01 Category to "semi_private" 4) Reload the page 5) Re-read the category</t>
  </si>
  <si>
    <t>beds.bed_category = 'semi_private' for NW-01 and the dropdown still shows "semi_private" after the reload.</t>
  </si>
  <si>
    <t>phase2.dropdowns.bedCategory — "semi_private"</t>
  </si>
  <si>
    <t>beds where hospital_id = A and bed_number = 'NW-01' → bed_category = 'semi_private'</t>
  </si>
  <si>
    <t>TC-P2D-025</t>
  </si>
  <si>
    <t>Bed Category option "private" saves and survives a reload</t>
  </si>
  <si>
    <t>1) Open /settings/wards 2) Open the bed list for Nephrology Ward 3) Set bed NW-01 Category to "private" 4) Reload the page 5) Re-read the category</t>
  </si>
  <si>
    <t>beds.bed_category = 'private' for NW-01 and the dropdown still shows "private" after the reload.</t>
  </si>
  <si>
    <t>phase2.dropdowns.bedCategory — "private"</t>
  </si>
  <si>
    <t>beds where hospital_id = A and bed_number = 'NW-01' → bed_category = 'private'</t>
  </si>
  <si>
    <t>TC-P2D-026</t>
  </si>
  <si>
    <t>Bed Category option "icu" saves and survives a reload</t>
  </si>
  <si>
    <t>1) Open /settings/wards 2) Open the bed list for Nephrology Ward 3) Set bed NW-01 Category to "icu" 4) Reload the page 5) Re-read the category</t>
  </si>
  <si>
    <t>beds.bed_category = 'icu' for NW-01 and the dropdown still shows "icu" after the reload.</t>
  </si>
  <si>
    <t>phase2.dropdowns.bedCategory — "icu"</t>
  </si>
  <si>
    <t>beds where hospital_id = A and bed_number = 'NW-01' → bed_category = 'icu'</t>
  </si>
  <si>
    <t>TC-P2D-027</t>
  </si>
  <si>
    <t>Bed Category option "nicu" saves and survives a reload</t>
  </si>
  <si>
    <t>1) Open /settings/wards 2) Open the bed list for Nephrology Ward 3) Set bed NW-01 Category to "nicu" 4) Reload the page 5) Re-read the category</t>
  </si>
  <si>
    <t>beds.bed_category = 'nicu' for NW-01 and the dropdown still shows "nicu" after the reload.</t>
  </si>
  <si>
    <t>phase2.dropdowns.bedCategory — "nicu"</t>
  </si>
  <si>
    <t>beds where hospital_id = A and bed_number = 'NW-01' → bed_category = 'nicu'</t>
  </si>
  <si>
    <t>TC-P2D-028</t>
  </si>
  <si>
    <t>Bed Category option "sicu" saves and survives a reload</t>
  </si>
  <si>
    <t>1) Open /settings/wards 2) Open the bed list for Nephrology Ward 3) Set bed NW-01 Category to "sicu" 4) Reload the page 5) Re-read the category</t>
  </si>
  <si>
    <t>beds.bed_category = 'sicu' for NW-01 and the dropdown still shows "sicu" after the reload.</t>
  </si>
  <si>
    <t>phase2.dropdowns.bedCategory — "sicu"</t>
  </si>
  <si>
    <t>beds where hospital_id = A and bed_number = 'NW-01' → bed_category = 'sicu'</t>
  </si>
  <si>
    <t>TC-P2D-029</t>
  </si>
  <si>
    <t>Bed Category option "picu" saves and survives a reload</t>
  </si>
  <si>
    <t>1) Open /settings/wards 2) Open the bed list for Nephrology Ward 3) Set bed NW-01 Category to "picu" 4) Reload the page 5) Re-read the category</t>
  </si>
  <si>
    <t>beds.bed_category = 'picu' for NW-01 and the dropdown still shows "picu" after the reload.</t>
  </si>
  <si>
    <t>phase2.dropdowns.bedCategory — "picu"</t>
  </si>
  <si>
    <t>beds where hospital_id = A and bed_number = 'NW-01' → bed_category = 'picu'</t>
  </si>
  <si>
    <t>TC-P2D-030</t>
  </si>
  <si>
    <t>Bed Category option "hdu" saves and survives a reload</t>
  </si>
  <si>
    <t>1) Open /settings/wards 2) Open the bed list for Nephrology Ward 3) Set bed NW-01 Category to "hdu" 4) Reload the page 5) Re-read the category</t>
  </si>
  <si>
    <t>beds.bed_category = 'hdu' for NW-01 and the dropdown still shows "hdu" after the reload.</t>
  </si>
  <si>
    <t>phase2.dropdowns.bedCategory — "hdu"</t>
  </si>
  <si>
    <t>beds where hospital_id = A and bed_number = 'NW-01' → bed_category = 'hdu'</t>
  </si>
  <si>
    <t>TC-P2D-031</t>
  </si>
  <si>
    <t>Bed Category option "isolation" saves and survives a reload</t>
  </si>
  <si>
    <t>1) Open /settings/wards 2) Open the bed list for Nephrology Ward 3) Set bed NW-01 Category to "isolation" 4) Reload the page 5) Re-read the category</t>
  </si>
  <si>
    <t>beds.bed_category = 'isolation' for NW-01 and the dropdown still shows "isolation" after the reload.</t>
  </si>
  <si>
    <t>phase2.dropdowns.bedCategory — "isolation"</t>
  </si>
  <si>
    <t>beds where hospital_id = A and bed_number = 'NW-01' → bed_category = 'isolation'</t>
  </si>
  <si>
    <t>TC-P2D-032</t>
  </si>
  <si>
    <t>Ward Type option "general" saves to the ward_type enum</t>
  </si>
  <si>
    <t>1) Open /settings/wards 2) Click "Add Ward" 3) Enter Ward Name "QA Type general" 4) Select Ward Type "general" 5) Enter Rate Per Day 1000 and Number of Beds 1 6) Click "Save Ward"</t>
  </si>
  <si>
    <t>wards.type = 'general' for the new ward, and the value is still "general" when the ward is re-opened.</t>
  </si>
  <si>
    <t>phase2.dropdowns.wardType — "general"</t>
  </si>
  <si>
    <t>The dropdown is generated from the ward_type database enum, so every value it offers must round-trip. A value the UI shows but the database rejects fails at save time with a raw Postgres error the administrator cannot act on.</t>
  </si>
  <si>
    <t>wards where hospital_id = A and name = 'QA Type general' → type = 'general'</t>
  </si>
  <si>
    <t>TC-P2D-033</t>
  </si>
  <si>
    <t>Ward Type option "private" saves to the ward_type enum</t>
  </si>
  <si>
    <t>1) Open /settings/wards 2) Click "Add Ward" 3) Enter Ward Name "QA Type private" 4) Select Ward Type "private" 5) Enter Rate Per Day 1000 and Number of Beds 1 6) Click "Save Ward"</t>
  </si>
  <si>
    <t>wards.type = 'private' for the new ward, and the value is still "private" when the ward is re-opened.</t>
  </si>
  <si>
    <t>phase2.dropdowns.wardType — "private"</t>
  </si>
  <si>
    <t>wards where hospital_id = A and name = 'QA Type private' → type = 'private'</t>
  </si>
  <si>
    <t>TC-P2D-034</t>
  </si>
  <si>
    <t>Ward Type option "semi_private" saves to the ward_type enum</t>
  </si>
  <si>
    <t>1) Open /settings/wards 2) Click "Add Ward" 3) Enter Ward Name "QA Type semi_private" 4) Select Ward Type "semi_private" 5) Enter Rate Per Day 1000 and Number of Beds 1 6) Click "Save Ward"</t>
  </si>
  <si>
    <t>wards.type = 'semi_private' for the new ward, and the value is still "semi_private" when the ward is re-opened.</t>
  </si>
  <si>
    <t>phase2.dropdowns.wardType — "semi_private"</t>
  </si>
  <si>
    <t>wards where hospital_id = A and name = 'QA Type semi_private' → type = 'semi_private'</t>
  </si>
  <si>
    <t>TC-P2D-035</t>
  </si>
  <si>
    <t>Ward Type option "icu" saves to the ward_type enum</t>
  </si>
  <si>
    <t>1) Open /settings/wards 2) Click "Add Ward" 3) Enter Ward Name "QA Type icu" 4) Select Ward Type "icu" 5) Enter Rate Per Day 1000 and Number of Beds 1 6) Click "Save Ward"</t>
  </si>
  <si>
    <t>wards.type = 'icu' for the new ward, and the value is still "icu" when the ward is re-opened.</t>
  </si>
  <si>
    <t>phase2.dropdowns.wardType — "icu"</t>
  </si>
  <si>
    <t>wards where hospital_id = A and name = 'QA Type icu' → type = 'icu'</t>
  </si>
  <si>
    <t>TC-P2D-036</t>
  </si>
  <si>
    <t>Ward Type option "nicu" saves to the ward_type enum</t>
  </si>
  <si>
    <t>1) Open /settings/wards 2) Click "Add Ward" 3) Enter Ward Name "QA Type nicu" 4) Select Ward Type "nicu" 5) Enter Rate Per Day 1000 and Number of Beds 1 6) Click "Save Ward"</t>
  </si>
  <si>
    <t>wards.type = 'nicu' for the new ward, and the value is still "nicu" when the ward is re-opened.</t>
  </si>
  <si>
    <t>phase2.dropdowns.wardType — "nicu"</t>
  </si>
  <si>
    <t>wards where hospital_id = A and name = 'QA Type nicu' → type = 'nicu'</t>
  </si>
  <si>
    <t>TC-P2D-037</t>
  </si>
  <si>
    <t>Ward Type option "picu" saves to the ward_type enum</t>
  </si>
  <si>
    <t>1) Open /settings/wards 2) Click "Add Ward" 3) Enter Ward Name "QA Type picu" 4) Select Ward Type "picu" 5) Enter Rate Per Day 1000 and Number of Beds 1 6) Click "Save Ward"</t>
  </si>
  <si>
    <t>wards.type = 'picu' for the new ward, and the value is still "picu" when the ward is re-opened.</t>
  </si>
  <si>
    <t>phase2.dropdowns.wardType — "picu"</t>
  </si>
  <si>
    <t>wards where hospital_id = A and name = 'QA Type picu' → type = 'picu'</t>
  </si>
  <si>
    <t>TC-P2D-038</t>
  </si>
  <si>
    <t>Ward Type option "hdu" saves to the ward_type enum</t>
  </si>
  <si>
    <t>1) Open /settings/wards 2) Click "Add Ward" 3) Enter Ward Name "QA Type hdu" 4) Select Ward Type "hdu" 5) Enter Rate Per Day 1000 and Number of Beds 1 6) Click "Save Ward"</t>
  </si>
  <si>
    <t>wards.type = 'hdu' for the new ward, and the value is still "hdu" when the ward is re-opened.</t>
  </si>
  <si>
    <t>phase2.dropdowns.wardType — "hdu"</t>
  </si>
  <si>
    <t>wards where hospital_id = A and name = 'QA Type hdu' → type = 'hdu'</t>
  </si>
  <si>
    <t>TC-P2D-039</t>
  </si>
  <si>
    <t>Ward Type option "surgical" saves to the ward_type enum</t>
  </si>
  <si>
    <t>1) Open /settings/wards 2) Click "Add Ward" 3) Enter Ward Name "QA Type surgical" 4) Select Ward Type "surgical" 5) Enter Rate Per Day 1000 and Number of Beds 1 6) Click "Save Ward"</t>
  </si>
  <si>
    <t>wards.type = 'surgical' for the new ward, and the value is still "surgical" when the ward is re-opened.</t>
  </si>
  <si>
    <t>phase2.dropdowns.wardType — "surgical"</t>
  </si>
  <si>
    <t>wards where hospital_id = A and name = 'QA Type surgical' → type = 'surgical'</t>
  </si>
  <si>
    <t>TC-P2D-040</t>
  </si>
  <si>
    <t>Ward Type option "maternity" saves to the ward_type enum</t>
  </si>
  <si>
    <t>1) Open /settings/wards 2) Click "Add Ward" 3) Enter Ward Name "QA Type maternity" 4) Select Ward Type "maternity" 5) Enter Rate Per Day 1000 and Number of Beds 1 6) Click "Save Ward"</t>
  </si>
  <si>
    <t>wards.type = 'maternity' for the new ward, and the value is still "maternity" when the ward is re-opened.</t>
  </si>
  <si>
    <t>phase2.dropdowns.wardType — "maternity"</t>
  </si>
  <si>
    <t>wards where hospital_id = A and name = 'QA Type maternity' → type = 'maternity'</t>
  </si>
  <si>
    <t>TC-P2D-041</t>
  </si>
  <si>
    <t>Ward Type option "emergency" saves to the ward_type enum</t>
  </si>
  <si>
    <t>1) Open /settings/wards 2) Click "Add Ward" 3) Enter Ward Name "QA Type emergency" 4) Select Ward Type "emergency" 5) Enter Rate Per Day 1000 and Number of Beds 1 6) Click "Save Ward"</t>
  </si>
  <si>
    <t>wards.type = 'emergency' for the new ward, and the value is still "emergency" when the ward is re-opened.</t>
  </si>
  <si>
    <t>phase2.dropdowns.wardType — "emergency"</t>
  </si>
  <si>
    <t>wards where hospital_id = A and name = 'QA Type emergency' → type = 'emergency'</t>
  </si>
  <si>
    <t>TC-P2D-042</t>
  </si>
  <si>
    <t>Ward Type option "daycare" saves to the ward_type enum</t>
  </si>
  <si>
    <t>1) Open /settings/wards 2) Click "Add Ward" 3) Enter Ward Name "QA Type daycare" 4) Select Ward Type "daycare" 5) Enter Rate Per Day 1000 and Number of Beds 1 6) Click "Save Ward"</t>
  </si>
  <si>
    <t>wards.type = 'daycare' for the new ward, and the value is still "daycare" when the ward is re-opened.</t>
  </si>
  <si>
    <t>phase2.dropdowns.wardType — "daycare"</t>
  </si>
  <si>
    <t>wards where hospital_id = A and name = 'QA Type daycare' → type = 'daycare'</t>
  </si>
  <si>
    <t>TC-P2D-043</t>
  </si>
  <si>
    <t>A duplicate bed number within the same ward is refused</t>
  </si>
  <si>
    <t>1) Open /settings/wards 2) Open the bed list for Nephrology Ward 3) Add another bed and name it NW-01, which already exists in this ward 4) Save</t>
  </si>
  <si>
    <t>The duplicate is refused with a message naming the clash. Only one NW-01 exists in the ward.</t>
  </si>
  <si>
    <t>phase2.invalid — duplicate bed number NW-01 in the same ward</t>
  </si>
  <si>
    <t>Two beds with the same number means two patients recorded in one physical bed. Every subsequent nursing task, drug administration and room charge attaches to the wrong one.</t>
  </si>
  <si>
    <t>beds where hospital_id = A and ward = 'Nephrology Ward' and bed_number = 'NW-01' → exactly 1 row</t>
  </si>
  <si>
    <t>TC-P2D-044</t>
  </si>
  <si>
    <t>Deleting a ward that still has beds is handled explicitly</t>
  </si>
  <si>
    <t>1) Open /settings/wards 2) Attempt to delete "Nephrology Ward" while beds NW-01 and NW-02 still exist</t>
  </si>
  <si>
    <t>Either the deletion is refused with a message naming the remaining beds, or the beds are removed with the ward in one transaction. Orphan beds pointing at a deleted ward must not remain.</t>
  </si>
  <si>
    <t>Phase 2 additions — Nephrology Ward with beds NW-01, NW-02</t>
  </si>
  <si>
    <t>An orphaned bed still appears in bed-count queries, so occupancy percentages and the plan bed limit both drift from reality.</t>
  </si>
  <si>
    <t>beds where ward_id = the deleted ward id → 0 rows</t>
  </si>
  <si>
    <t>TC-P2D-045</t>
  </si>
  <si>
    <t>An occupied bed cannot be deleted</t>
  </si>
  <si>
    <t>1) Admit a patient to bed NW-01 2) Open /settings/wards 3) Open the bed list for Nephrology Ward 4) Attempt to delete bed NW-01</t>
  </si>
  <si>
    <t>A destructive toast reads "Cannot delete an occupied bed" and the bed row remains.</t>
  </si>
  <si>
    <t>Phase 2 additions — Nephrology Ward bed NW-01 with an admitted patient</t>
  </si>
  <si>
    <t>Tier 0 complete; an active admission must exist in the bed</t>
  </si>
  <si>
    <t>Deleting the bed under an admitted patient detaches the admission from any location. The patient is physically in the ward and invisible to the system — nursing tasks, drug rounds and room charges all stop.</t>
  </si>
  <si>
    <t>beds where hospital_id = A and bed_number = 'NW-01' → row still exists</t>
  </si>
  <si>
    <t>TC-P2D-046</t>
  </si>
  <si>
    <t>Deleting an available bed asks for confirmation first</t>
  </si>
  <si>
    <t>1) Open /settings/wards 2) Open the bed list for Nephrology Ward 3) Click delete on available bed NW-02 4) Read the confirmation 5) Confirm</t>
  </si>
  <si>
    <t>A confirmation naming the bed appears before anything is deleted. On confirming, the bed row is removed and the ward total_beds decrements to 1.</t>
  </si>
  <si>
    <t>Phase 2 additions — Nephrology Ward bed NW-02</t>
  </si>
  <si>
    <t>Bed deletion is irreversible and the delete control is a small icon next to the status dropdown. Without a confirmation step a misclick silently removes a bed the ward is still using.</t>
  </si>
  <si>
    <t>beds where hospital_id = A and bed_number = 'NW-02' → 0 rows; wards.total_beds = 1</t>
  </si>
  <si>
    <t>TC-P2D-047</t>
  </si>
  <si>
    <t>Adding more beds to an existing ward continues the numbering</t>
  </si>
  <si>
    <t>1) Open /settings/wards 2) Open the bed list for Nephrology Ward (currently NW-01, NW-02) 3) Add 2 more beds 4) Read the new bed numbers</t>
  </si>
  <si>
    <t>Two new beds are created continuing the series, and none of them collides with NW-01 or NW-02.</t>
  </si>
  <si>
    <t>Phase 2 additions — Nephrology Ward, 2 additional beds</t>
  </si>
  <si>
    <t>Wards are expanded mid-year. Numbering that restarts at 01 collides with the existing beds and produces exactly the duplicate that TC-P2D-043 forbids.</t>
  </si>
  <si>
    <t>beds where hospital_id = A and ward = 'Nephrology Ward' → 4 distinct bed_number values</t>
  </si>
  <si>
    <t>TC-P2D-048</t>
  </si>
  <si>
    <t>Ward total_beds stays in step with the actual bed rows</t>
  </si>
  <si>
    <t>1) Open /settings/wards 2) Note total_beds for Nephrology Ward 3) Add 2 beds 4) Delete 1 bed 5) Compare total_beds against the number of bed rows</t>
  </si>
  <si>
    <t>wards.total_beds equals the count of beds rows for that ward after every add and delete.</t>
  </si>
  <si>
    <t>Phase 2 additions — Nephrology Ward bed adds and deletes</t>
  </si>
  <si>
    <t>IPD, Analytics, Plan gating</t>
  </si>
  <si>
    <t>total_beds drives occupancy reporting and the plan bed limit. If it drifts from the real bed rows the hospital is either blocked from adding beds it has paid for, or billed for beds it does not have.</t>
  </si>
  <si>
    <t>wards.total_beds for Nephrology Ward = count of beds rows for that ward</t>
  </si>
  <si>
    <t>TC-P2D-049</t>
  </si>
  <si>
    <t>GST applicable can be switched on for a ward and stores its percent</t>
  </si>
  <si>
    <t>1) Open /settings/wards 2) Edit "Deluxe Room" 3) Switch GST Applicable on 4) Enter GST Percent 5 5) Click "Save Ward"</t>
  </si>
  <si>
    <t>wards.gst_applicable = true and wards.gst_percent = 5 for Deluxe Room.</t>
  </si>
  <si>
    <t>MOCK_DATA_BOOK Wards — Deluxe Room ₹9,500/day, above the ₹5,000 GST threshold</t>
  </si>
  <si>
    <t>IPD, Billing, GST</t>
  </si>
  <si>
    <t>Room charges above ₹5,000/day attract 5% GST. If the flag does not save, the hospital under-collects GST on every deluxe admission and carries the shortfall itself at the next filing.</t>
  </si>
  <si>
    <t>wards where hospital_id = A and name = 'Deluxe Room' → gst_applicable = true, gst_percent = 5</t>
  </si>
  <si>
    <t>TC-P2D-050</t>
  </si>
  <si>
    <t>A ward below the ₹5,000 GST threshold attracts no GST</t>
  </si>
  <si>
    <t>1) Open /settings/wards 2) Open "General Ward" at ₹1,500/day 3) Inspect its GST configuration</t>
  </si>
  <si>
    <t>General Ward carries gst_applicable = false. An admission to it produces a room charge with no GST line.</t>
  </si>
  <si>
    <t>MOCK_DATA_BOOK Wards — General Ward ₹1,500/day, below the ₹5,000 threshold</t>
  </si>
  <si>
    <t>Charging GST on a sub-₹5,000 room is an over-collection from the patient and a misstatement on GSTR-1. The three seeded ward rates exist precisely to exercise all three branches of this rule.</t>
  </si>
  <si>
    <t>wards where hospital_id = A and name = 'General Ward' → gst_applicable = false</t>
  </si>
  <si>
    <t>TC-P2D-051</t>
  </si>
  <si>
    <t>ICU is exempt from GST despite being above the threshold</t>
  </si>
  <si>
    <t>1) Open /settings/wards 2) Open "ICU" at ₹12,000/day 3) Inspect its GST configuration</t>
  </si>
  <si>
    <t>ICU carries gst_applicable = false even though ₹12,000 is far above the ₹5,000 threshold — intensive care is exempt.</t>
  </si>
  <si>
    <t>MOCK_DATA_BOOK Wards — ICU ₹12,000/day, above threshold but exempt</t>
  </si>
  <si>
    <t>This is the branch a rate-only rule gets wrong. Applying 5% to a ₹12,000 ICU bed adds ₹600 a day the patient does not owe, on exactly the admissions where the bill is already largest and most scrutinised.</t>
  </si>
  <si>
    <t>wards where hospital_id = A and name = 'ICU' → gst_applicable = false</t>
  </si>
  <si>
    <t>TC-P2D-052</t>
  </si>
  <si>
    <t>The bed prefix defaults from the ward name when left blank</t>
  </si>
  <si>
    <t>1) Open /settings/wards 2) Click "Add Ward" 3) Enter Ward Name "QA Prefix Default Ward" 4) Leave Bed Prefix blank 5) Enter Number of Beds 1 6) Click "Save Ward" 7) Read the generated bed number</t>
  </si>
  <si>
    <t>The bed number is derived from the first letters of the ward name in upper case, with no separator characters from the name leaking in.</t>
  </si>
  <si>
    <t>Literal ward name QA Prefix Default Ward with Bed Prefix left blank</t>
  </si>
  <si>
    <t>Bed Prefix is optional, so the fallback runs often. A derivation that lets spaces or punctuation through produces bed numbers that break the ward board layout and any report that parses them.</t>
  </si>
  <si>
    <t>beds where hospital_id = A and ward = 'QA Prefix Default Ward' → bed_number matches ^[A-Z]{1,3}-[0-9]+$</t>
  </si>
  <si>
    <t>TC-P2D-053</t>
  </si>
  <si>
    <t>Bed numbering honours a custom start number</t>
  </si>
  <si>
    <t>1) Open /settings/wards 2) Click "Add Ward" 3) Enter Ward Name "QA Start Number Ward" 4) Enter Bed Prefix "QS" 5) Enter Start Number 101 6) Enter Number of Beds 2 7) Click "Save Ward"</t>
  </si>
  <si>
    <t>Beds are created as QS-101 and QS-102 — numbering begins at the requested start, not at 1.</t>
  </si>
  <si>
    <t>Literal ward QA Start Number Ward, prefix QS, start 101, 2 beds</t>
  </si>
  <si>
    <t>Hospitals number beds by floor — 101 upward on the first floor. Forcing numbering to start at 1 means the system bed number and the number painted on the wall disagree.</t>
  </si>
  <si>
    <t>beds where hospital_id = A and ward = 'QA Start Number Ward' → bed_number in ('QS-101','QS-102')</t>
  </si>
  <si>
    <t>TC-P2D-054</t>
  </si>
  <si>
    <t>Creating beds beyond the plan limit is blocked with an actionable message</t>
  </si>
  <si>
    <t>1) Open /settings/wards 2) Click "Add Ward" 3) Enter a bed count that takes the hospital past its plan bed limit 4) Click "Save Ward"</t>
  </si>
  <si>
    <t>The save is refused with a message stating the current bed count, the plan maximum and the plan name, and pointing at Settings → Plan &amp; Billing. No ward and no beds are created.</t>
  </si>
  <si>
    <t>MOCK_DATA_BOOK Hospital A — Professional plan bed limit</t>
  </si>
  <si>
    <t>IPD, Plan gating, Billing</t>
  </si>
  <si>
    <t>A gate that fails open lets a hospital exceed what it pays for; a gate that fails with a bare error teaches staff the product is broken. The message has to name the number and the upgrade path.</t>
  </si>
  <si>
    <t>wards and beds → no new rows created when the limit would be exceeded</t>
  </si>
  <si>
    <t>TC-P2D-055</t>
  </si>
  <si>
    <t>A nurse cannot reach the Wards settings screen</t>
  </si>
  <si>
    <t>1) Log in as nurse (Hospital A) 2) Navigate directly to /settings/wards</t>
  </si>
  <si>
    <t>The route is blocked — redirected away, or an explicit access-denied message. The ward create form must not render.</t>
  </si>
  <si>
    <t>Staff logins — nurse (Hospital A), Sr. Mary Thomas</t>
  </si>
  <si>
    <t>Room rates are money. A ward rate editable by any nurse is an unlogged pricing change with no approval trail, and the route guard is the only thing preventing it.</t>
  </si>
  <si>
    <t>TC-P2D-056</t>
  </si>
  <si>
    <t>A receptionist cannot reach the Wards settings screen</t>
  </si>
  <si>
    <t>1) Log in as receptionist (Hospital A) 2) Navigate directly to /settings/wards</t>
  </si>
  <si>
    <t>The route is blocked. The ward list and the Add Ward button must not render.</t>
  </si>
  <si>
    <t>Staff logins — receptionist (Hospital A), Ms. Divya Sharma</t>
  </si>
  <si>
    <t>Reception creates admissions but must not set what an admission costs. Separating the two is the most basic revenue control a hospital has.</t>
  </si>
  <si>
    <t>TC-P2D-057</t>
  </si>
  <si>
    <t>Hospital A's wards are invisible to Hospital B</t>
  </si>
  <si>
    <t>1) Sign in as the Hospital B administrator 2) Open /settings/wards as Hospital B 3) Query the wards table through the API with no hospital filter 4) Inspect the rows returned</t>
  </si>
  <si>
    <t>Not one Hospital A ward is returned. RLS scopes the table to the caller's hospital.</t>
  </si>
  <si>
    <t>IPD, Multi-tenancy</t>
  </si>
  <si>
    <t>Ward names and rates are commercially sensitive. A leak across tenants is a DPDP Act breach and would end the multi-hospital sales motion outright.</t>
  </si>
  <si>
    <t>wards queried as the Hospital B admin → zero rows with hospital_id = A</t>
  </si>
  <si>
    <t>TC-P2D-058</t>
  </si>
  <si>
    <t>A saved ward survives a hard reload</t>
  </si>
  <si>
    <t>1) Open /settings/wards 2) Create ward "Nephrology Ward" with rate 3500 and 2 beds 3) Hard-reload the page 4) Locate the ward</t>
  </si>
  <si>
    <t>The ward and both beds are still listed after the reload, with the rate intact — proving the values came from the database and not from component state.</t>
  </si>
  <si>
    <t>Phase 2 additions — Nephrology Ward</t>
  </si>
  <si>
    <t>This is the check that catches the write-nothing class of defect. Four settings screens in this very phase showed a green toast and persisted nothing; a reload is the cheapest way to tell a real save from a claimed one.</t>
  </si>
  <si>
    <t>wards where hospital_id = A and name = 'Nephrology Ward' → 1 row with rate_per_day = 3500</t>
  </si>
  <si>
    <t>TC-P2D-059</t>
  </si>
  <si>
    <t>Ward type labels render readably rather than as raw enum values</t>
  </si>
  <si>
    <t>1) Open /settings/wards 2) Click "Add Ward" 3) Open the Ward Type dropdown 4) Read the option labels</t>
  </si>
  <si>
    <t>Multi-word types read as "semi private" rather than "semi_private" — the underscore is not shown to the user.</t>
  </si>
  <si>
    <t>phase2.dropdowns.wardType — semi_private</t>
  </si>
  <si>
    <t>Raw enum values on screen tell a ward clerk they are looking at a developer artefact, which is exactly when they stop trusting the field and pick the first option instead.</t>
  </si>
  <si>
    <t>wards.type stores the underscored enum value regardless of the displayed label</t>
  </si>
  <si>
    <t>TC-P2D-060</t>
  </si>
  <si>
    <t>The Wards screen loads with no red console errors</t>
  </si>
  <si>
    <t>1) Open DevTools → Console 2) Open /settings/wards 3) Open a ward bed list 4) Read the console</t>
  </si>
  <si>
    <t>No red console text, and specifically no PostgREST 400/406 errors from a column the query asks for and the schema does not have.</t>
  </si>
  <si>
    <t>This screen writes the nursing rate in a separate, deliberately non-fatal statement so a deployment missing that column can still create wards. A silent console error is the only signal that the fallback has engaged and nursing rates are being discarded.</t>
  </si>
  <si>
    <t>TC-P2D-061</t>
  </si>
  <si>
    <t>Departments screen loads and lists the ten seeded departments</t>
  </si>
  <si>
    <t>1) Log in as hospital_admin (Hospital A) 2) Open /settings/departments 3) Read the department table</t>
  </si>
  <si>
    <t>All ten seeded departments render — General Medicine, General Surgery, Obstetrics &amp; Gynaecology, Paediatrics, Orthopaedics, Anaesthesiology, Radiology, Pathology, Pharmacy, Emergency. No red console errors.</t>
  </si>
  <si>
    <t>MOCK_DATA_BOOK Departments — the ten seeded rows</t>
  </si>
  <si>
    <t>OPD, IPD, HR, Lab, Radiology</t>
  </si>
  <si>
    <t>With no departments no OPD token can be created and no doctor can be assigned. This is the second Tier 0 prerequisite and everything clinical is blocked until it is right.</t>
  </si>
  <si>
    <t>departments where hospital_id = A → 10 rows</t>
  </si>
  <si>
    <t>e2e/phase-02-settings/P2D.structure.departments.spec.ts</t>
  </si>
  <si>
    <t>TC-P2D-062</t>
  </si>
  <si>
    <t>Indian English spellings are preserved exactly as entered</t>
  </si>
  <si>
    <t>1) Open /settings/departments 2) Read the names of the obstetrics, paediatrics, orthopaedics and anaesthesiology departments</t>
  </si>
  <si>
    <t>They read Obstetrics &amp; Gynaecology, Paediatrics, Orthopaedics and Anaesthesiology — not the American Gynecology, Pediatrics, Orthopedics, Anesthesiology.</t>
  </si>
  <si>
    <t>MOCK_DATA_BOOK Departments — Indian English spellings</t>
  </si>
  <si>
    <t>OPD, IPD</t>
  </si>
  <si>
    <t>Indian English is the house style and appears on every printed document. A department renamed to US spelling by the app is a visible error on a discharge summary a patient keeps.</t>
  </si>
  <si>
    <t>departments where hospital_id = A and name = 'Obstetrics &amp; Gynaecology' → 1 row</t>
  </si>
  <si>
    <t>TC-P2D-063</t>
  </si>
  <si>
    <t>Add Department opens a drawer with an empty form</t>
  </si>
  <si>
    <t>1) Open /settings/departments 2) Click "Add Department" 3) Inspect the drawer fields</t>
  </si>
  <si>
    <t>A drawer titled "Add Department" opens with Department Name blank, Type at its default, Department Code blank and Head of Department set to None.</t>
  </si>
  <si>
    <t>A create form still holding the last edited department is how a hospital ends up with two departments sharing a code, which then collides at save time with an error nobody expects.</t>
  </si>
  <si>
    <t>TC-P2D-064</t>
  </si>
  <si>
    <t>A new department saves with the correct hospital_id</t>
  </si>
  <si>
    <t>1) Open /settings/departments 2) Click "Add Department" 3) Enter Department Name "Nephrology" 4) Select Type "clinical" 5) Enter Department Code "NEPH" 6) Click "Save Department"</t>
  </si>
  <si>
    <t>A departments row exists with name = Nephrology, type = clinical, dept_code = NEPH and hospital_id = Hospital A.</t>
  </si>
  <si>
    <t>Phase 2 additions — Nephrology · NEPH · Clinical</t>
  </si>
  <si>
    <t>hospital_id is the RLS anchor for every row in the system. A department written against the wrong tenant is invisible to the hospital that created it and visible to one that should never see it.</t>
  </si>
  <si>
    <t>departments where hospital_id = A and name = 'Nephrology' → 1 row, dept_code = 'NEPH'</t>
  </si>
  <si>
    <t>TC-P2D-065</t>
  </si>
  <si>
    <t>The department code is upper-cased as it is typed</t>
  </si>
  <si>
    <t>1) Open /settings/departments 2) Click "Add Department" 3) Enter Department Name "Nephrology" 4) Type "neph" in lower case into Department Code 5) Observe the field</t>
  </si>
  <si>
    <t>The field shows NEPH in capitals, and departments.dept_code stores NEPH.</t>
  </si>
  <si>
    <t>Phase 2 additions — Nephrology, code entered as lower-case neph</t>
  </si>
  <si>
    <t>Accounts, Analytics</t>
  </si>
  <si>
    <t>Department codes are used in reports and GL integration where the match is case-sensitive. Mixed-case codes silently split one cost centre into two in the ledger.</t>
  </si>
  <si>
    <t>departments where hospital_id = A and name = 'Nephrology' → dept_code = 'NEPH'</t>
  </si>
  <si>
    <t>TC-P2D-066</t>
  </si>
  <si>
    <t>The department code is capped at ten characters</t>
  </si>
  <si>
    <t>1) Open /settings/departments 2) Click "Add Department" 3) Enter Department Name "QA Long Code Dept" 4) Type "ABCDEFGHIJKLMNOP" (16 characters) into Department Code</t>
  </si>
  <si>
    <t>The field accepts at most ten characters. The stored dept_code is ten characters or fewer.</t>
  </si>
  <si>
    <t>Literal 16-character code ABCDEFGHIJKLMNOP</t>
  </si>
  <si>
    <t>A code longer than the column allows is either truncated silently — producing two departments that collide on the truncated value — or rejected by Postgres with an error the administrator cannot interpret.</t>
  </si>
  <si>
    <t>departments where hospital_id = A and name = 'QA Long Code Dept' → length(dept_code) &lt;= 10</t>
  </si>
  <si>
    <t>TC-P2D-067</t>
  </si>
  <si>
    <t>A department cannot be saved without a name</t>
  </si>
  <si>
    <t>1) Open /settings/departments 2) Click "Add Department" 3) Leave Department Name blank 4) Enter Department Code "QAX" 5) Attempt to click "Save Department"</t>
  </si>
  <si>
    <t>The Save Department button is disabled and no departments row is written.</t>
  </si>
  <si>
    <t>None — deliberately omits the required Department Name</t>
  </si>
  <si>
    <t>An unnamed department appears as a blank line in the OPD department picker, so the receptionist selects it by accident and the token is raised against nothing.</t>
  </si>
  <si>
    <t>departments where hospital_id = A and (name is null or name = '') → 0 rows</t>
  </si>
  <si>
    <t>TC-P2D-068</t>
  </si>
  <si>
    <t>A duplicate department name is rejected</t>
  </si>
  <si>
    <t>1) Open /settings/departments 2) Click "Add Department" 3) Enter Department Name "General Medicine", which already exists 4) Click "Save Department"</t>
  </si>
  <si>
    <t>The save is refused with a message naming the clash, or the duplicate is prevented. Only one General Medicine exists for Hospital A.</t>
  </si>
  <si>
    <t>MOCK_DATA_BOOK Departments — re-entering the seeded General Medicine</t>
  </si>
  <si>
    <t>Two departments with the same name split a doctor roster and a revenue report in half, and neither half reconciles against the paper register.</t>
  </si>
  <si>
    <t>departments where hospital_id = A and name = 'General Medicine' → exactly 1 row</t>
  </si>
  <si>
    <t>TC-P2D-069</t>
  </si>
  <si>
    <t>A duplicate department code is rejected</t>
  </si>
  <si>
    <t>1) Open /settings/departments 2) Create "Nephrology" with code "NEPH" 3) Click "Add Department" again 4) Enter Department Name "Nephrology Unit 2" with the same code "NEPH" 5) Click "Save Department"</t>
  </si>
  <si>
    <t>The second save is refused, or the code is not duplicated. Exactly one department for Hospital A carries dept_code NEPH.</t>
  </si>
  <si>
    <t>phase2.invalid — duplicate department code NEPH</t>
  </si>
  <si>
    <t>The code is the GL cost-centre key. Two departments sharing one code merge their revenue in the ledger, and the month-end split between them becomes guesswork.</t>
  </si>
  <si>
    <t>departments where hospital_id = A and dept_code = 'NEPH' → exactly 1 row</t>
  </si>
  <si>
    <t>TC-P2D-070</t>
  </si>
  <si>
    <t>The Type dropdown is fed from the department_types config values list</t>
  </si>
  <si>
    <t>1) Open /settings/config-values?cat=department_types 2) Note the configured values 3) Open /settings/departments 4) Click "Add Department" 5) Open the Type dropdown</t>
  </si>
  <si>
    <t>The Type dropdown offers exactly the values configured under department_types — no more, no fewer. It is not a hardcoded list.</t>
  </si>
  <si>
    <t>phase2.dropdowns.configValueCategories — department_types</t>
  </si>
  <si>
    <t>Configurable Dropdowns, OPD, HR</t>
  </si>
  <si>
    <t>department_types configured under /settings/config-values</t>
  </si>
  <si>
    <t>This is the dropdown-feeds-a-dropdown hop. If the Type list is hardcoded instead of read from config values, a hospital that adds its own department type sees it accepted on one screen and absent on another — the exact class of silent inconsistency this phase exists to find.</t>
  </si>
  <si>
    <t>hospital_config_values where hospital_id = A and category = department_types → matches the dropdown options</t>
  </si>
  <si>
    <t>TC-P2D-071</t>
  </si>
  <si>
    <t>Department Type option "clinical" saves and survives a reload</t>
  </si>
  <si>
    <t>1) Open /settings/departments 2) Click "Add Department" 3) Enter Department Name "QA Type clinical Dept" 4) Select Type "clinical" 5) Click "Save Department" 6) Reload and re-open the department</t>
  </si>
  <si>
    <t>departments.type = 'clinical' and the dropdown still shows "clinical" after the reload.</t>
  </si>
  <si>
    <t>hospital_config_values department_types — "clinical"</t>
  </si>
  <si>
    <t>OPD, HR, Analytics</t>
  </si>
  <si>
    <t>department_types includes "clinical"</t>
  </si>
  <si>
    <t>Department type drives which departments appear in clinical pickers versus back-office reports. A type the dropdown offers but the column will not store fails at save with a raw Postgres enum error.</t>
  </si>
  <si>
    <t>departments where hospital_id = A and name = 'QA Type clinical Dept' → type = 'clinical'</t>
  </si>
  <si>
    <t>TC-P2D-072</t>
  </si>
  <si>
    <t>Department Type option "diagnostic" saves and survives a reload</t>
  </si>
  <si>
    <t>1) Open /settings/departments 2) Click "Add Department" 3) Enter Department Name "QA Type diagnostic Dept" 4) Select Type "diagnostic" 5) Click "Save Department" 6) Reload and re-open the department</t>
  </si>
  <si>
    <t>departments.type = 'diagnostic' and the dropdown still shows "diagnostic" after the reload.</t>
  </si>
  <si>
    <t>hospital_config_values department_types — "diagnostic"</t>
  </si>
  <si>
    <t>department_types includes "diagnostic"</t>
  </si>
  <si>
    <t>departments where hospital_id = A and name = 'QA Type diagnostic Dept' → type = 'diagnostic'</t>
  </si>
  <si>
    <t>TC-P2D-073</t>
  </si>
  <si>
    <t>Department Type option "support" saves and survives a reload</t>
  </si>
  <si>
    <t>1) Open /settings/departments 2) Click "Add Department" 3) Enter Department Name "QA Type support Dept" 4) Select Type "support" 5) Click "Save Department" 6) Reload and re-open the department</t>
  </si>
  <si>
    <t>departments.type = 'support' and the dropdown still shows "support" after the reload.</t>
  </si>
  <si>
    <t>hospital_config_values department_types — "support"</t>
  </si>
  <si>
    <t>department_types includes "support"</t>
  </si>
  <si>
    <t>departments where hospital_id = A and name = 'QA Type support Dept' → type = 'support'</t>
  </si>
  <si>
    <t>TC-P2D-074</t>
  </si>
  <si>
    <t>Department Type option "administrative" saves and survives a reload</t>
  </si>
  <si>
    <t>1) Open /settings/departments 2) Click "Add Department" 3) Enter Department Name "QA Type administrative Dept" 4) Select Type "administrative" 5) Click "Save Department" 6) Reload and re-open the department</t>
  </si>
  <si>
    <t>departments.type = 'administrative' and the dropdown still shows "administrative" after the reload.</t>
  </si>
  <si>
    <t>hospital_config_values department_types — "administrative"</t>
  </si>
  <si>
    <t>department_types includes "administrative"</t>
  </si>
  <si>
    <t>departments where hospital_id = A and name = 'QA Type administrative Dept' → type = 'administrative'</t>
  </si>
  <si>
    <t>TC-P2D-075</t>
  </si>
  <si>
    <t>A head of department can be assigned from the doctor list</t>
  </si>
  <si>
    <t>1) Open /settings/departments 2) Edit "Nephrology" 3) Select "Dr. Suresh Menon" as Head of Department 4) Click "Save Department"</t>
  </si>
  <si>
    <t>departments.head_doctor_id is set to that doctor's user id, and the name shows on the department row.</t>
  </si>
  <si>
    <t>MOCK_DATA_BOOK Staff logins — Dr. Suresh Menon (doctor, Hospital A)</t>
  </si>
  <si>
    <t>HR, OPD</t>
  </si>
  <si>
    <t>Tier 0 staff created; at least one active doctor exists</t>
  </si>
  <si>
    <t>The head of department is who escalations and approvals route to. Unset, escalations go nowhere and a NABH assessor finds no named clinical owner for the unit.</t>
  </si>
  <si>
    <t>departments where hospital_id = A and name = 'Nephrology' → head_doctor_id is not null</t>
  </si>
  <si>
    <t>TC-P2D-076</t>
  </si>
  <si>
    <t>The Head of Department list offers only active doctors of this hospital</t>
  </si>
  <si>
    <t>1) Open /settings/departments 2) Click "Add Department" 3) Open the Head of Department dropdown 4) Read every name offered</t>
  </si>
  <si>
    <t>Only users with role doctor, is_active true and hospital_id = Hospital A are listed, plus a "None" option. No nurses, no receptionists, and nobody from Hospital B.</t>
  </si>
  <si>
    <t>MOCK_DATA_BOOK Staff logins — the three Hospital A doctors</t>
  </si>
  <si>
    <t>HR, Multi-tenancy</t>
  </si>
  <si>
    <t>Tier 0 staff created</t>
  </si>
  <si>
    <t>A picker that lists every user lets a receptionist be made head of Nephrology. Worse, one that is not hospital-scoped leaks Hospital B staff names into Hospital A — a cross-tenant disclosure through a dropdown.</t>
  </si>
  <si>
    <t>users where hospital_id = A and role = doctor and is_active = true → matches the dropdown options</t>
  </si>
  <si>
    <t>TC-P2D-077</t>
  </si>
  <si>
    <t>Renaming a department persists the new name</t>
  </si>
  <si>
    <t>1) Open /settings/departments 2) Click Edit on "Nephrology" 3) Change the name to "Nephrology &amp; Dialysis" 4) Click "Save Department" 5) Reload the page</t>
  </si>
  <si>
    <t>departments.name reads "Nephrology &amp; Dialysis" after the reload — the value came from the database, not from unsaved form state.</t>
  </si>
  <si>
    <t>phase2.edit.departmentName (Nephrology → Nephrology &amp; Dialysis)</t>
  </si>
  <si>
    <t>Departments merge and are renamed as hospitals grow. An edit that toasts success and does not persist leaves the old name on every token, bill and report while the administrator believes it changed.</t>
  </si>
  <si>
    <t>departments where hospital_id = A and name = 'Nephrology &amp; Dialysis' → 1 row</t>
  </si>
  <si>
    <t>TC-P2D-078</t>
  </si>
  <si>
    <t>A department can be deactivated without being deleted</t>
  </si>
  <si>
    <t>1) Open /settings/departments 2) Click "Deactivate" on "Nephrology &amp; Dialysis" 3) Read the status column</t>
  </si>
  <si>
    <t>departments.is_active = false and the row shows Inactive. The row still exists.</t>
  </si>
  <si>
    <t>Phase 2 additions — Nephrology &amp; Dialysis</t>
  </si>
  <si>
    <t>OPD, IPD, Analytics</t>
  </si>
  <si>
    <t>A closed department must stop appearing in pickers while its historical tokens, bills and records stay attached to it. Deleting instead of deactivating orphans years of clinical history.</t>
  </si>
  <si>
    <t>departments where hospital_id = A and name = 'Nephrology &amp; Dialysis' → is_active = false</t>
  </si>
  <si>
    <t>TC-P2D-079</t>
  </si>
  <si>
    <t>A deactivated department can be reactivated</t>
  </si>
  <si>
    <t>1) Open /settings/departments 2) Locate the inactive "Nephrology &amp; Dialysis" 3) Click "Activate" 4) Read the status column</t>
  </si>
  <si>
    <t>departments.is_active = true and the row shows Active again.</t>
  </si>
  <si>
    <t>Departments reopen — seasonally, or after a consultant is hired. A one-way deactivation forces the administrator to create a duplicate, splitting the department's history in two.</t>
  </si>
  <si>
    <t>departments where hospital_id = A and name = 'Nephrology &amp; Dialysis' → is_active = true</t>
  </si>
  <si>
    <t>TC-P2D-080</t>
  </si>
  <si>
    <t>Delete is offered only after a department is deactivated</t>
  </si>
  <si>
    <t>1) Open /settings/departments 2) Look for a delete control on an ACTIVE department 3) Deactivate it 4) Look again</t>
  </si>
  <si>
    <t>No delete control appears while the department is active. It appears only once the row is inactive.</t>
  </si>
  <si>
    <t>Deactivate-then-delete is a deliberate two-step. Removing an in-use department in one click detaches every token and bill that points at it, and there is no undo.</t>
  </si>
  <si>
    <t>None — UI affordance, verified by the absence of the control</t>
  </si>
  <si>
    <t>TC-P2D-081</t>
  </si>
  <si>
    <t>A department with active staff assigned cannot be deleted</t>
  </si>
  <si>
    <t>1) Open /settings/staff and assign a staff member to "General Medicine" 2) Open /settings/departments 3) Deactivate "General Medicine" 4) Attempt to delete it</t>
  </si>
  <si>
    <t>A destructive toast reads "Cannot delete: active staff members are assigned to this department." and the departments row remains.</t>
  </si>
  <si>
    <t>MOCK_DATA_BOOK Staff logins — Dr. Suresh Menon in General Medicine</t>
  </si>
  <si>
    <t>Tier 0 staff created with a department assigned</t>
  </si>
  <si>
    <t>Deleting the department out from under a doctor leaves users.department_id pointing at nothing. The doctor then vanishes from every department-filtered roster and OPD list while still being able to log in.</t>
  </si>
  <si>
    <t>departments where hospital_id = A and name = 'General Medicine' → row still exists</t>
  </si>
  <si>
    <t>TC-P2D-082</t>
  </si>
  <si>
    <t>Deleting a department asks for confirmation naming the department</t>
  </si>
  <si>
    <t>1) Open /settings/departments 2) Deactivate a department with no staff assigned 3) Click the delete icon 4) Read the confirmation text</t>
  </si>
  <si>
    <t>A confirmation quotes the department name and warns the action cannot be undone. Dismissing it leaves the row intact.</t>
  </si>
  <si>
    <t>The delete control is a small trash icon in a row of text buttons. Naming the department in the prompt is what stops the wrong row being removed on a misclick.</t>
  </si>
  <si>
    <t>departments → the row still exists after the confirmation is dismissed</t>
  </si>
  <si>
    <t>TC-P2D-083</t>
  </si>
  <si>
    <t>Hospital A's departments are invisible to Hospital B</t>
  </si>
  <si>
    <t>1) Sign in as the Hospital B administrator 2) Open /settings/departments as Hospital B 3) Query the departments table through the API with no hospital filter</t>
  </si>
  <si>
    <t>Not one Hospital A department is returned. Hospital B sees only its own.</t>
  </si>
  <si>
    <t>Multi-tenancy, OPD</t>
  </si>
  <si>
    <t>Department lists reveal a competitor hospital's clinical footprint. Under the DPDP Act a cross-tenant leak of operational data is a reportable breach, and it ends the multi-hospital sales motion.</t>
  </si>
  <si>
    <t>departments queried as the Hospital B admin → zero rows with hospital_id = A</t>
  </si>
  <si>
    <t>TC-P2D-084</t>
  </si>
  <si>
    <t>A receptionist cannot reach the Departments settings screen</t>
  </si>
  <si>
    <t>1) Log in as receptionist (Hospital A) 2) Navigate directly to /settings/departments</t>
  </si>
  <si>
    <t>The route is blocked — redirected away, or an explicit access-denied message. The Add Department button must not render.</t>
  </si>
  <si>
    <t>Reception raises tokens against departments but must not create or rename them. A receptionist who renames a department mid-day breaks every report that groups by it.</t>
  </si>
  <si>
    <t>TC-P2D-085</t>
  </si>
  <si>
    <t>Shifts screen loads its rows from shift_master rather than a hardcoded list</t>
  </si>
  <si>
    <t>1) Log in as hospital_admin (Hospital A) 2) Open /settings/shifts 3) Read the shift table</t>
  </si>
  <si>
    <t>The table reflects the shift_master rows for Hospital A. If none exist it shows an empty state, NOT the three placeholder shifts Morning/Afternoon/Night.</t>
  </si>
  <si>
    <t>MOCK_DATA_BOOK Phase 2 additions — Night Relief 22:00–06:00</t>
  </si>
  <si>
    <t>HR, Nursing, OT, Emergency</t>
  </si>
  <si>
    <t>REGRESSION LOCK for BUG-P2-002. This screen used to render three hardcoded shifts and never query the database, so every hospital saw the same fake data and its own shifts existed nowhere.</t>
  </si>
  <si>
    <t>shift_master where hospital_id = A → matches the rows displayed</t>
  </si>
  <si>
    <t>e2e/phase-02-settings/P2D.structure.shifts.spec.ts</t>
  </si>
  <si>
    <t>TC-P2D-086</t>
  </si>
  <si>
    <t>An empty shift list explains what to do next</t>
  </si>
  <si>
    <t>1) Ensure shift_master has no rows for Hospital A 2) Open /settings/shifts 3) Read the table body</t>
  </si>
  <si>
    <t>An empty state explains that rosters and nursing hand-overs need shift timings, rather than showing a bare empty table.</t>
  </si>
  <si>
    <t>None — asserts the empty state before any shift exists</t>
  </si>
  <si>
    <t>HR, Nursing</t>
  </si>
  <si>
    <t>An empty grid reads as a loading failure. Naming what is missing and why it matters is the difference between an administrator configuring shifts and raising a support ticket.</t>
  </si>
  <si>
    <t>shift_master where hospital_id = A → 0 rows</t>
  </si>
  <si>
    <t>TC-P2D-087</t>
  </si>
  <si>
    <t>Add Shift opens an inline row with blank fields</t>
  </si>
  <si>
    <t>1) Open /settings/shifts 2) Click "Add Shift" 3) Inspect the new row</t>
  </si>
  <si>
    <t>A new editable row appears with Name and Code blank, both time fields empty, and the Add Shift button disabled while the row is open.</t>
  </si>
  <si>
    <t>None — inspects the empty create row</t>
  </si>
  <si>
    <t>Allowing a second create row to open while the first is unsaved lets an administrator lose the first one silently.</t>
  </si>
  <si>
    <t>TC-P2D-088</t>
  </si>
  <si>
    <t>A new shift saves to shift_master</t>
  </si>
  <si>
    <t>1) Open /settings/shifts 2) Click "Add Shift" 3) Enter Name "Night Relief" 4) Enter Code "NR" 5) Set Start 22:00 6) Set End 06:00 7) Click Save</t>
  </si>
  <si>
    <t>A shift_master row exists with shift_name = Night Relief, shift_code = NR, start_time = 22:00, end_time = 06:00 and hospital_id = Hospital A.</t>
  </si>
  <si>
    <t>MOCK_DATA_BOOK Phase 2 additions — Night Relief · 22:00–06:00</t>
  </si>
  <si>
    <t>REGRESSION LOCK for BUG-P2-002. Saving showed a green toast and issued zero Supabase calls, so a hospital could define its shift pattern, see it confirmed, and find shift_master empty. Rostering downstream had nothing to work from.</t>
  </si>
  <si>
    <t>shift_master where hospital_id = A and shift_code = 'NR' → 1 row, start_time = 22:00, end_time = 06:00</t>
  </si>
  <si>
    <t>TC-P2D-089</t>
  </si>
  <si>
    <t>A shift crossing midnight stores eight hours, not minus sixteen</t>
  </si>
  <si>
    <t>1) Open /settings/shifts 2) Create shift "Night Relief" with Start 22:00 and End 06:00 3) Read the Hours column 4) Check shift_master.duration_hours</t>
  </si>
  <si>
    <t>The Hours column reads 8 h and shift_master.duration_hours = 8. It must never be negative.</t>
  </si>
  <si>
    <t>MOCK_DATA_BOOK Phase 2 additions — Night Relief · 22:00–06:00 (crosses midnight)</t>
  </si>
  <si>
    <t>HR, Payroll, Nursing</t>
  </si>
  <si>
    <t>Subtracting the times naively gives −16. A negative duration flows straight into roster hours and night-shift payroll, so every nurse on nights is paid against a nonsense figure. This is the single most likely arithmetic error on the screen.</t>
  </si>
  <si>
    <t>shift_master where hospital_id = A and shift_code = 'NR' → duration_hours = 8</t>
  </si>
  <si>
    <t>TC-P2D-090</t>
  </si>
  <si>
    <t>A same-day shift stores its plain duration</t>
  </si>
  <si>
    <t>1) Open /settings/shifts 2) Create shift "QA Morning" code "QAM" with Start 07:00 and End 14:00 3) Read the Hours column</t>
  </si>
  <si>
    <t>The Hours column reads 7 h and shift_master.duration_hours = 7.</t>
  </si>
  <si>
    <t>Literal shift QA Morning · QAM · 07:00–14:00</t>
  </si>
  <si>
    <t>HR, Payroll</t>
  </si>
  <si>
    <t>The midnight-wrap fix must not break the ordinary case. A rule that adds 24 hours unconditionally would turn every day shift into a 31-hour one.</t>
  </si>
  <si>
    <t>shift_master where hospital_id = A and shift_code = 'QAM' → duration_hours = 7</t>
  </si>
  <si>
    <t>TC-P2D-091</t>
  </si>
  <si>
    <t>A shift cannot be saved without a name</t>
  </si>
  <si>
    <t>1) Open /settings/shifts 2) Click "Add Shift" 3) Leave Name blank 4) Enter Code "QX" and times 08:00–16:00 5) Click Save</t>
  </si>
  <si>
    <t>A destructive toast reads "Shift name is required." and no shift_master row is written.</t>
  </si>
  <si>
    <t>None — deliberately omits the required Name</t>
  </si>
  <si>
    <t>An unnamed shift shows as a blank entry on the roster, so the ward sister cannot tell which shift a nurse is rostered to.</t>
  </si>
  <si>
    <t>shift_master where hospital_id = A and shift_code = 'QX' → 0 rows</t>
  </si>
  <si>
    <t>TC-P2D-092</t>
  </si>
  <si>
    <t>A shift cannot be saved without a code</t>
  </si>
  <si>
    <t>1) Open /settings/shifts 2) Click "Add Shift" 3) Enter Name "QA No Code" 4) Leave Code blank 5) Enter times 08:00–16:00 6) Click Save</t>
  </si>
  <si>
    <t>A destructive toast reads "Shift code is required." and no shift_master row is written.</t>
  </si>
  <si>
    <t>None — deliberately omits the required Code</t>
  </si>
  <si>
    <t>The code is what appears in the compressed roster grid where a full name will not fit. Without it the grid renders blank cells.</t>
  </si>
  <si>
    <t>shift_master where hospital_id = A and shift_name = 'QA No Code' → 0 rows</t>
  </si>
  <si>
    <t>TC-P2D-093</t>
  </si>
  <si>
    <t>A shift cannot be saved without a start time</t>
  </si>
  <si>
    <t>1) Open /settings/shifts 2) Click "Add Shift" 3) Enter Name "QA No Start" and Code "QNS" 4) Leave Start blank 5) Enter End 16:00 6) Click Save</t>
  </si>
  <si>
    <t>A destructive toast reads "Start time is required." and no shift_master row is written.</t>
  </si>
  <si>
    <t>None — deliberately omits the required Start time</t>
  </si>
  <si>
    <t>start_time is NOT NULL in shift_master. Without client-side validation the user gets a raw Postgres constraint error instead of a sentence telling them which field is missing.</t>
  </si>
  <si>
    <t>shift_master where hospital_id = A and shift_code = 'QNS' → 0 rows</t>
  </si>
  <si>
    <t>TC-P2D-094</t>
  </si>
  <si>
    <t>A shift cannot be saved without an end time</t>
  </si>
  <si>
    <t>1) Open /settings/shifts 2) Click "Add Shift" 3) Enter Name "QA No End" and Code "QNE" 4) Enter Start 08:00 5) Leave End blank 6) Click Save</t>
  </si>
  <si>
    <t>A destructive toast reads "End time is required." and no shift_master row is written.</t>
  </si>
  <si>
    <t>None — deliberately omits the required End time</t>
  </si>
  <si>
    <t>end_time is NOT NULL in shift_master, and a shift with no end cannot have its duration computed for payroll.</t>
  </si>
  <si>
    <t>shift_master where hospital_id = A and shift_code = 'QNE' → 0 rows</t>
  </si>
  <si>
    <t>TC-P2D-095</t>
  </si>
  <si>
    <t>A zero-length shift is refused</t>
  </si>
  <si>
    <t>1) Open /settings/shifts 2) Click "Add Shift" 3) Enter Name "QA Zero Shift" and Code "QZS" 4) Set Start 22:00 and End 22:00 5) Click Save</t>
  </si>
  <si>
    <t>A destructive toast explains that start and end cannot be the same, and no shift_master row is written.</t>
  </si>
  <si>
    <t>phase2.invalid.shiftZeroLength (start 22:00, end 22:00)</t>
  </si>
  <si>
    <t>Identical start and end is ambiguous — zero hours or a continuous 24? Stored either way it silently misstates every roster hour and payroll line built on it, so it must be rejected at entry.</t>
  </si>
  <si>
    <t>shift_master where hospital_id = A and shift_code = 'QZS' → 0 rows</t>
  </si>
  <si>
    <t>TC-P2D-096</t>
  </si>
  <si>
    <t>A duplicate shift code is refused</t>
  </si>
  <si>
    <t>1) Open /settings/shifts 2) Create shift "Night Relief" with code "NR" 3) Click "Add Shift" again 4) Enter Name "QA Duplicate" with the same code "NR" 5) Click Save</t>
  </si>
  <si>
    <t>A destructive toast names the clashing code and only one shift_master row carries NR.</t>
  </si>
  <si>
    <t>phase2.invalid — duplicate shift code NR</t>
  </si>
  <si>
    <t>The roster grid keys on the code. Two shifts sharing one means attendance is booked against whichever the query happens to return first, and the nurse is paid for the wrong shift.</t>
  </si>
  <si>
    <t>shift_master where hospital_id = A and shift_code = 'NR' → exactly 1 row</t>
  </si>
  <si>
    <t>TC-P2D-097</t>
  </si>
  <si>
    <t>The shift code is stored upper-cased</t>
  </si>
  <si>
    <t>1) Open /settings/shifts 2) Click "Add Shift" 3) Enter Name "Night Relief" and Code in lower case "nr" 4) Enter times 22:00–06:00 5) Click Save</t>
  </si>
  <si>
    <t>shift_master.shift_code stores NR in capitals.</t>
  </si>
  <si>
    <t>MOCK_DATA_BOOK Phase 2 additions — Night Relief, code entered as lower-case nr</t>
  </si>
  <si>
    <t>Mixed-case codes defeat the duplicate check and let "nr" and "NR" coexist as two shifts that look identical on screen.</t>
  </si>
  <si>
    <t>shift_master where hospital_id = A and shift_code = 'NR' → 1 row</t>
  </si>
  <si>
    <t>TC-P2D-098</t>
  </si>
  <si>
    <t>Editing a shift persists the change</t>
  </si>
  <si>
    <t>1) Open /settings/shifts 2) Click the edit icon on "Night Relief" 3) Change End from 06:00 to 07:00 4) Click Save 5) Reload the page</t>
  </si>
  <si>
    <t>shift_master.end_time = 07:00 and duration_hours = 9 after the reload.</t>
  </si>
  <si>
    <t>MOCK_DATA_BOOK Phase 2 additions — Night Relief, end time edited to 07:00</t>
  </si>
  <si>
    <t>Shift timings change with season and staffing. An edit that does not persist means the roster keeps using last month's hand-over time and two shifts overlap or leave a gap.</t>
  </si>
  <si>
    <t>shift_master where hospital_id = A and shift_code = 'NR' → end_time = 07:00, duration_hours = 9</t>
  </si>
  <si>
    <t>TC-P2D-099</t>
  </si>
  <si>
    <t>A shift can be deactivated and reactivated</t>
  </si>
  <si>
    <t>1) Open /settings/shifts 2) Switch the Active toggle off for "Night Relief" 3) Reload 4) Switch it back on</t>
  </si>
  <si>
    <t>shift_master.is_active follows the toggle in both directions and survives the reload.</t>
  </si>
  <si>
    <t>MOCK_DATA_BOOK Phase 2 additions — Night Relief</t>
  </si>
  <si>
    <t>A retired shift must stop appearing on new rosters while historical attendance stays attached to it. Deleting instead would orphan months of attendance records.</t>
  </si>
  <si>
    <t>shift_master where hospital_id = A and shift_code = 'NR' → is_active toggles true/false</t>
  </si>
  <si>
    <t>TC-P2D-100</t>
  </si>
  <si>
    <t>Deleting a shift asks for confirmation naming the shift</t>
  </si>
  <si>
    <t>1) Open /settings/shifts 2) Click the delete icon on "Night Relief" 3) Read the confirmation 4) Dismiss it</t>
  </si>
  <si>
    <t>A confirmation quotes the shift name and warns the action cannot be undone. Dismissing leaves the shift_master row intact.</t>
  </si>
  <si>
    <t>The delete control is a small icon beside the edit icon. Without a named confirmation a misclick removes a shift the roster is actively using.</t>
  </si>
  <si>
    <t>shift_master where hospital_id = A and shift_code = 'NR' → row still exists after dismissing</t>
  </si>
  <si>
    <t>TC-P2D-101</t>
  </si>
  <si>
    <t>Confirming the delete removes the shift row</t>
  </si>
  <si>
    <t>1) Open /settings/shifts 2) Click the delete icon on "QA Morning" 3) Confirm the prompt 4) Reload the page</t>
  </si>
  <si>
    <t>The shift_master row for QAM is gone and does not return after the reload.</t>
  </si>
  <si>
    <t>A delete that only removes the row from local state reappears on the next load, so the administrator deletes it repeatedly and concludes the screen is broken.</t>
  </si>
  <si>
    <t>shift_master where hospital_id = A and shift_code = 'QAM' → 0 rows</t>
  </si>
  <si>
    <t>TC-P2D-102</t>
  </si>
  <si>
    <t>A saved shift survives a hard reload</t>
  </si>
  <si>
    <t>1) Open /settings/shifts 2) Create shift "Night Relief" code "NR" 22:00–06:00 3) Hard-reload the page 4) Look for the shift</t>
  </si>
  <si>
    <t>Night Relief is still listed after the reload with its times and 8 h duration intact.</t>
  </si>
  <si>
    <t>REGRESSION LOCK for BUG-P2-002. Before the fix this screen kept everything in component state, so a reload wiped it and shift_master stayed empty. A reload is the cheapest way to tell a real save from a claimed one.</t>
  </si>
  <si>
    <t>TC-P2D-103</t>
  </si>
  <si>
    <t>The shift colour is stored and rendered</t>
  </si>
  <si>
    <t>1) Open /settings/shifts 2) Create a shift and set its colour 3) Reload 4) Read the colour swatch</t>
  </si>
  <si>
    <t>shift_master.color_code holds the chosen hex value and the swatch renders in that colour after the reload.</t>
  </si>
  <si>
    <t>MOCK_DATA_BOOK Phase 2 additions — Night Relief with its default colour</t>
  </si>
  <si>
    <t>Colour is how a ward sister reads a month-long roster grid at a glance. A colour that resets on reload makes the grid unreadable.</t>
  </si>
  <si>
    <t>shift_master where hospital_id = A and shift_code = 'NR' → color_code is a hex value</t>
  </si>
  <si>
    <t>TC-P2D-104</t>
  </si>
  <si>
    <t>Hospital A's shifts are invisible to Hospital B</t>
  </si>
  <si>
    <t>1) Sign in as the Hospital B administrator 2) Open /settings/shifts as Hospital B 3) Query shift_master through the API with no hospital filter</t>
  </si>
  <si>
    <t>Not one Hospital A shift is returned.</t>
  </si>
  <si>
    <t>Multi-tenancy, HR</t>
  </si>
  <si>
    <t>Shift patterns reveal staffing levels and cost structure. Before the fix this table was never queried at all, so its RLS has never been exercised — this is the first case that proves it works.</t>
  </si>
  <si>
    <t>shift_master queried as the Hospital B admin → zero rows with hospital_id = A</t>
  </si>
  <si>
    <t>TC-P2D-105</t>
  </si>
  <si>
    <t>A nurse cannot reach the Shifts settings screen</t>
  </si>
  <si>
    <t>1) Log in as nurse (Hospital A) 2) Navigate directly to /settings/shifts</t>
  </si>
  <si>
    <t>Shift definitions drive payroll hours. A nurse able to widen a shift is a nurse able to change what the hospital pays, with no approval trail.</t>
  </si>
  <si>
    <t>TC-P2D-106</t>
  </si>
  <si>
    <t>The Shifts screen loads with no red console errors</t>
  </si>
  <si>
    <t>1) Open DevTools → Console 2) Open /settings/shifts 3) Create and edit a shift 4) Read the console</t>
  </si>
  <si>
    <t>No red console text, and specifically no PostgREST error from a shift_master column the query names and the schema lacks.</t>
  </si>
  <si>
    <t>This screen was rewired to a table it had never touched. A column-name mismatch would surface only as a console error while the UI carried on looking healthy.</t>
  </si>
  <si>
    <t>TC-P2D-107</t>
  </si>
  <si>
    <t>Bank Accounts screen loads</t>
  </si>
  <si>
    <t>1) Log in as hospital_admin (Hospital A) 2) Open /settings/bank-accounts 3) Read the table</t>
  </si>
  <si>
    <t>The screen renders with an Add Account action and either the existing bank_accounts rows or an empty state. No red console errors.</t>
  </si>
  <si>
    <t>MOCK_DATA_BOOK Phase 2 additions — Aarogya Ops — HDFC</t>
  </si>
  <si>
    <t>Accounts, Payments, Billing, Day Closure</t>
  </si>
  <si>
    <t>Without a bank account configured there is nothing to reconcile collections against, so day closure cannot be completed and cash differences go undetected.</t>
  </si>
  <si>
    <t>bank_accounts where hospital_id = A → matches the rows displayed</t>
  </si>
  <si>
    <t>e2e/phase-02-settings/P2D.structure.bank-accounts.spec.ts</t>
  </si>
  <si>
    <t>TC-P2D-108</t>
  </si>
  <si>
    <t>An empty bank account list offers a first-run action</t>
  </si>
  <si>
    <t>1) Ensure bank_accounts has no rows for Hospital A 2) Open /settings/bank-accounts</t>
  </si>
  <si>
    <t>An empty state renders with an "Add First Account" action rather than a bare empty table.</t>
  </si>
  <si>
    <t>None — asserts the empty state before any account exists</t>
  </si>
  <si>
    <t>Accounts, Day Closure</t>
  </si>
  <si>
    <t>Reconciliation is set up once, usually by someone who has never seen the screen. A first-run action is what makes the next step obvious.</t>
  </si>
  <si>
    <t>bank_accounts where hospital_id = A → 0 rows</t>
  </si>
  <si>
    <t>TC-P2D-109</t>
  </si>
  <si>
    <t>A bank account saves with its IFSC code</t>
  </si>
  <si>
    <t>1) Open /settings/bank-accounts 2) Click "Add Account" 3) Enter Account Name "Aarogya Ops - HDFC" 4) Enter Bank Name "HDFC Bank" 5) Enter Account Number 50100123456789 6) Enter IFSC Code HDFC0001234 7) Click "Add Account"</t>
  </si>
  <si>
    <t>A bank_accounts row exists with those values and hospital_id = Hospital A.</t>
  </si>
  <si>
    <t>MOCK_DATA_BOOK Phase 2 additions — Aarogya Ops — HDFC · A/c 50100123456789 · IFSC HDFC0001234</t>
  </si>
  <si>
    <t>Accounts, Payments, Day Closure</t>
  </si>
  <si>
    <t>The account number and IFSC are what money is actually settled against. A wrong or missing pair means collections cannot be matched to the bank statement at all.</t>
  </si>
  <si>
    <t>bank_accounts where hospital_id = A and account_number = '50100123456789' → ifsc_code = 'HDFC0001234'</t>
  </si>
  <si>
    <t>TC-P2D-110</t>
  </si>
  <si>
    <t>An account cannot be saved without an account name</t>
  </si>
  <si>
    <t>1) Open /settings/bank-accounts 2) Click "Add Account" 3) Leave Account Name blank 4) Enter Bank Name "HDFC Bank" and Account Number 50100123456789 5) Click "Add Account"</t>
  </si>
  <si>
    <t>An error toast reads "Name, bank, and account number are required" and no bank_accounts row is written.</t>
  </si>
  <si>
    <t>None — deliberately omits the required Account Name</t>
  </si>
  <si>
    <t>A hospital runs several accounts — operations, salary, corpus. Unnamed, the reconciliation screen offers identical blank options and money is matched against the wrong one.</t>
  </si>
  <si>
    <t>bank_accounts where hospital_id = A and account_name = '' → 0 rows</t>
  </si>
  <si>
    <t>TC-P2D-111</t>
  </si>
  <si>
    <t>An account cannot be saved without a bank name</t>
  </si>
  <si>
    <t>1) Open /settings/bank-accounts 2) Click "Add Account" 3) Enter Account Name "QA No Bank" 4) Leave Bank Name blank 5) Enter Account Number 50100999999999 6) Click "Add Account"</t>
  </si>
  <si>
    <t>An error toast reads "Name, bank, and account number are required" and no row is written.</t>
  </si>
  <si>
    <t>None — deliberately omits the required Bank Name</t>
  </si>
  <si>
    <t>The bank name is what the accountant matches against the statement header. Without it, reconciling two accounts at different banks becomes guesswork.</t>
  </si>
  <si>
    <t>bank_accounts where hospital_id = A and account_name = 'QA No Bank' → 0 rows</t>
  </si>
  <si>
    <t>TC-P2D-112</t>
  </si>
  <si>
    <t>An account cannot be saved without an account number</t>
  </si>
  <si>
    <t>1) Open /settings/bank-accounts 2) Click "Add Account" 3) Enter Account Name "QA No Number" and Bank Name "HDFC Bank" 4) Leave Account Number blank 5) Click "Add Account"</t>
  </si>
  <si>
    <t>None — deliberately omits the required Account Number</t>
  </si>
  <si>
    <t>An account with no number cannot be reconciled to anything. It sits in the list looking configured while every settlement against it fails to match.</t>
  </si>
  <si>
    <t>bank_accounts where hospital_id = A and account_name = 'QA No Number' → 0 rows</t>
  </si>
  <si>
    <t>TC-P2D-113</t>
  </si>
  <si>
    <t>A malformed IFSC code is rejected</t>
  </si>
  <si>
    <t>1) Open /settings/bank-accounts 2) Click "Add Account" 3) Enter Account Name "QA Bad IFSC" and Bank Name "HDFC Bank" 4) Enter Account Number 50100888888888 5) Enter IFSC Code "HDFC001234" (10 characters) 6) Click "Add Account"</t>
  </si>
  <si>
    <t>The save is refused with a message naming the IFSC format — 11 characters, fifth character 0. No row is written with the malformed code.</t>
  </si>
  <si>
    <t>phase2.invalid.ifscTooShort (HDFC001234)</t>
  </si>
  <si>
    <t>An invalid IFSC is accepted by this screen and rejected by the bank at transfer time, days later, with no clear trail back to the typo. Validating the format at entry is the only cheap moment to catch it.</t>
  </si>
  <si>
    <t>bank_accounts where hospital_id = A and ifsc_code = 'HDFC001234' → 0 rows</t>
  </si>
  <si>
    <t>TC-P2D-114</t>
  </si>
  <si>
    <t>A valid 11-character IFSC with a zero fifth character is accepted</t>
  </si>
  <si>
    <t>1) Open /settings/bank-accounts 2) Create an account with IFSC Code "HDFC0001234" 3) Save 4) Reload</t>
  </si>
  <si>
    <t>bank_accounts.ifsc_code = HDFC0001234 — the valid form is accepted, not caught by an over-strict rule.</t>
  </si>
  <si>
    <t>MOCK_DATA_BOOK Phase 2 additions — IFSC HDFC0001234</t>
  </si>
  <si>
    <t>A validation rule that rejects valid IFSCs is worse than none — the accountant cannot enter the real account and works around the system entirely.</t>
  </si>
  <si>
    <t>bank_accounts where hospital_id = A and ifsc_code = 'HDFC0001234' → 1 row</t>
  </si>
  <si>
    <t>TC-P2D-115</t>
  </si>
  <si>
    <t>The IFSC code is optional</t>
  </si>
  <si>
    <t>1) Open /settings/bank-accounts 2) Create an account with Account Name, Bank Name and Account Number but no IFSC 3) Click "Add Account"</t>
  </si>
  <si>
    <t>The account saves and bank_accounts.ifsc_code is null — not an empty string.</t>
  </si>
  <si>
    <t>Literal account QA No IFSC · HDFC Bank · 50100777777777, IFSC left blank</t>
  </si>
  <si>
    <t>Cash-in-hand and petty accounts have no IFSC. Forcing one makes the accountant invent a value, which then fails at transfer time looking like a real account.</t>
  </si>
  <si>
    <t>bank_accounts where hospital_id = A and account_name = 'QA No IFSC' → ifsc_code is null</t>
  </si>
  <si>
    <t>TC-P2D-116</t>
  </si>
  <si>
    <t>The opening balance is stored as entered</t>
  </si>
  <si>
    <t>1) Open /settings/bank-accounts 2) Create an account with Opening Balance 250000 3) Save 4) Reload and re-open the account</t>
  </si>
  <si>
    <t>bank_accounts.opening_balance = 250000.00 after the reload.</t>
  </si>
  <si>
    <t>Literal opening balance 250000 on Aarogya Ops — HDFC</t>
  </si>
  <si>
    <t>The opening balance is the starting point of every reconciliation. Wrong or dropped, every subsequent day closure is out by the same amount and the accountant chases a difference that was never a transaction.</t>
  </si>
  <si>
    <t>bank_accounts where hospital_id = A and account_name = 'Aarogya Ops - HDFC' → opening_balance = 250000</t>
  </si>
  <si>
    <t>TC-P2D-117</t>
  </si>
  <si>
    <t>A zero opening balance is stored as zero, not as null</t>
  </si>
  <si>
    <t>1) Open /settings/bank-accounts 2) Create an account leaving Opening Balance at 0 3) Save 4) Check the stored value</t>
  </si>
  <si>
    <t>bank_accounts.opening_balance = 0, not null. A new account genuinely starting at zero is different from one nobody has set.</t>
  </si>
  <si>
    <t>Literal account QA Zero Balance with Opening Balance 0</t>
  </si>
  <si>
    <t>A null opening balance breaks the running-total arithmetic in reconciliation, where a real zero is perfectly valid. The two must not collapse into each other.</t>
  </si>
  <si>
    <t>bank_accounts where hospital_id = A and account_name = 'QA Zero Balance' → opening_balance = 0</t>
  </si>
  <si>
    <t>TC-P2D-118</t>
  </si>
  <si>
    <t>The opening balance renders in en-IN grouping with the rupee symbol</t>
  </si>
  <si>
    <t>1) Open /settings/bank-accounts 2) Locate the account with a ₹2,50,000 opening balance 3) Read the amount as displayed</t>
  </si>
  <si>
    <t>The amount displays as ₹2,50,000.00 with Indian digit grouping — not ₹250,000.00 and not a bare number.</t>
  </si>
  <si>
    <t>Indian grouping puts the comma in a different place from the international convention. ₹250,000 reads as an unfamiliar number to an Indian accountant and invites a misread by a factor of ten.</t>
  </si>
  <si>
    <t>bank_accounts where hospital_id = A → opening_balance = 250000 rendered as ₹2,50,000.00</t>
  </si>
  <si>
    <t>TC-P2D-119</t>
  </si>
  <si>
    <t>Editing a bank account persists the change</t>
  </si>
  <si>
    <t>1) Open /settings/bank-accounts 2) Click the edit icon on "Aarogya Ops - HDFC" 3) Change Bank Name to "HDFC Bank Ltd" 4) Click "Update Account" 5) Reload</t>
  </si>
  <si>
    <t>bank_accounts.bank_name reads "HDFC Bank Ltd" after the reload.</t>
  </si>
  <si>
    <t>MOCK_DATA_BOOK Phase 2 additions — Aarogya Ops — HDFC, bank name edited</t>
  </si>
  <si>
    <t>Bank details change on merger and branch transfer. An edit that toasts success without persisting leaves stale details that fail at the next settlement.</t>
  </si>
  <si>
    <t>bank_accounts where hospital_id = A and account_number = '50100123456789' → bank_name = 'HDFC Bank Ltd'</t>
  </si>
  <si>
    <t>TC-P2D-120</t>
  </si>
  <si>
    <t>A bank account can be deactivated and reactivated</t>
  </si>
  <si>
    <t>1) Open /settings/bank-accounts 2) Toggle the active state off for an account 3) Reload 4) Toggle it back on</t>
  </si>
  <si>
    <t>bank_accounts.is_active follows the toggle in both directions and survives the reload.</t>
  </si>
  <si>
    <t>A closed account must stop being offered for new collections while its historical transactions stay attached. Deleting it instead would orphan every past reconciliation.</t>
  </si>
  <si>
    <t>bank_accounts where hospital_id = A and account_number = '50100123456789' → is_active toggles</t>
  </si>
  <si>
    <t>TC-P2D-121</t>
  </si>
  <si>
    <t>A duplicate account number is not created twice</t>
  </si>
  <si>
    <t>1) Open /settings/bank-accounts 2) Create an account with number 50100123456789 3) Create a second account with the same number 4) Count the rows</t>
  </si>
  <si>
    <t>Only one bank_accounts row carries 50100123456789, or the second attempt is refused with a message naming the clash.</t>
  </si>
  <si>
    <t>phase2.invalid — duplicate account number 50100123456789</t>
  </si>
  <si>
    <t>Two rows for one real bank account split the reconciliation, so half the day's collections match one row and half the other, and neither balances against the statement.</t>
  </si>
  <si>
    <t>bank_accounts where hospital_id = A and account_number = '50100123456789' → exactly 1 row</t>
  </si>
  <si>
    <t>TC-P2D-122</t>
  </si>
  <si>
    <t>A saved bank account survives a hard reload</t>
  </si>
  <si>
    <t>1) Open /settings/bank-accounts 2) Create "Aarogya Ops - HDFC" 3) Hard-reload the page 4) Look for the account</t>
  </si>
  <si>
    <t>The account is still listed after the reload with its number and IFSC intact.</t>
  </si>
  <si>
    <t>Four screens in this phase showed a green toast and wrote nothing. A reload is the cheapest detector for that class of defect, and it matters most where money is settled.</t>
  </si>
  <si>
    <t>bank_accounts where hospital_id = A and account_number = '50100123456789' → 1 row</t>
  </si>
  <si>
    <t>TC-P2D-123</t>
  </si>
  <si>
    <t>Hospital A's bank accounts are invisible to Hospital B</t>
  </si>
  <si>
    <t>1) Sign in as the Hospital B administrator 2) Open /settings/bank-accounts as Hospital B 3) Query bank_accounts through the API with no hospital filter</t>
  </si>
  <si>
    <t>Not one Hospital A bank account is returned.</t>
  </si>
  <si>
    <t>Account numbers and IFSC codes are among the most sensitive rows in the database. A cross-tenant leak here is a financial-fraud enabler, not merely a privacy breach.</t>
  </si>
  <si>
    <t>bank_accounts queried as the Hospital B admin → zero rows with hospital_id = A</t>
  </si>
  <si>
    <t>TC-P2D-124</t>
  </si>
  <si>
    <t>A receptionist cannot reach the Bank Accounts settings screen</t>
  </si>
  <si>
    <t>1) Log in as receptionist (Hospital A) 2) Navigate directly to /settings/bank-accounts</t>
  </si>
  <si>
    <t>The route is blocked — redirected away, or an explicit access-denied message. No account numbers are rendered.</t>
  </si>
  <si>
    <t>Reception collects cash but must never see or alter the hospital's bank details. Exposure here is the first step in a redirected-settlement fraud.</t>
  </si>
  <si>
    <t>TC-P2D-125</t>
  </si>
  <si>
    <t>Configurable Dropdowns screen loads with all 23 categories</t>
  </si>
  <si>
    <t>1) Log in as hospital_admin (Hospital A) 2) Open /settings/config-values 3) Count the categories offered</t>
  </si>
  <si>
    <t>All 23 categories are listed — admission_types through department_types. No red console errors.</t>
  </si>
  <si>
    <t>phase2.dropdowns.configValueCategories — all 23 keys</t>
  </si>
  <si>
    <t>These 23 lists feed dropdowns across the entire product. A category missing from this screen is a dropdown somewhere else that nobody can populate, and every one of them fails by rendering empty rather than by erroring.</t>
  </si>
  <si>
    <t>None — counts the categories rendered</t>
  </si>
  <si>
    <t>e2e/phase-02-settings/P2D.structure.config-values.spec.ts</t>
  </si>
  <si>
    <t>TC-P2D-126</t>
  </si>
  <si>
    <t>Categories are organised into their six groups</t>
  </si>
  <si>
    <t>1) Open /settings/config-values 2) Read the group headings</t>
  </si>
  <si>
    <t>The six groups render — Clinical, HR &amp; Payroll, Finance, Diagnostics, Operations, Structure.</t>
  </si>
  <si>
    <t>phase2.dropdowns.configValueCategories — grouped as in SettingsConfigValuesPage</t>
  </si>
  <si>
    <t>Twenty-three flat entries is a wall of text. Grouping is what lets an administrator find the one list their module needs without reading all of them.</t>
  </si>
  <si>
    <t>TC-P2D-127</t>
  </si>
  <si>
    <t>The ?cat= deep link opens the requested category directly</t>
  </si>
  <si>
    <t>1) Open /settings/config-values?cat=drug_routes 2) Observe which category is active</t>
  </si>
  <si>
    <t>The Drug Routes category is selected on load, without the user having to find it.</t>
  </si>
  <si>
    <t>phase2.dropdowns.configValueCategories — drug_routes</t>
  </si>
  <si>
    <t>Settings search deep-links straight to the list a module cares about. Without this, a "pharmacy" search drops the user on a page of 23 categories to hunt through — and an empty drug-routes list is the commonest false "OPD is broken" report.</t>
  </si>
  <si>
    <t>None — reads the active category from the URL</t>
  </si>
  <si>
    <t>TC-P2D-128</t>
  </si>
  <si>
    <t>An unknown ?cat= value falls back to the first category</t>
  </si>
  <si>
    <t>1) Open /settings/config-values?cat=not_a_real_category 2) Observe which category is active</t>
  </si>
  <si>
    <t>The first category is selected and the page renders normally. No blank screen and no error.</t>
  </si>
  <si>
    <t>Literal query string cat=not_a_real_category</t>
  </si>
  <si>
    <t>Deep links get stale when a category is renamed, and they get typed by hand. A bookmark from last quarter must degrade to a usable page, not a white screen.</t>
  </si>
  <si>
    <t>TC-P2D-129</t>
  </si>
  <si>
    <t>A new drug route saves to hospital_config_values</t>
  </si>
  <si>
    <t>1) Open /settings/config-values?cat=drug_routes 2) Enter Value (code) "Nasogastric" 3) Enter Display Label "Nasogastric" 4) Click Add</t>
  </si>
  <si>
    <t>A hospital_config_values row exists with category = drug_routes, value = Nasogastric and hospital_id = Hospital A.</t>
  </si>
  <si>
    <t>MOCK_DATA_BOOK Phase 2 additions — Config Values: drug route Nasogastric</t>
  </si>
  <si>
    <t>OPD, IPD, Pharmacy</t>
  </si>
  <si>
    <t>Drug routes are one of the two lists SETTINGS_PREREQ_MATRIX names as the top cause of false OPD bug reports. A route that will not save means a nasogastric order cannot be written at all.</t>
  </si>
  <si>
    <t>hospital_config_values where hospital_id = A and category = 'drug_routes' and value = 'Nasogastric' → 1 row</t>
  </si>
  <si>
    <t>TC-P2D-130</t>
  </si>
  <si>
    <t>A new drug frequency saves to hospital_config_values</t>
  </si>
  <si>
    <t>1) Open /settings/config-values?cat=drug_frequencies 2) Enter Value (code) "Q12H" 3) Enter Display Label "Q12H" 4) Click Add</t>
  </si>
  <si>
    <t>A hospital_config_values row exists with category = drug_frequencies and value = Q12H.</t>
  </si>
  <si>
    <t>MOCK_DATA_BOOK Phase 2 additions — Config Values: drug frequency Q12H</t>
  </si>
  <si>
    <t>Frequency is half of a dosing instruction. A prescription that reaches the ward without it is an incomplete medication order, which is a NABH medication-safety finding.</t>
  </si>
  <si>
    <t>hospital_config_values where hospital_id = A and category = 'drug_frequencies' and value = 'Q12H' → 1 row</t>
  </si>
  <si>
    <t>TC-P2D-131</t>
  </si>
  <si>
    <t>A config value cannot be added without a value code</t>
  </si>
  <si>
    <t>1) Open /settings/config-values?cat=drug_routes 2) Leave Value (code) blank 3) Enter Display Label "QA No Value" 4) Click Add</t>
  </si>
  <si>
    <t>A destructive toast reads "Value and Label are required" and no hospital_config_values row is written.</t>
  </si>
  <si>
    <t>None — deliberately omits the required Value (code)</t>
  </si>
  <si>
    <t>OPD, Pharmacy</t>
  </si>
  <si>
    <t>The value is what is stored on the prescription; the label is only what is shown. A row with no value writes an empty string into every order that selects it.</t>
  </si>
  <si>
    <t>hospital_config_values where hospital_id = A and label = 'QA No Value' → 0 rows</t>
  </si>
  <si>
    <t>TC-P2D-132</t>
  </si>
  <si>
    <t>A config value cannot be added without a display label</t>
  </si>
  <si>
    <t>1) Open /settings/config-values?cat=drug_routes 2) Enter Value (code) "qa_no_label" 3) Leave Display Label blank 4) Click Add</t>
  </si>
  <si>
    <t>A destructive toast reads "Value and Label are required" and no row is written.</t>
  </si>
  <si>
    <t>None — deliberately omits the required Display Label</t>
  </si>
  <si>
    <t>Without a label the dropdown shows a blank option that is nonetheless selectable, so a doctor picks it by accident and the order carries an invisible value.</t>
  </si>
  <si>
    <t>hospital_config_values where hospital_id = A and value = 'qa_no_label' → 0 rows</t>
  </si>
  <si>
    <t>TC-P2D-133</t>
  </si>
  <si>
    <t>Sort order defaults to zero when left blank</t>
  </si>
  <si>
    <t>1) Open /settings/config-values?cat=drug_routes 2) Add a value leaving Sort Order at its default 3) Check the stored row</t>
  </si>
  <si>
    <t>hospital_config_values.sort_order = 0 for the new row — not null.</t>
  </si>
  <si>
    <t>MOCK_DATA_BOOK Phase 2 additions — drug route Nasogastric, sort order left at default</t>
  </si>
  <si>
    <t>A null sort order sorts unpredictably across Postgres versions, so the dropdown order changes between deployments and the option a doctor reaches for by muscle memory moves.</t>
  </si>
  <si>
    <t>hospital_config_values where hospital_id = A and value = 'Nasogastric' → sort_order = 0</t>
  </si>
  <si>
    <t>TC-P2D-134</t>
  </si>
  <si>
    <t>Sort order controls the order options are offered in</t>
  </si>
  <si>
    <t>1) Open /settings/config-values?cat=drug_routes 2) Add "QA Route A" with Sort Order 90 3) Add "QA Route B" with Sort Order 10 4) Read the list order</t>
  </si>
  <si>
    <t>QA Route B appears before QA Route A — the list honours sort_order, not insertion order.</t>
  </si>
  <si>
    <t>Literal values QA Route A (sort 90) and QA Route B (sort 10)</t>
  </si>
  <si>
    <t>Sort order is how a hospital puts Oral and IV at the top where they are picked a hundred times a day, instead of leaving them buried below rarely used routes.</t>
  </si>
  <si>
    <t>hospital_config_values where hospital_id = A and category = 'drug_routes' → ordered by sort_order</t>
  </si>
  <si>
    <t>TC-P2D-135</t>
  </si>
  <si>
    <t>A duplicate value within the same category is refused</t>
  </si>
  <si>
    <t>1) Open /settings/config-values?cat=drug_routes 2) Add "Nasogastric" 3) Add "Nasogastric" again 4) Count the rows</t>
  </si>
  <si>
    <t>Only one row carries value = Nasogastric in drug_routes, or the second attempt is refused with a message naming the clash.</t>
  </si>
  <si>
    <t>phase2.invalid — duplicate config value Nasogastric in drug_routes</t>
  </si>
  <si>
    <t>A duplicated option appears twice in the prescription dropdown. Two entries that look identical make a doctor hesitate mid-order, and reporting that groups by route splits the same route into two lines.</t>
  </si>
  <si>
    <t>hospital_config_values where hospital_id = A and category = 'drug_routes' and value = 'Nasogastric' → exactly 1 row</t>
  </si>
  <si>
    <t>TC-P2D-136</t>
  </si>
  <si>
    <t>The same value may exist in two different categories</t>
  </si>
  <si>
    <t>1) Open /settings/config-values?cat=drug_routes and add value "Other" 2) Open /settings/config-values?cat=sample_types and add value "Other" 3) Confirm both saved</t>
  </si>
  <si>
    <t>Both rows exist. Uniqueness is scoped to the category, not global.</t>
  </si>
  <si>
    <t>Literal value Other added to both drug_routes and sample_types</t>
  </si>
  <si>
    <t>OPD, Lab, Pharmacy</t>
  </si>
  <si>
    <t>Generic options like Other and Not Applicable belong in many lists. A global uniqueness rule would let the first category to claim the word block all the others.</t>
  </si>
  <si>
    <t>hospital_config_values where hospital_id = A and value = 'Other' → 1 row per category</t>
  </si>
  <si>
    <t>TC-P2D-137</t>
  </si>
  <si>
    <t>A config value can be deleted</t>
  </si>
  <si>
    <t>1) Open /settings/config-values?cat=drug_routes 2) Delete "QA Route A" 3) Reload the page</t>
  </si>
  <si>
    <t>The row is gone from hospital_config_values and does not return after the reload.</t>
  </si>
  <si>
    <t>Literal value QA Route A in drug_routes</t>
  </si>
  <si>
    <t>Lists accumulate wrong entries during setup. A delete that only clears local state reappears on the next load, so the administrator deletes it repeatedly and concludes the screen is broken.</t>
  </si>
  <si>
    <t>hospital_config_values where hospital_id = A and value = 'QA Route A' → 0 rows</t>
  </si>
  <si>
    <t>TC-P2D-138</t>
  </si>
  <si>
    <t>A new drug route appears immediately in the OPD prescription dropdown</t>
  </si>
  <si>
    <t>1) Add drug route "Nasogastric" under /settings/config-values?cat=drug_routes 2) Open the OPD consultation workspace 3) Open the Rx tab 4) Open the Route dropdown on a prescription line</t>
  </si>
  <si>
    <t>Nasogastric is offered as a route option in the OPD Rx tab.</t>
  </si>
  <si>
    <t>Tier 0 complete; drug_master rows exist so the Rx tab can render a line</t>
  </si>
  <si>
    <t>This is the downstream hop that proves the setting is wired to the module. SETTINGS_PREREQ_MATRIX names an empty route dropdown as the single most common false "OPD is broken" report — this case is what turns that from a support call into a caught defect.</t>
  </si>
  <si>
    <t>hospital_config_values where hospital_id = A and category = 'drug_routes' and value = 'Nasogastric' → 1 row, and the value is offered in the OPD Rx route dropdown</t>
  </si>
  <si>
    <t>TC-P2D-139</t>
  </si>
  <si>
    <t>lab_test_categories feeds the category filter on Lab Test Master</t>
  </si>
  <si>
    <t>1) Add a category value under /settings/config-values?cat=lab_test_categories 2) Open /settings/lab-tests 3) Open the category filter</t>
  </si>
  <si>
    <t>The new value appears in the Lab Test Master category filter.</t>
  </si>
  <si>
    <t>phase2.dropdowns.configValueCategories — lab_test_categories</t>
  </si>
  <si>
    <t>MOCK_DATA_BOOK singles this list out because it ripples into a second settings screen. A change that saves here and never appears there is exactly the silent inconsistency this phase exists to catch.</t>
  </si>
  <si>
    <t>hospital_config_values where hospital_id = A and category = 'lab_test_categories' → offered on /settings/lab-tests</t>
  </si>
  <si>
    <t>TC-P2D-140</t>
  </si>
  <si>
    <t>department_types feeds the Type dropdown on the Departments screen</t>
  </si>
  <si>
    <t>1) Add a department type under /settings/config-values?cat=department_types 2) Open /settings/departments 3) Click "Add Department" 4) Open the Type dropdown</t>
  </si>
  <si>
    <t>The new type is offered on the Departments screen.</t>
  </si>
  <si>
    <t>Departments, OPD, HR</t>
  </si>
  <si>
    <t>Departments are Tier 0 and their Type dropdown is generated from this list. If the two disconnect, a hospital adds a department type, sees it accepted, and can never actually assign it.</t>
  </si>
  <si>
    <t>hospital_config_values where hospital_id = A and category = 'department_types' → offered on /settings/departments</t>
  </si>
  <si>
    <t>TC-P2D-141</t>
  </si>
  <si>
    <t>A saved config value survives a hard reload</t>
  </si>
  <si>
    <t>1) Open /settings/config-values?cat=drug_routes 2) Add "Nasogastric" 3) Hard-reload the page 4) Look for the value</t>
  </si>
  <si>
    <t>Nasogastric is still listed after the reload.</t>
  </si>
  <si>
    <t>MOCK_DATA_BOOK Phase 2 additions — drug route Nasogastric</t>
  </si>
  <si>
    <t>A reload is the cheapest detector for the write-nothing class of defect that four other screens in this phase exhibited, and this list feeds dropdowns across the whole product.</t>
  </si>
  <si>
    <t>hospital_config_values where hospital_id = A and value = 'Nasogastric' → 1 row</t>
  </si>
  <si>
    <t>TC-P2D-142</t>
  </si>
  <si>
    <t>Hospital A's config values are invisible to Hospital B</t>
  </si>
  <si>
    <t>1) Sign in as the Hospital B administrator 2) Open /settings/config-values as Hospital B 3) Query hospital_config_values through the API with no hospital filter</t>
  </si>
  <si>
    <t>Not one Hospital A config value is returned.</t>
  </si>
  <si>
    <t>These lists include a hospital's TPA panel and its government-scheme empanelments — commercially revealing. A leak also means one hospital's customisation appears in another's clinical dropdowns.</t>
  </si>
  <si>
    <t>hospital_config_values queried as the Hospital B admin → zero rows with hospital_id = A</t>
  </si>
  <si>
    <t>TC-P2D-143</t>
  </si>
  <si>
    <t>A nurse cannot reach the Configurable Dropdowns screen</t>
  </si>
  <si>
    <t>1) Log in as nurse (Hospital A) 2) Navigate directly to /settings/config-values</t>
  </si>
  <si>
    <t>These 23 lists drive dropdowns product-wide, including allergy types and drug routes. Someone deleting a route mid-shift silently breaks prescribing for every doctor in the building.</t>
  </si>
  <si>
    <t>TC-P2D-144</t>
  </si>
  <si>
    <t>The Configurable Dropdowns screen loads with no red console errors</t>
  </si>
  <si>
    <t>1) Open DevTools → Console 2) Open /settings/config-values 3) Switch between several categories 4) Read the console</t>
  </si>
  <si>
    <t>No red console text while loading the hub or switching categories.</t>
  </si>
  <si>
    <t>Switching category re-queries hospital_config_values. A failing query for one category renders it as an empty list, which is indistinguishable from a category nobody has configured yet.</t>
  </si>
  <si>
    <t>TC-P2D-145</t>
  </si>
  <si>
    <t>Category "admission_types" is reachable by deep link and accepts a value</t>
  </si>
  <si>
    <t>1) Open /settings/config-values?cat=admission_types 2) Confirm the category is selected 3) Enter Value (code) "qa_admission_types" and Display Label "QA admission_types" 4) Click Add</t>
  </si>
  <si>
    <t>The admission_types category is active on load, and a hospital_config_values row is written with category = 'admission_types' and value = 'qa_admission_types'.</t>
  </si>
  <si>
    <t>phase2.dropdowns.configValueCategories — "admission_types"</t>
  </si>
  <si>
    <t>IPD, Day Care</t>
  </si>
  <si>
    <t>Every one of the 23 lists is tested individually because each fails silently and differently. If admission_types is empty: The admission type picker renders empty, so a patient cannot be admitted as elective or emergency and the IPD register loses its casemix split.</t>
  </si>
  <si>
    <t>hospital_config_values where hospital_id = A and category = 'admission_types' and value = 'qa_admission_types' → 1 row</t>
  </si>
  <si>
    <t>TC-P2D-146</t>
  </si>
  <si>
    <t>Category "allergy_types" is reachable by deep link and accepts a value</t>
  </si>
  <si>
    <t>1) Open /settings/config-values?cat=allergy_types 2) Confirm the category is selected 3) Enter Value (code) "qa_allergy_types" and Display Label "QA allergy_types" 4) Click Add</t>
  </si>
  <si>
    <t>The allergy_types category is active on load, and a hospital_config_values row is written with category = 'allergy_types' and value = 'qa_allergy_types'.</t>
  </si>
  <si>
    <t>phase2.dropdowns.configValueCategories — "allergy_types"</t>
  </si>
  <si>
    <t>Every one of the 23 lists is tested individually because each fails silently and differently. If allergy_types is empty: The allergy type picker renders empty, so an allergy is recorded as free text and the drug-interaction check cannot match it. A penicillin allergy that does not match is a patient-safety failure.</t>
  </si>
  <si>
    <t>hospital_config_values where hospital_id = A and category = 'allergy_types' and value = 'qa_allergy_types' → 1 row</t>
  </si>
  <si>
    <t>TC-P2D-147</t>
  </si>
  <si>
    <t>Category "insurance_types" is reachable by deep link and accepts a value</t>
  </si>
  <si>
    <t>1) Open /settings/config-values?cat=insurance_types 2) Confirm the category is selected 3) Enter Value (code) "qa_insurance_types" and Display Label "QA insurance_types" 4) Click Add</t>
  </si>
  <si>
    <t>The insurance_types category is active on load, and a hospital_config_values row is written with category = 'insurance_types' and value = 'qa_insurance_types'.</t>
  </si>
  <si>
    <t>phase2.dropdowns.configValueCategories — "insurance_types"</t>
  </si>
  <si>
    <t>Every one of the 23 lists is tested individually because each fails silently and differently. If insurance_types is empty: The payer type picker renders empty, so every patient defaults to self-pay and insured admissions are billed as cash.</t>
  </si>
  <si>
    <t>hospital_config_values where hospital_id = A and category = 'insurance_types' and value = 'qa_insurance_types' → 1 row</t>
  </si>
  <si>
    <t>TC-P2D-148</t>
  </si>
  <si>
    <t>Category "drug_routes" is reachable by deep link and accepts a value</t>
  </si>
  <si>
    <t>1) Open /settings/config-values?cat=drug_routes 2) Confirm the category is selected 3) Enter Value (code) "qa_drug_routes" and Display Label "QA drug_routes" 4) Click Add</t>
  </si>
  <si>
    <t>The drug_routes category is active on load, and a hospital_config_values row is written with category = 'drug_routes' and value = 'qa_drug_routes'.</t>
  </si>
  <si>
    <t>phase2.dropdowns.configValueCategories — "drug_routes"</t>
  </si>
  <si>
    <t>Every one of the 23 lists is tested individually because each fails silently and differently. If drug_routes is empty: The prescription route dropdown renders empty with no error. This is the single most common false "OPD is broken" report.</t>
  </si>
  <si>
    <t>hospital_config_values where hospital_id = A and category = 'drug_routes' and value = 'qa_drug_routes' → 1 row</t>
  </si>
  <si>
    <t>TC-P2D-149</t>
  </si>
  <si>
    <t>Category "drug_frequencies" is reachable by deep link and accepts a value</t>
  </si>
  <si>
    <t>1) Open /settings/config-values?cat=drug_frequencies 2) Confirm the category is selected 3) Enter Value (code) "qa_drug_frequencies" and Display Label "QA drug_frequencies" 4) Click Add</t>
  </si>
  <si>
    <t>The drug_frequencies category is active on load, and a hospital_config_values row is written with category = 'drug_frequencies' and value = 'qa_drug_frequencies'.</t>
  </si>
  <si>
    <t>phase2.dropdowns.configValueCategories — "drug_frequencies"</t>
  </si>
  <si>
    <t>Every one of the 23 lists is tested individually because each fails silently and differently. If drug_frequencies is empty: The prescription frequency dropdown renders empty, so a doctor cannot state OD or BD and the dosing instruction reaches the ward incomplete.</t>
  </si>
  <si>
    <t>hospital_config_values where hospital_id = A and category = 'drug_frequencies' and value = 'qa_drug_frequencies' → 1 row</t>
  </si>
  <si>
    <t>TC-P2D-150</t>
  </si>
  <si>
    <t>Category "dialysis_complications" is reachable by deep link and accepts a value</t>
  </si>
  <si>
    <t>1) Open /settings/config-values?cat=dialysis_complications 2) Confirm the category is selected 3) Enter Value (code) "qa_dialysis_complications" and Display Label "QA dialysis_complications" 4) Click Add</t>
  </si>
  <si>
    <t>The dialysis_complications category is active on load, and a hospital_config_values row is written with category = 'dialysis_complications' and value = 'qa_dialysis_complications'.</t>
  </si>
  <si>
    <t>phase2.dropdowns.configValueCategories — "dialysis_complications"</t>
  </si>
  <si>
    <t>Dialysis</t>
  </si>
  <si>
    <t>Every one of the 23 lists is tested individually because each fails silently and differently. If dialysis_complications is empty: Intra-dialytic complications cannot be recorded against a session, so the unit has no record of hypotension or cramps for its quality review.</t>
  </si>
  <si>
    <t>hospital_config_values where hospital_id = A and category = 'dialysis_complications' and value = 'qa_dialysis_complications' → 1 row</t>
  </si>
  <si>
    <t>TC-P2D-151</t>
  </si>
  <si>
    <t>Category "death_manner_types" is reachable by deep link and accepts a value</t>
  </si>
  <si>
    <t>1) Open /settings/config-values?cat=death_manner_types 2) Confirm the category is selected 3) Enter Value (code) "qa_death_manner_types" and Display Label "QA death_manner_types" 4) Click Add</t>
  </si>
  <si>
    <t>The death_manner_types category is active on load, and a hospital_config_values row is written with category = 'death_manner_types' and value = 'qa_death_manner_types'.</t>
  </si>
  <si>
    <t>phase2.dropdowns.configValueCategories — "death_manner_types"</t>
  </si>
  <si>
    <t>Mortuary, MRD</t>
  </si>
  <si>
    <t>Every one of the 23 lists is tested individually because each fails silently and differently. If death_manner_types is empty: The MCCD manner-of-death field renders empty. That form is a legal document and cannot be issued incomplete.</t>
  </si>
  <si>
    <t>hospital_config_values where hospital_id = A and category = 'death_manner_types' and value = 'qa_death_manner_types' → 1 row</t>
  </si>
  <si>
    <t>TC-P2D-152</t>
  </si>
  <si>
    <t>Category "record_requester_types" is reachable by deep link and accepts a value</t>
  </si>
  <si>
    <t>1) Open /settings/config-values?cat=record_requester_types 2) Confirm the category is selected 3) Enter Value (code) "qa_record_requester_types" and Display Label "QA record_requester_types" 4) Click Add</t>
  </si>
  <si>
    <t>The record_requester_types category is active on load, and a hospital_config_values row is written with category = 'record_requester_types' and value = 'qa_record_requester_types'.</t>
  </si>
  <si>
    <t>phase2.dropdowns.configValueCategories — "record_requester_types"</t>
  </si>
  <si>
    <t>Every one of the 23 lists is tested individually because each fails silently and differently. If record_requester_types is empty: A medical-records request cannot record who asked — patient, lawyer, police or court — which is exactly what the MRD release register exists to prove.</t>
  </si>
  <si>
    <t>hospital_config_values where hospital_id = A and category = 'record_requester_types' and value = 'qa_record_requester_types' → 1 row</t>
  </si>
  <si>
    <t>TC-P2D-153</t>
  </si>
  <si>
    <t>Category "home_care_services" is reachable by deep link and accepts a value</t>
  </si>
  <si>
    <t>1) Open /settings/config-values?cat=home_care_services 2) Confirm the category is selected 3) Enter Value (code) "qa_home_care_services" and Display Label "QA home_care_services" 4) Click Add</t>
  </si>
  <si>
    <t>The home_care_services category is active on load, and a hospital_config_values row is written with category = 'home_care_services' and value = 'qa_home_care_services'.</t>
  </si>
  <si>
    <t>phase2.dropdowns.configValueCategories — "home_care_services"</t>
  </si>
  <si>
    <t>Home Care</t>
  </si>
  <si>
    <t>Every one of the 23 lists is tested individually because each fails silently and differently. If home_care_services is empty: The home-care service picker renders empty, so a visit cannot be booked against a service and nothing is billable.</t>
  </si>
  <si>
    <t>hospital_config_values where hospital_id = A and category = 'home_care_services' and value = 'qa_home_care_services' → 1 row</t>
  </si>
  <si>
    <t>TC-P2D-154</t>
  </si>
  <si>
    <t>Category "physio_modalities" is reachable by deep link and accepts a value</t>
  </si>
  <si>
    <t>1) Open /settings/config-values?cat=physio_modalities 2) Confirm the category is selected 3) Enter Value (code) "qa_physio_modalities" and Display Label "QA physio_modalities" 4) Click Add</t>
  </si>
  <si>
    <t>The physio_modalities category is active on load, and a hospital_config_values row is written with category = 'physio_modalities' and value = 'qa_physio_modalities'.</t>
  </si>
  <si>
    <t>phase2.dropdowns.configValueCategories — "physio_modalities"</t>
  </si>
  <si>
    <t>Physiotherapy</t>
  </si>
  <si>
    <t>Every one of the 23 lists is tested individually because each fails silently and differently. If physio_modalities is empty: The modality picker renders empty, so a session records no treatment given and the physio charge has nothing behind it.</t>
  </si>
  <si>
    <t>hospital_config_values where hospital_id = A and category = 'physio_modalities' and value = 'qa_physio_modalities' → 1 row</t>
  </si>
  <si>
    <t>TC-P2D-155</t>
  </si>
  <si>
    <t>Category "leave_types" is reachable by deep link and accepts a value</t>
  </si>
  <si>
    <t>1) Open /settings/config-values?cat=leave_types 2) Confirm the category is selected 3) Enter Value (code) "qa_leave_types" and Display Label "QA leave_types" 4) Click Add</t>
  </si>
  <si>
    <t>The leave_types category is active on load, and a hospital_config_values row is written with category = 'leave_types' and value = 'qa_leave_types'.</t>
  </si>
  <si>
    <t>phase2.dropdowns.configValueCategories — "leave_types"</t>
  </si>
  <si>
    <t>Every one of the 23 lists is tested individually because each fails silently and differently. If leave_types is empty: The leave application form renders an empty type dropdown, so no leave can be applied for and the roster cannot be planned.</t>
  </si>
  <si>
    <t>hospital_config_values where hospital_id = A and category = 'leave_types' and value = 'qa_leave_types' → 1 row</t>
  </si>
  <si>
    <t>TC-P2D-156</t>
  </si>
  <si>
    <t>Category "attendance_statuses" is reachable by deep link and accepts a value</t>
  </si>
  <si>
    <t>1) Open /settings/config-values?cat=attendance_statuses 2) Confirm the category is selected 3) Enter Value (code) "qa_attendance_statuses" and Display Label "QA attendance_statuses" 4) Click Add</t>
  </si>
  <si>
    <t>The attendance_statuses category is active on load, and a hospital_config_values row is written with category = 'attendance_statuses' and value = 'qa_attendance_statuses'.</t>
  </si>
  <si>
    <t>phase2.dropdowns.configValueCategories — "attendance_statuses"</t>
  </si>
  <si>
    <t>Every one of the 23 lists is tested individually because each fails silently and differently. If attendance_statuses is empty: Attendance cannot be marked present, absent or half-day, which stops payroll for the month.</t>
  </si>
  <si>
    <t>hospital_config_values where hospital_id = A and category = 'attendance_statuses' and value = 'qa_attendance_statuses' → 1 row</t>
  </si>
  <si>
    <t>TC-P2D-157</t>
  </si>
  <si>
    <t>Category "tpa_companies" is reachable by deep link and accepts a value</t>
  </si>
  <si>
    <t>1) Open /settings/config-values?cat=tpa_companies 2) Confirm the category is selected 3) Enter Value (code) "qa_tpa_companies" and Display Label "QA tpa_companies" 4) Click Add</t>
  </si>
  <si>
    <t>The tpa_companies category is active on load, and a hospital_config_values row is written with category = 'tpa_companies' and value = 'qa_tpa_companies'.</t>
  </si>
  <si>
    <t>phase2.dropdowns.configValueCategories — "tpa_companies"</t>
  </si>
  <si>
    <t>Every one of the 23 lists is tested individually because each fails silently and differently. If tpa_companies is empty: The TPA picker renders empty, so a cashless claim cannot be raised against an insurer.</t>
  </si>
  <si>
    <t>hospital_config_values where hospital_id = A and category = 'tpa_companies' and value = 'qa_tpa_companies' → 1 row</t>
  </si>
  <si>
    <t>TC-P2D-158</t>
  </si>
  <si>
    <t>Category "government_schemes" is reachable by deep link and accepts a value</t>
  </si>
  <si>
    <t>1) Open /settings/config-values?cat=government_schemes 2) Confirm the category is selected 3) Enter Value (code) "qa_government_schemes" and Display Label "QA government_schemes" 4) Click Add</t>
  </si>
  <si>
    <t>The government_schemes category is active on load, and a hospital_config_values row is written with category = 'government_schemes' and value = 'qa_government_schemes'.</t>
  </si>
  <si>
    <t>phase2.dropdowns.configValueCategories — "government_schemes"</t>
  </si>
  <si>
    <t>PMJAY, Insurance</t>
  </si>
  <si>
    <t>Every one of the 23 lists is tested individually because each fails silently and differently. If government_schemes is empty: The scheme picker renders empty, so a PMJAY or CGHS patient cannot be categorised and the claim cannot be filed.</t>
  </si>
  <si>
    <t>hospital_config_values where hospital_id = A and category = 'government_schemes' and value = 'qa_government_schemes' → 1 row</t>
  </si>
  <si>
    <t>TC-P2D-159</t>
  </si>
  <si>
    <t>Category "claim_denial_categories" is reachable by deep link and accepts a value</t>
  </si>
  <si>
    <t>1) Open /settings/config-values?cat=claim_denial_categories 2) Confirm the category is selected 3) Enter Value (code) "qa_claim_denial_categories" and Display Label "QA claim_denial_categories" 4) Click Add</t>
  </si>
  <si>
    <t>The claim_denial_categories category is active on load, and a hospital_config_values row is written with category = 'claim_denial_categories' and value = 'qa_claim_denial_categories'.</t>
  </si>
  <si>
    <t>phase2.dropdowns.configValueCategories — "claim_denial_categories"</t>
  </si>
  <si>
    <t>Every one of the 23 lists is tested individually because each fails silently and differently. If claim_denial_categories is empty: A denied claim cannot be categorised, so the hospital cannot see which denial reason is costing it most and cannot fix the pattern.</t>
  </si>
  <si>
    <t>hospital_config_values where hospital_id = A and category = 'claim_denial_categories' and value = 'qa_claim_denial_categories' → 1 row</t>
  </si>
  <si>
    <t>TC-P2D-160</t>
  </si>
  <si>
    <t>Category "claim_rejection_codes" is reachable by deep link and accepts a value</t>
  </si>
  <si>
    <t>1) Open /settings/config-values?cat=claim_rejection_codes 2) Confirm the category is selected 3) Enter Value (code) "qa_claim_rejection_codes" and Display Label "QA claim_rejection_codes" 4) Click Add</t>
  </si>
  <si>
    <t>The claim_rejection_codes category is active on load, and a hospital_config_values row is written with category = 'claim_rejection_codes' and value = 'qa_claim_rejection_codes'.</t>
  </si>
  <si>
    <t>phase2.dropdowns.configValueCategories — "claim_rejection_codes"</t>
  </si>
  <si>
    <t>Every one of the 23 lists is tested individually because each fails silently and differently. If claim_rejection_codes is empty: A rejection cannot be coded, so the appeal has no stated ground and is rejected again.</t>
  </si>
  <si>
    <t>hospital_config_values where hospital_id = A and category = 'claim_rejection_codes' and value = 'qa_claim_rejection_codes' → 1 row</t>
  </si>
  <si>
    <t>TC-P2D-161</t>
  </si>
  <si>
    <t>Category "lab_test_categories" is reachable by deep link and accepts a value</t>
  </si>
  <si>
    <t>1) Open /settings/config-values?cat=lab_test_categories 2) Confirm the category is selected 3) Enter Value (code) "qa_lab_test_categories" and Display Label "QA lab_test_categories" 4) Click Add</t>
  </si>
  <si>
    <t>The lab_test_categories category is active on load, and a hospital_config_values row is written with category = 'lab_test_categories' and value = 'qa_lab_test_categories'.</t>
  </si>
  <si>
    <t>phase2.dropdowns.configValueCategories — "lab_test_categories"</t>
  </si>
  <si>
    <t>Every one of the 23 lists is tested individually because each fails silently and differently. If lab_test_categories is empty: The lab category filter renders empty. This list also feeds the category filter on Settings → Lab Test Master, so a change here ripples into a second screen.</t>
  </si>
  <si>
    <t>hospital_config_values where hospital_id = A and category = 'lab_test_categories' and value = 'qa_lab_test_categories' → 1 row</t>
  </si>
  <si>
    <t>TC-P2D-162</t>
  </si>
  <si>
    <t>Category "sample_types" is reachable by deep link and accepts a value</t>
  </si>
  <si>
    <t>1) Open /settings/config-values?cat=sample_types 2) Confirm the category is selected 3) Enter Value (code) "qa_sample_types" and Display Label "QA sample_types" 4) Click Add</t>
  </si>
  <si>
    <t>The sample_types category is active on load, and a hospital_config_values row is written with category = 'sample_types' and value = 'qa_sample_types'.</t>
  </si>
  <si>
    <t>phase2.dropdowns.configValueCategories — "sample_types"</t>
  </si>
  <si>
    <t>Every one of the 23 lists is tested individually because each fails silently and differently. If sample_types is empty: Sample type cannot be set on a test, so specimens cannot be grouped for collection and the phlebotomy round has no worklist.</t>
  </si>
  <si>
    <t>hospital_config_values where hospital_id = A and category = 'sample_types' and value = 'qa_sample_types' → 1 row</t>
  </si>
  <si>
    <t>TC-P2D-163</t>
  </si>
  <si>
    <t>Category "housekeeping_task_types" is reachable by deep link and accepts a value</t>
  </si>
  <si>
    <t>1) Open /settings/config-values?cat=housekeeping_task_types 2) Confirm the category is selected 3) Enter Value (code) "qa_housekeeping_task_types" and Display Label "QA housekeeping_task_types" 4) Click Add</t>
  </si>
  <si>
    <t>The housekeeping_task_types category is active on load, and a hospital_config_values row is written with category = 'housekeeping_task_types' and value = 'qa_housekeeping_task_types'.</t>
  </si>
  <si>
    <t>phase2.dropdowns.configValueCategories — "housekeeping_task_types"</t>
  </si>
  <si>
    <t>Housekeeping</t>
  </si>
  <si>
    <t>Every one of the 23 lists is tested individually because each fails silently and differently. If housekeeping_task_types is empty: A cleaning task cannot be typed, so bed-turnover time cannot be measured and discharge-to-readmit delay is invisible.</t>
  </si>
  <si>
    <t>hospital_config_values where hospital_id = A and category = 'housekeeping_task_types' and value = 'qa_housekeeping_task_types' → 1 row</t>
  </si>
  <si>
    <t>TC-P2D-164</t>
  </si>
  <si>
    <t>Category "housekeeping_area_types" is reachable by deep link and accepts a value</t>
  </si>
  <si>
    <t>1) Open /settings/config-values?cat=housekeeping_area_types 2) Confirm the category is selected 3) Enter Value (code) "qa_housekeeping_area_types" and Display Label "QA housekeeping_area_types" 4) Click Add</t>
  </si>
  <si>
    <t>The housekeeping_area_types category is active on load, and a hospital_config_values row is written with category = 'housekeeping_area_types' and value = 'qa_housekeeping_area_types'.</t>
  </si>
  <si>
    <t>phase2.dropdowns.configValueCategories — "housekeeping_area_types"</t>
  </si>
  <si>
    <t>Every one of the 23 lists is tested individually because each fails silently and differently. If housekeeping_area_types is empty: An area cannot be classified, so OT and ward cleaning are indistinguishable in the infection-control audit.</t>
  </si>
  <si>
    <t>hospital_config_values where hospital_id = A and category = 'housekeeping_area_types' and value = 'qa_housekeeping_area_types' → 1 row</t>
  </si>
  <si>
    <t>TC-P2D-165</t>
  </si>
  <si>
    <t>Category "equipment_categories" is reachable by deep link and accepts a value</t>
  </si>
  <si>
    <t>1) Open /settings/config-values?cat=equipment_categories 2) Confirm the category is selected 3) Enter Value (code) "qa_equipment_categories" and Display Label "QA equipment_categories" 4) Click Add</t>
  </si>
  <si>
    <t>The equipment_categories category is active on load, and a hospital_config_values row is written with category = 'equipment_categories' and value = 'qa_equipment_categories'.</t>
  </si>
  <si>
    <t>phase2.dropdowns.configValueCategories — "equipment_categories"</t>
  </si>
  <si>
    <t>Biomedical</t>
  </si>
  <si>
    <t>Every one of the 23 lists is tested individually because each fails silently and differently. If equipment_categories is empty: Equipment cannot be categorised, so the preventive-maintenance schedule cannot be grouped and NABH equipment records are incomplete.</t>
  </si>
  <si>
    <t>hospital_config_values where hospital_id = A and category = 'equipment_categories' and value = 'qa_equipment_categories' → 1 row</t>
  </si>
  <si>
    <t>TC-P2D-166</t>
  </si>
  <si>
    <t>Category "inventory_categories" is reachable by deep link and accepts a value</t>
  </si>
  <si>
    <t>1) Open /settings/config-values?cat=inventory_categories 2) Confirm the category is selected 3) Enter Value (code) "qa_inventory_categories" and Display Label "QA inventory_categories" 4) Click Add</t>
  </si>
  <si>
    <t>The inventory_categories category is active on load, and a hospital_config_values row is written with category = 'inventory_categories' and value = 'qa_inventory_categories'.</t>
  </si>
  <si>
    <t>phase2.dropdowns.configValueCategories — "inventory_categories"</t>
  </si>
  <si>
    <t>Inventory, Pharmacy</t>
  </si>
  <si>
    <t>Every one of the 23 lists is tested individually because each fails silently and differently. If inventory_categories is empty: Stock items cannot be categorised, so reorder reporting and consumption analysis are meaningless.</t>
  </si>
  <si>
    <t>hospital_config_values where hospital_id = A and category = 'inventory_categories' and value = 'qa_inventory_categories' → 1 row</t>
  </si>
  <si>
    <t>TC-P2D-167</t>
  </si>
  <si>
    <t>Category "department_types" is reachable by deep link and accepts a value</t>
  </si>
  <si>
    <t>1) Open /settings/config-values?cat=department_types 2) Confirm the category is selected 3) Enter Value (code) "qa_department_types" and Display Label "QA department_types" 4) Click Add</t>
  </si>
  <si>
    <t>The department_types category is active on load, and a hospital_config_values row is written with category = 'department_types' and value = 'qa_department_types'.</t>
  </si>
  <si>
    <t>phase2.dropdowns.configValueCategories — "department_types"</t>
  </si>
  <si>
    <t>Every one of the 23 lists is tested individually because each fails silently and differently. If department_types is empty: The Type dropdown on Settings → Departments renders empty, blocking the second Tier 0 prerequisite outright.</t>
  </si>
  <si>
    <t>hospital_config_values where hospital_id = A and category = 'department_types' and value = 'qa_department_types' → 1 row</t>
  </si>
  <si>
    <t>TC-P2E-001</t>
  </si>
  <si>
    <t>2E People &amp; Access</t>
  </si>
  <si>
    <t>Staff screen loads and lists the seeded Hospital A accounts</t>
  </si>
  <si>
    <t>1) Log in as hospital_admin (Hospital A) 2) Open /settings/staff 3) Read the staff table</t>
  </si>
  <si>
    <t>The 17 seeded Hospital A accounts render with their names and roles. No red console errors.</t>
  </si>
  <si>
    <t>HR, OPD, IPD, all modules</t>
  </si>
  <si>
    <t>Tier 0: hospital profile and departments created</t>
  </si>
  <si>
    <t>users.hospital_id is the RLS anchor for the whole system — SETTINGS_PREREQ_MATRIX calls it out as such. Everything any user can see depends on this row existing and being right.</t>
  </si>
  <si>
    <t>users where hospital_id = A → 17 rows</t>
  </si>
  <si>
    <t>e2e/phase-02-settings/P2E.people-access.staff.spec.ts</t>
  </si>
  <si>
    <t>TC-P2E-002</t>
  </si>
  <si>
    <t>Add Staff opens a drawer with an empty form</t>
  </si>
  <si>
    <t>1) Open /settings/staff 2) Click Add Staff 3) Inspect the drawer</t>
  </si>
  <si>
    <t>Role, Full Name, Phone Number and email are blank or at their defaults.</t>
  </si>
  <si>
    <t>A create form still holding the last edited person is how a hospital creates a second account carrying someone else's registration number.</t>
  </si>
  <si>
    <t>TC-P2E-003</t>
  </si>
  <si>
    <t>A new doctor saves with the correct hospital_id</t>
  </si>
  <si>
    <t>1) Open /settings/staff 2) Click Add Staff 3) Select Role "doctor" 4) Enter Full Name "Dr. Rakesh Iyer" 5) Enter the QA email and phone 6) Select department Nephrology 7) Save</t>
  </si>
  <si>
    <t>A users row exists with full_name = Dr. Rakesh Iyer, role = doctor and hospital_id = Hospital A.</t>
  </si>
  <si>
    <t>MOCK_DATA_BOOK Phase 2 additions — Dr. Rakesh Iyer, Nephrology</t>
  </si>
  <si>
    <t>HR, OPD, IPD</t>
  </si>
  <si>
    <t>A staff row written against the wrong tenant, or with a null hospital_id, makes every master-data picker render empty for that user with no error at all — the failure mode SETTINGS_PREREQ_MATRIX describes under multi-tenancy.</t>
  </si>
  <si>
    <t>users where hospital_id = A and full_name = 'Dr. Rakesh Iyer' → role = 'doctor'</t>
  </si>
  <si>
    <t>TC-P2E-004</t>
  </si>
  <si>
    <t>Creating a doctor also creates the service_master consultation fee row</t>
  </si>
  <si>
    <t>1) Open /settings/staff 2) Create "Dr. Rakesh Iyer" as a doctor with Consultation Fee 900 3) Save 4) Check service_master</t>
  </si>
  <si>
    <t>A service_master row scoped to that doctor holds the ₹900 consultation fee.</t>
  </si>
  <si>
    <t>MOCK_DATA_BOOK Phase 2 additions — Dr. Rakesh Iyer, cons ₹900</t>
  </si>
  <si>
    <t>OPD, Billing</t>
  </si>
  <si>
    <t>The fee lookup runs doctor → department → global → ₹500. If creating a doctor does not create the doctor-scoped service_master row, every consultation with that doctor silently bills the hardcoded ₹500 and nobody notices until month-end.</t>
  </si>
  <si>
    <t>service_master where hospital_id = A and doctor = Dr. Rakesh Iyer → fee = 900</t>
  </si>
  <si>
    <t>TC-P2E-005</t>
  </si>
  <si>
    <t>The follow-up fee and validity window save against the doctor</t>
  </si>
  <si>
    <t>1) Open /settings/staff 2) Edit Dr. Rakesh Iyer 3) Set Follow-up Fee 400 and Validity 5 days 4) Save</t>
  </si>
  <si>
    <t>The doctor-scoped service_master row holds follow_up_fee = 400 and validity_days = 5.</t>
  </si>
  <si>
    <t>MOCK_DATA_BOOK Phase 2 additions — Dr. Rakesh Iyer, follow-up ₹400, validity 5 days</t>
  </si>
  <si>
    <t>The validity window decides whether a return visit is a free follow-up or a new paid consultation. Dr. Menon's free 7-day follow-up drives scenarios P4-S02 and P4-S03 — get this wrong and the hospital either loses the fee or charges a patient who should not pay.</t>
  </si>
  <si>
    <t>service_master for Dr. Rakesh Iyer → follow_up_fee = 400, validity_days = 5</t>
  </si>
  <si>
    <t>TC-P2E-006</t>
  </si>
  <si>
    <t>The emergency and IPD visit fees save against the doctor</t>
  </si>
  <si>
    <t>1) Open /settings/staff 2) Edit Dr. Rakesh Iyer 3) Set Emergency Fee 1400 and IPD Consultation Fee 700 4) Save</t>
  </si>
  <si>
    <t>The doctor-scoped service_master row holds emergency_fee = 1400 and ipd_consultation_fee = 700.</t>
  </si>
  <si>
    <t>MOCK_DATA_BOOK Phase 2 additions — Dr. Rakesh Iyer, emergency ₹1,400, IPD visit ₹700</t>
  </si>
  <si>
    <t>Emergency, IPD, Billing</t>
  </si>
  <si>
    <t>SETTINGS_PREREQ_MATRIX warns that without ipd_consultation_fee per doctor, IPD visit charges default or vanish entirely. A ward round that generates no charge is pure revenue leakage.</t>
  </si>
  <si>
    <t>service_master for Dr. Rakesh Iyer → emergency_fee = 1400, ipd_consultation_fee = 700</t>
  </si>
  <si>
    <t>TC-P2E-007</t>
  </si>
  <si>
    <t>A staff member cannot be saved without a full name</t>
  </si>
  <si>
    <t>1) Open /settings/staff 2) Click Add Staff 3) Leave Full Name blank 4) Enter a role and phone 5) Attempt to save</t>
  </si>
  <si>
    <t>The save is refused and no users row is written.</t>
  </si>
  <si>
    <t>None — deliberately omits the required Full Name</t>
  </si>
  <si>
    <t>An unnamed staff member appears as a blank line in every doctor picker and on the roster, so a token or an admission gets assigned to nobody.</t>
  </si>
  <si>
    <t>users where hospital_id = A and (full_name is null or full_name = '') → 0 rows</t>
  </si>
  <si>
    <t>TC-P2E-008</t>
  </si>
  <si>
    <t>A staff member cannot be saved without a phone number</t>
  </si>
  <si>
    <t>1) Open /settings/staff 2) Click Add Staff 3) Enter a name and role 4) Leave Phone Number blank 5) Attempt to save</t>
  </si>
  <si>
    <t>None — deliberately omits the required Phone Number</t>
  </si>
  <si>
    <t>The phone number is how a hospital reaches an on-call doctor and how WhatsApp notifications are addressed. Without it the escalation chain has a hole nobody sees until an emergency.</t>
  </si>
  <si>
    <t>users where hospital_id = A and phone is null → 0 new rows</t>
  </si>
  <si>
    <t>TC-P2E-009</t>
  </si>
  <si>
    <t>A 9-digit phone number is rejected</t>
  </si>
  <si>
    <t>1) Open /settings/staff 2) Click Add Staff 3) Enter Phone Number "987650000" (9 digits) 4) Attempt to save</t>
  </si>
  <si>
    <t>The save is refused with a message naming the 10-digit requirement.</t>
  </si>
  <si>
    <t>phase2.invalid.phoneTooShort (987650000)</t>
  </si>
  <si>
    <t>HR, WhatsApp</t>
  </si>
  <si>
    <t>Indian mobile numbers are 10 digits without the country code. A short number fails silently at the WhatsApp gateway, so every notification to that person is dropped with no error.</t>
  </si>
  <si>
    <t>users where hospital_id = A → no row with phone = '987650000'</t>
  </si>
  <si>
    <t>TC-P2E-010</t>
  </si>
  <si>
    <t>An 11-digit phone number is rejected</t>
  </si>
  <si>
    <t>1) Open /settings/staff 2) Click Add Staff 3) Enter Phone Number "98765000012" (11 digits) 4) Attempt to save</t>
  </si>
  <si>
    <t>phase2.invalid.phoneTooLong (98765000012)</t>
  </si>
  <si>
    <t>Both sides of the 10-digit boundary must be caught. An extra digit is the commonest typo and produces a number that looks plausible on screen.</t>
  </si>
  <si>
    <t>users where hospital_id = A → no row with phone = '98765000012'</t>
  </si>
  <si>
    <t>TC-P2E-011</t>
  </si>
  <si>
    <t>A malformed email address is rejected</t>
  </si>
  <si>
    <t>1) Open /settings/staff 2) Click Add Staff 3) Enter Email "rakesh.iyer@" 4) Attempt to save</t>
  </si>
  <si>
    <t>The save is refused with a message naming the email format.</t>
  </si>
  <si>
    <t>phase2.invalid.emailMalformed (rakesh.iyer@)</t>
  </si>
  <si>
    <t>HR, Auth</t>
  </si>
  <si>
    <t>The email is the login identity. A malformed one creates an account nobody can ever sign into, and the person discovers it on their first day rather than at setup.</t>
  </si>
  <si>
    <t>users where hospital_id = A → no row with email = 'rakesh.iyer@'</t>
  </si>
  <si>
    <t>TC-P2E-012</t>
  </si>
  <si>
    <t>A duplicate staff email is rejected</t>
  </si>
  <si>
    <t>1) Open /settings/staff 2) Create a staff member with an email already in use by another account 3) Save</t>
  </si>
  <si>
    <t>The save is refused. Only one users row carries that email.</t>
  </si>
  <si>
    <t>MOCK_DATA_BOOK Staff logins — re-entering a seeded email</t>
  </si>
  <si>
    <t>Two accounts sharing a login email make authentication ambiguous — the person signs in and gets whichever row the query returns first, potentially with the wrong role and the wrong hospital.</t>
  </si>
  <si>
    <t>users → the email appears on exactly 1 row</t>
  </si>
  <si>
    <t>TC-P2E-013</t>
  </si>
  <si>
    <t>Only the 16 assignable app_role enum values are offered</t>
  </si>
  <si>
    <t>1) Open /settings/staff 2) Click Add Staff 3) Open the Role dropdown 4) List every option</t>
  </si>
  <si>
    <t>The dropdown offers only roles that exist in the app_role enum. It must not offer a role the database will reject.</t>
  </si>
  <si>
    <t>MOCK_DATA_BOOK — the 16 app_role enum values</t>
  </si>
  <si>
    <t>HR, RBAC, all modules</t>
  </si>
  <si>
    <t>MOCK_DATA_BOOK records that src/lib/modules.ts gates routes on 48 role strings while the enum has only 16, so 32 roles are used for access control but cannot be assigned. Offering one of those here produces a raw Postgres enum error at save.</t>
  </si>
  <si>
    <t>users.role → every offered option is a valid app_role value</t>
  </si>
  <si>
    <t>TC-P2E-014</t>
  </si>
  <si>
    <t>A nurse can be created with a nursing registration number</t>
  </si>
  <si>
    <t>1) Open /settings/staff 2) Click Add Staff 3) Select Role "nurse" 4) Enter a name, phone and Nursing Registration No 5) Save</t>
  </si>
  <si>
    <t>The users row is created with role = nurse and the nursing registration recorded.</t>
  </si>
  <si>
    <t>HR, Nursing, Quality</t>
  </si>
  <si>
    <t>NABH requires evidence that nursing staff hold current registration. An unrecorded number is a finding at assessment and a liability if a nurse is later found unregistered.</t>
  </si>
  <si>
    <t>users where hospital_id = A and role = 'nurse' → registration recorded</t>
  </si>
  <si>
    <t>TC-P2E-015</t>
  </si>
  <si>
    <t>A doctor MCI/NMC registration number saves</t>
  </si>
  <si>
    <t>1) Open /settings/staff 2) Edit Dr. Rakesh Iyer 3) Enter Registration No (MCI/NMC) "MH-12345" 4) Save</t>
  </si>
  <si>
    <t>users.registration_number = MH-12345.</t>
  </si>
  <si>
    <t>Literal registration MH-12345 (the placeholder the field itself suggests)</t>
  </si>
  <si>
    <t>HR, OPD, Quality, MRD</t>
  </si>
  <si>
    <t>The registration number prints on every prescription. A prescription without it is not a valid medico-legal document, and dispensing against one exposes the pharmacy.</t>
  </si>
  <si>
    <t>users where hospital_id = A and full_name = 'Dr. Rakesh Iyer' → registration_number = 'MH-12345'</t>
  </si>
  <si>
    <t>TC-P2E-016</t>
  </si>
  <si>
    <t>The HPR ID saves for a doctor</t>
  </si>
  <si>
    <t>1) Open /settings/staff 2) Edit a doctor 3) Enter an HPR ID 4) Save</t>
  </si>
  <si>
    <t>users.hpr_id holds the entered value.</t>
  </si>
  <si>
    <t>Literal HPR ID 12345678901234 (the placeholder the field suggests)</t>
  </si>
  <si>
    <t>ABDM, HR</t>
  </si>
  <si>
    <t>The Healthcare Professionals Registry ID is what links a doctor to the ABDM ecosystem. Without it, ABDM-linked records cannot be attributed to a registered practitioner.</t>
  </si>
  <si>
    <t>users where hospital_id = A → hpr_id is recorded</t>
  </si>
  <si>
    <t>TC-P2E-017</t>
  </si>
  <si>
    <t>A staff member can be assigned to a department</t>
  </si>
  <si>
    <t>1) Open /settings/staff 2) Create or edit a staff member 3) Select department Nephrology 4) Save</t>
  </si>
  <si>
    <t>users.department_id points at the Nephrology department for Hospital A.</t>
  </si>
  <si>
    <t>MOCK_DATA_BOOK Phase 2 additions — Dr. Rakesh Iyer in Nephrology</t>
  </si>
  <si>
    <t>Tier 0 complete; the Nephrology department exists</t>
  </si>
  <si>
    <t>Department assignment drives which OPD queue a doctor appears in and which roster they belong to. Unassigned staff are invisible to every department-filtered view.</t>
  </si>
  <si>
    <t>users where hospital_id = A and full_name = 'Dr. Rakesh Iyer' → department_id = Nephrology</t>
  </si>
  <si>
    <t>TC-P2E-018</t>
  </si>
  <si>
    <t>The department picker offers only departments of this hospital</t>
  </si>
  <si>
    <t>1) Open /settings/staff 2) Click Add Staff 3) Open the department picker 4) Read every option</t>
  </si>
  <si>
    <t>Only Hospital A departments are listed. No Hospital B department appears.</t>
  </si>
  <si>
    <t>MOCK_DATA_BOOK Departments — the ten Hospital A rows</t>
  </si>
  <si>
    <t>A picker that is not hospital-scoped leaks another tenant's organisational structure, and assigning a doctor to a department in a different hospital corrupts the RLS anchor for everything they do.</t>
  </si>
  <si>
    <t>departments where hospital_id = A → matches the picker options exactly</t>
  </si>
  <si>
    <t>TC-P2E-019</t>
  </si>
  <si>
    <t>Employment type and payroll type save</t>
  </si>
  <si>
    <t>1) Open /settings/staff 2) Edit a staff member 3) Set Employment Type and Payroll Type 4) Save</t>
  </si>
  <si>
    <t>Both values persist on the staff profile after a reload.</t>
  </si>
  <si>
    <t>The Employment Type and Payroll Type options on SettingsStaffPage</t>
  </si>
  <si>
    <t>Employment type decides whether someone is on payroll or on a consultancy contract, which changes their tax treatment. Getting it wrong is a TDS error, not just a data-entry slip.</t>
  </si>
  <si>
    <t>staff_profiles for the staff member → employment and payroll type recorded</t>
  </si>
  <si>
    <t>TC-P2E-020</t>
  </si>
  <si>
    <t>Salary components save</t>
  </si>
  <si>
    <t>1) Open /settings/staff 2) Edit a staff member 3) Enter Basic Salary 25000, HRA % and DA % 4) Save</t>
  </si>
  <si>
    <t>The salary components persist on the staff profile after a reload.</t>
  </si>
  <si>
    <t>Literal basic salary 25000 (the placeholder the field suggests)</t>
  </si>
  <si>
    <t>HR, Payroll, Accounts</t>
  </si>
  <si>
    <t>These figures are what payroll computes from. A component that silently fails to save produces an underpaid salary the employee notices on payday.</t>
  </si>
  <si>
    <t>staff_profiles for the staff member → basic salary = 25000</t>
  </si>
  <si>
    <t>TC-P2E-021</t>
  </si>
  <si>
    <t>Salary amounts render in en-IN grouping with the rupee symbol</t>
  </si>
  <si>
    <t>1) Open /settings/staff 2) Open a staff member with a salary above ₹1,00,000 3) Read the amount</t>
  </si>
  <si>
    <t>The amount renders as ₹1,25,000 with Indian grouping, not ₹125,000.</t>
  </si>
  <si>
    <t>Every money display must go through formatCurrency(). On a salary field the wrong comma position reads as a factor-of-ten difference in pay.</t>
  </si>
  <si>
    <t>staff_profiles salary → rendered with ₹ and Indian grouping</t>
  </si>
  <si>
    <t>TC-P2E-022</t>
  </si>
  <si>
    <t>A non-numeric consultation fee is rejected</t>
  </si>
  <si>
    <t>1) Open /settings/staff 2) Create or edit a doctor 3) Enter Consultation Fee "abc" 4) Save</t>
  </si>
  <si>
    <t>The save is refused, or the fee is not stored as a number derived from letters.</t>
  </si>
  <si>
    <t>phase2.invalid.feeNonNumeric (abc)</t>
  </si>
  <si>
    <t>A non-numeric fee that parses to NaN or zero puts the consultation on the ₹500 fallback or bills nothing at all, and the administrator believes a fee is configured.</t>
  </si>
  <si>
    <t>service_master for the doctor → fee is a valid number or the row was not written</t>
  </si>
  <si>
    <t>TC-P2E-023</t>
  </si>
  <si>
    <t>A zero consultation fee is stored deliberately, not as unset</t>
  </si>
  <si>
    <t>1) Open /settings/staff 2) Edit a doctor 3) Set Follow-up Fee to 0 4) Save</t>
  </si>
  <si>
    <t>The follow-up fee stores as 0, meaning free — distinct from null meaning not configured.</t>
  </si>
  <si>
    <t>MOCK_DATA_BOOK Doctors — Dr. Suresh Menon, follow-up ₹0 within 7 days</t>
  </si>
  <si>
    <t>Dr. Menon's free follow-up is a deliberate ₹0, and Dr. Rao's ₹300 is the contrast case. If zero collapses into null the free follow-up falls through to a paid consultation and the patient is charged for a visit the hospital promised free.</t>
  </si>
  <si>
    <t>service_master for the doctor → follow_up_fee = 0, not null</t>
  </si>
  <si>
    <t>TC-P2E-024</t>
  </si>
  <si>
    <t>Surgeon and anaesthetist fees save for a surgical doctor</t>
  </si>
  <si>
    <t>1) Open /settings/staff 2) Edit a surgeon 3) Enter Surgeon Fee and Anaesthetist Fee 4) Save</t>
  </si>
  <si>
    <t>Both OT fees persist after a reload.</t>
  </si>
  <si>
    <t>MOCK_DATA_BOOK Staff logins — Dr. Arjun Nair (General Surgery)</t>
  </si>
  <si>
    <t>OT, Billing</t>
  </si>
  <si>
    <t>OT fees are split between surgeon and anaesthetist on the bill. A missing one means the theatre charge is raised short and the shortfall is never recovered.</t>
  </si>
  <si>
    <t>service_master for the surgeon → surgeon and anaesthetist fees recorded</t>
  </si>
  <si>
    <t>TC-P2E-025</t>
  </si>
  <si>
    <t>Editing a staff member persists the change</t>
  </si>
  <si>
    <t>1) Open /settings/staff 2) Edit Dr. Rakesh Iyer 3) Change the phone number 4) Save 5) Reload</t>
  </si>
  <si>
    <t>The new phone number is shown after the reload.</t>
  </si>
  <si>
    <t>MOCK_DATA_BOOK Phase 2 additions — Dr. Rakesh Iyer</t>
  </si>
  <si>
    <t>Contact details change constantly. An edit that toasts success without persisting leaves the escalation chain pointing at an old number.</t>
  </si>
  <si>
    <t>users where hospital_id = A and full_name = 'Dr. Rakesh Iyer' → phone updated</t>
  </si>
  <si>
    <t>TC-P2E-026</t>
  </si>
  <si>
    <t>A staff member can be deactivated without being deleted</t>
  </si>
  <si>
    <t>1) Open /settings/staff 2) Deactivate Dr. Rakesh Iyer 3) Reload</t>
  </si>
  <si>
    <t>users.is_active = false and the row still exists.</t>
  </si>
  <si>
    <t>HR, OPD, Auth, MRD</t>
  </si>
  <si>
    <t>A doctor who leaves must stop being able to log in and stop appearing in pickers, while every note and prescription they signed stays attributed to them. Deleting instead would orphan signed clinical records — a medico-legal problem.</t>
  </si>
  <si>
    <t>users where hospital_id = A and full_name = 'Dr. Rakesh Iyer' → is_active = false</t>
  </si>
  <si>
    <t>TC-P2E-027</t>
  </si>
  <si>
    <t>A deactivated doctor no longer appears in the OPD doctor picker</t>
  </si>
  <si>
    <t>1) Deactivate Dr. Rakesh Iyer under /settings/staff 2) Open the OPD token screen 3) Open the doctor picker</t>
  </si>
  <si>
    <t>The deactivated doctor is not offered for new tokens.</t>
  </si>
  <si>
    <t>MOCK_DATA_BOOK Phase 2 additions — Dr. Rakesh Iyer, deactivated</t>
  </si>
  <si>
    <t>OPD, HR</t>
  </si>
  <si>
    <t>A token raised against a doctor who has left cannot be seen by anyone. The patient waits for a consultation that will never be called.</t>
  </si>
  <si>
    <t>users where hospital_id = A and is_active = false → absent from the OPD doctor picker</t>
  </si>
  <si>
    <t>TC-P2E-028</t>
  </si>
  <si>
    <t>A deactivated staff member can no longer sign in</t>
  </si>
  <si>
    <t>1) Deactivate a staff account under /settings/staff 2) Attempt to sign in as that account</t>
  </si>
  <si>
    <t>Sign-in is refused.</t>
  </si>
  <si>
    <t>Auth, HR, Security</t>
  </si>
  <si>
    <t>Deactivation that does not revoke access is an access-control failure. A departed employee retaining a working login into a system full of PHI is a DPDP Act breach waiting to be discovered.</t>
  </si>
  <si>
    <t>Deactivated staff account</t>
  </si>
  <si>
    <t>users where is_active = false → authentication refused</t>
  </si>
  <si>
    <t>TC-P2E-029</t>
  </si>
  <si>
    <t>A deactivated staff member can be reactivated</t>
  </si>
  <si>
    <t>1) Open /settings/staff 2) Reactivate a deactivated staff member 3) Reload</t>
  </si>
  <si>
    <t>users.is_active = true and the person appears in pickers again.</t>
  </si>
  <si>
    <t>Staff return from long leave and locums come back. A one-way deactivation forces a duplicate account, which splits one person's clinical attribution across two identities.</t>
  </si>
  <si>
    <t>users where hospital_id = A and full_name = 'Dr. Rakesh Iyer' → is_active = true</t>
  </si>
  <si>
    <t>TC-P2E-030</t>
  </si>
  <si>
    <t>The can-login flag is independent of the staff record</t>
  </si>
  <si>
    <t>1) Open /settings/staff 2) Create a staff member with login disabled 3) Save</t>
  </si>
  <si>
    <t>The users row exists with can_login false — the person is on the roster but has no system access.</t>
  </si>
  <si>
    <t>MOCK_DATA_BOOK Staff logins — a non-login staff record</t>
  </si>
  <si>
    <t>Housekeeping and support staff appear on rosters and payroll without ever touching the system. Forcing a login for every staff record would create dormant credentials nobody manages.</t>
  </si>
  <si>
    <t>users where hospital_id = A → can_login = false on the non-login record</t>
  </si>
  <si>
    <t>TC-P2E-031</t>
  </si>
  <si>
    <t>Staff changes survive a hard reload</t>
  </si>
  <si>
    <t>1) Open /settings/staff 2) Create Dr. Rakesh Iyer with the Phase 2 fee set 3) Hard-reload 4) Locate the record</t>
  </si>
  <si>
    <t>The staff row and its fees are still present after the reload.</t>
  </si>
  <si>
    <t>MOCK_DATA_BOOK Phase 2 additions — Dr. Rakesh Iyer with full fee set</t>
  </si>
  <si>
    <t>HR, OPD, Billing</t>
  </si>
  <si>
    <t>This screen writes to three tables — users, staff_profiles and service_master. A partial write that toasts success leaves a doctor who exists but has no fee, which bills ₹500 forever.</t>
  </si>
  <si>
    <t>users, staff_profiles and service_master → all three carry the Dr. Rakesh Iyer rows</t>
  </si>
  <si>
    <t>TC-P2E-032</t>
  </si>
  <si>
    <t>Hospital A's staff are invisible to Hospital B</t>
  </si>
  <si>
    <t>1) Sign in as the Hospital B administrator 2) Open /settings/staff as Hospital B 3) Query users through the API with no hospital filter</t>
  </si>
  <si>
    <t>Only the three Hospital B accounts are returned. No Hospital A staff appear.</t>
  </si>
  <si>
    <t>MOCK_DATA_BOOK Hospitals — Hospital A (17 staff) and Hospital B (3 staff)</t>
  </si>
  <si>
    <t>Multi-tenancy, HR, Security</t>
  </si>
  <si>
    <t>The users table holds names, emails, phone numbers and salary links. A cross-tenant leak here is personal data of identifiable people under the DPDP Act, not merely commercial information.</t>
  </si>
  <si>
    <t>users queried as the Hospital B admin → zero rows with hospital_id = A</t>
  </si>
  <si>
    <t>TC-P2E-033</t>
  </si>
  <si>
    <t>A nurse cannot reach the Staff settings screen</t>
  </si>
  <si>
    <t>1) Log in as nurse (Hospital A) 2) Navigate directly to /settings/staff</t>
  </si>
  <si>
    <t>The route is blocked — redirected away, or an explicit access-denied message. No salary figures render.</t>
  </si>
  <si>
    <t>HR, Security</t>
  </si>
  <si>
    <t>This screen exposes every colleague's salary and can create an account with any role. Either capability in the wrong hands is a serious control failure.</t>
  </si>
  <si>
    <t>TC-P2E-034</t>
  </si>
  <si>
    <t>The Staff screen loads with no red console errors</t>
  </si>
  <si>
    <t>1) Open DevTools → Console 2) Open /settings/staff 3) Create and edit a staff member 4) Read the console</t>
  </si>
  <si>
    <t>No red console text from the users, staff_profiles or service_master writes.</t>
  </si>
  <si>
    <t>The staff_profiles and service_master writes go through `as any` casts, so a column mismatch fails at runtime with no type-check warning and no visible UI error.</t>
  </si>
  <si>
    <t>TC-P2E-035</t>
  </si>
  <si>
    <t>Roles screen loads and lists the configured roles</t>
  </si>
  <si>
    <t>1) Open /settings/roles 2) Read the role list</t>
  </si>
  <si>
    <t>Roles render from role_permissions for Hospital A. No red console errors.</t>
  </si>
  <si>
    <t>MOCK_DATA_BOOK — the 16 assignable app_role values</t>
  </si>
  <si>
    <t>RBAC, all modules</t>
  </si>
  <si>
    <t>SETTINGS_PREREQ_MATRIX places roles in Tier 0 because role_permissions controls hasTabAccess and hasActionAccess. Get it wrong and buttons like Complete &amp; Bill or Admit simply do not render, with no explanation.</t>
  </si>
  <si>
    <t>role_permissions where hospital_id = A → matches the roles displayed</t>
  </si>
  <si>
    <t>e2e/phase-02-settings/P2E.people-access.roles.spec.ts</t>
  </si>
  <si>
    <t>TC-P2E-036</t>
  </si>
  <si>
    <t>A permission change saves to role_permissions</t>
  </si>
  <si>
    <t>1) Open /settings/roles 2) Select a role 3) Toggle a module permission 4) Save</t>
  </si>
  <si>
    <t>role_permissions.permissions reflects the change for that role.</t>
  </si>
  <si>
    <t>role_permissions — a module permission toggled for a seeded role</t>
  </si>
  <si>
    <t>This is the control that decides who can do what. A permission change that does not persist means an administrator believes they have restricted access when they have not — the most dangerous shape of security failure, because it fails open silently.</t>
  </si>
  <si>
    <t>role_permissions where hospital_id = A → permissions reflect the toggle</t>
  </si>
  <si>
    <t>TC-P2E-037</t>
  </si>
  <si>
    <t>Revoking a tab permission hides that tab for the role</t>
  </si>
  <si>
    <t>1) Open /settings/roles 2) Revoke a tab permission for the doctor role 3) Sign in as a doctor 4) Look for the tab</t>
  </si>
  <si>
    <t>The tab does not render for that role.</t>
  </si>
  <si>
    <t>RBAC, OPD, IPD</t>
  </si>
  <si>
    <t>A permission stored but not enforced is worse than none — the hospital audits its configuration, sees the restriction, and believes it is in force while staff continue to have access.</t>
  </si>
  <si>
    <t>role_permissions → the revoked tab is absent from the doctor UI</t>
  </si>
  <si>
    <t>TC-P2E-038</t>
  </si>
  <si>
    <t>Revoking an action permission hides that action for the role</t>
  </si>
  <si>
    <t>1) Open /settings/roles 2) Revoke an action permission for a role 3) Sign in as that role 4) Look for the action button</t>
  </si>
  <si>
    <t>The action button does not render.</t>
  </si>
  <si>
    <t>role_permissions — an action permission revoked for a seeded role</t>
  </si>
  <si>
    <t>RBAC, Billing, IPD</t>
  </si>
  <si>
    <t>Action gates cover things like Complete &amp; Bill and Admit. An unenforced revocation lets a role take an action the hospital has explicitly forbidden, with a full audit trail showing it was not allowed to.</t>
  </si>
  <si>
    <t>role_permissions → the revoked action is absent from that role's UI</t>
  </si>
  <si>
    <t>TC-P2E-039</t>
  </si>
  <si>
    <t>A permission gate is enforced on direct URL entry, not only in the menu</t>
  </si>
  <si>
    <t>1) Revoke a role's access to a module 2) Sign in as nurse (Hospital A) 3) Type /accounts directly into the address bar, having revoked Accounts under /settings/roles</t>
  </si>
  <si>
    <t>The route is blocked. Hiding the menu item is not sufficient.</t>
  </si>
  <si>
    <t>role_permissions — a module revoked for a seeded role</t>
  </si>
  <si>
    <t>RBAC, Security</t>
  </si>
  <si>
    <t>A gate that only hides a menu entry is security by obscurity. Anyone who has previously used the module knows the URL, and a bookmark bypasses the whole permission model.</t>
  </si>
  <si>
    <t>None — route guard behaviour under a revoked permission</t>
  </si>
  <si>
    <t>TC-P2E-040</t>
  </si>
  <si>
    <t>A permission change is written to the config change log</t>
  </si>
  <si>
    <t>1) Open /settings/roles 2) Change a permission 3) Enter a reason 4) Save 5) Open /settings/change-log</t>
  </si>
  <si>
    <t>A config_change_logs entry records the role, the old and new permissions and the reason.</t>
  </si>
  <si>
    <t>role_permissions — a permission change with a stated reason</t>
  </si>
  <si>
    <t>RBAC, Audit, Quality</t>
  </si>
  <si>
    <t>NABH and DPDP both expect access changes to be traceable. An unlogged permission change means nobody can answer who granted an escalated privilege, or when.</t>
  </si>
  <si>
    <t>config_change_logs where hospital_id = A and config_area = 'role_permissions' → 1 new entry</t>
  </si>
  <si>
    <t>TC-P2E-041</t>
  </si>
  <si>
    <t>The change reason is stored with the permission change</t>
  </si>
  <si>
    <t>1) Open /settings/roles 2) Change a permission 3) Enter the reason "QA Phase 2 verification" 4) Save</t>
  </si>
  <si>
    <t>The reason is stored on the config change log entry.</t>
  </si>
  <si>
    <t>Literal change reason "QA Phase 2 verification"</t>
  </si>
  <si>
    <t>Audit, Quality</t>
  </si>
  <si>
    <t>A log of what changed without why is nearly useless at audit. The reason is what distinguishes a considered decision from a mistake nobody owns.</t>
  </si>
  <si>
    <t>config_change_logs → the reason is recorded on the entry</t>
  </si>
  <si>
    <t>TC-P2E-042</t>
  </si>
  <si>
    <t>A permission change with no reason is still logged</t>
  </si>
  <si>
    <t>1) Open /settings/roles 2) Change a permission 3) Leave the reason blank 4) Save</t>
  </si>
  <si>
    <t>The change is logged with a null reason. A missing reason never suppresses the log entry itself.</t>
  </si>
  <si>
    <t>None — deliberately omits the optional reason</t>
  </si>
  <si>
    <t>Audit, Security</t>
  </si>
  <si>
    <t>If an unexplained change goes unlogged, the easiest way to make an access change invisible is to skip the reason field — which is exactly what someone acting improperly would do.</t>
  </si>
  <si>
    <t>config_change_logs → an entry exists with a null reason</t>
  </si>
  <si>
    <t>TC-P2E-043</t>
  </si>
  <si>
    <t>Cash Closure access can be granted and revoked per role</t>
  </si>
  <si>
    <t>1) Open /settings/roles 2) Grant Cash Closure access to a role 3) Revoke it 4) Check role_permissions after each step</t>
  </si>
  <si>
    <t>role_permissions reflects both the grant and the revocation, and both are logged.</t>
  </si>
  <si>
    <t>role_permissions — Cash Closure toggled for a seeded role</t>
  </si>
  <si>
    <t>Billing, Day Closure, Accounts</t>
  </si>
  <si>
    <t>Cash closure is where the day's collections are reconciled and signed off. It has its own explicit toggle because granting it wrongly hands someone the ability to close a day over a cash difference.</t>
  </si>
  <si>
    <t>role_permissions → Cash Closure permission toggles and is logged both ways</t>
  </si>
  <si>
    <t>TC-P2E-044</t>
  </si>
  <si>
    <t>A custom role can be created</t>
  </si>
  <si>
    <t>1) Open /settings/roles 2) Create a role named "QA Reviewer" 3) Save</t>
  </si>
  <si>
    <t>A role_permissions row exists for the custom role scoped to Hospital A.</t>
  </si>
  <si>
    <t>phase2.entry./settings/roles — role "QA Reviewer"</t>
  </si>
  <si>
    <t>RBAC, HR</t>
  </si>
  <si>
    <t>Hospitals have roles the 16-value enum does not cover. Custom permission blobs are, per MOCK_DATA_BOOK, the only way modules like Blood Bank and CSSD are reachable at all.</t>
  </si>
  <si>
    <t>role_permissions where hospital_id = A and role = 'QA Reviewer' → 1 row</t>
  </si>
  <si>
    <t>TC-P2E-045</t>
  </si>
  <si>
    <t>A role cannot be created without a name</t>
  </si>
  <si>
    <t>1) Open /settings/roles 2) Attempt to create a role with a blank Role Name 3) Save</t>
  </si>
  <si>
    <t>The save is refused and no role_permissions row is written.</t>
  </si>
  <si>
    <t>None — deliberately omits the required Role Name</t>
  </si>
  <si>
    <t>An unnamed role appears as a blank option when assigning staff, so someone gets assigned a permission set nobody can identify afterwards.</t>
  </si>
  <si>
    <t>role_permissions where hospital_id = A and (role is null or role = '') → 0 rows</t>
  </si>
  <si>
    <t>TC-P2E-046</t>
  </si>
  <si>
    <t>A duplicate role name is rejected</t>
  </si>
  <si>
    <t>1) Open /settings/roles 2) Create "QA Reviewer" 3) Create "QA Reviewer" again 4) Count the rows</t>
  </si>
  <si>
    <t>Only one role_permissions row carries that name for Hospital A.</t>
  </si>
  <si>
    <t>phase2.entry./settings/roles — duplicate role "QA Reviewer"</t>
  </si>
  <si>
    <t>Two roles with one name produce two permission sets, and whichever the query returns first decides access. That makes the effective permissions of a staff member unpredictable.</t>
  </si>
  <si>
    <t>role_permissions where hospital_id = A and role = 'QA Reviewer' → exactly 1 row</t>
  </si>
  <si>
    <t>TC-P2E-047</t>
  </si>
  <si>
    <t>The bypass roles retain full access</t>
  </si>
  <si>
    <t>1) Open /settings/roles 2) Inspect the permissions for super_admin and hospital_admin</t>
  </si>
  <si>
    <t>Both retain full access. It must not be possible to lock the administrator out of the settings that control access.</t>
  </si>
  <si>
    <t>MOCK_DATA_BOOK — super_admin and hospital_admin as the bypass roles</t>
  </si>
  <si>
    <t>MOCK_DATA_BOOK records that several modules are only reachable by these bypass roles. An administrator who revokes their own settings access has no way back in, and the tenant needs vendor intervention to recover.</t>
  </si>
  <si>
    <t>role_permissions → super_admin and hospital_admin retain settings access</t>
  </si>
  <si>
    <t>TC-P2E-048</t>
  </si>
  <si>
    <t>An administrator cannot revoke their own settings access</t>
  </si>
  <si>
    <t>1) Log in as hospital_admin 2) Open /settings/roles 3) Attempt to revoke settings access from the hospital_admin role 4) Save</t>
  </si>
  <si>
    <t>The change is refused, or a clear warning explains the lock-out risk before it is applied.</t>
  </si>
  <si>
    <t>role_permissions — hospital_admin settings access</t>
  </si>
  <si>
    <t>This is a self-lockout with no recovery path inside the product. The hospital loses the ability to manage its own users and has to contact the vendor to be let back in.</t>
  </si>
  <si>
    <t>role_permissions → hospital_admin retains settings access after the attempt</t>
  </si>
  <si>
    <t>TC-P2E-049</t>
  </si>
  <si>
    <t>Permission changes survive a hard reload</t>
  </si>
  <si>
    <t>1) Open /settings/roles 2) Change a permission and save 3) Hard-reload 4) Re-read the permission</t>
  </si>
  <si>
    <t>The change is still in effect after the reload.</t>
  </si>
  <si>
    <t>role_permissions — a module permission toggled</t>
  </si>
  <si>
    <t>A permission that reverts on reload fails open — access the hospital believes it removed comes back the next time anyone loads the page.</t>
  </si>
  <si>
    <t>role_permissions where hospital_id = A → the change persists</t>
  </si>
  <si>
    <t>TC-P2E-050</t>
  </si>
  <si>
    <t>The 32 routing-only roles are visibly distinguished from assignable roles</t>
  </si>
  <si>
    <t>1) Open /settings/roles 2) Compare the roles listed against the 16 app_role enum values</t>
  </si>
  <si>
    <t>Roles that cannot be assigned to a staff login are either absent or clearly marked as unassignable.</t>
  </si>
  <si>
    <t>MOCK_DATA_BOOK — 16 enum roles versus 48 routing roles</t>
  </si>
  <si>
    <t>MOCK_DATA_BOOK flags this as a probable real defect: modules like Blood Bank and Dialysis name a specialist role as their intended user, but that role cannot be created. Configuring permissions for a role nobody can hold is wasted effort that looks like working configuration.</t>
  </si>
  <si>
    <t>role_permissions → roles outside the app_role enum are marked or absent</t>
  </si>
  <si>
    <t>TC-P2E-051</t>
  </si>
  <si>
    <t>Hospital A's role permissions are invisible to Hospital B</t>
  </si>
  <si>
    <t>1) Sign in as the Hospital B administrator 2) Open /settings/roles as Hospital B 3) Query role_permissions through the API with no hospital filter</t>
  </si>
  <si>
    <t>Not one Hospital A role_permissions row is returned.</t>
  </si>
  <si>
    <t>Multi-tenancy, RBAC, Security</t>
  </si>
  <si>
    <t>If permission rows leaked between tenants, one hospital's access model could be applied to another's staff — the most direct route to a cross-tenant privilege escalation.</t>
  </si>
  <si>
    <t>role_permissions queried as the Hospital B admin → zero rows with hospital_id = A</t>
  </si>
  <si>
    <t>TC-P2E-052</t>
  </si>
  <si>
    <t>A doctor cannot reach the Roles settings screen</t>
  </si>
  <si>
    <t>1) Log in as doctor (Hospital A) 2) Navigate directly to /settings/roles</t>
  </si>
  <si>
    <t>A user who can edit the permission model can grant themselves anything. This is the single most important route guard in the product.</t>
  </si>
  <si>
    <t>TC-P2E-053</t>
  </si>
  <si>
    <t>A non-admin cannot escalate their own role through the API</t>
  </si>
  <si>
    <t>1) Confirm /settings/roles is blocked for the nurse 2) Sign in through the API as nurse (Hospital A) 3) Attempt to update role_permissions directly via PostgREST</t>
  </si>
  <si>
    <t>The write is rejected by RLS. The route guard is not the only protection.</t>
  </si>
  <si>
    <t>RBAC, Security, Multi-tenancy</t>
  </si>
  <si>
    <t>Route guards are client-side and can be bypassed by calling PostgREST directly. If role_permissions has no per-role RLS, any authenticated user can grant themselves every permission in the hospital.</t>
  </si>
  <si>
    <t>role_permissions updated as a nurse → rejected</t>
  </si>
  <si>
    <t>TC-P2E-054</t>
  </si>
  <si>
    <t>The Roles screen loads with no red console errors</t>
  </si>
  <si>
    <t>1) Open DevTools → Console 2) Open /settings/roles 3) Change a permission and save 4) Read the console</t>
  </si>
  <si>
    <t>No red console text from the read, the update or the change-log write.</t>
  </si>
  <si>
    <t>RBAC, Audit</t>
  </si>
  <si>
    <t>The permissions blob is written through an `as any` cast. A malformed blob that Postgres rejects would surface only here while the UI reports a saved permission.</t>
  </si>
  <si>
    <t>TC-P2E-055</t>
  </si>
  <si>
    <t>Doctor Schedules screen loads with the doctor list</t>
  </si>
  <si>
    <t>1) Open /settings/doctor-schedules 2) Read the doctor list</t>
  </si>
  <si>
    <t>The active Hospital A doctors are listed and searchable. No red console errors.</t>
  </si>
  <si>
    <t>MOCK_DATA_BOOK Staff logins — the three seeded Hospital A doctors</t>
  </si>
  <si>
    <t>OPD, Telemedicine</t>
  </si>
  <si>
    <t>Tier 0 complete; at least one active doctor exists</t>
  </si>
  <si>
    <t>SETTINGS_PREREQ_MATRIX warns that without doctor_schedules and doctor_slots no appointment slot is bookable at all. This screen is the only place they are created.</t>
  </si>
  <si>
    <t>users where hospital_id = A and role = doctor and is_active = true → matches the list</t>
  </si>
  <si>
    <t>e2e/phase-02-settings/P2E.people-access.schedules.spec.ts</t>
  </si>
  <si>
    <t>TC-P2E-056</t>
  </si>
  <si>
    <t>The doctor search filters the list</t>
  </si>
  <si>
    <t>1) Open /settings/doctor-schedules 2) Type a doctor name into the search box</t>
  </si>
  <si>
    <t>Only matching doctors remain listed.</t>
  </si>
  <si>
    <t>MOCK_DATA_BOOK Staff logins — Dr. Suresh Menon</t>
  </si>
  <si>
    <t>A teaching hospital has hundreds of consultants. Without search, setting one doctor's Monday clinic means scrolling the entire medical staff.</t>
  </si>
  <si>
    <t>TC-P2E-057</t>
  </si>
  <si>
    <t>An OPD session saves against a doctor and day</t>
  </si>
  <si>
    <t>1) Open /settings/doctor-schedules 2) Select a doctor 3) Select a working day 4) Add an OPD session with a start and end time 5) Save</t>
  </si>
  <si>
    <t>A doctor_schedules row exists for that doctor, day and session time.</t>
  </si>
  <si>
    <t>MOCK_DATA_BOOK Phase 2 additions — Dr. Rakesh Iyer OPD schedule</t>
  </si>
  <si>
    <t>No schedule means no bookable slot, so the appointment screen shows nothing and reception books patients on paper. This is one of the prerequisites that makes OPD look broken when it is merely unconfigured.</t>
  </si>
  <si>
    <t>doctor_schedules where hospital_id = A and doctor = the selected doctor → 1 row per session</t>
  </si>
  <si>
    <t>TC-P2E-058</t>
  </si>
  <si>
    <t>A session with a missing time is refused</t>
  </si>
  <si>
    <t>1) Open /settings/doctor-schedules 2) Select a doctor and day 3) Add a session leaving the end time blank 4) Save</t>
  </si>
  <si>
    <t>A destructive toast reads "Invalid session times" and no doctor_schedules row is written.</t>
  </si>
  <si>
    <t>None — deliberately omits a session end time</t>
  </si>
  <si>
    <t>A session with no end has no bounded slot range, so slot generation either produces nothing or runs to midnight. Both leave reception unable to book correctly.</t>
  </si>
  <si>
    <t>doctor_schedules → no row written for the incomplete session</t>
  </si>
  <si>
    <t>TC-P2E-059</t>
  </si>
  <si>
    <t>Overlapping sessions on the same day are refused</t>
  </si>
  <si>
    <t>1) Open /settings/doctor-schedules 2) Select a doctor and day 3) Add a session 09:00–12:00 4) Add a second session 11:00–14:00 5) Save</t>
  </si>
  <si>
    <t>A destructive toast names the overlap, quoting both times, and neither session is saved.</t>
  </si>
  <si>
    <t>Literal overlapping sessions 09:00–12:00 and 11:00–14:00</t>
  </si>
  <si>
    <t>Overlapping sessions double-book the same doctor for the same minute. Two patients are given the same slot and both arrive expecting to be seen.</t>
  </si>
  <si>
    <t>doctor_schedules → no overlapping rows for one doctor and day</t>
  </si>
  <si>
    <t>TC-P2E-060</t>
  </si>
  <si>
    <t>Two adjacent non-overlapping sessions on one day are allowed</t>
  </si>
  <si>
    <t>1) Open /settings/doctor-schedules 2) Select a doctor and day 3) Add sessions 09:00–12:00 and 16:00–19:00 4) Save</t>
  </si>
  <si>
    <t>Both sessions save as separate doctor_schedules rows.</t>
  </si>
  <si>
    <t>Literal morning session 09:00–12:00 and evening session 16:00–19:00</t>
  </si>
  <si>
    <t>Split morning and evening clinics are the norm in Indian OPD. An overlap rule that is too strict would block the commonest schedule shape there is.</t>
  </si>
  <si>
    <t>doctor_schedules → 2 rows for the doctor on that day</t>
  </si>
  <si>
    <t>TC-P2E-061</t>
  </si>
  <si>
    <t>Saving a schedule generates bookable slots</t>
  </si>
  <si>
    <t>1) Open /settings/doctor-schedules 2) Save a session for a doctor 3) Open the appointment booking screen 4) Look for slots on that day</t>
  </si>
  <si>
    <t>Bookable slots appear for the configured session window.</t>
  </si>
  <si>
    <t>SETTINGS_PREREQ_MATRIX names both doctor_schedules and doctor_slots. A schedule that saves without producing slots leaves the booking screen empty, which reads as a broken module rather than a missing step.</t>
  </si>
  <si>
    <t>doctor_slots where hospital_id = A → slots exist within the configured session window</t>
  </si>
  <si>
    <t>TC-P2E-062</t>
  </si>
  <si>
    <t>Working days can be selected per doctor</t>
  </si>
  <si>
    <t>1) Open /settings/doctor-schedules 2) Select a doctor 3) Choose Monday, Wednesday and Friday 4) Save</t>
  </si>
  <si>
    <t>doctor_schedules rows exist only for the chosen days.</t>
  </si>
  <si>
    <t>Literal working days Monday, Wednesday, Friday</t>
  </si>
  <si>
    <t>Visiting consultants attend on fixed days. Slots offered on a day the doctor never attends produce a patient who travels in for an appointment nobody will keep.</t>
  </si>
  <si>
    <t>doctor_schedules → rows only for the selected days of week</t>
  </si>
  <si>
    <t>TC-P2E-063</t>
  </si>
  <si>
    <t>The consultation fee on the schedule matches the doctor fee</t>
  </si>
  <si>
    <t>1) Open /settings/doctor-schedules 2) Select Dr. Rakesh Iyer 3) Read the Consultation Fee 4) Compare against the fee on /settings/staff</t>
  </si>
  <si>
    <t>The two agree at ₹900. One fee is not silently different from the other.</t>
  </si>
  <si>
    <t>The fee is editable on two screens. If they disagree, whichever the billing lookup reads decides the charge, and the administrator has no way to tell which figure is live.</t>
  </si>
  <si>
    <t>service_master for Dr. Rakesh Iyer → the fee shown on both screens is 900</t>
  </si>
  <si>
    <t>TC-P2E-064</t>
  </si>
  <si>
    <t>The advance booking window saves</t>
  </si>
  <si>
    <t>1) Open /settings/doctor-schedules 2) Select a doctor 3) Set Advance Booking to 14 days 4) Save</t>
  </si>
  <si>
    <t>The advance booking window persists at 14 days after a reload.</t>
  </si>
  <si>
    <t>phase2.entry./settings/doctor-schedules — advanceBookingDays 14</t>
  </si>
  <si>
    <t>OPD, Patient Portal</t>
  </si>
  <si>
    <t>The window decides how far ahead reception and the patient portal can book. Too short and patients cannot plan; unsaved and the default silently applies instead.</t>
  </si>
  <si>
    <t>doctor_schedules → advance booking window = 14</t>
  </si>
  <si>
    <t>TC-P2E-065</t>
  </si>
  <si>
    <t>A zero-day advance booking window is handled explicitly</t>
  </si>
  <si>
    <t>1) Open /settings/doctor-schedules 2) Set Advance Booking to 0 3) Save 4) Open the booking screen</t>
  </si>
  <si>
    <t>Either 0 is refused, or it clearly means same-day booking only. It must not silently disable booking altogether.</t>
  </si>
  <si>
    <t>Literal advance booking window 0</t>
  </si>
  <si>
    <t>A zero window that disables booking entirely looks identical to a broken appointment module. The distinction between "same day only" and "nothing bookable" has to be explicit.</t>
  </si>
  <si>
    <t>doctor_schedules → advance booking 0 behaves as documented, not as a silent disable</t>
  </si>
  <si>
    <t>TC-P2E-066</t>
  </si>
  <si>
    <t>A leave block can be added for a doctor</t>
  </si>
  <si>
    <t>1) Open /settings/doctor-schedules 2) Select a doctor 3) Add a leave block with From and To dates and a reason 4) Save</t>
  </si>
  <si>
    <t>The leave block persists and the reason is recorded.</t>
  </si>
  <si>
    <t>Literal leave reason "Annual leave" (the placeholder the field suggests)</t>
  </si>
  <si>
    <t>Without a leave block, slots keep being offered while the doctor is away. Patients book, travel in, and find nobody there.</t>
  </si>
  <si>
    <t>doctor_schedules or the leave table → the leave block persists</t>
  </si>
  <si>
    <t>TC-P2E-067</t>
  </si>
  <si>
    <t>No slots are offered during a leave block</t>
  </si>
  <si>
    <t>1) Open /settings/doctor-schedules and add a leave block covering tomorrow for a doctor 2) Open the appointment booking screen 3) Attempt to book that doctor tomorrow</t>
  </si>
  <si>
    <t>No slots are offered for the leave period.</t>
  </si>
  <si>
    <t>Literal leave block covering tomorrow</t>
  </si>
  <si>
    <t>A leave block that saves but is not honoured by slot generation is worse than no leave feature — the hospital believes the doctor is protected and keeps booking patients into an empty clinic.</t>
  </si>
  <si>
    <t>doctor_slots → no bookable slots within the leave window</t>
  </si>
  <si>
    <t>TC-P2E-068</t>
  </si>
  <si>
    <t>A leave block ending before it starts is refused</t>
  </si>
  <si>
    <t>1) Open /settings/doctor-schedules 2) Add a leave block with From later than To 3) Save</t>
  </si>
  <si>
    <t>The save is refused with a message naming the date order.</t>
  </si>
  <si>
    <t>Literal inverted leave dates — From after To</t>
  </si>
  <si>
    <t>An inverted range matches no dates at all, so the leave silently has no effect and slots keep being offered while the doctor is away.</t>
  </si>
  <si>
    <t>the leave record → no row with an end date before its start date</t>
  </si>
  <si>
    <t>TC-P2E-069</t>
  </si>
  <si>
    <t>A saved schedule survives a hard reload</t>
  </si>
  <si>
    <t>1) Open /settings/doctor-schedules 2) Save a session for a doctor 3) Hard-reload 4) Re-select the doctor</t>
  </si>
  <si>
    <t>The session is still shown after the reload.</t>
  </si>
  <si>
    <t>This screen deletes the existing rows and re-upserts on every save. A failure partway through would leave a doctor with no schedule at all, which is worse than the state before the edit.</t>
  </si>
  <si>
    <t>doctor_schedules where hospital_id = A → the session rows persist</t>
  </si>
  <si>
    <t>TC-P2E-070</t>
  </si>
  <si>
    <t>Hospital A's doctor schedules are invisible to Hospital B</t>
  </si>
  <si>
    <t>1) Sign in as the Hospital B administrator 2) Open /settings/doctor-schedules as Hospital B 3) Query doctor_schedules through the API with no hospital filter</t>
  </si>
  <si>
    <t>Not one Hospital A schedule row is returned.</t>
  </si>
  <si>
    <t>Consultant timings reveal where a doctor works and when. Many consultants attend several hospitals, so a leak here exposes a competitor's clinic roster and the doctor's own movements.</t>
  </si>
  <si>
    <t>doctor_schedules queried as the Hospital B admin → zero rows with hospital_id = A</t>
  </si>
  <si>
    <t>TC-P2E-071</t>
  </si>
  <si>
    <t>A receptionist cannot edit doctor schedules</t>
  </si>
  <si>
    <t>1) Log in as receptionist (Hospital A) 2) Navigate directly to /settings/doctor-schedules</t>
  </si>
  <si>
    <t>Reception books into schedules but must not change them. A receptionist extending a clinic to fit one more patient commits the doctor's time without their agreement.</t>
  </si>
  <si>
    <t>TC-P2E-072</t>
  </si>
  <si>
    <t>The Doctor Schedules screen loads with no red console errors</t>
  </si>
  <si>
    <t>1) Open DevTools → Console 2) Open /settings/doctor-schedules 3) Select a doctor and save a session 4) Read the console</t>
  </si>
  <si>
    <t>No red console text from the delete-then-upsert save path.</t>
  </si>
  <si>
    <t>The save deletes existing rows before upserting new ones. If the upsert fails after the delete succeeds, the doctor is left with no schedule and the console is the only place that shows why.</t>
  </si>
  <si>
    <t>TC-P2F-001</t>
  </si>
  <si>
    <t>2F Services, Rates &amp; Money</t>
  </si>
  <si>
    <t>Service Rates screen loads and lists the seeded services</t>
  </si>
  <si>
    <t>1) Log in as hospital_admin (Hospital A) 2) Open /settings/services 3) Read the service list</t>
  </si>
  <si>
    <t>The ten seeded services render — General Consultation through Haemodialysis Session. No red console errors.</t>
  </si>
  <si>
    <t>MOCK_DATA_BOOK Services &amp; rates — the ten seeded rows</t>
  </si>
  <si>
    <t>OPD, IPD, Billing, Lab, Radiology, Pharmacy</t>
  </si>
  <si>
    <t>Every billable event in the hospital resolves its price here. SETTINGS_PREREQ_MATRIX warns that a missing consultation row makes OPD silently bill a hardcoded ₹500 with no warning at all.</t>
  </si>
  <si>
    <t>service_master where hospital_id = A → 10 rows</t>
  </si>
  <si>
    <t>e2e/phase-02-settings/P2F.money.services-payers.spec.ts</t>
  </si>
  <si>
    <t>TC-P2F-002</t>
  </si>
  <si>
    <t>A new service saves with its fee, GST and HSN</t>
  </si>
  <si>
    <t>1) Open /settings/services 2) Add "Dialysis Catheter Insertion" code PROC-DCI, category procedure, fee 4500, GST exempt, HSN 999312 3) Save</t>
  </si>
  <si>
    <t>A service_master row exists with rate 4500.00, gst_percent 0 and hsn_code 999312.</t>
  </si>
  <si>
    <t>MOCK_DATA_BOOK Phase 2 additions — Dialysis Catheter Insertion · PROC-DCI · ₹4,500 · Exempt · HSN 999312</t>
  </si>
  <si>
    <t>Billing, IPD, Day Care</t>
  </si>
  <si>
    <t>This is the complete, correct row that everything else is measured against. If a fully specified service will not save, nothing downstream can bill correctly.</t>
  </si>
  <si>
    <t>service_master where hospital_id = A and code = 'PROC-DCI' → rate = 4500, hsn_code = '999312'</t>
  </si>
  <si>
    <t>TC-P2F-003</t>
  </si>
  <si>
    <t>A service with no HSN code is flagged before it reaches a bill</t>
  </si>
  <si>
    <t>1) Open /settings/services 2) Add "Physiotherapy Session (Home)" code SERV-PHYH, service, fee 800, GST 18%, leaving HSN blank 3) Save 4) Read the screen</t>
  </si>
  <si>
    <t>The screen either refuses the row or marks it as incomplete for GST. It must not present a taxable service with no HSN as fully configured.</t>
  </si>
  <si>
    <t>phase2.invalid.serviceWithoutHsn (Physiotherapy Session (Home) · SERV-PHYH · ₹800 · 18% · HSN blank)</t>
  </si>
  <si>
    <t>Tier 0 complete; hospital GSTIN set</t>
  </si>
  <si>
    <t>Once the hospital GSTIN is set, bill finalisation is HARD-BLOCKED for any line lacking an HSN. A taxable service saved without one looks fine here and then stops a bill being finalised with a patient standing at the counter.</t>
  </si>
  <si>
    <t>service_master where hospital_id = A and code = 'SERV-PHYH' → hsn_code is null and the row is flagged incomplete</t>
  </si>
  <si>
    <t>TC-P2F-004</t>
  </si>
  <si>
    <t>A service cannot be saved without a name</t>
  </si>
  <si>
    <t>1) Open /settings/services 2) Add a service leaving Service Name blank 3) Enter a fee 4) Attempt to save</t>
  </si>
  <si>
    <t>The save is refused and no service_master row is written.</t>
  </si>
  <si>
    <t>None — deliberately omits the required Service Name</t>
  </si>
  <si>
    <t>An unnamed service appears as a blank line on the bill the patient is handed, and on the charge picker the billing clerk selects from.</t>
  </si>
  <si>
    <t>service_master where hospital_id = A and (name is null or name = '') → 0 rows</t>
  </si>
  <si>
    <t>TC-P2F-005</t>
  </si>
  <si>
    <t>A service cannot be saved without a fee</t>
  </si>
  <si>
    <t>1) Open /settings/services 2) Add a service with a name but no Fee 3) Attempt to save</t>
  </si>
  <si>
    <t>The save is refused. No service is created with a null rate.</t>
  </si>
  <si>
    <t>None — deliberately omits the required Fee</t>
  </si>
  <si>
    <t>Billing, OPD, IPD</t>
  </si>
  <si>
    <t>A service with no rate bills ₹0 or falls through to a default. Either way the hospital performs the work and collects nothing, and the gap only shows at month-end reconciliation.</t>
  </si>
  <si>
    <t>service_master where hospital_id = A → no row with a null rate</t>
  </si>
  <si>
    <t>TC-P2F-006</t>
  </si>
  <si>
    <t>A non-numeric fee is rejected</t>
  </si>
  <si>
    <t>1) Open /settings/services 2) Add a service with Fee "abc" 3) Attempt to save</t>
  </si>
  <si>
    <t>The save is refused, or the fee is not stored as a value derived from letters.</t>
  </si>
  <si>
    <t>A fee that parses to NaN is stored as null or zero, so the service silently bills nothing while the rate card says it is configured.</t>
  </si>
  <si>
    <t>service_master where hospital_id = A → rate is a valid number on every row</t>
  </si>
  <si>
    <t>TC-P2F-007</t>
  </si>
  <si>
    <t>A negative fee is refused</t>
  </si>
  <si>
    <t>1) Open /settings/services 2) Add a service with Fee -500 3) Attempt to save</t>
  </si>
  <si>
    <t>The save is refused. No service_master row carries a negative rate.</t>
  </si>
  <si>
    <t>Literal fee -500</t>
  </si>
  <si>
    <t>A negative rate credits the patient every time the service is performed, and it inverts the sign of that line in the day-closure total without anyone noticing.</t>
  </si>
  <si>
    <t>service_master where hospital_id = A → rate &gt;= 0 on every row</t>
  </si>
  <si>
    <t>TC-P2F-008</t>
  </si>
  <si>
    <t>A zero fee is stored deliberately, not as unset</t>
  </si>
  <si>
    <t>1) Open /settings/services 2) Add a service with Fee 0 3) Save 4) Check the stored value</t>
  </si>
  <si>
    <t>The rate stores as 0.00, meaning genuinely free — distinct from null meaning not configured.</t>
  </si>
  <si>
    <t>MOCK_DATA_BOOK Doctors — Dr. Suresh Menon follow-up ₹0</t>
  </si>
  <si>
    <t>Billing, OPD</t>
  </si>
  <si>
    <t>Free follow-ups and waived services are real. If zero collapses into null the service falls through the precedence chain and the patient is charged for something the hospital promised free.</t>
  </si>
  <si>
    <t>service_master where hospital_id = A → the zero-rate row has rate = 0, not null</t>
  </si>
  <si>
    <t>TC-P2F-009</t>
  </si>
  <si>
    <t>A fee stores to two decimal places</t>
  </si>
  <si>
    <t>1) Open /settings/services 2) Add a service with Fee 1234.56 3) Save 4) Check the stored value</t>
  </si>
  <si>
    <t>The rate stores as 1234.56 exactly — numeric(12,2), not a rounded or floating-point approximation.</t>
  </si>
  <si>
    <t>Literal fee 1234.56</t>
  </si>
  <si>
    <t>Billing, Accounts, GST</t>
  </si>
  <si>
    <t>All monetary values must be numeric(12,2). A JavaScript float introduces rounding that compounds across a multi-line bill and never reconciles against the GST return.</t>
  </si>
  <si>
    <t>service_master where hospital_id = A → the row stores rate = 1234.56</t>
  </si>
  <si>
    <t>TC-P2F-010</t>
  </si>
  <si>
    <t>A duplicate service code is rejected</t>
  </si>
  <si>
    <t>1) Open /settings/services 2) Create PROC-DCI 3) Create a second service with the same code 4) Count the rows</t>
  </si>
  <si>
    <t>Only one service_master row carries PROC-DCI for Hospital A.</t>
  </si>
  <si>
    <t>phase2.invalid — duplicate service code PROC-DCI</t>
  </si>
  <si>
    <t>The code is how a charge is matched to a rate. Two rows sharing one means the price depends on which the query returns first, so the same procedure bills differently on different days.</t>
  </si>
  <si>
    <t>service_master where hospital_id = A and code = 'PROC-DCI' → exactly 1 row</t>
  </si>
  <si>
    <t>TC-P2F-011</t>
  </si>
  <si>
    <t>Service category "consultation" saves and survives a reload</t>
  </si>
  <si>
    <t>1) Open /settings/services 2) Add a service in category "consultation" with a fee 3) Save 4) Reload and re-open the service</t>
  </si>
  <si>
    <t>service_master.category = 'consultation' and the category still reads "consultation" after the reload.</t>
  </si>
  <si>
    <t>MOCK_DATA_BOOK Services &amp; rates — the "consultation" rows</t>
  </si>
  <si>
    <t>Category decides where a charge appears on the bill and which GST treatment applies. Each is tested separately because one failing to persist mis-groups every service of that kind. This one covers the OPD fee every walk-in pays — the one that silently falls back to ₹500.</t>
  </si>
  <si>
    <t>service_master where hospital_id = A → category = 'consultation' on the new row</t>
  </si>
  <si>
    <t>TC-P2F-012</t>
  </si>
  <si>
    <t>Service category "procedure" saves and survives a reload</t>
  </si>
  <si>
    <t>1) Open /settings/services 2) Add a service in category "procedure" with a fee 3) Save 4) Reload and re-open the service</t>
  </si>
  <si>
    <t>service_master.category = 'procedure' and the category still reads "procedure" after the reload.</t>
  </si>
  <si>
    <t>MOCK_DATA_BOOK Services &amp; rates — the "procedure" rows</t>
  </si>
  <si>
    <t>Category decides where a charge appears on the bill and which GST treatment applies. Each is tested separately because one failing to persist mis-groups every service of that kind. This one covers dressings, nebulisation and dialysis, billed per event on top of the room charge.</t>
  </si>
  <si>
    <t>service_master where hospital_id = A → category = 'procedure' on the new row</t>
  </si>
  <si>
    <t>TC-P2F-013</t>
  </si>
  <si>
    <t>Service category "service" saves and survives a reload</t>
  </si>
  <si>
    <t>1) Open /settings/services 2) Add a service in category "service" with a fee 3) Save 4) Reload and re-open the service</t>
  </si>
  <si>
    <t>service_master.category = 'service' and the category still reads "service" after the reload.</t>
  </si>
  <si>
    <t>MOCK_DATA_BOOK Services &amp; rates — the "service" rows</t>
  </si>
  <si>
    <t>Category decides where a charge appears on the bill and which GST treatment applies. Each is tested separately because one failing to persist mis-groups every service of that kind. This one covers ambulance, meals and record copies — the taxable lines on an otherwise exempt bill.</t>
  </si>
  <si>
    <t>service_master where hospital_id = A → category = 'service' on the new row</t>
  </si>
  <si>
    <t>TC-P2F-014</t>
  </si>
  <si>
    <t>Service category "surgery" saves and survives a reload</t>
  </si>
  <si>
    <t>1) Open /settings/services 2) Add a service in category "surgery" with a fee 3) Save 4) Reload and re-open the service</t>
  </si>
  <si>
    <t>service_master.category = 'surgery' and the category still reads "surgery" after the reload.</t>
  </si>
  <si>
    <t>MOCK_DATA_BOOK Services &amp; rates — the "surgery" rows</t>
  </si>
  <si>
    <t>Category decides where a charge appears on the bill and which GST treatment applies. Each is tested separately because one failing to persist mis-groups every service of that kind. This one covers the highest-value single line on any bill, and the one a TPA scrutinises first.</t>
  </si>
  <si>
    <t>service_master where hospital_id = A → category = 'surgery' on the new row</t>
  </si>
  <si>
    <t>TC-P2F-015</t>
  </si>
  <si>
    <t>A GST percent below zero is refused</t>
  </si>
  <si>
    <t>1) Open /settings/services 2) Add a service with GST percent -5 3) Attempt to save</t>
  </si>
  <si>
    <t>The save is refused. No service_master row carries a negative gst_percent.</t>
  </si>
  <si>
    <t>phase2.invalid.gstPercentNegative (-5)</t>
  </si>
  <si>
    <t>A negative GST rate produces a negative tax line, which reduces the hospital's output tax on the return. That is an understated liability and a filing the department will query.</t>
  </si>
  <si>
    <t>service_master where hospital_id = A → gst_percent &gt;= 0 on every row</t>
  </si>
  <si>
    <t>TC-P2F-016</t>
  </si>
  <si>
    <t>A GST percent above 100 is refused</t>
  </si>
  <si>
    <t>1) Open /settings/services 2) Add a service with GST percent 101 3) Attempt to save</t>
  </si>
  <si>
    <t>The save is refused. No service_master row carries a gst_percent above 100.</t>
  </si>
  <si>
    <t>phase2.invalid.gstPercentOver100 (101)</t>
  </si>
  <si>
    <t>A rate above 100% makes the tax exceed the service value. The bill total becomes nonsense and the patient is asked to pay more tax than the treatment cost.</t>
  </si>
  <si>
    <t>service_master where hospital_id = A → gst_percent &lt;= 100 on every row</t>
  </si>
  <si>
    <t>TC-P2F-017</t>
  </si>
  <si>
    <t>The real Indian GST rates are all accepted</t>
  </si>
  <si>
    <t>1) Open /settings/services 2) Save services at GST 0, 5, 12 and 18 percent 3) Check each stored value</t>
  </si>
  <si>
    <t>All four rates store exactly. None is rounded, rejected or coerced.</t>
  </si>
  <si>
    <t>MOCK_DATA_BOOK Services &amp; rates — Exempt, 5%, 12% and 18% rows</t>
  </si>
  <si>
    <t>The seeded services deliberately mix exempt clinical services with taxable ambulance, meals and record copies. A validation rule that rejects a legitimate slab makes those services unbillable.</t>
  </si>
  <si>
    <t>service_master where hospital_id = A → gst_percent in (0, 5, 12, 18) all persist</t>
  </si>
  <si>
    <t>TC-P2F-018</t>
  </si>
  <si>
    <t>A two-digit HSN code is refused</t>
  </si>
  <si>
    <t>1) Open /settings/services 2) Add a service with HSN "99" 3) Attempt to save</t>
  </si>
  <si>
    <t>The save is refused with a message naming the valid HSN lengths — 4, 6 or 8 digits.</t>
  </si>
  <si>
    <t>phase2.invalid.hsnTooShort (99)</t>
  </si>
  <si>
    <t>An HSN of the wrong length is rejected by the NIC IRP at e-invoice generation, days after it was entered, with an error that points at the invoice rather than at this screen.</t>
  </si>
  <si>
    <t>service_master where hospital_id = A → no row with hsn_code = '99'</t>
  </si>
  <si>
    <t>TC-P2F-019</t>
  </si>
  <si>
    <t>Valid HSN lengths of 4, 6 and 8 digits are accepted</t>
  </si>
  <si>
    <t>1) Open /settings/services 2) Save services with HSN 9993, 999312 and 99931200 3) Check each stored value</t>
  </si>
  <si>
    <t>All three lengths are accepted and stored exactly.</t>
  </si>
  <si>
    <t>MOCK_DATA_BOOK Services &amp; rates — HSN 999312, 996423, 998599</t>
  </si>
  <si>
    <t>HSN is legitimately 4, 6 or 8 digits depending on turnover. A rule that only accepts one length blocks a hospital from entering its own correct codes.</t>
  </si>
  <si>
    <t>service_master where hospital_id = A → 4, 6 and 8 digit HSN codes all persist</t>
  </si>
  <si>
    <t>TC-P2F-020</t>
  </si>
  <si>
    <t>Editing a service rate persists the new value</t>
  </si>
  <si>
    <t>1) Open /settings/services 2) Edit PROC-DCI 3) Change the fee from 4500 to 5200 4) Save 5) Reload</t>
  </si>
  <si>
    <t>service_master.rate = 5200.00 after the reload.</t>
  </si>
  <si>
    <t>phase2.edit.serviceRate (4500 → 5200)</t>
  </si>
  <si>
    <t>Billing, IPD</t>
  </si>
  <si>
    <t>Rate cards are revised annually. An edit that toasts success without persisting means the hospital bills last year's price for a full year.</t>
  </si>
  <si>
    <t>service_master where hospital_id = A and code = 'PROC-DCI' → rate = 5200</t>
  </si>
  <si>
    <t>TC-P2F-021</t>
  </si>
  <si>
    <t>A rate change applies to new charges only, not to charges already raised</t>
  </si>
  <si>
    <t>1) Raise a charge for PROC-DCI at ₹4,500 2) Open /settings/services and change the rate to ₹5,200 3) Raise a second charge 4) Compare both</t>
  </si>
  <si>
    <t>The first charge remains at ₹4,500; only the second uses ₹5,200.</t>
  </si>
  <si>
    <t>Billing, IPD, OPD</t>
  </si>
  <si>
    <t>Tier 0 complete; a charge must exist before the rate is edited</t>
  </si>
  <si>
    <t>Retro-repricing a charge already on a patient's bill changes a figure they may have been quoted or a TPA may have pre-authorised. It is an argument at the discharge counter and an invalidated estimate.</t>
  </si>
  <si>
    <t>the existing charge row → unit rate stays 4500 after the master rate changes</t>
  </si>
  <si>
    <t>TC-P2F-022</t>
  </si>
  <si>
    <t>A consultation service prevents the hardcoded ₹500 fallback</t>
  </si>
  <si>
    <t>1) Open /settings/services and confirm a consultation row exists with its fee 2) Open /opd and create a consultation 3) Read the charge raised</t>
  </si>
  <si>
    <t>The consultation bills the configured fee, not ₹500.</t>
  </si>
  <si>
    <t>MOCK_DATA_BOOK Services &amp; rates — General Consultation ₹500, Specialist Consultation ₹800</t>
  </si>
  <si>
    <t>SETTINGS_PREREQ_MATRIX names this as the headline silent failure: with no consultation row the app bills a hardcoded ₹500 with no warning. The specialist consultation at ₹800 is what makes the fallback detectable — if it bills ₹500, the lookup missed.</t>
  </si>
  <si>
    <t>service_master where hospital_id = A and code = 'CONS-SPL' → rate = 800, and the OPD charge matches</t>
  </si>
  <si>
    <t>TC-P2F-023</t>
  </si>
  <si>
    <t>Service rates render in en-IN grouping with the rupee symbol</t>
  </si>
  <si>
    <t>1) Open /settings/services 2) Locate Hernia Repair (Open) at ₹35,000 3) Read the rate as displayed</t>
  </si>
  <si>
    <t>The rate renders as ₹35,000.00 with Indian grouping.</t>
  </si>
  <si>
    <t>MOCK_DATA_BOOK Services &amp; rates — Hernia Repair (Open) ₹35,000</t>
  </si>
  <si>
    <t>This is the rate card a billing clerk reads aloud to a patient. A number without the rupee symbol or with the wrong comma position is misread at the counter.</t>
  </si>
  <si>
    <t>service_master where hospital_id = A and code = 'SURG-HERN' → rate = 35000 rendered as ₹35,000.00</t>
  </si>
  <si>
    <t>TC-P2F-024</t>
  </si>
  <si>
    <t>A service rate can be set per bed category</t>
  </si>
  <si>
    <t>1) Open /settings/services 2) Set a service_rates entry for a service by bed category 3) Save</t>
  </si>
  <si>
    <t>A service_rates row exists carrying the bed category and its rate.</t>
  </si>
  <si>
    <t>MOCK_DATA_BOOK Services &amp; rates — dialysis and physio by bed category</t>
  </si>
  <si>
    <t>SETTINGS_PREREQ_MATRIX warns of ₹0 leakage on dialysis, physio and ambulance when service_rates carries no bed_category. It is also the second link in the room-charge precedence chain after wards.rate_per_day.</t>
  </si>
  <si>
    <t>service_rates where hospital_id = A → a row exists with a bed_category and a rate</t>
  </si>
  <si>
    <t>TC-P2F-025</t>
  </si>
  <si>
    <t>A payer-specific tariff can be set for a service</t>
  </si>
  <si>
    <t>1) Open /settings/services 2) Open the payer rates section 3) Set a different rate for a TPA 4) Save</t>
  </si>
  <si>
    <t>The payer-specific rate is stored and a "Payer rates saved" confirmation appears.</t>
  </si>
  <si>
    <t>MOCK_DATA_BOOK Payers &amp; TPAs — Star Health Insurance</t>
  </si>
  <si>
    <t>Tier 0 complete; payer masters configured</t>
  </si>
  <si>
    <t>TPAs negotiate their own tariff. Billing an insured patient at the cash rate produces a claim deduction the hospital absorbs, on every single admission under that panel.</t>
  </si>
  <si>
    <t>service_rates where hospital_id = A → a payer-scoped rate row exists</t>
  </si>
  <si>
    <t>TC-P2F-026</t>
  </si>
  <si>
    <t>Consultation fees can be applied in bulk across doctors</t>
  </si>
  <si>
    <t>1) Open /settings/services 2) Use the bulk consultation-fee action 3) Confirm 4) Read the toast</t>
  </si>
  <si>
    <t>A "Consultation fees applied" confirmation appears and the affected service_master rows carry the new fee.</t>
  </si>
  <si>
    <t>MOCK_DATA_BOOK Doctors — the three seeded consultation fees</t>
  </si>
  <si>
    <t>OPD, Billing, HR</t>
  </si>
  <si>
    <t>A hospital revising consultation fees does it for every doctor at once. Doing it one at a time across a hundred consultants guarantees some are missed and quietly keep the old price.</t>
  </si>
  <si>
    <t>service_master where hospital_id = A and category = consultation → fees updated in bulk</t>
  </si>
  <si>
    <t>TC-P2F-027</t>
  </si>
  <si>
    <t>A health package saves with its rate</t>
  </si>
  <si>
    <t>1) Open /settings/services 2) Open the health packages section 3) Create Master Health Checkup at ₹3,500 4) Save</t>
  </si>
  <si>
    <t>A health_packages row exists with rate 3500.00.</t>
  </si>
  <si>
    <t>MOCK_DATA_BOOK Health package — Master Health Checkup ₹3,500</t>
  </si>
  <si>
    <t>Billing, Lab, Radiology, OPD</t>
  </si>
  <si>
    <t>SETTINGS_PREREQ_MATRIX notes that without health_packages the estimate step is empty. A package is also priced below the sum of its parts, so the package rate must win or the hospital over-charges.</t>
  </si>
  <si>
    <t>health_packages where hospital_id = A and name = 'Master Health Checkup' → rate = 3500</t>
  </si>
  <si>
    <t>TC-P2F-028</t>
  </si>
  <si>
    <t>A service can be deactivated without being deleted</t>
  </si>
  <si>
    <t>1) Open /settings/services 2) Deactivate PROC-DCI 3) Reload</t>
  </si>
  <si>
    <t>The service is marked inactive and the row still exists.</t>
  </si>
  <si>
    <t>MOCK_DATA_BOOK Phase 2 additions — Dialysis Catheter Insertion</t>
  </si>
  <si>
    <t>A discontinued service must stop appearing on the charge picker while every historical bill that used it keeps resolving its name and price. Deleting would leave old bills referencing nothing.</t>
  </si>
  <si>
    <t>service_master where hospital_id = A and code = 'PROC-DCI' → is_active = false, row present</t>
  </si>
  <si>
    <t>TC-P2F-029</t>
  </si>
  <si>
    <t>A deactivated service no longer appears on the charge picker</t>
  </si>
  <si>
    <t>1) Deactivate PROC-DCI under /settings/services 2) Open the billing charge picker 3) Search for it</t>
  </si>
  <si>
    <t>The deactivated service is not offered for new charges.</t>
  </si>
  <si>
    <t>MOCK_DATA_BOOK Phase 2 additions — Dialysis Catheter Insertion, deactivated</t>
  </si>
  <si>
    <t>A discontinued service still on the picker gets charged by a clerk who does not know it was withdrawn, and the hospital bills for something it no longer provides.</t>
  </si>
  <si>
    <t>service_master → inactive rows are absent from the billing charge picker</t>
  </si>
  <si>
    <t>TC-P2F-030</t>
  </si>
  <si>
    <t>A saved service survives a hard reload</t>
  </si>
  <si>
    <t>1) Open /settings/services 2) Create PROC-DCI 3) Hard-reload 4) Locate the service</t>
  </si>
  <si>
    <t>The service is still listed with its fee, GST and HSN intact.</t>
  </si>
  <si>
    <t>Four screens in this phase showed a green toast and wrote nothing. On the rate card, a false save means every charge for that service falls back to a default nobody chose.</t>
  </si>
  <si>
    <t>service_master where hospital_id = A and code = 'PROC-DCI' → 1 row</t>
  </si>
  <si>
    <t>TC-P2F-031</t>
  </si>
  <si>
    <t>Hospital A's service rates are invisible to Hospital B</t>
  </si>
  <si>
    <t>1) Sign in as the Hospital B administrator 2) Open /settings/services as Hospital B 3) Query service_master through the API with no hospital filter</t>
  </si>
  <si>
    <t>Not one Hospital A service row is returned.</t>
  </si>
  <si>
    <t>Multi-tenancy, Billing</t>
  </si>
  <si>
    <t>A rate card is the most commercially sensitive table a hospital owns. Leaking it to another hospital in the same city hands over its entire pricing strategy.</t>
  </si>
  <si>
    <t>service_master queried as the Hospital B admin → zero rows with hospital_id = A</t>
  </si>
  <si>
    <t>TC-P2F-032</t>
  </si>
  <si>
    <t>A receptionist cannot reach the Service Rates screen</t>
  </si>
  <si>
    <t>1) Log in as receptionist (Hospital A) 2) Navigate directly to /settings/services</t>
  </si>
  <si>
    <t>Reception raises charges but must not set what they cost. Separating the two is the most basic revenue control a hospital has, and this screen is where prices live.</t>
  </si>
  <si>
    <t>TC-P2F-033</t>
  </si>
  <si>
    <t>A doctor cannot edit service rates</t>
  </si>
  <si>
    <t>1) Log in as doctor (Hospital A) 2) Navigate directly to /settings/services</t>
  </si>
  <si>
    <t>The route is blocked, or rates are read-only with no save control.</t>
  </si>
  <si>
    <t>A doctor able to change their own consultation fee is a conflict of interest with no approval trail, and it is invisible in the billing audit because the rate simply reads as configured.</t>
  </si>
  <si>
    <t>TC-P2F-034</t>
  </si>
  <si>
    <t>The Service Rates screen loads with no red console errors</t>
  </si>
  <si>
    <t>1) Open DevTools → Console 2) Open /settings/services 3) Create and edit a service 4) Read the console</t>
  </si>
  <si>
    <t>No red console text from the service_master, service_rates or wards writes.</t>
  </si>
  <si>
    <t>This screen writes to four tables including wards and service_rates. A failure on one of them can leave the rate card half-updated with the UI reporting success.</t>
  </si>
  <si>
    <t>TC-P2F-035</t>
  </si>
  <si>
    <t>Payer Masters screen loads and lists the seeded payers</t>
  </si>
  <si>
    <t>1) Open /settings/payer-masters 2) Read the payer list</t>
  </si>
  <si>
    <t>The eight seeded payers render — Self Pay through Infosys Corporate Panel. No red console errors.</t>
  </si>
  <si>
    <t>MOCK_DATA_BOOK Payers &amp; TPAs — the eight seeded rows</t>
  </si>
  <si>
    <t>Insurance, Billing, IPD, PMJAY</t>
  </si>
  <si>
    <t>SETTINGS_PREREQ_MATRIX warns that with no payer_masters there is no insurance selection at admission, so every insured patient is admitted as cash and the claim is never raised.</t>
  </si>
  <si>
    <t>payer_masters where hospital_id = A → 8 rows</t>
  </si>
  <si>
    <t>TC-P2F-036</t>
  </si>
  <si>
    <t>A new payer saves with its ceiling, co-pay and deductible</t>
  </si>
  <si>
    <t>1) Open /settings/payer-masters 2) Add "Niva Bupa Health" as tpa with ceiling 4500, co-pay 15% and deductible 2000 3) Save</t>
  </si>
  <si>
    <t>A payer_masters row exists with those exact values.</t>
  </si>
  <si>
    <t>MOCK_DATA_BOOK Phase 2 additions — Niva Bupa Health · tpa · ceiling ₹4,500/day · co-pay 15% · deductible ₹2,000</t>
  </si>
  <si>
    <t>Insurance, Billing, IPD</t>
  </si>
  <si>
    <t>These three numbers decide how a claim is split between insurer and patient. A wrong ceiling or co-pay is a deduction the hospital absorbs, or a patient billed for money the insurer owed.</t>
  </si>
  <si>
    <t>payer_masters where hospital_id = A and name = 'Niva Bupa Health' → co-pay 15, deductible 2000</t>
  </si>
  <si>
    <t>TC-P2F-037</t>
  </si>
  <si>
    <t>Payer type "self" saves and survives a reload</t>
  </si>
  <si>
    <t>1) Open /settings/payer-masters 2) Add a payer of type "self" (e.g. Self Pay / Cash) 3) Save 4) Reload and re-open the payer</t>
  </si>
  <si>
    <t>payer_masters.payer_type = 'self' and the type still reads "self" after the reload.</t>
  </si>
  <si>
    <t>MOCK_DATA_BOOK Payers &amp; TPAs — Self Pay / Cash</t>
  </si>
  <si>
    <t>Insurance, Billing, PMJAY</t>
  </si>
  <si>
    <t>Payer type decides the entire billing path — tariff rates, package rates, ceilings or monthly invoicing. Each is tested separately because one mis-stored type routes every patient under it down the wrong billing route. This one covers the default every uncategorised patient falls to.</t>
  </si>
  <si>
    <t>payer_masters where hospital_id = A → payer_type = 'self' on the new row</t>
  </si>
  <si>
    <t>TC-P2F-038</t>
  </si>
  <si>
    <t>Payer type "tpa" saves and survives a reload</t>
  </si>
  <si>
    <t>1) Open /settings/payer-masters 2) Add a payer of type "tpa" (e.g. Star Health Insurance) 3) Save 4) Reload and re-open the payer</t>
  </si>
  <si>
    <t>payer_masters.payer_type = 'tpa' and the type still reads "tpa" after the reload.</t>
  </si>
  <si>
    <t>Payer type decides the entire billing path — tariff rates, package rates, ceilings or monthly invoicing. Each is tested separately because one mis-stored type routes every patient under it down the wrong billing route. This one covers private insurance, where the room-rent ceiling and co-pay are applied.</t>
  </si>
  <si>
    <t>payer_masters where hospital_id = A → payer_type = 'tpa' on the new row</t>
  </si>
  <si>
    <t>TC-P2F-039</t>
  </si>
  <si>
    <t>Payer type "govt" saves and survives a reload</t>
  </si>
  <si>
    <t>1) Open /settings/payer-masters 2) Add a payer of type "govt" (e.g. PMJAY / Ayushman Bharat) 3) Save 4) Reload and re-open the payer</t>
  </si>
  <si>
    <t>payer_masters.payer_type = 'govt' and the type still reads "govt" after the reload.</t>
  </si>
  <si>
    <t>MOCK_DATA_BOOK Payers &amp; TPAs — PMJAY / Ayushman Bharat</t>
  </si>
  <si>
    <t>Payer type decides the entire billing path — tariff rates, package rates, ceilings or monthly invoicing. Each is tested separately because one mis-stored type routes every patient under it down the wrong billing route. This one covers government schemes billed at package rates, not tariff.</t>
  </si>
  <si>
    <t>payer_masters where hospital_id = A → payer_type = 'govt' on the new row</t>
  </si>
  <si>
    <t>TC-P2F-040</t>
  </si>
  <si>
    <t>Payer type "corporate" saves and survives a reload</t>
  </si>
  <si>
    <t>1) Open /settings/payer-masters 2) Add a payer of type "corporate" (e.g. Infosys Corporate Panel) 3) Save 4) Reload and re-open the payer</t>
  </si>
  <si>
    <t>payer_masters.payer_type = 'corporate' and the type still reads "corporate" after the reload.</t>
  </si>
  <si>
    <t>MOCK_DATA_BOOK Payers &amp; TPAs — Infosys Corporate Panel</t>
  </si>
  <si>
    <t>Payer type decides the entire billing path — tariff rates, package rates, ceilings or monthly invoicing. Each is tested separately because one mis-stored type routes every patient under it down the wrong billing route. This one covers employer panels invoiced monthly rather than at discharge.</t>
  </si>
  <si>
    <t>payer_masters where hospital_id = A → payer_type = 'corporate' on the new row</t>
  </si>
  <si>
    <t>TC-P2F-041</t>
  </si>
  <si>
    <t>A payer cannot be saved without a name</t>
  </si>
  <si>
    <t>1) Open /settings/payer-masters 2) Add a payer leaving Payer Name blank 3) Attempt to save</t>
  </si>
  <si>
    <t>The save is refused and no payer_masters row is written.</t>
  </si>
  <si>
    <t>None — deliberately omits the required Payer Name</t>
  </si>
  <si>
    <t>An unnamed payer appears as a blank option at admission, so the clerk selects it by accident and the claim is raised against nobody.</t>
  </si>
  <si>
    <t>payer_masters where hospital_id = A and (name is null or name = '') → 0 rows</t>
  </si>
  <si>
    <t>TC-P2F-042</t>
  </si>
  <si>
    <t>A payer cannot be saved without a payer type</t>
  </si>
  <si>
    <t>1) Open /settings/payer-masters 2) Add a payer with a name but no Payer Type 3) Attempt to save</t>
  </si>
  <si>
    <t>The save is refused and no row is written.</t>
  </si>
  <si>
    <t>None — deliberately omits the required Payer Type</t>
  </si>
  <si>
    <t>Without a type the billing engine cannot tell whether to apply tariff rates, package rates or a ceiling. It falls back to cash, and the insured admission is billed to the patient.</t>
  </si>
  <si>
    <t>payer_masters where hospital_id = A → payer_type is set on every row</t>
  </si>
  <si>
    <t>TC-P2F-043</t>
  </si>
  <si>
    <t>A co-pay above 100 percent is refused</t>
  </si>
  <si>
    <t>1) Open /settings/payer-masters 2) Add a payer with co-pay 120% 3) Attempt to save</t>
  </si>
  <si>
    <t>The save is refused. No payer_masters row carries a co-pay above 100.</t>
  </si>
  <si>
    <t>phase2.invalid.discountThresholdOver100 (120)</t>
  </si>
  <si>
    <t>A co-pay over 100% means the patient pays more than the bill and the insurer contributes a negative amount. Every claim under that payer produces a nonsensical settlement.</t>
  </si>
  <si>
    <t>payer_masters where hospital_id = A → co_payment_value &lt;= 100 on every row</t>
  </si>
  <si>
    <t>TC-P2F-044</t>
  </si>
  <si>
    <t>A zero co-pay is stored deliberately</t>
  </si>
  <si>
    <t>1) Open /settings/payer-masters 2) Add HDFC ERGO with co-pay 0 3) Save 4) Check the stored value</t>
  </si>
  <si>
    <t>The co-pay stores as 0, meaning the insurer pays in full — distinct from null meaning unconfigured.</t>
  </si>
  <si>
    <t>MOCK_DATA_BOOK Payers &amp; TPAs — HDFC ERGO, co-pay 0%</t>
  </si>
  <si>
    <t>HDFC ERGO is seeded at 0% co-pay deliberately, as the contrast to Star Health at 10% and Medi Assist at 20%. If zero collapses into null the patient is charged a co-pay their policy does not carry.</t>
  </si>
  <si>
    <t>payer_masters where hospital_id = A and name = 'HDFC ERGO' → co_payment_value = 0, not null</t>
  </si>
  <si>
    <t>TC-P2F-045</t>
  </si>
  <si>
    <t>A room-rent ceiling below the room rate is stored for proportionate deduction</t>
  </si>
  <si>
    <t>1) Open /settings/payer-masters 2) Confirm HDFC ERGO carries a ₹4,000/day ceiling 3) Confirm Private Room is ₹6,000/day under /settings/wards</t>
  </si>
  <si>
    <t>The ceiling stores at 4000 against a ₹6,000 room, so a proportionate deduction is computable.</t>
  </si>
  <si>
    <t>MOCK_DATA_BOOK Payers — HDFC ERGO ₹4,000/day ceiling; Wards — Private Room ₹6,000/day</t>
  </si>
  <si>
    <t>Insurance, IPD, Billing</t>
  </si>
  <si>
    <t>Tier 0 complete; wards configured with rates</t>
  </si>
  <si>
    <t>MOCK_DATA_BOOK calls this scenario P9-S07 out by name: get the proportionate deduction wrong and it is a real argument with a real patient at the discharge counter.</t>
  </si>
  <si>
    <t>payer_masters where hospital_id = A and name = 'HDFC ERGO' → room ceiling = 4000</t>
  </si>
  <si>
    <t>TC-P2F-046</t>
  </si>
  <si>
    <t>A payer with no ceiling is stored as unlimited, not as zero</t>
  </si>
  <si>
    <t>1) Open /settings/payer-masters 2) Open Self Pay / Cash 3) Read the room ceiling</t>
  </si>
  <si>
    <t>The ceiling is null, meaning no limit — never 0, which would cap every room charge at nothing.</t>
  </si>
  <si>
    <t>MOCK_DATA_BOOK Payers &amp; TPAs — Self Pay / Cash, no ceiling</t>
  </si>
  <si>
    <t>A null ceiling meaning "unlimited" and a zero ceiling meaning "nothing allowed" are opposites. Confusing them would deduct the entire room charge from every cash patient's bill.</t>
  </si>
  <si>
    <t>payer_masters where hospital_id = A and name = 'Self Pay / Cash' → room ceiling is null</t>
  </si>
  <si>
    <t>TC-P2F-047</t>
  </si>
  <si>
    <t>A deductible saves</t>
  </si>
  <si>
    <t>1) Open /settings/payer-masters 2) Set a deductible of ₹5,000 on HDFC ERGO 3) Save 4) Reload</t>
  </si>
  <si>
    <t>The deductible persists at 5000 after the reload.</t>
  </si>
  <si>
    <t>MOCK_DATA_BOOK Payers &amp; TPAs — HDFC ERGO deductible ₹5,000</t>
  </si>
  <si>
    <t>The deductible is the first slice the patient always pays. Unset, the hospital bills the insurer for it, the claim is short-settled, and the shortfall is discovered weeks later.</t>
  </si>
  <si>
    <t>payer_masters where hospital_id = A and name = 'HDFC ERGO' → deductible = 5000</t>
  </si>
  <si>
    <t>TC-P2F-048</t>
  </si>
  <si>
    <t>Contact person and phone save against a payer</t>
  </si>
  <si>
    <t>1) Open /settings/payer-masters 2) Enter a TPA coordinator name and phone 3) Save 4) Reload</t>
  </si>
  <si>
    <t>Both persist after the reload.</t>
  </si>
  <si>
    <t>Literal TPA coordinator contact with a 10-digit phone</t>
  </si>
  <si>
    <t>A pre-authorisation query has to reach a named person at the TPA within hours. Without a contact the insurance desk hunts for a number while the patient waits for approval.</t>
  </si>
  <si>
    <t>payer_masters where hospital_id = A → contact person and phone recorded</t>
  </si>
  <si>
    <t>TC-P2F-049</t>
  </si>
  <si>
    <t>A malformed payer contact phone is rejected</t>
  </si>
  <si>
    <t>1) Open /settings/payer-masters 2) Enter Contact Phone "987650000" (9 digits) 3) Attempt to save</t>
  </si>
  <si>
    <t>A short number cannot be dialled. The insurance desk discovers it only when a pre-authorisation is already delayed and a patient is waiting on the decision.</t>
  </si>
  <si>
    <t>payer_masters where hospital_id = A → no row with a 9-digit contact phone</t>
  </si>
  <si>
    <t>TC-P2F-050</t>
  </si>
  <si>
    <t>The credit limit and payment terms save for a corporate panel</t>
  </si>
  <si>
    <t>1) Open /settings/payer-masters 2) Open Infosys Corporate Panel 3) Set Credit Limit 500000 and Payment Terms 30 days 4) Save</t>
  </si>
  <si>
    <t>Both values persist after a reload.</t>
  </si>
  <si>
    <t>Insurance, Accounts, Billing</t>
  </si>
  <si>
    <t>Corporate panels are invoiced monthly against a credit limit. Without the limit the hospital extends unlimited credit, and Indian corporate receivables already run at 60 days.</t>
  </si>
  <si>
    <t>payer_masters where hospital_id = A and name = 'Infosys Corporate Panel' → credit limit and terms recorded</t>
  </si>
  <si>
    <t>TC-P2F-051</t>
  </si>
  <si>
    <t>Editing a payer co-pay persists the new value</t>
  </si>
  <si>
    <t>1) Open /settings/payer-masters 2) Edit Niva Bupa Health 3) Change the co-pay from 15% to 25% 4) Save 5) Reload</t>
  </si>
  <si>
    <t>payer_masters co-pay = 25 after the reload.</t>
  </si>
  <si>
    <t>phase2.edit.payerCoPayPercent (15 → 25)</t>
  </si>
  <si>
    <t>TPA terms are renegotiated annually. A co-pay edit that does not persist means every claim under that panel is split on last year's terms and short-settled.</t>
  </si>
  <si>
    <t>payer_masters where hospital_id = A and name = 'Niva Bupa Health' → co-pay = 25</t>
  </si>
  <si>
    <t>TC-P2F-052</t>
  </si>
  <si>
    <t>A duplicate payer name is rejected</t>
  </si>
  <si>
    <t>1) Open /settings/payer-masters 2) Create Niva Bupa Health 3) Create it again 4) Count the rows</t>
  </si>
  <si>
    <t>Only one payer_masters row carries that name for Hospital A.</t>
  </si>
  <si>
    <t>phase2.invalid — duplicate payer Niva Bupa Health</t>
  </si>
  <si>
    <t>Two payers with one name split the claim register in half, and the admission clerk cannot tell which to pick. Reporting by payer then double-counts nothing correctly.</t>
  </si>
  <si>
    <t>payer_masters where hospital_id = A and name = 'Niva Bupa Health' → exactly 1 row</t>
  </si>
  <si>
    <t>TC-P2F-053</t>
  </si>
  <si>
    <t>A saved payer survives a hard reload</t>
  </si>
  <si>
    <t>1) Open /settings/payer-masters 2) Create Niva Bupa Health 3) Hard-reload 4) Locate the payer</t>
  </si>
  <si>
    <t>The payer is still listed with its ceiling, co-pay and deductible intact.</t>
  </si>
  <si>
    <t>MOCK_DATA_BOOK Phase 2 additions — Niva Bupa Health</t>
  </si>
  <si>
    <t xml:space="preserve">Automated: FAILED.
TimeoutError: locator.click: Timeout 15000ms exceeded.
Call log:
  - waiting for getByRole('button', { name: /save|add/i }).first()
    - locator resolved to &lt;button class="flex items-center gap-1.5 border border-border text-foreground px-4 py-2 rounded-lg text-sm font-medium hover:bg-muted active:scale-[0.97]"&gt;…&lt;/button&gt;
  - attempting click action
    2 × waiting for element to be visible, enabled and stable
      - element is visible, enabled and stable
      - scrolling into view if needed
      - done scrolling
      - &lt;label class="text-[11px] font-medium text-muted-foreground mb-1 block"&gt;Payer Type *&lt;/label&gt; from &lt;div class="fixed right-0 top-0 bottom-0 w-[400px] bg-card border-l border-border z-50 flex flex-col shadow-xl animate-in slide-in-from-right duration-200"&gt;…&lt;/div&gt; subtree intercepts pointer events
    - retrying click action
    - waiting 20ms
    2 × waiting for element
…(truncated)</t>
  </si>
  <si>
    <t>A false save here means the payer is missing at admission, so an insured patient is admitted as cash and the claim window closes before anyone notices.</t>
  </si>
  <si>
    <t>payer_masters where hospital_id = A and name = 'Niva Bupa Health' → 1 row</t>
  </si>
  <si>
    <t>TC-P2F-054</t>
  </si>
  <si>
    <t>Hospital A's payer masters are invisible to Hospital B</t>
  </si>
  <si>
    <t>1) Sign in as the Hospital B administrator 2) Open /settings/payer-masters as Hospital B 3) Query payer_masters through the API with no hospital filter</t>
  </si>
  <si>
    <t>Not one Hospital A payer row is returned.</t>
  </si>
  <si>
    <t>Multi-tenancy, Insurance</t>
  </si>
  <si>
    <t>Negotiated TPA terms are confidential commercial agreements. A hospital seeing a competitor's co-pay and ceiling terms gains a direct negotiating advantage over the same insurer.</t>
  </si>
  <si>
    <t>payer_masters queried as the Hospital B admin → zero rows with hospital_id = A</t>
  </si>
  <si>
    <t>TC-P2F-055</t>
  </si>
  <si>
    <t>A receptionist cannot edit payer masters</t>
  </si>
  <si>
    <t>1) Log in as receptionist (Hospital A) 2) Navigate directly to /settings/payer-masters</t>
  </si>
  <si>
    <t>Reception selects a payer at admission but must not change its terms. Editing a co-pay downward would silently shift cost from the patient to the hospital on every subsequent claim.</t>
  </si>
  <si>
    <t>TC-P2F-056</t>
  </si>
  <si>
    <t>The Payer Masters screen loads with no red console errors</t>
  </si>
  <si>
    <t>1) Open DevTools → Console 2) Open /settings/payer-masters 3) Create and edit a payer 4) Read the console</t>
  </si>
  <si>
    <t>No red console text from the payer_masters read or write.</t>
  </si>
  <si>
    <t>A failed write that only appears in the console leaves the insurance desk believing a panel is configured when it is not, and the failure surfaces at the next admission under that payer.</t>
  </si>
  <si>
    <t>TC-P2F-057</t>
  </si>
  <si>
    <t>GST screen loads with the hospital GSTIN</t>
  </si>
  <si>
    <t>1) Open /settings/gst 2) Read the GSTIN field</t>
  </si>
  <si>
    <t>The GSTIN matches the value on Settings → Hospital Profile. No red console errors.</t>
  </si>
  <si>
    <t>MOCK_DATA_BOOK Hospital A — GSTIN 36AABCA1234F1Z5</t>
  </si>
  <si>
    <t>Tier 0 complete; hospital GSTIN set on the profile</t>
  </si>
  <si>
    <t>The GSTIN appears on two screens. If they can disagree, invoices carry one registration and the e-invoice request another, and the IRP rejects every submission.</t>
  </si>
  <si>
    <t>hospitals where id = A → gstin matches the value shown on /settings/gst</t>
  </si>
  <si>
    <t>e2e/phase-02-settings/P2F.money.gst-approvals-razorpay.spec.ts</t>
  </si>
  <si>
    <t>TC-P2F-058</t>
  </si>
  <si>
    <t>An invalid GSTIN is rejected on the GST screen too</t>
  </si>
  <si>
    <t>1) Open /settings/gst 2) Enter GSTIN "36AAAAA0000A1Z" (14 characters) 3) Save</t>
  </si>
  <si>
    <t>The save is refused with a message naming the expected format.</t>
  </si>
  <si>
    <t>Validation on one screen and not the other lets an invalid GSTIN in through the back door. It then turns on the HSN hard-block and fails at the IRP on the first real invoice.</t>
  </si>
  <si>
    <t>TC-P2F-059</t>
  </si>
  <si>
    <t>The state code matches the GSTIN prefix</t>
  </si>
  <si>
    <t>1) Open /settings/gst 2) Read the State Code and the GSTIN 3) Compare the first two digits</t>
  </si>
  <si>
    <t>The State Code is 36 and the GSTIN begins 36 — both Telangana.</t>
  </si>
  <si>
    <t>MOCK_DATA_BOOK Hospitals — GSTIN state codes 36 Telangana, 27 Maharashtra</t>
  </si>
  <si>
    <t>MOCK_DATA_BOOK sets these codes deliberately so a wrong place-of-supply is detectable. A mismatch produces CGST/SGST where IGST is due, and the return has to be amended.</t>
  </si>
  <si>
    <t>hospitals where id = A → gstin starts with the configured state code</t>
  </si>
  <si>
    <t>TC-P2F-060</t>
  </si>
  <si>
    <t>Legal name and trade name save</t>
  </si>
  <si>
    <t>1) Open /settings/gst 2) Enter a Legal Name and Trade Name 3) Save 4) Reload</t>
  </si>
  <si>
    <t xml:space="preserve">Automated: FAILED.
Error: The legal name on an e-invoice must match the GST registration exactly. A trade name that differs from the registered legal name is a rejection reason at the IRP.
expect(received).toBe(expected) // Object.is equality
Expected: "Aarogya Multispecialty Hospital"
Received: ""</t>
  </si>
  <si>
    <t>The legal name on an e-invoice must match the GST registration exactly. A trade name that differs from the registered legal name is a rejection reason at the IRP.</t>
  </si>
  <si>
    <t>hospitals where id = A → legal and trade name recorded</t>
  </si>
  <si>
    <t>TC-P2F-061</t>
  </si>
  <si>
    <t>The place of supply saves</t>
  </si>
  <si>
    <t>1) Open /settings/gst 2) Set Place of Supply 3) Save 4) Reload</t>
  </si>
  <si>
    <t>The place of supply persists after the reload.</t>
  </si>
  <si>
    <t>MOCK_DATA_BOOK Hospital A — Telangana</t>
  </si>
  <si>
    <t>Place of supply decides the CGST/SGST versus IGST split on every invoice. Wrong, and the hospital pays the right total to the wrong heads, which requires an amended return to correct.</t>
  </si>
  <si>
    <t>hospitals where id = A → place of supply recorded</t>
  </si>
  <si>
    <t>TC-P2F-062</t>
  </si>
  <si>
    <t>The IRP credentials save</t>
  </si>
  <si>
    <t>1) Open /settings/gst 2) Enter IRP Username, Password, Client ID and Client Secret 3) Save 4) Reload</t>
  </si>
  <si>
    <t>The credentials persist and the secret fields are not displayed in plain text after the reload.</t>
  </si>
  <si>
    <t>Literal sandbox IRP credentials — no production secret is used</t>
  </si>
  <si>
    <t xml:space="preserve">Automated: FAILED.
Error: Without IRP credentials no e-invoice can be generated, so bills above the threshold cannot be issued legally.
expect(received).toBe(expected) // Object.is equality
Expected: "qa_irp_user"
Received: ""</t>
  </si>
  <si>
    <t>Without IRP credentials no e-invoice can be generated, so bills above the threshold cannot be issued legally. The secrets must also not be echoed back in plain text on a shared screen.</t>
  </si>
  <si>
    <t>the API configuration row → IRP credentials stored, secrets masked in the UI</t>
  </si>
  <si>
    <t>TC-P2F-063</t>
  </si>
  <si>
    <t>IRP secrets are never rendered in plain text</t>
  </si>
  <si>
    <t>1) Open /settings/gst 2) Enter an IRP password and client secret 3) Save 4) Reload 5) Inspect the fields</t>
  </si>
  <si>
    <t>The stored secrets render masked. The plain value does not appear in the DOM.</t>
  </si>
  <si>
    <t>Literal sandbox IRP credentials</t>
  </si>
  <si>
    <t>GST, Security</t>
  </si>
  <si>
    <t>These credentials authorise invoice generation under the hospital's GST registration. Rendered in plain text on a settings screen, anyone who walks past a logged-in terminal can copy them.</t>
  </si>
  <si>
    <t>None — inspects the rendered field type and DOM content</t>
  </si>
  <si>
    <t>TC-P2F-064</t>
  </si>
  <si>
    <t>The IRP base URL saves</t>
  </si>
  <si>
    <t>1) Open /settings/gst 2) Enter the sandbox base URL 3) Save 4) Reload</t>
  </si>
  <si>
    <t>The base URL persists after the reload.</t>
  </si>
  <si>
    <t>Literal sandbox base URL https://einvoice1-uat.nic.in</t>
  </si>
  <si>
    <t>GST, Billing</t>
  </si>
  <si>
    <t>Pointing at the wrong base URL sends real invoices to the sandbox — they appear to succeed and no legally valid IRN is ever generated.</t>
  </si>
  <si>
    <t>the API configuration row → IRP base URL recorded</t>
  </si>
  <si>
    <t>TC-P2F-065</t>
  </si>
  <si>
    <t>GST mode "Sandbox" saves</t>
  </si>
  <si>
    <t>1) Open /settings/gst 2) Select Mode "Sandbox" 3) Save 4) Reload</t>
  </si>
  <si>
    <t>The mode reads Sandbox after the reload.</t>
  </si>
  <si>
    <t>The Mode options on SettingsGSTPage — Sandbox</t>
  </si>
  <si>
    <t>SETTINGS_PREREQ_MATRIX requires every new API integration to be tested in sandbox first. A mode that will not stay on Sandbox forces testing against the live IRP with real invoice numbers.</t>
  </si>
  <si>
    <t>the API configuration row → mode = sandbox</t>
  </si>
  <si>
    <t>TC-P2F-066</t>
  </si>
  <si>
    <t>GST mode "Production" saves</t>
  </si>
  <si>
    <t>1) Open /settings/gst 2) Select Mode "Production" 3) Save 4) Reload</t>
  </si>
  <si>
    <t>The mode reads Production after the reload.</t>
  </si>
  <si>
    <t>The Mode options on SettingsGSTPage — Production</t>
  </si>
  <si>
    <t>Both modes must round-trip. A hospital stuck in sandbox generates invoices with no legal IRN and does not discover it until the GST return will not reconcile.</t>
  </si>
  <si>
    <t>the API configuration row → mode = production</t>
  </si>
  <si>
    <t>TC-P2F-067</t>
  </si>
  <si>
    <t>Switching to Production warns that live invoices will be generated</t>
  </si>
  <si>
    <t>1) Open /settings/gst 2) Switch Mode from Sandbox to Production 3) Read the screen</t>
  </si>
  <si>
    <t>A warning states that live IRNs will be generated against the hospital's real GST registration.</t>
  </si>
  <si>
    <t>The Mode options on SettingsGSTPage</t>
  </si>
  <si>
    <t>An IRN generated in production cannot be un-issued; it can only be cancelled within 24 hours. Flipping this toggle by accident during configuration creates real tax documents.</t>
  </si>
  <si>
    <t>None — reads the mode-change warning</t>
  </si>
  <si>
    <t>TC-P2F-068</t>
  </si>
  <si>
    <t>Setting the GSTIN turns on the HSN hard-block at bill finalisation</t>
  </si>
  <si>
    <t>1) Set a valid GSTIN under /settings/gst 2) Ensure a service exists with no HSN 3) Attempt to finalise a bill containing that service</t>
  </si>
  <si>
    <t>Finalisation is blocked with a message naming the line that lacks an HSN.</t>
  </si>
  <si>
    <t>phase2.invalid.serviceWithoutHsn (SERV-PHYH, HSN blank)</t>
  </si>
  <si>
    <t>Tier 0 complete; a service without an HSN exists</t>
  </si>
  <si>
    <t>SETTINGS_PREREQ_MATRIX describes this as deliberate. The block is correct, but it must name the offending line — otherwise the billing clerk sees only "cannot finalise" with a patient waiting.</t>
  </si>
  <si>
    <t>service_master rows lacking hsn_code → bill finalisation blocked with a named line</t>
  </si>
  <si>
    <t>TC-P2F-069</t>
  </si>
  <si>
    <t>GST settings survive a hard reload</t>
  </si>
  <si>
    <t>1) Open /settings/gst 2) Save the GSTIN, state code and mode 3) Hard-reload 4) Re-read all three</t>
  </si>
  <si>
    <t>All three values are still shown after the reload.</t>
  </si>
  <si>
    <t>MOCK_DATA_BOOK Hospital A — GSTIN 36AABCA1234F1Z5, state 36</t>
  </si>
  <si>
    <t>A false save here leaves the hospital believing e-invoicing is configured. The failure surfaces at the first invoice above the threshold, which is a legal filing obligation with a deadline.</t>
  </si>
  <si>
    <t>hospitals where id = A → GST configuration persists</t>
  </si>
  <si>
    <t>TC-P2F-070</t>
  </si>
  <si>
    <t>Hospital A's GST configuration is invisible to Hospital B</t>
  </si>
  <si>
    <t>1) Sign in as the Hospital B administrator 2) Open /settings/gst as Hospital B 3) Read the GSTIN</t>
  </si>
  <si>
    <t>Hospital B shows GSTIN 27AABTS5678K1Z9 — its own Maharashtra registration, never Hospital A's.</t>
  </si>
  <si>
    <t>MOCK_DATA_BOOK Hospitals — GSTIN 36 (Telangana) versus 27 (Maharashtra)</t>
  </si>
  <si>
    <t>Multi-tenancy, GST, Billing</t>
  </si>
  <si>
    <t>A GSTIN is a legal tax identity. One hospital raising invoices under another's registration is a tax offence with consequences for both parties.</t>
  </si>
  <si>
    <t>TC-P2F-071</t>
  </si>
  <si>
    <t>A billing executive cannot change the GST configuration</t>
  </si>
  <si>
    <t>1) Log in as billing_executive (Hospital A) 2) Navigate directly to /settings/gst</t>
  </si>
  <si>
    <t>The route is blocked, or the IRP credentials are not rendered.</t>
  </si>
  <si>
    <t>MOCK_DATA_BOOK Staff logins — billing_executive (Hospital A), Mr. Rajesh Gupta</t>
  </si>
  <si>
    <t>GST, Billing, Security</t>
  </si>
  <si>
    <t>Billing staff raise invoices; they must not hold the credentials that authorise invoice generation under the hospital's tax registration. Separating the two is a basic financial control.</t>
  </si>
  <si>
    <t>billing_executive (Hospital A)</t>
  </si>
  <si>
    <t>TC-P2F-072</t>
  </si>
  <si>
    <t>The GST screen loads with no red console errors</t>
  </si>
  <si>
    <t>1) Open DevTools → Console 2) Open /settings/gst 3) Save the configuration 4) Read the console</t>
  </si>
  <si>
    <t>No red console text, and no credential value echoed into a console message.</t>
  </si>
  <si>
    <t>No PHI or secret must ever appear in a console message. An IRP secret logged to the console is captured by any browser extension the hospital has installed.</t>
  </si>
  <si>
    <t>TC-P2F-073</t>
  </si>
  <si>
    <t>Approval Rules screen loads</t>
  </si>
  <si>
    <t>1) Open /settings/approvals 2) Read the form</t>
  </si>
  <si>
    <t>The discount tiers, approver selectors and clinical approval toggles render. No red console errors.</t>
  </si>
  <si>
    <t>MOCK_DATA_BOOK Discount approval rules — ≤20% auto, &gt;20% admin, &gt;50% admin + CFO</t>
  </si>
  <si>
    <t>Billing, Quality, IPD</t>
  </si>
  <si>
    <t>SETTINGS_PREREQ_MATRIX is blunt about the failure mode: with no discount_approval_rules, EVERY discount auto-approves and there is no approval workflow at all.</t>
  </si>
  <si>
    <t>hospital_settings where hospital_id = A and key = discount rules → matches what is displayed</t>
  </si>
  <si>
    <t>TC-P2F-074</t>
  </si>
  <si>
    <t>A discount approval tier saves</t>
  </si>
  <si>
    <t>1) Open /settings/approvals 2) Set the tier-2 threshold to 20% 3) Save 4) Reload</t>
  </si>
  <si>
    <t>The threshold persists at 20% after the reload.</t>
  </si>
  <si>
    <t>phase2.entry./settings/approvals — tier2Percent 20</t>
  </si>
  <si>
    <t>The threshold is the line between an auto-approved discount and one that needs a signature. Unsaved, it defaults to permitting everything, and a 50% discount is granted at the counter with no approval.</t>
  </si>
  <si>
    <t>hospital_settings → the discount tier threshold = 20</t>
  </si>
  <si>
    <t>TC-P2F-075</t>
  </si>
  <si>
    <t>A discount threshold above 100 percent is refused</t>
  </si>
  <si>
    <t>1) Open /settings/approvals 2) Set a threshold of 120% 3) Attempt to save</t>
  </si>
  <si>
    <t>The save is refused with a message naming the 0–100 range.</t>
  </si>
  <si>
    <t>A threshold above 100% can never be exceeded, so the approval tier below it becomes unreachable and every discount auto-approves — the exact failure the rules exist to prevent.</t>
  </si>
  <si>
    <t>hospital_settings → no discount threshold above 100</t>
  </si>
  <si>
    <t>TC-P2F-076</t>
  </si>
  <si>
    <t>A negative discount threshold is refused</t>
  </si>
  <si>
    <t>1) Open /settings/approvals 2) Set a threshold of -5% 3) Attempt to save</t>
  </si>
  <si>
    <t>The save is refused.</t>
  </si>
  <si>
    <t>A negative threshold is exceeded by every discount including zero, so every single bill would require approval and the billing counter stops.</t>
  </si>
  <si>
    <t>hospital_settings → no discount threshold below 0</t>
  </si>
  <si>
    <t>TC-P2F-077</t>
  </si>
  <si>
    <t>The three seeded discount tiers are ordered correctly</t>
  </si>
  <si>
    <t>1) Open /settings/approvals 2) Read the tier thresholds 3) Confirm they ascend</t>
  </si>
  <si>
    <t>Tiers read ≤20% auto-approved, &gt;20% needs hospital_admin, &gt;50% needs hospital_admin and CFO — strictly ascending.</t>
  </si>
  <si>
    <t>MOCK_DATA_BOOK Discount approval rules — 20% and 50% thresholds</t>
  </si>
  <si>
    <t>Out-of-order tiers make the higher approval unreachable. A 55% discount would match the 20% tier first and be approved by one signature instead of two.</t>
  </si>
  <si>
    <t>hospital_settings → discount tiers ascend without overlap</t>
  </si>
  <si>
    <t>TC-P2F-078</t>
  </si>
  <si>
    <t>The approver role for a tier saves</t>
  </si>
  <si>
    <t>1) Open /settings/approvals 2) Set "Who can approve this tier" for the &gt;50% tier to hospital_admin and cfo 3) Save 4) Reload</t>
  </si>
  <si>
    <t>Both approver roles persist after the reload.</t>
  </si>
  <si>
    <t>MOCK_DATA_BOOK Discount approval rules — &gt;50% requires hospital_admin and cfo</t>
  </si>
  <si>
    <t>Billing, Accounts, RBAC</t>
  </si>
  <si>
    <t>Dual approval on a 55% discount is the control that stops one person writing off half a bill. If only one approver saves, the second signature is never requested.</t>
  </si>
  <si>
    <t>hospital_settings → the &gt;50% tier lists both approver roles</t>
  </si>
  <si>
    <t>TC-P2F-079</t>
  </si>
  <si>
    <t>A tier cannot be saved with no approver</t>
  </si>
  <si>
    <t>1) Open /settings/approvals 2) Clear the approvers on a tier that requires approval 3) Attempt to save</t>
  </si>
  <si>
    <t>The save is refused. A tier requiring approval must name at least one approver.</t>
  </si>
  <si>
    <t>None — deliberately clears the required approver list</t>
  </si>
  <si>
    <t>A tier with no approver either blocks the discount forever or fails open and approves it automatically. Both are wrong, and which one happens is not obvious from this screen.</t>
  </si>
  <si>
    <t>hospital_settings → every approval tier names at least one approver</t>
  </si>
  <si>
    <t>TC-P2F-080</t>
  </si>
  <si>
    <t>A discount below the threshold is auto-approved and audited</t>
  </si>
  <si>
    <t>1) Open /settings/approvals and confirm the tier-1 threshold is 20% 2) Open /billing, raise a bill and apply a 15% discount 3) Check the approval state and the audit row</t>
  </si>
  <si>
    <t>The discount is auto-approved and an audit row records who applied it.</t>
  </si>
  <si>
    <t>MOCK_DATA_BOOK Values used across many tests — discount below threshold 15%</t>
  </si>
  <si>
    <t>Billing, Accounts, Audit</t>
  </si>
  <si>
    <t>Tier 0 complete; approval rules configured</t>
  </si>
  <si>
    <t>Auto-approval is correct below the threshold, but unaudited it means nobody can later see who granted a discount. MOCK_DATA_BOOK specifies an audit row is written even on auto-approval.</t>
  </si>
  <si>
    <t>the discount audit row → written for a 15% auto-approved discount</t>
  </si>
  <si>
    <t>TC-P2F-081</t>
  </si>
  <si>
    <t>A discount above the threshold requires administrator approval</t>
  </si>
  <si>
    <t>1) Open /settings/approvals and confirm the tier-2 threshold is 20% 2) Open /billing, raise a bill and apply a 35% discount 3) Observe the approval requirement</t>
  </si>
  <si>
    <t>The discount is held pending hospital_admin approval and is not applied until approved.</t>
  </si>
  <si>
    <t>MOCK_DATA_BOOK Values used across many tests — discount above threshold 35%</t>
  </si>
  <si>
    <t>This is the whole point of the rules. If a 35% discount applies without approval, the control exists only on the settings screen and not in the billing flow.</t>
  </si>
  <si>
    <t>the discount record → status pending, not applied, until approved</t>
  </si>
  <si>
    <t>TC-P2F-082</t>
  </si>
  <si>
    <t>A discount above the upper tier requires two approvals</t>
  </si>
  <si>
    <t>1) Open /settings/approvals and confirm the tier-3 threshold is 50% 2) Open /billing, raise a bill and apply a 55% discount 3) Observe the approval requirement</t>
  </si>
  <si>
    <t>The discount requires both hospital_admin and cfo approval, and one alone does not release it.</t>
  </si>
  <si>
    <t>MOCK_DATA_BOOK Values used across many tests — discount needing dual approval 55%</t>
  </si>
  <si>
    <t>Dual approval is the control against a single person writing off more than half a bill. If one signature releases it, the second approver is decorative.</t>
  </si>
  <si>
    <t>the discount record → remains pending until both approvals are recorded</t>
  </si>
  <si>
    <t>TC-P2F-083</t>
  </si>
  <si>
    <t>The maximum discount amount saves alongside the percentage</t>
  </si>
  <si>
    <t>1) Open /settings/approvals 2) Set a Maximum Amount for a tier 3) Save 4) Reload</t>
  </si>
  <si>
    <t>The amount persists and is applied alongside the percentage cap.</t>
  </si>
  <si>
    <t>The Maximum Amount (₹) field on SettingsApprovalsPage</t>
  </si>
  <si>
    <t>A 15% discount is trivial on a ₹500 consultation and ₹5,250 on a ₹35,000 surgery. Without an absolute cap the percentage tier lets large write-offs through unapproved.</t>
  </si>
  <si>
    <t>hospital_settings → the tier maximum amount is recorded</t>
  </si>
  <si>
    <t>TC-P2F-084</t>
  </si>
  <si>
    <t>Clinical approval toggles save</t>
  </si>
  <si>
    <t>1) Open /settings/approvals 2) Toggle Restricted Antibiotics, Blood Transfusion and LAMA 3) Save 4) Reload</t>
  </si>
  <si>
    <t>All three toggles persist after the reload.</t>
  </si>
  <si>
    <t>The clinical approval toggles on SettingsApprovalsPage</t>
  </si>
  <si>
    <t>Pharmacy, Blood Bank, IPD, Quality</t>
  </si>
  <si>
    <t>Restricted-antibiotic approval is an antimicrobial stewardship control NABH expects, and LAMA requires a documented sign-off because the patient is leaving against advice. Neither can be enforced if the toggle does not persist.</t>
  </si>
  <si>
    <t>hospital_settings → all three clinical approval toggles persist</t>
  </si>
  <si>
    <t>TC-P2F-085</t>
  </si>
  <si>
    <t>Approval rules survive a hard reload</t>
  </si>
  <si>
    <t>1) Open /settings/approvals 2) Set the thresholds and approvers 3) Save 4) Hard-reload 5) Re-read</t>
  </si>
  <si>
    <t>Every threshold, approver and toggle is still set after the reload.</t>
  </si>
  <si>
    <t>MOCK_DATA_BOOK Discount approval rules — the three tiers</t>
  </si>
  <si>
    <t>Billing, Quality</t>
  </si>
  <si>
    <t>A false save leaves the hospital believing approvals are enforced while every discount auto-approves. That is not a missing feature — it is a control the finance team believes exists and does not.</t>
  </si>
  <si>
    <t>hospital_settings → the discount rules key persists with all tiers</t>
  </si>
  <si>
    <t>TC-P2F-086</t>
  </si>
  <si>
    <t>Hospital A's approval rules are invisible to Hospital B</t>
  </si>
  <si>
    <t>1) Sign in as the Hospital B administrator 2) Open /settings/approvals as Hospital B 3) Query hospital_settings through the API with no hospital filter</t>
  </si>
  <si>
    <t>Not one Hospital A approval-rules row is returned.</t>
  </si>
  <si>
    <t>hospital_settings has no per-role RLS, so tenant isolation is the only protection this table has. One hospital reading another's discount thresholds learns its pricing latitude.</t>
  </si>
  <si>
    <t>TC-P2F-087</t>
  </si>
  <si>
    <t>A billing executive cannot change the approval thresholds</t>
  </si>
  <si>
    <t>1) Log in as billing_executive (Hospital A) 2) Navigate directly to /settings/approvals</t>
  </si>
  <si>
    <t>Billing, Accounts, Security</t>
  </si>
  <si>
    <t>The person applying discounts must not set the threshold above which approval is needed. Allowing it removes the control entirely, and the audit trail would show every discount as legitimately auto-approved.</t>
  </si>
  <si>
    <t>TC-P2F-088</t>
  </si>
  <si>
    <t>The Approval Rules screen loads with no red console errors</t>
  </si>
  <si>
    <t>1) Open DevTools → Console 2) Open /settings/approvals 3) Save the rules 4) Read the console</t>
  </si>
  <si>
    <t>No red console text from the hospital_settings upsert.</t>
  </si>
  <si>
    <t>The rules are stored as a JSON blob under a hospital_settings key. A malformed blob rejected by Postgres would surface only here, while the UI reports the rules saved.</t>
  </si>
  <si>
    <t>TC-P2F-089</t>
  </si>
  <si>
    <t>Razorpay screen loads</t>
  </si>
  <si>
    <t>1) Open /settings/razorpay 2) Read the form</t>
  </si>
  <si>
    <t>Mode, Key ID, Key Secret, UPI ID and the payment toggles render. No red console errors.</t>
  </si>
  <si>
    <t>phase2.entry./settings/razorpay — keyId rzp_test_QA0000000000, mode Test Mode</t>
  </si>
  <si>
    <t>Payments, Billing, Patient Portal</t>
  </si>
  <si>
    <t>SETTINGS_PREREQ_MATRIX warns that without Razorpay keys in api_configurations, payment links are dead. The patient receives a link that does nothing and the hospital never sees the money.</t>
  </si>
  <si>
    <t>api_configurations where hospital_id = A → the Razorpay row matches what is displayed</t>
  </si>
  <si>
    <t>TC-P2F-090</t>
  </si>
  <si>
    <t>The Razorpay key ID and secret save</t>
  </si>
  <si>
    <t>1) Open /settings/razorpay 2) Enter Key ID rzp_test_QA0000000000 and a test Key Secret 3) Save 4) Reload</t>
  </si>
  <si>
    <t>The key ID persists and the secret is stored but rendered masked.</t>
  </si>
  <si>
    <t>phase2.entry./settings/razorpay — keyId rzp_test_QA0000000000 (test credentials only)</t>
  </si>
  <si>
    <t>Payments, Billing</t>
  </si>
  <si>
    <t xml:space="preserve">Automated: FAILED.
Error: Could not find a control for the label "Key ID" on /settings/razorpay.
This is a FRAMEWORK failure, not a product defect — the label text in settings-forms.ts no longer matches what the page renders. Fix the label there; do not log it as a bug against the app (docs/qa/README.md).</t>
  </si>
  <si>
    <t>Without both values no payment link can be generated. The secret must be stored but never re-displayed, because it authorises charges against the hospital's merchant account.</t>
  </si>
  <si>
    <t>api_configurations where hospital_id = A → Razorpay key_id = 'rzp_test_QA0000000000'</t>
  </si>
  <si>
    <t>TC-P2F-091</t>
  </si>
  <si>
    <t>The Razorpay key secret is never rendered in plain text</t>
  </si>
  <si>
    <t>1) Open /settings/razorpay 2) Save a key secret 3) Reload 4) Inspect the field and the DOM</t>
  </si>
  <si>
    <t>The secret renders masked and the plain value is not present in the DOM.</t>
  </si>
  <si>
    <t>phase2.entry./settings/razorpay — a test key secret</t>
  </si>
  <si>
    <t>Payments, Security</t>
  </si>
  <si>
    <t>The key secret can authorise refunds and charges against the hospital's merchant account. Anyone who walks past a logged-in settings screen could copy it.</t>
  </si>
  <si>
    <t>TC-P2F-092</t>
  </si>
  <si>
    <t>Razorpay mode "Test Mode" saves</t>
  </si>
  <si>
    <t>1) Open /settings/razorpay 2) Select Test Mode 3) Save 4) Reload</t>
  </si>
  <si>
    <t>The mode reads Test Mode after the reload.</t>
  </si>
  <si>
    <t>phase2.entry./settings/razorpay — mode Test Mode</t>
  </si>
  <si>
    <t>Payments</t>
  </si>
  <si>
    <t>SETTINGS_PREREQ_MATRIX requires sandbox testing before any integration goes live. A mode that will not hold on Test forces configuration testing against real card charges.</t>
  </si>
  <si>
    <t>api_configurations where hospital_id = A → Razorpay mode = test</t>
  </si>
  <si>
    <t>TC-P2F-093</t>
  </si>
  <si>
    <t>Razorpay mode "Live Mode" saves</t>
  </si>
  <si>
    <t>1) Open /settings/razorpay 2) Select Live Mode 3) Save 4) Reload</t>
  </si>
  <si>
    <t>The mode reads Live Mode after the reload.</t>
  </si>
  <si>
    <t>The Mode options on SettingsRazorpayPage — Live Mode</t>
  </si>
  <si>
    <t>Both modes must round-trip. A hospital stuck in test mode takes payments that never settle, and discovers it when the bank reconciliation shows nothing arrived.</t>
  </si>
  <si>
    <t>api_configurations where hospital_id = A → Razorpay mode = live</t>
  </si>
  <si>
    <t>TC-P2F-094</t>
  </si>
  <si>
    <t>A test key cannot be saved against Live Mode</t>
  </si>
  <si>
    <t>1) Open /settings/razorpay 2) Select Live Mode 3) Enter a key ID beginning rzp_test_ 4) Save</t>
  </si>
  <si>
    <t>The mismatch is flagged. A test key under Live Mode is refused or clearly warned about.</t>
  </si>
  <si>
    <t>phase2.entry./settings/razorpay — keyId rzp_test_QA0000000000 with Live Mode</t>
  </si>
  <si>
    <t xml:space="preserve">Automated: FAILED.
Error: The test key "rzp_test_QA0000000000" was accepted under Live Mode with no warning. A test key in live mode makes every payment link fail at the moment a patient tries to pay — and the error surfaces to the patient, not to the hospital.
expect(received).toBeTruthy()
Received: false</t>
  </si>
  <si>
    <t>A test key in live mode makes every payment link fail at the moment a patient tries to pay. The error surfaces to the patient, not to the hospital, and it looks like the hospital cannot take money.</t>
  </si>
  <si>
    <t>api_configurations → a test key is not stored against live mode without a warning</t>
  </si>
  <si>
    <t>TC-P2F-095</t>
  </si>
  <si>
    <t>The UPI ID saves for QR code generation</t>
  </si>
  <si>
    <t>1) Open /settings/razorpay 2) Enter a UPI ID 3) Save 4) Reload</t>
  </si>
  <si>
    <t>The UPI ID persists after the reload.</t>
  </si>
  <si>
    <t>Literal UPI ID hospital@upi (the placeholder the field suggests)</t>
  </si>
  <si>
    <t>UPI is how most Indian outpatients pay. A missing UPI ID means no QR code at the counter and the queue falls back to cash, which then has to be reconciled by hand at day closure.</t>
  </si>
  <si>
    <t>api_configurations where hospital_id = A → UPI ID recorded</t>
  </si>
  <si>
    <t>TC-P2F-096</t>
  </si>
  <si>
    <t>A malformed UPI ID is rejected</t>
  </si>
  <si>
    <t>1) Open /settings/razorpay 2) Enter UPI ID "hospital-upi" with no @ 3) Attempt to save</t>
  </si>
  <si>
    <t>The save is refused with a message naming the expected handle@provider format.</t>
  </si>
  <si>
    <t>Literal malformed UPI ID hospital-upi</t>
  </si>
  <si>
    <t xml:space="preserve">Automated: FAILED.
Error: A UPI ID with no @ separator was stored. It produces a QR code no payment app can resolve — the patient scans it at the counter, it fails, and the queue stalls.
expect(received).toBeFalsy()
Received: true</t>
  </si>
  <si>
    <t>A malformed UPI ID produces a QR code that no payment app can resolve. The patient scans it at the counter, it fails, and the queue stalls.</t>
  </si>
  <si>
    <t>api_configurations → no UPI ID stored without an @ separator</t>
  </si>
  <si>
    <t>TC-P2F-097</t>
  </si>
  <si>
    <t>The part-payment and auto-receipt toggles save</t>
  </si>
  <si>
    <t>1) Open /settings/razorpay 2) Toggle Allow Part Payments and Auto-send Receipt 3) Save 4) Reload</t>
  </si>
  <si>
    <t>Both toggles persist after the reload.</t>
  </si>
  <si>
    <t>The Allow Part Payments and Auto-send Receipt toggles on SettingsRazorpayPage</t>
  </si>
  <si>
    <t>Part payments are how a patient who cannot clear a bill at discharge pays in instalments. If the toggle does not persist, the counter can only take the full amount and the patient leaves owing with no record.</t>
  </si>
  <si>
    <t>api_configurations where hospital_id = A → both payment toggles persist</t>
  </si>
  <si>
    <t>TC-P2F-098</t>
  </si>
  <si>
    <t>Hospital A's payment credentials are invisible to Hospital B</t>
  </si>
  <si>
    <t>1) Sign in as the Hospital B administrator 2) Open /settings/razorpay as Hospital B 3) Query api_configurations through the API with no hospital filter</t>
  </si>
  <si>
    <t>Not one Hospital A payment credential row is returned.</t>
  </si>
  <si>
    <t>Multi-tenancy, Payments, Security</t>
  </si>
  <si>
    <t>A payment gateway key authorises charges and refunds against a merchant account. Leaking one across tenants lets a hospital take money into another hospital's account, or refund from it.</t>
  </si>
  <si>
    <t>api_configurations queried as the Hospital B admin → zero rows with hospital_id = A</t>
  </si>
  <si>
    <t>TC-P2F-099</t>
  </si>
  <si>
    <t>A billing executive cannot change the Razorpay credentials</t>
  </si>
  <si>
    <t>1) Log in as billing_executive (Hospital A) 2) Navigate directly to /settings/razorpay</t>
  </si>
  <si>
    <t>The route is blocked, or the key fields are not rendered.</t>
  </si>
  <si>
    <t>Changing the merchant key redirects where patient payments settle. That is the single highest-value fraud target in the product, and billing staff have no reason to touch it.</t>
  </si>
  <si>
    <t>TC-P2F-100</t>
  </si>
  <si>
    <t>The Razorpay screen loads with no red console errors</t>
  </si>
  <si>
    <t>1) Open DevTools → Console 2) Open /settings/razorpay 3) Save the configuration 4) Read the console</t>
  </si>
  <si>
    <t>No red console text, and no key or secret echoed into a console message.</t>
  </si>
  <si>
    <t>phase2.entry./settings/razorpay — test credentials only</t>
  </si>
  <si>
    <t>A merchant secret logged to the console is captured by any browser extension the hospital has installed. No secret must ever appear in console output.</t>
  </si>
  <si>
    <t>TC-P2G-001</t>
  </si>
  <si>
    <t>2G Clinical Masters &amp; Alerts</t>
  </si>
  <si>
    <t>Lab Test Master loads and lists the seeded tests</t>
  </si>
  <si>
    <t>1) Log in as hospital_admin (Hospital A) 2) Open /settings/lab-tests 3) Read the test catalogue</t>
  </si>
  <si>
    <t>All fifteen seeded tests render, from Complete Blood Count through Blood Culture. No red console errors.</t>
  </si>
  <si>
    <t>MOCK_DATA_BOOK Lab test master — the fifteen seeded rows</t>
  </si>
  <si>
    <t>Lab, OPD, IPD, Billing</t>
  </si>
  <si>
    <t>SETTINGS_PREREQ_MATRIX warns the OPD→Lab handoff is an exact, case-insensitive match on lab_test_master.test_name. A test the doctor typed that is not in this catalogue is SILENTLY DROPPED from the order — the patient never gets the test.</t>
  </si>
  <si>
    <t>lab_test_master where hospital_id = A → 15 rows</t>
  </si>
  <si>
    <t>e2e/phase-02-settings/P2G.clinical.lab-drugs.spec.ts</t>
  </si>
  <si>
    <t>TC-P2G-002</t>
  </si>
  <si>
    <t>A new lab test saves with its fee, unit, range and TAT</t>
  </si>
  <si>
    <t>1) Open /settings/lab-tests 2) Add "Serum Phosphorus" code PHOS, sample Serum, fee 220, unit mg/dL, range 2.5-4.5, TAT 120 3) Save</t>
  </si>
  <si>
    <t>A lab_test_master row exists with fee 220, unit mg/dL, normal_min 2.5, normal_max 4.5 and tat_minutes 120.</t>
  </si>
  <si>
    <t>MOCK_DATA_BOOK Phase 2 additions — Serum Phosphorus · PHOS · Serum · ₹220 · mg/dL · 2.5–4.5 · 120 min</t>
  </si>
  <si>
    <t>Lab, Billing, OPD</t>
  </si>
  <si>
    <t>This is the complete, correct row everything else is measured against. Each field drives a different downstream behaviour — fee bills, range flags abnormal, TAT drives the delay alert.</t>
  </si>
  <si>
    <t>lab_test_master where hospital_id = A and code = 'PHOS' → fee = 220, normal_min = 2.5, normal_max = 4.5</t>
  </si>
  <si>
    <t>TC-P2G-003</t>
  </si>
  <si>
    <t>A lab test saved without a normal range cannot flag an abnormal result</t>
  </si>
  <si>
    <t>1) Open /settings/lab-tests 2) Add "Serum Magnesium" code MG, sample Serum, fee 240, unit mg/dL, leaving Normal Min and Max blank 3) Save 4) Inspect the row</t>
  </si>
  <si>
    <t>The row saves but is visibly flagged as having no reference range. Results for it can never be marked abnormal.</t>
  </si>
  <si>
    <t>phase2.invalid.labTestWithoutRange (Serum Magnesium · MG · ₹240 · no range)</t>
  </si>
  <si>
    <t>Lab, IPD, OPD</t>
  </si>
  <si>
    <t>SETTINGS_PREREQ_MATRIX states it plainly: no normal range means no abnormal flag and NO CRITICAL ALERT. A dangerously abnormal magnesium would be reported as an unremarkable number and nobody would be paged.</t>
  </si>
  <si>
    <t>lab_test_master where hospital_id = A and code = 'MG' → normal_min is null, normal_max is null, and the row is flagged</t>
  </si>
  <si>
    <t>TC-P2G-004</t>
  </si>
  <si>
    <t>A normal range with the minimum above the maximum is refused</t>
  </si>
  <si>
    <t>1) Open /settings/lab-tests 2) Add a test with Normal Min 5.0 and Normal Max 2.0 3) Attempt to save</t>
  </si>
  <si>
    <t>The save is refused with a message naming the range order.</t>
  </si>
  <si>
    <t>phase2.invalid.normalRangeInverted (min 5.0, max 2.0)</t>
  </si>
  <si>
    <t>Lab, IPD</t>
  </si>
  <si>
    <t>An inverted range matches nothing, so every result falls outside it — or inside it, depending on the comparison. Either way the abnormal flag becomes noise and clinicians stop trusting it.</t>
  </si>
  <si>
    <t>lab_test_master where hospital_id = A → no row with normal_min &gt; normal_max</t>
  </si>
  <si>
    <t>TC-P2G-005</t>
  </si>
  <si>
    <t>Critical low and high values save separately from the normal range</t>
  </si>
  <si>
    <t>1) Open /settings/lab-tests 2) Open Serum Potassium 3) Set Critical High 6.0 4) Save 5) Reload</t>
  </si>
  <si>
    <t>The critical high persists at 6.0, distinct from the normal max of 5.1.</t>
  </si>
  <si>
    <t>MOCK_DATA_BOOK Phase 2 additions — Clinical Thresholds: Serum Potassium critical high 6.0</t>
  </si>
  <si>
    <t>Lab, IPD, Nursing, Emergency</t>
  </si>
  <si>
    <t>Normal range flags a result as abnormal; critical value pages a doctor. Potassium of 5.5 is abnormal and 7.2 is a cardiac emergency — collapsing the two either floods the ward with alerts or misses the one that matters.</t>
  </si>
  <si>
    <t>lab_test_master where hospital_id = A and code = 'K' → critical high = 6.0, normal_max = 5.1</t>
  </si>
  <si>
    <t>TC-P2G-006</t>
  </si>
  <si>
    <t>The critical potassium value fires an alert at 7.2</t>
  </si>
  <si>
    <t>1) Open /settings/lab-tests and confirm Serum Potassium carries a normal range of 3.5–5.1 2) Open /lab and enter a result of 7.2 for a patient 3) Observe the alert</t>
  </si>
  <si>
    <t>A critical alert fires immediately for the 7.2 result.</t>
  </si>
  <si>
    <t>MOCK_DATA_BOOK Values used across many tests — critical potassium 7.2 mEq/L</t>
  </si>
  <si>
    <t>Tier 0 complete; Serum Potassium configured with its range</t>
  </si>
  <si>
    <t>MOCK_DATA_BOOK names Serum Potassium as THE critical-value test and scenario P5-S07 enters 7.2 deliberately. A potassium of 7.2 causes fatal arrhythmia — an alert that does not fire is the most direct patient-safety failure in the lab module.</t>
  </si>
  <si>
    <t>lab_test_master where hospital_id = A and code = 'K' → normal 3.5–5.1, and a 7.2 result raises a critical alert</t>
  </si>
  <si>
    <t>TC-P2G-007</t>
  </si>
  <si>
    <t>Sex-specific reference ranges save independently</t>
  </si>
  <si>
    <t>1) Open /settings/lab-tests 2) Open Haemoglobin 3) Set Male Min/Max and Female Min/Max to different values 4) Save 5) Reload</t>
  </si>
  <si>
    <t>All four values persist independently of the default range.</t>
  </si>
  <si>
    <t>MOCK_DATA_BOOK Lab test master — Haemoglobin 13.0–17.0 g/dL</t>
  </si>
  <si>
    <t>Lab, OPD, IPD, ANC</t>
  </si>
  <si>
    <t>Haemoglobin normal ranges differ by sex, and applying the male range to a female patient flags healthy women as anaemic. In an obstetric unit that produces a stream of false alarms on every antenatal panel.</t>
  </si>
  <si>
    <t>lab_test_master where hospital_id = A and code = 'HB' → male and female ranges stored separately</t>
  </si>
  <si>
    <t>TC-P2G-008</t>
  </si>
  <si>
    <t>A lab test cannot be saved without a name</t>
  </si>
  <si>
    <t>1) Open /settings/lab-tests 2) Click Add Test 3) Leave Test Name blank 4) Enter a code and fee 5) Attempt to save</t>
  </si>
  <si>
    <t>The save is refused and no lab_test_master row is written.</t>
  </si>
  <si>
    <t>None — deliberately omits the required Test Name</t>
  </si>
  <si>
    <t>Lab, OPD</t>
  </si>
  <si>
    <t>The OPD→Lab handoff matches on test_name. A blank name matches nothing, so every order for it is silently dropped with only an amber banner counting the missing tests.</t>
  </si>
  <si>
    <t>lab_test_master where hospital_id = A and (test_name is null or test_name = '') → 0 rows</t>
  </si>
  <si>
    <t>TC-P2G-009</t>
  </si>
  <si>
    <t>A lab test cannot be saved without a code</t>
  </si>
  <si>
    <t>1) Open /settings/lab-tests 2) Click Add Test 3) Enter a name but no Code 4) Attempt to save</t>
  </si>
  <si>
    <t>Lab, Billing</t>
  </si>
  <si>
    <t>The code is what appears on the sample label and the worklist. Without it the phlebotomist has an unlabelled tube, which is a specimen-identification error waiting to happen.</t>
  </si>
  <si>
    <t>lab_test_master where hospital_id = A → code is set on every row</t>
  </si>
  <si>
    <t>TC-P2G-010</t>
  </si>
  <si>
    <t>A lab test saved with no fee orders at zero rupees</t>
  </si>
  <si>
    <t>1) Open /settings/lab-tests 2) Add a test leaving Fee blank 3) Save 4) Order the test and read the charge</t>
  </si>
  <si>
    <t>Either the fee is required, or the zero-fee state is visibly flagged. A test must not silently order at ₹0.</t>
  </si>
  <si>
    <t>None — deliberately omits the Fee on a new test</t>
  </si>
  <si>
    <t>SETTINGS_PREREQ_MATRIX says a lab test without a fee is ordered at ₹0. The lab does the work, consumes the reagent, and bills nothing — and it only shows up in the monthly revenue variance.</t>
  </si>
  <si>
    <t>lab_test_master where hospital_id = A → fee is set or the row is flagged as unpriced</t>
  </si>
  <si>
    <t>TC-P2G-011</t>
  </si>
  <si>
    <t>A duplicate lab test code is rejected</t>
  </si>
  <si>
    <t>1) Open /settings/lab-tests 2) Create PHOS 3) Create a second test with the same code 4) Count the rows</t>
  </si>
  <si>
    <t>Only one lab_test_master row carries PHOS for Hospital A.</t>
  </si>
  <si>
    <t>phase2.invalid — duplicate lab test code PHOS</t>
  </si>
  <si>
    <t>Two tests sharing a code split the worklist and the result history, so a clinician comparing today's phosphorus against last month's may be reading two different tests.</t>
  </si>
  <si>
    <t>lab_test_master where hospital_id = A and code = 'PHOS' → exactly 1 row</t>
  </si>
  <si>
    <t>TC-P2G-012</t>
  </si>
  <si>
    <t>A duplicate test name is rejected because the OPD handoff matches on name</t>
  </si>
  <si>
    <t>1) Open /settings/lab-tests 2) Create a second test named "Complete Blood Count" 3) Count the rows</t>
  </si>
  <si>
    <t>Only one test carries that name for Hospital A.</t>
  </si>
  <si>
    <t>MOCK_DATA_BOOK Lab test master — re-entering the seeded Complete Blood Count</t>
  </si>
  <si>
    <t>The OPD→Lab handoff is an exact, case-insensitive match on test_name. Two rows with one name make the match ambiguous, and the order attaches to whichever the query returns first — with a different fee and a different reference range.</t>
  </si>
  <si>
    <t>lab_test_master where hospital_id = A and test_name = 'Complete Blood Count' → exactly 1 row</t>
  </si>
  <si>
    <t>TC-P2G-013</t>
  </si>
  <si>
    <t>The sample type saves</t>
  </si>
  <si>
    <t>1) Open /settings/lab-tests 2) Set Sample Type to Serum on a test 3) Save 4) Reload</t>
  </si>
  <si>
    <t>The sample type persists after the reload.</t>
  </si>
  <si>
    <t>MOCK_DATA_BOOK Lab test master — sample types EDTA Blood, Fluoride, Serum, Urine, Culture Bottle</t>
  </si>
  <si>
    <t>Lab, Nursing</t>
  </si>
  <si>
    <t>SETTINGS_PREREQ_MATRIX warns that without matching sample types, sample rows cannot be grouped for collection. The phlebotomist then draws a separate tube per test instead of one per sample type.</t>
  </si>
  <si>
    <t>lab_test_master where hospital_id = A → sample_type set on every row</t>
  </si>
  <si>
    <t>TC-P2G-014</t>
  </si>
  <si>
    <t>The turnaround time saves and drives the delay expectation</t>
  </si>
  <si>
    <t>1) Open /settings/lab-tests 2) Set TAT to 120 minutes on Serum Phosphorus 3) Save 4) Reload</t>
  </si>
  <si>
    <t>tat_minutes = 120 after the reload.</t>
  </si>
  <si>
    <t>MOCK_DATA_BOOK Phase 2 additions — Serum Phosphorus TAT 120 min</t>
  </si>
  <si>
    <t>Lab, IPD, Quality</t>
  </si>
  <si>
    <t>TAT is what a delay alert measures against, and Blood Culture at 4,320 minutes versus Haemoglobin at 60 shows why one global default cannot work. Without a per-test TAT every result looks either instantly late or never late.</t>
  </si>
  <si>
    <t>lab_test_master where hospital_id = A and code = 'PHOS' → tat_minutes = 120</t>
  </si>
  <si>
    <t>TC-P2G-015</t>
  </si>
  <si>
    <t>The test method saves</t>
  </si>
  <si>
    <t>1) Open /settings/lab-tests 2) Enter a Method such as ELISA on a test 3) Save 4) Reload</t>
  </si>
  <si>
    <t>The method persists after the reload.</t>
  </si>
  <si>
    <t>Literal method ELISA (the placeholder the field itself suggests)</t>
  </si>
  <si>
    <t>NABL requires the analytical method to appear on the report, because a reference range is only meaningful against the method that produced it.</t>
  </si>
  <si>
    <t>lab_test_master where hospital_id = A → method recorded where entered</t>
  </si>
  <si>
    <t>TC-P2G-016</t>
  </si>
  <si>
    <t>A lab test group saves with its own package fee</t>
  </si>
  <si>
    <t>1) Open /settings/lab-tests 2) Create group "Renal Panel" at ₹650 containing CREAT, UREA, K and PHOS 3) Save</t>
  </si>
  <si>
    <t>A lab_test_groups row exists at 650 with four lab_test_group_items.</t>
  </si>
  <si>
    <t>MOCK_DATA_BOOK Phase 2 additions — Renal Panel ₹650 (CREAT + UREA + K + PHOS, individual sum ₹750)</t>
  </si>
  <si>
    <t>Tier 0 complete; the four member tests exist</t>
  </si>
  <si>
    <t>The group price is ₹650 against an individual sum of ₹750. SETTINGS_PREREQ_MATRIX warns that without the group fee, panel orders bill as the sum of individual tests — so the patient is over-charged ₹100 on every renal panel.</t>
  </si>
  <si>
    <t>lab_test_groups where hospital_id = A and name = 'Renal Panel' → fee = 650, 4 member items</t>
  </si>
  <si>
    <t>TC-P2G-017</t>
  </si>
  <si>
    <t>The group price wins over the sum of its members</t>
  </si>
  <si>
    <t>1) Open /settings/lab-tests and confirm Fever Panel is ₹1,100 while its members sum to ₹1,300 2) Order the Fever Panel from /opd 3) Read the charge</t>
  </si>
  <si>
    <t>The order bills ₹1,100 — the group rate — not ₹1,300.</t>
  </si>
  <si>
    <t>MOCK_DATA_BOOK Lab test group — Fever Panel ₹1,100 (CBC + Urine Routine + Dengue NS1, sum ₹1,300)</t>
  </si>
  <si>
    <t>Tier 0 complete; the Fever Panel group exists</t>
  </si>
  <si>
    <t>MOCK_DATA_BOOK calls this scenario P5-S04 by name. The ₹200 gap between group and sum exists precisely so the wrong behaviour is detectable — and a patient charged the sum is being over-billed on a package the hospital advertised.</t>
  </si>
  <si>
    <t>lab_test_groups where hospital_id = A and name = 'Fever Panel' → fee = 1100 while members sum to 1300</t>
  </si>
  <si>
    <t>TC-P2G-018</t>
  </si>
  <si>
    <t>A test group cannot be saved with no members</t>
  </si>
  <si>
    <t>1) Open /settings/lab-tests 2) Create a group with a name and fee but no member tests 3) Attempt to save</t>
  </si>
  <si>
    <t>The save is refused, or the empty group is visibly flagged.</t>
  </si>
  <si>
    <t>None — deliberately omits the group members</t>
  </si>
  <si>
    <t>An empty panel bills the package fee and orders nothing. The patient pays ₹1,100 and no sample is ever collected.</t>
  </si>
  <si>
    <t>lab_test_groups where hospital_id = A → every group has at least one member item</t>
  </si>
  <si>
    <t>TC-P2G-019</t>
  </si>
  <si>
    <t>A test can be added to and removed from a group</t>
  </si>
  <si>
    <t>1) Open /settings/lab-tests 2) Add a test to Renal Panel 3) Remove it 4) Check the member count each time</t>
  </si>
  <si>
    <t>lab_test_group_items reflects both the addition and the removal.</t>
  </si>
  <si>
    <t>MOCK_DATA_BOOK Phase 2 additions — Renal Panel members</t>
  </si>
  <si>
    <t>Panel composition changes as protocols change. A member that cannot be removed means a discontinued test keeps being ordered and billed inside every panel.</t>
  </si>
  <si>
    <t>lab_test_group_items for Renal Panel → count reflects each change</t>
  </si>
  <si>
    <t>TC-P2G-020</t>
  </si>
  <si>
    <t>Bulk fee setting applies to the selected tests</t>
  </si>
  <si>
    <t>1) Open /settings/lab-tests 2) Select several tests 3) Use "Set all to (₹)" with a value 4) Save</t>
  </si>
  <si>
    <t>Every selected test carries the new fee and none of the unselected ones changed.</t>
  </si>
  <si>
    <t>MOCK_DATA_BOOK Lab test master — the fifteen seeded fees</t>
  </si>
  <si>
    <t>A lab revising its rate card does it in bulk. A bulk action that silently includes unselected tests would reprice the whole catalogue, and nobody would notice until a patient queried a bill.</t>
  </si>
  <si>
    <t>lab_test_master → only the selected rows changed fee</t>
  </si>
  <si>
    <t>TC-P2G-021</t>
  </si>
  <si>
    <t>The category filter is fed by the lab_test_categories config list</t>
  </si>
  <si>
    <t>1) Add a value under /settings/config-values?cat=lab_test_categories 2) Open /settings/lab-tests 3) Open the Category filter</t>
  </si>
  <si>
    <t>The new category appears in the filter on this screen.</t>
  </si>
  <si>
    <t>Lab, Configurable Dropdowns</t>
  </si>
  <si>
    <t>MOCK_DATA_BOOK singles this list out because it ripples into a second screen. A category that saves under Dropdowns and never appears here is the silent inconsistency this phase exists to catch.</t>
  </si>
  <si>
    <t>hospital_config_values category = lab_test_categories → offered on /settings/lab-tests</t>
  </si>
  <si>
    <t>TC-P2G-022</t>
  </si>
  <si>
    <t>Searching filters the test catalogue</t>
  </si>
  <si>
    <t>1) Open /settings/lab-tests 2) Type "CBC" into the search box 3) Read the results</t>
  </si>
  <si>
    <t>Only matching tests remain listed.</t>
  </si>
  <si>
    <t>MOCK_DATA_BOOK Lab test master — Complete Blood Count (CBC)</t>
  </si>
  <si>
    <t>A working lab catalogue runs to hundreds of tests. Without search, editing one fee means scrolling the whole list and the wrong row gets edited.</t>
  </si>
  <si>
    <t>TC-P2G-023</t>
  </si>
  <si>
    <t>A new lab test appears as a chip in the OPD Rx tab</t>
  </si>
  <si>
    <t>1) Add "Serum Phosphorus" under /settings/lab-tests 2) Open the OPD consultation workspace 3) Open the Rx tab 4) Look for the lab chips</t>
  </si>
  <si>
    <t>Serum Phosphorus is offered as a lab chip in the OPD Rx tab.</t>
  </si>
  <si>
    <t>MOCK_DATA_BOOK Phase 2 additions — Serum Phosphorus</t>
  </si>
  <si>
    <t>OPD, Lab</t>
  </si>
  <si>
    <t>Tier 0 complete; drug_master rows exist so the Rx tab renders</t>
  </si>
  <si>
    <t>SETTINGS_PREREQ_MATRIX warns that with no lab_test_master rows the lab chips in the Rx tab are EMPTY. A doctor who cannot pick a test writes it as free text, and the exact-name match then silently drops it from the order.</t>
  </si>
  <si>
    <t>lab_test_master where hospital_id = A and code = 'PHOS' → offered as a chip in the OPD Rx tab</t>
  </si>
  <si>
    <t>TC-P2G-024</t>
  </si>
  <si>
    <t>A test the doctor types that is not in the catalogue is reported, not silently dropped</t>
  </si>
  <si>
    <t>1) Open /opd and in the Rx tab type a test name that does not exist in lab_test_master 2) Save the prescription 3) Read the lab order and any banner</t>
  </si>
  <si>
    <t>An amber banner names how many prescribed tests were not found, and ideally which ones.</t>
  </si>
  <si>
    <t>Literal unmatched test name "QA Nonexistent Assay"</t>
  </si>
  <si>
    <t>SETTINGS_PREREQ_MATRIX flags this in red: the unmatched test is SILENTLY DROPPED and the only signal is a banner counting them. If the banner does not name the test, the doctor cannot tell which one vanished and the patient goes without it.</t>
  </si>
  <si>
    <t>the lab order → unmatched tests are surfaced by name, not merely counted</t>
  </si>
  <si>
    <t>TC-P2G-025</t>
  </si>
  <si>
    <t>Editing a lab test fee persists</t>
  </si>
  <si>
    <t>1) Open /settings/lab-tests 2) Change a test fee 3) Save 4) Reload</t>
  </si>
  <si>
    <t>The new fee is shown after the reload.</t>
  </si>
  <si>
    <t>MOCK_DATA_BOOK Lab test master — the seeded fees</t>
  </si>
  <si>
    <t>Reagent costs change and the rate card follows. An edit that does not persist means the lab bills last year's price on a test whose cost has risen.</t>
  </si>
  <si>
    <t>lab_test_master where hospital_id = A → the edited fee persists</t>
  </si>
  <si>
    <t>TC-P2G-026</t>
  </si>
  <si>
    <t>A lab test can be deactivated without being deleted</t>
  </si>
  <si>
    <t>1) Open /settings/lab-tests 2) Deactivate a test 3) Reload</t>
  </si>
  <si>
    <t>The test is marked inactive and the row still exists.</t>
  </si>
  <si>
    <t>Lab, MRD</t>
  </si>
  <si>
    <t>A discontinued test must stop being orderable while every historical result stays attached to it. Deleting would orphan years of results a clinician may need to compare against.</t>
  </si>
  <si>
    <t>lab_test_master → the row is inactive and still present</t>
  </si>
  <si>
    <t>TC-P2G-027</t>
  </si>
  <si>
    <t>A saved lab test survives a hard reload</t>
  </si>
  <si>
    <t>1) Open /settings/lab-tests 2) Create Serum Phosphorus 3) Hard-reload 4) Locate the test</t>
  </si>
  <si>
    <t>The test is still listed with its fee, range and TAT intact.</t>
  </si>
  <si>
    <t>A false save here means the test is missing from the catalogue, and the exact-name match then silently drops every order a doctor writes for it.</t>
  </si>
  <si>
    <t>lab_test_master where hospital_id = A and code = 'PHOS' → 1 row</t>
  </si>
  <si>
    <t>TC-P2G-028</t>
  </si>
  <si>
    <t>Hospital A's lab catalogue is invisible to Hospital B</t>
  </si>
  <si>
    <t>1) Sign in as the Hospital B administrator 2) Open /settings/lab-tests as Hospital B 3) Query lab_test_master through the API with no hospital filter</t>
  </si>
  <si>
    <t>Not one Hospital A lab test is returned.</t>
  </si>
  <si>
    <t>Multi-tenancy, Lab</t>
  </si>
  <si>
    <t>Test fees are a competitive rate card, and reference ranges are method-specific. One hospital inheriting another's ranges would flag results against the wrong baseline.</t>
  </si>
  <si>
    <t>lab_test_master queried as the Hospital B admin → zero rows with hospital_id = A</t>
  </si>
  <si>
    <t>TC-P2G-029</t>
  </si>
  <si>
    <t>A receptionist cannot edit the lab catalogue</t>
  </si>
  <si>
    <t>1) Log in as receptionist (Hospital A) 2) Navigate directly to /settings/lab-tests</t>
  </si>
  <si>
    <t>Reference ranges are a clinical safety parameter and fees are money. Neither belongs to the front desk, and a widened range would suppress abnormal flags hospital-wide.</t>
  </si>
  <si>
    <t>TC-P2G-030</t>
  </si>
  <si>
    <t>The Lab Test Master screen loads with no red console errors</t>
  </si>
  <si>
    <t>1) Open DevTools → Console 2) Open /settings/lab-tests 3) Create a test and a group 4) Read the console</t>
  </si>
  <si>
    <t>No red console text from the lab_test_master, lab_test_groups or lab_test_group_items writes.</t>
  </si>
  <si>
    <t>MOCK_DATA_BOOK Phase 2 additions — Serum Phosphorus and Renal Panel</t>
  </si>
  <si>
    <t>Creating a group writes to two tables. A failure on the items write leaves a priced group with no members, which bills the package fee and orders nothing.</t>
  </si>
  <si>
    <t>TC-P2G-031</t>
  </si>
  <si>
    <t>Drug Formulary loads and lists the seeded drugs</t>
  </si>
  <si>
    <t>1) Open /settings/drugs 2) Read the formulary</t>
  </si>
  <si>
    <t>All twenty seeded drugs render, from Dolo 650 through Normal Saline. No red console errors.</t>
  </si>
  <si>
    <t>MOCK_DATA_BOOK Drug master — the twenty seeded rows</t>
  </si>
  <si>
    <t>Pharmacy, OPD, IPD, Emergency</t>
  </si>
  <si>
    <t>SETTINGS_PREREQ_MATRIX puts drug_master first among pharmacy prerequisites: without it there is nothing to dispense and drug search returns nothing.</t>
  </si>
  <si>
    <t>drug_master where hospital_id = A → 20 rows</t>
  </si>
  <si>
    <t>TC-P2G-032</t>
  </si>
  <si>
    <t>A new drug saves with its generic name, form, strength and MRP</t>
  </si>
  <si>
    <t>1) Open /settings/drugs 2) Add "Nefrosave", generic N-Acetylcysteine + Taurine, Tablet, 600mg, Schedule H, MRP 210, GST 12 3) Save</t>
  </si>
  <si>
    <t>A drug_master row exists with those values.</t>
  </si>
  <si>
    <t>MOCK_DATA_BOOK Phase 2 additions — Nefrosave · N-Acetylcysteine + Taurine · Tablet · 600mg · Schedule H · ₹210 · 12%</t>
  </si>
  <si>
    <t>Pharmacy, OPD, IPD</t>
  </si>
  <si>
    <t>The generic name is what the interaction and allergy checks match on. A drug saved without it is invisible to the safety checks even though it dispenses normally.</t>
  </si>
  <si>
    <t>drug_master where hospital_id = A and brand = 'Nefrosave' → mrp = 210, schedule = 'H'</t>
  </si>
  <si>
    <t>TC-P2G-033</t>
  </si>
  <si>
    <t>A drug with no batch is invisible to the dispenser</t>
  </si>
  <si>
    <t>1) Create "Nefrosave" under /settings/drugs with no stock batch 2) Open the pharmacy dispensing screen 3) Search for Nefrosave</t>
  </si>
  <si>
    <t>The drug does not appear as dispensable, and the reason is clear — no batch, not "no such drug".</t>
  </si>
  <si>
    <t>MOCK_DATA_BOOK Phase 2 additions — Nefrosave, created with NO batch</t>
  </si>
  <si>
    <t>Pharmacy, IPD</t>
  </si>
  <si>
    <t>SETTINGS_PREREQ_MATRIX is explicit: a drug with no batch is invisible to the dispenser and no stock decrement happens. MOCK_DATA_BOOK creates Nefrosave without a batch deliberately to prove it. A pharmacist who cannot find a drug they know exists assumes the system is broken.</t>
  </si>
  <si>
    <t>drug_master where hospital_id = A and brand = 'Nefrosave' → 1 row, drug_batches → 0 rows for it</t>
  </si>
  <si>
    <t>TC-P2G-034</t>
  </si>
  <si>
    <t>Drug schedule "OTC" saves and survives a reload</t>
  </si>
  <si>
    <t>1) Open /settings/drugs 2) Set Drug Schedule to "OTC" on a drug (e.g. Dolo 650) 3) Save 4) Reload and re-read the schedule</t>
  </si>
  <si>
    <t>drug_master.schedule = 'OTC' and the value still reads "OTC" after the reload.</t>
  </si>
  <si>
    <t>MOCK_DATA_BOOK Drug master — Dolo 650 (Schedule OTC)</t>
  </si>
  <si>
    <t>The schedule decides which register a dispense is written into and whether a prescription is legally required. Each value is tested separately because one mis-stored schedule moves a drug into the wrong statutory register. Schedule OTC is sold without a prescription — the control that must NOT fire.</t>
  </si>
  <si>
    <t>drug_master where hospital_id = A → schedule = 'OTC' on the Dolo 650 row</t>
  </si>
  <si>
    <t>TC-P2G-035</t>
  </si>
  <si>
    <t>Drug schedule "H" saves and survives a reload</t>
  </si>
  <si>
    <t>1) Open /settings/drugs 2) Set Drug Schedule to "H" on a drug (e.g. Augmentin 625) 3) Save 4) Reload and re-read the schedule</t>
  </si>
  <si>
    <t>drug_master.schedule = 'H' and the value still reads "H" after the reload.</t>
  </si>
  <si>
    <t>MOCK_DATA_BOOK Drug master — Augmentin 625 (Schedule H)</t>
  </si>
  <si>
    <t>The schedule decides which register a dispense is written into and whether a prescription is legally required. Each value is tested separately because one mis-stored schedule moves a drug into the wrong statutory register. Schedule H is prescription-only; the register a drug inspector asks for first.</t>
  </si>
  <si>
    <t>drug_master where hospital_id = A → schedule = 'H' on the Augmentin 625 row</t>
  </si>
  <si>
    <t>TC-P2G-036</t>
  </si>
  <si>
    <t>Drug schedule "H1" saves and survives a reload</t>
  </si>
  <si>
    <t>1) Open /settings/drugs 2) Set Drug Schedule to "H1" on a drug (e.g. Tramadol 50) 3) Save 4) Reload and re-read the schedule</t>
  </si>
  <si>
    <t>drug_master.schedule = 'H1' and the value still reads "H1" after the reload.</t>
  </si>
  <si>
    <t>MOCK_DATA_BOOK Drug master — Tramadol 50 (Schedule H1)</t>
  </si>
  <si>
    <t>The schedule decides which register a dispense is written into and whether a prescription is legally required. Each value is tested separately because one mis-stored schedule moves a drug into the wrong statutory register. Schedule H1 is a separate bound register with patient details, retained three years.</t>
  </si>
  <si>
    <t>drug_master where hospital_id = A → schedule = 'H1' on the Tramadol 50 row</t>
  </si>
  <si>
    <t>TC-P2G-037</t>
  </si>
  <si>
    <t>Drug schedule "NDPS" saves and survives a reload</t>
  </si>
  <si>
    <t>1) Open /settings/drugs 2) Set Drug Schedule to "NDPS" on a drug (e.g. Morphine Sulphate) 3) Save 4) Reload and re-read the schedule</t>
  </si>
  <si>
    <t>drug_master.schedule = 'NDPS' and the value still reads "NDPS" after the reload.</t>
  </si>
  <si>
    <t>MOCK_DATA_BOOK Drug master — Morphine Sulphate (Schedule NDPS)</t>
  </si>
  <si>
    <t>The schedule decides which register a dispense is written into and whether a prescription is legally required. Each value is tested separately because one mis-stored schedule moves a drug into the wrong statutory register. Schedule NDPS is narcotic — dual sign-off, and a discrepancy is a criminal matter.</t>
  </si>
  <si>
    <t>drug_master where hospital_id = A → schedule = 'NDPS' on the Morphine Sulphate row</t>
  </si>
  <si>
    <t>TC-P2G-038</t>
  </si>
  <si>
    <t>An NDPS drug requires dual sign-off at dispensing</t>
  </si>
  <si>
    <t>1) Open /settings/drugs and confirm Morphine Sulphate carries schedule NDPS 2) Open /pharmacy and attempt to dispense it 3) Observe the sign-off requirement</t>
  </si>
  <si>
    <t>Dispensing requires two authorised signatures before it can complete.</t>
  </si>
  <si>
    <t>MOCK_DATA_BOOK Drug master — Morphine Sulphate (NDPS), batch QA-MOR-A</t>
  </si>
  <si>
    <t>Tier 0 complete; the NDPS drug and its batch exist</t>
  </si>
  <si>
    <t>The NDPS Act requires dual authorisation and a bound register for narcotics. A discrepancy in the narcotic register is a criminal matter for the pharmacist personally, not a reconciliation problem.</t>
  </si>
  <si>
    <t>drug_master where hospital_id = A and brand = 'Morphine Sulphate' → schedule = 'NDPS', dispense requires dual sign-off</t>
  </si>
  <si>
    <t>TC-P2G-039</t>
  </si>
  <si>
    <t>A drug cannot be saved without a name</t>
  </si>
  <si>
    <t>1) Open /settings/drugs 2) Leave Drug Name blank 3) Enter a generic and MRP 4) Attempt to save</t>
  </si>
  <si>
    <t>The save is refused and no drug_master row is written.</t>
  </si>
  <si>
    <t>None — deliberately omits the required Drug Name</t>
  </si>
  <si>
    <t>An unnamed drug appears as a blank option in the prescription picker, so a doctor selects it by accident and the order reaches the pharmacy naming nothing.</t>
  </si>
  <si>
    <t>drug_master where hospital_id = A and (brand is null or brand = '') → 0 rows</t>
  </si>
  <si>
    <t>TC-P2G-040</t>
  </si>
  <si>
    <t>A drug saved without a generic name is flagged</t>
  </si>
  <si>
    <t>1) Open /settings/drugs 2) Add a drug with a brand name but no Generic Name 3) Save 4) Inspect the row</t>
  </si>
  <si>
    <t>Either the generic is required, or the row is visibly flagged as excluded from interaction checking.</t>
  </si>
  <si>
    <t>None — deliberately omits the Generic Name</t>
  </si>
  <si>
    <t>Drug interaction and allergy checks match on the generic, not the brand. A drug with no generic dispenses normally and is invisible to every safety check — a penicillin-allergic patient could be given it with no warning.</t>
  </si>
  <si>
    <t>drug_master where hospital_id = A → generic is set, or the row is flagged as unchecked</t>
  </si>
  <si>
    <t>TC-P2G-041</t>
  </si>
  <si>
    <t>A penicillin-class drug is matched to a recorded penicillin allergy</t>
  </si>
  <si>
    <t>1) Open /settings/drugs and confirm Augmentin 625 carries generic Amoxicillin + Clavulanate 2) Open /opd and prescribe it for the penicillin-allergic patient PT-QA-0011 3) Observe the alert</t>
  </si>
  <si>
    <t>An allergy contraindication alert fires and blocks or hard-warns before the prescription is saved.</t>
  </si>
  <si>
    <t>MOCK_DATA_BOOK Patients — PT-QA-0011 Fatima Begum (ALLERGY: Penicillin); Drug master — Augmentin 625</t>
  </si>
  <si>
    <t>Tier 0 complete; the drug and the allergic patient exist</t>
  </si>
  <si>
    <t>MOCK_DATA_BOOK seeds a penicillin-allergic patient and the allergy-block drug together for exactly this. Drug interaction checks must be real and never mocked — an anaphylactic reaction to a drug the system knew about is the worst outcome this product can produce.</t>
  </si>
  <si>
    <t>drug_master where hospital_id = A and brand = 'Augmentin 625' → generic contains Amoxicillin, and the allergy alert fires</t>
  </si>
  <si>
    <t>TC-P2G-042</t>
  </si>
  <si>
    <t>The drug MRP saves and renders as currency</t>
  </si>
  <si>
    <t>1) Open /settings/drugs 2) Set MRP 210 on Nefrosave 3) Save 4) Read the displayed price</t>
  </si>
  <si>
    <t>The MRP stores as 210.00 and renders as ₹210.00.</t>
  </si>
  <si>
    <t>MOCK_DATA_BOOK Phase 2 additions — Nefrosave ₹210.00</t>
  </si>
  <si>
    <t>Pharmacy, Billing</t>
  </si>
  <si>
    <t>MRP is a legally printed maximum. Billing above it is an offence, so the stored value has to be exact and the display has to be unambiguous at the counter.</t>
  </si>
  <si>
    <t>drug_master where hospital_id = A and brand = 'Nefrosave' → mrp = 210</t>
  </si>
  <si>
    <t>TC-P2G-043</t>
  </si>
  <si>
    <t>Drug GST saves at the pharmacy slabs</t>
  </si>
  <si>
    <t>1) Open /settings/drugs 2) Save drugs at GST 5% and 12% 3) Check both stored values</t>
  </si>
  <si>
    <t>Both slabs store exactly.</t>
  </si>
  <si>
    <t>MOCK_DATA_BOOK Drug master — Human Mixtard 30/70 at 5%, the rest at 12%</t>
  </si>
  <si>
    <t>Pharmacy, Billing, GST</t>
  </si>
  <si>
    <t>Insulin is 5% and most other drugs are 12%. The seeded data mixes them deliberately, so a single hardcoded rate would over-charge tax on every insulin sale.</t>
  </si>
  <si>
    <t>drug_master where hospital_id = A → gst values 5 and 12 both persist</t>
  </si>
  <si>
    <t>TC-P2G-044</t>
  </si>
  <si>
    <t>Drug routes save as a list</t>
  </si>
  <si>
    <t>1) Open /settings/drugs 2) Enter Routes "oral, IV" on a drug 3) Save 4) Reload</t>
  </si>
  <si>
    <t>Both routes persist as separate values, not as one string.</t>
  </si>
  <si>
    <t>MOCK_DATA_BOOK Config values — drug routes Oral, IV</t>
  </si>
  <si>
    <t>A drug available by more than one route needs both offered at prescribing. Stored as a single blob, the picker offers "oral, IV" as one nonsensical option.</t>
  </si>
  <si>
    <t>drug_master where hospital_id = A → routes stored as a list</t>
  </si>
  <si>
    <t>TC-P2G-045</t>
  </si>
  <si>
    <t>The drug form and strength save</t>
  </si>
  <si>
    <t>1) Open /settings/drugs 2) Set Form Tablet and Strength 600mg 3) Save 4) Reload</t>
  </si>
  <si>
    <t>MOCK_DATA_BOOK Phase 2 additions — Nefrosave Tablet 600mg</t>
  </si>
  <si>
    <t>Form and strength are how a nurse confirms she is holding the right preparation. Paracetamol 650mg tablet and 125mg/5ml syrup are the same generic and very different doses.</t>
  </si>
  <si>
    <t>drug_master where hospital_id = A and brand = 'Nefrosave' → form = 'Tablet', strength = '600mg'</t>
  </si>
  <si>
    <t>TC-P2G-046</t>
  </si>
  <si>
    <t>A duplicate drug brand name is rejected</t>
  </si>
  <si>
    <t>1) Open /settings/drugs 2) Create Nefrosave 3) Create it again 4) Count the rows</t>
  </si>
  <si>
    <t>Only one drug_master row carries that brand for Hospital A.</t>
  </si>
  <si>
    <t>phase2.invalid — duplicate drug Nefrosave</t>
  </si>
  <si>
    <t>Two rows for one drug split the stock across two identities, so the dispenser sees stock against one and the batch sits against the other. The drug appears out of stock while the shelf is full.</t>
  </si>
  <si>
    <t>drug_master where hospital_id = A and brand = 'Nefrosave' → exactly 1 row</t>
  </si>
  <si>
    <t>TC-P2G-047</t>
  </si>
  <si>
    <t>The drug category saves</t>
  </si>
  <si>
    <t>1) Open /settings/drugs 2) Set Category to Analgesic 3) Save 4) Reload</t>
  </si>
  <si>
    <t>The category persists after the reload.</t>
  </si>
  <si>
    <t>Literal category Analgesic (the placeholder the field itself suggests)</t>
  </si>
  <si>
    <t>Pharmacy, Inventory</t>
  </si>
  <si>
    <t>Category drives consumption analysis and reorder grouping. Uncategorised drugs fall out of every stock report the pharmacy runs.</t>
  </si>
  <si>
    <t>drug_master where hospital_id = A → category recorded where entered</t>
  </si>
  <si>
    <t>TC-P2G-048</t>
  </si>
  <si>
    <t>A drug can be deactivated without being deleted</t>
  </si>
  <si>
    <t>1) Open /settings/drugs 2) Deactivate a drug 3) Reload</t>
  </si>
  <si>
    <t>The drug is marked inactive and the row still exists.</t>
  </si>
  <si>
    <t>MOCK_DATA_BOOK Phase 2 additions — Nefrosave</t>
  </si>
  <si>
    <t>Pharmacy, MRD</t>
  </si>
  <si>
    <t>A withdrawn drug must stop being prescribable while every historical prescription that named it still resolves. Deleting would leave old prescriptions referencing nothing, which breaks a medico-legal record.</t>
  </si>
  <si>
    <t>drug_master → the row is inactive and still present</t>
  </si>
  <si>
    <t>TC-P2G-049</t>
  </si>
  <si>
    <t>A new drug appears in the OPD prescription search</t>
  </si>
  <si>
    <t>1) Add Nefrosave under /settings/drugs 2) Open the OPD Rx tab 3) Search for Nefrosave</t>
  </si>
  <si>
    <t>The drug is offered in the prescription search.</t>
  </si>
  <si>
    <t>SETTINGS_PREREQ_MATRIX warns that with no drug_master rows, drug search returns nothing. A doctor who cannot find a drug writes it as free text, and free text cannot be interaction-checked or dispensed against stock.</t>
  </si>
  <si>
    <t>drug_master where hospital_id = A and brand = 'Nefrosave' → offered in the OPD Rx drug search</t>
  </si>
  <si>
    <t>TC-P2G-050</t>
  </si>
  <si>
    <t>Editing a drug MRP persists</t>
  </si>
  <si>
    <t>1) Open /settings/drugs 2) Change a drug MRP 3) Save 4) Reload</t>
  </si>
  <si>
    <t>The new MRP shows after the reload.</t>
  </si>
  <si>
    <t>MOCK_DATA_BOOK Drug master — the seeded MRPs</t>
  </si>
  <si>
    <t>MRP changes with every new manufacturer batch. Billing an old MRP above the printed price on the strip is a consumer-law offence.</t>
  </si>
  <si>
    <t>drug_master where hospital_id = A → the edited MRP persists</t>
  </si>
  <si>
    <t>TC-P2G-051</t>
  </si>
  <si>
    <t>A saved drug survives a hard reload</t>
  </si>
  <si>
    <t>1) Open /settings/drugs 2) Create Nefrosave 3) Hard-reload 4) Locate the drug</t>
  </si>
  <si>
    <t>The drug is still listed with its generic, schedule and MRP intact.</t>
  </si>
  <si>
    <t>A false save leaves the formulary short of a drug the hospital stocks, so the pharmacist cannot dispense against a prescription that names it.</t>
  </si>
  <si>
    <t>drug_master where hospital_id = A and brand = 'Nefrosave' → 1 row</t>
  </si>
  <si>
    <t>TC-P2G-052</t>
  </si>
  <si>
    <t>Hospital A's drug formulary is invisible to Hospital B</t>
  </si>
  <si>
    <t>1) Sign in as the Hospital B administrator 2) Open /settings/drugs as Hospital B 3) Query drug_master through the API with no hospital filter</t>
  </si>
  <si>
    <t>Not one Hospital A drug is returned.</t>
  </si>
  <si>
    <t>Multi-tenancy, Pharmacy</t>
  </si>
  <si>
    <t>The formulary includes NDPS and Schedule H1 drugs. Cross-tenant visibility of a narcotic formulary is a controlled-substance disclosure, not merely a commercial leak.</t>
  </si>
  <si>
    <t>drug_master queried as the Hospital B admin → zero rows with hospital_id = A</t>
  </si>
  <si>
    <t>TC-P2G-053</t>
  </si>
  <si>
    <t>A receptionist cannot edit the drug formulary</t>
  </si>
  <si>
    <t>1) Log in as receptionist (Hospital A) 2) Navigate directly to /settings/drugs</t>
  </si>
  <si>
    <t>Changing a drug schedule from NDPS to OTC would remove the dual sign-off requirement on a narcotic. That must be impossible for anyone outside pharmacy governance.</t>
  </si>
  <si>
    <t>TC-P2G-054</t>
  </si>
  <si>
    <t>A drug schedule cannot be downgraded from NDPS without an audit trail</t>
  </si>
  <si>
    <t>1) Open /settings/drugs 2) Change Morphine Sulphate from NDPS to OTC 3) Save 4) Check the config change log</t>
  </si>
  <si>
    <t>Either the change is refused, or it is recorded in the audit trail with who made it and when.</t>
  </si>
  <si>
    <t>MOCK_DATA_BOOK Drug master — Morphine Sulphate (NDPS)</t>
  </si>
  <si>
    <t>Pharmacy, NDPS, Audit, Quality</t>
  </si>
  <si>
    <t>Downgrading a narcotic's schedule removes its statutory register and dual sign-off. An unlogged change of that kind is indistinguishable from deliberate diversion, and the pharmacist carries personal criminal liability for the register.</t>
  </si>
  <si>
    <t>config_change_logs → an entry exists for any change to a drug schedule</t>
  </si>
  <si>
    <t>TC-P2G-055</t>
  </si>
  <si>
    <t>Searching filters the drug formulary</t>
  </si>
  <si>
    <t>1) Open /settings/drugs 2) Search for "Dolo" 3) Read the results</t>
  </si>
  <si>
    <t>Only matching drugs remain listed.</t>
  </si>
  <si>
    <t>MOCK_DATA_BOOK Drug master — Dolo 650</t>
  </si>
  <si>
    <t>A real hospital formulary runs to thousands of drugs. Without search, editing one MRP means scrolling the whole list and the wrong row gets edited.</t>
  </si>
  <si>
    <t>TC-P2G-056</t>
  </si>
  <si>
    <t>The Drug Formulary screen loads with no red console errors</t>
  </si>
  <si>
    <t>1) Open DevTools → Console 2) Open /settings/drugs 3) Create and edit a drug 4) Read the console</t>
  </si>
  <si>
    <t>No red console text from the drug_master read or write.</t>
  </si>
  <si>
    <t>A failed write that appears only in the console leaves the pharmacist believing a drug is on the formulary when it is not, and they discover it with a prescription in hand.</t>
  </si>
  <si>
    <t>TC-P2G-057</t>
  </si>
  <si>
    <t>Notification Config loads with all ten alert types</t>
  </si>
  <si>
    <t>1) Open /settings/notifications 2) Count the alert rows</t>
  </si>
  <si>
    <t>Ten alert types render, from Critical Lab Value through OT Starting in 30 min. No red console errors.</t>
  </si>
  <si>
    <t>src/lib/notificationConfig.ts DEFAULT_ALERTS — the ten shipped alert types</t>
  </si>
  <si>
    <t>Lab, IPD, Nursing, Pharmacy, Emergency</t>
  </si>
  <si>
    <t>These rows decide who is told when something goes wrong. A missing alert type is an event nobody is ever notified about, and the omission is invisible because the screen simply shows one row fewer.</t>
  </si>
  <si>
    <t>hospital_settings where hospital_id = A and key = 'notification_config' → 10 alert entries</t>
  </si>
  <si>
    <t>e2e/phase-02-settings/P2G.clinical.alerts-radiology.spec.ts</t>
  </si>
  <si>
    <t>TC-P2G-058</t>
  </si>
  <si>
    <t>Saving the notification config writes to hospital_settings</t>
  </si>
  <si>
    <t>1) Open /settings/notifications 2) Change any alert channel 3) Click "Save Changes" 4) Check hospital_settings</t>
  </si>
  <si>
    <t>A hospital_settings row exists with key 'notification_config' holding the alert list and quiet hours.</t>
  </si>
  <si>
    <t>phase2.entry./settings/notifications — Critical Lab Value on channel both, quiet 23:00–07:00</t>
  </si>
  <si>
    <t>REGRESSION LOCK for BUG-P2-003. Save ran a 500ms setTimeout then toasted success without a single Supabase call — a fake spinner in front of a no-op. A hospital that routed Critical Lab Value to WhatsApp found it back on In-App the next morning.</t>
  </si>
  <si>
    <t>hospital_settings where hospital_id = A and key = 'notification_config' → 1 row</t>
  </si>
  <si>
    <t>TC-P2G-059</t>
  </si>
  <si>
    <t>1) Open DevTools → Network 2) Open /settings/notifications 3) Change a channel 4) Click "Save Changes" 5) Watch for a Supabase request</t>
  </si>
  <si>
    <t>A PostgREST request to hospital_settings is issued, and the button shows Saving… only while it is in flight.</t>
  </si>
  <si>
    <t>phase2.entry./settings/notifications — Critical Lab Value channel both</t>
  </si>
  <si>
    <t>Lab, IPD, Nursing</t>
  </si>
  <si>
    <t>REGRESSION LOCK for BUG-P2-003. The fake 500ms delay was the most convincing possible disguise for a screen that saved nothing — it looked exactly like a real network round trip.</t>
  </si>
  <si>
    <t>Network tab shows a hospital_settings upsert, and the row exists afterwards</t>
  </si>
  <si>
    <t>TC-P2G-060</t>
  </si>
  <si>
    <t>Notification channel "In-App" saves for an alert type</t>
  </si>
  <si>
    <t>1) Open /settings/notifications 2) Set the Critical Lab Value channel to "In-App" 3) Click "Save Changes" 4) Reload and re-read the channel</t>
  </si>
  <si>
    <t>The stored notification_config carries channel 'in_app' for Critical Lab Value, and the dropdown still shows "In-App" after the reload.</t>
  </si>
  <si>
    <t>phase2.dropdowns.notificationChannel — "in_app"</t>
  </si>
  <si>
    <t>Each channel is stored as its own value, so one can fail to persist while the others save. The choice matters clinically: seen only by someone already logged in and looking.</t>
  </si>
  <si>
    <t>hospital_settings notification_config → Critical Lab Value channel = 'in_app'</t>
  </si>
  <si>
    <t>TC-P2G-061</t>
  </si>
  <si>
    <t>Notification channel "WhatsApp" saves for an alert type</t>
  </si>
  <si>
    <t>1) Open /settings/notifications 2) Set the Critical Lab Value channel to "WhatsApp" 3) Click "Save Changes" 4) Reload and re-read the channel</t>
  </si>
  <si>
    <t>The stored notification_config carries channel 'whatsapp' for Critical Lab Value, and the dropdown still shows "WhatsApp" after the reload.</t>
  </si>
  <si>
    <t>phase2.dropdowns.notificationChannel — "whatsapp"</t>
  </si>
  <si>
    <t>Each channel is stored as its own value, so one can fail to persist while the others save. The choice matters clinically: reaches a doctor who is off the ward, which is the point of escalation.</t>
  </si>
  <si>
    <t>hospital_settings notification_config → Critical Lab Value channel = 'whatsapp'</t>
  </si>
  <si>
    <t>TC-P2G-062</t>
  </si>
  <si>
    <t>Notification channel "Both" saves for an alert type</t>
  </si>
  <si>
    <t>1) Open /settings/notifications 2) Set the Critical Lab Value channel to "Both" 3) Click "Save Changes" 4) Reload and re-read the channel</t>
  </si>
  <si>
    <t>The stored notification_config carries channel 'both' for Critical Lab Value, and the dropdown still shows "Both" after the reload.</t>
  </si>
  <si>
    <t>phase2.dropdowns.notificationChannel — "both"</t>
  </si>
  <si>
    <t>Each channel is stored as its own value, so one can fail to persist while the others save. The choice matters clinically: the belt-and-braces route used for critical values.</t>
  </si>
  <si>
    <t>hospital_settings notification_config → Critical Lab Value channel = 'both'</t>
  </si>
  <si>
    <t>TC-P2G-063</t>
  </si>
  <si>
    <t>An alert type can be switched off and stays off</t>
  </si>
  <si>
    <t>1) Open /settings/notifications 2) Switch off the Large Bill alert 3) Save 4) Reload</t>
  </si>
  <si>
    <t>The alert reads inactive after the reload.</t>
  </si>
  <si>
    <t>src/lib/notificationConfig.ts — Large Bill (&gt; ₹50,000)</t>
  </si>
  <si>
    <t>Alert fatigue is a real clinical risk — more alerts is not better. A hospital that deliberately silences a low-value alert must find it still silenced tomorrow, or staff learn to ignore the whole system.</t>
  </si>
  <si>
    <t>hospital_settings notification_config → the Large Bill alert is inactive</t>
  </si>
  <si>
    <t>TC-P2G-064</t>
  </si>
  <si>
    <t>Alert severity cannot be changed from the stored config</t>
  </si>
  <si>
    <t>1) Store a notification_config that sets Code Blue severity to normal 2) Open /settings/notifications 3) Read the Code Blue severity</t>
  </si>
  <si>
    <t>Code Blue still renders as critical. Severity comes from the shipped defaults, never from stored data.</t>
  </si>
  <si>
    <t>src/lib/notificationConfig.ts mergeAlerts — severity is not taken from storage</t>
  </si>
  <si>
    <t>Emergency, IPD, Nursing</t>
  </si>
  <si>
    <t>Whether Code Blue is critical is a product decision, not a hospital preference. If severity were editable, a stray edit could silently demote a life-safety alert and nobody would see it happen.</t>
  </si>
  <si>
    <t>hospital_settings notification_config → a stored severity is ignored in favour of the default</t>
  </si>
  <si>
    <t>TC-P2G-065</t>
  </si>
  <si>
    <t>A stored config missing a newer alert type still shows it</t>
  </si>
  <si>
    <t>1) Store a notification_config containing only one alert 2) Open /settings/notifications 3) Count the alert rows</t>
  </si>
  <si>
    <t>All ten alert types render — the stored one with its saved value, the rest at their defaults.</t>
  </si>
  <si>
    <t>src/lib/notificationConfig.ts mergeAlerts — merge over defaults by alert type</t>
  </si>
  <si>
    <t>A hospital that saved before a new alert shipped has no entry for it. Replacing rather than merging would mean a newly shipped critical alert never fires for any existing customer.</t>
  </si>
  <si>
    <t>hospital_settings notification_config → a partial stored list merges to ten rendered alerts</t>
  </si>
  <si>
    <t>TC-P2G-066</t>
  </si>
  <si>
    <t>Quiet hours save</t>
  </si>
  <si>
    <t>1) Open /settings/notifications 2) Enable Quiet Hours 3) Set From 23:00 and To 07:00 4) Save 5) Reload</t>
  </si>
  <si>
    <t>Quiet hours persist at 23:00–07:00 after the reload.</t>
  </si>
  <si>
    <t>phase2.entry./settings/notifications — quietFrom 23:00, quietTo 07:00</t>
  </si>
  <si>
    <t>Quiet hours are what stop a ward being pinged all night for non-critical events. If they do not persist, night staff are woken by medication-due alerts and start muting the device entirely.</t>
  </si>
  <si>
    <t>hospital_settings notification_config → quietHours from 23:00 to 07:00</t>
  </si>
  <si>
    <t>TC-P2G-067</t>
  </si>
  <si>
    <t>Quiet hours suppress only non-critical alerts</t>
  </si>
  <si>
    <t>1) Open /settings/notifications and enable quiet hours 23:00–07:00 2) Read the description beside the toggle</t>
  </si>
  <si>
    <t>The screen states that quiet hours suppress NON-CRITICAL alerts only.</t>
  </si>
  <si>
    <t>phase2.entry./settings/notifications — quiet 23:00–07:00</t>
  </si>
  <si>
    <t>IPD, Nursing, Lab, Emergency</t>
  </si>
  <si>
    <t>A critical potassium at 2am must still page a doctor. If quiet hours were to suppress everything, the feature intended to reduce alert fatigue would instead hide the alerts that exist to save a life.</t>
  </si>
  <si>
    <t>None — reads the quiet-hours scope statement</t>
  </si>
  <si>
    <t>TC-P2G-068</t>
  </si>
  <si>
    <t>The notification config survives a hard reload</t>
  </si>
  <si>
    <t>1) Open /settings/notifications 2) Set Critical Lab Value to WhatsApp and quiet hours 23:00–07:00 3) Save 4) Hard-reload 5) Re-read both</t>
  </si>
  <si>
    <t>Both settings are still shown after the reload.</t>
  </si>
  <si>
    <t>phase2.entry./settings/notifications — channel both, quiet 23:00–07:00</t>
  </si>
  <si>
    <t>REGRESSION LOCK for BUG-P2-003. This is the case that catches the original defect directly: the toast said saved and nothing survived a reload.</t>
  </si>
  <si>
    <t>hospital_settings where hospital_id = A and key = 'notification_config' → values persist</t>
  </si>
  <si>
    <t>TC-P2G-069</t>
  </si>
  <si>
    <t>Hospital A's notification config is invisible to Hospital B</t>
  </si>
  <si>
    <t>1) Sign in as the Hospital B administrator 2) Open /settings/notifications as Hospital B 3) Query hospital_settings through the API with no hospital filter</t>
  </si>
  <si>
    <t>No Hospital A notification_config row is returned.</t>
  </si>
  <si>
    <t>Multi-tenancy, Nursing</t>
  </si>
  <si>
    <t>hospital_settings has no per-role RLS, so tenant isolation is its only protection. One hospital silencing an alert must never silence it at another.</t>
  </si>
  <si>
    <t>TC-P2G-070</t>
  </si>
  <si>
    <t>The Notification Config screen loads with no red console errors</t>
  </si>
  <si>
    <t>1) Open DevTools → Console 2) Open /settings/notifications 3) Change a channel and save 4) Read the console</t>
  </si>
  <si>
    <t>No red console text from the hospital_settings read or upsert.</t>
  </si>
  <si>
    <t>This screen was newly wired to hospital_settings during Phase 2. A key or column mismatch would surface only here while the UI carried on looking healthy — exactly how the original defect hid.</t>
  </si>
  <si>
    <t>TC-P2G-071</t>
  </si>
  <si>
    <t>Radiology settings load with the seeded modalities</t>
  </si>
  <si>
    <t>1) Open /settings/radiology 2) Read the modality list</t>
  </si>
  <si>
    <t>The four seeded modalities render — X-Ray, Ultrasound, CT Scan and MRI. No red console errors.</t>
  </si>
  <si>
    <t>MOCK_DATA_BOOK Radiology — modalities X-Ray, Ultrasound, CT Scan, MRI</t>
  </si>
  <si>
    <t>Radiology, Billing, OPD</t>
  </si>
  <si>
    <t>SETTINGS_PREREQ_MATRIX says modalities must be created FIRST or the module shows "No studies configured. Go to Settings → Radiology Modalities". That message is the only clue a radiographer gets.</t>
  </si>
  <si>
    <t>radiology_modalities where hospital_id = A → 4 rows</t>
  </si>
  <si>
    <t>TC-P2G-072</t>
  </si>
  <si>
    <t>Adding a study before its modality exists is refused or explained</t>
  </si>
  <si>
    <t>1) Open /settings/radiology 2) Attempt to add the study "Fluoroscopy Barium Swallow" before creating the Fluoroscopy modality 3) Read the result</t>
  </si>
  <si>
    <t>Either the study cannot be added without a modality, or the screen states clearly that the modality must be created first.</t>
  </si>
  <si>
    <t>MOCK_DATA_BOOK Phase 2 additions — Radiology: create the STUDY first to prove the ordering trap</t>
  </si>
  <si>
    <t>MOCK_DATA_BOOK builds this ordering trap deliberately. A hospital that adds studies first sees them vanish or fail, concludes the module is broken, and raises a support ticket for a sequencing rule nobody told them about.</t>
  </si>
  <si>
    <t>radiology_study_master → no orphan study without a modality_id</t>
  </si>
  <si>
    <t>TC-P2G-073</t>
  </si>
  <si>
    <t>A modality saves with its type code</t>
  </si>
  <si>
    <t>1) Open /settings/radiology 2) Add modality "Fluoroscopy" with type code "fluoro" 3) Save</t>
  </si>
  <si>
    <t>A radiology_modalities row exists with that name and type code.</t>
  </si>
  <si>
    <t>MOCK_DATA_BOOK Phase 2 additions — modality Fluoroscopy (fluoro)</t>
  </si>
  <si>
    <t>Radiology, PACS</t>
  </si>
  <si>
    <t>The type code is what a PACS or DICOM worklist matches on. A wrong or missing code means images arrive with no study to attach them to.</t>
  </si>
  <si>
    <t>radiology_modalities where hospital_id = A and name = 'Fluoroscopy' → type code = 'fluoro'</t>
  </si>
  <si>
    <t>TC-P2G-074</t>
  </si>
  <si>
    <t>A study saves with its fee against a modality</t>
  </si>
  <si>
    <t>1) Open /settings/radiology 2) With Fluoroscopy created, add study "Fluoroscopy Barium Swallow" at ₹2,800 3) Save</t>
  </si>
  <si>
    <t>A radiology_study_master row exists with fee 2800 and a modality_id pointing at Fluoroscopy.</t>
  </si>
  <si>
    <t>MOCK_DATA_BOOK Phase 2 additions — Fluoroscopy Barium Swallow ₹2,800</t>
  </si>
  <si>
    <t>Radiology, Billing</t>
  </si>
  <si>
    <t>Tier 0 complete; the Fluoroscopy modality exists</t>
  </si>
  <si>
    <t>SETTINGS_PREREQ_MATRIX warns that without a fee, studies are missing or ordered at ₹0. The department performs the scan, consumes the film and the radiographer time, and bills nothing.</t>
  </si>
  <si>
    <t>radiology_study_master where hospital_id = A and name = 'Fluoroscopy Barium Swallow' → fee = 2800</t>
  </si>
  <si>
    <t>TC-P2G-075</t>
  </si>
  <si>
    <t>A modality cannot be saved without a name</t>
  </si>
  <si>
    <t>1) Open /settings/radiology 2) Attempt to add a modality with a blank Name 3) Save</t>
  </si>
  <si>
    <t>The save is refused and no radiology_modalities row is written.</t>
  </si>
  <si>
    <t>None — deliberately omits the required modality Name</t>
  </si>
  <si>
    <t>An unnamed modality renders as a blank group heading, so the radiographer cannot tell which machine a study belongs to.</t>
  </si>
  <si>
    <t>radiology_modalities where hospital_id = A and (name is null or name = '') → 0 rows</t>
  </si>
  <si>
    <t>TC-P2G-076</t>
  </si>
  <si>
    <t>A modality cannot be saved without a type code</t>
  </si>
  <si>
    <t>1) Open /settings/radiology 2) Add a modality with a name but no Type Code 3) Save</t>
  </si>
  <si>
    <t>None — deliberately omits the required Type Code</t>
  </si>
  <si>
    <t>The type code is the DICOM matching key. Without it the PACS integration cannot route images to the right study type and they land unassigned.</t>
  </si>
  <si>
    <t>radiology_modalities where hospital_id = A → type code set on every row</t>
  </si>
  <si>
    <t>TC-P2G-077</t>
  </si>
  <si>
    <t>A study cannot be saved without a fee</t>
  </si>
  <si>
    <t>1) Open /settings/radiology 2) Add a study with a name but no Fee 3) Save</t>
  </si>
  <si>
    <t>The save is refused, or the unpriced study is visibly flagged.</t>
  </si>
  <si>
    <t>None — deliberately omits the required study Fee</t>
  </si>
  <si>
    <t>An unpriced study orders at ₹0. On an MRI at ₹8,500 that is a substantial silent loss on every scan, and it surfaces only in the monthly revenue variance.</t>
  </si>
  <si>
    <t>radiology_study_master where hospital_id = A → fee set on every row</t>
  </si>
  <si>
    <t>TC-P2G-078</t>
  </si>
  <si>
    <t>An obstetric study name triggers PCPNDT Form F</t>
  </si>
  <si>
    <t>1) Open /settings/radiology 2) Confirm "USG Obstetric (Level II)" exists 3) Order it for a pregnant patient 4) Check whether Form F is created</t>
  </si>
  <si>
    <t>Form F auto-creation is triggered for the obstetric study.</t>
  </si>
  <si>
    <t>MOCK_DATA_BOOK Radiology — USG Obstetric (Level II) ₹1,800; Patients — PT-QA-0012 Deepa Nair, 22 weeks pregnant</t>
  </si>
  <si>
    <t>Radiology, PCPNDT, Quality</t>
  </si>
  <si>
    <t>Tier 0 complete; pcpndt_settings configured</t>
  </si>
  <si>
    <t>PCPNDT Form F is a legal requirement for every obstetric ultrasound, and failure to maintain it carries criminal liability and licence suspension for the centre.</t>
  </si>
  <si>
    <t>radiology_study_master where hospital_id = A and name = 'USG Obstetric (Level II)' → 1 row, and Form F is created on order</t>
  </si>
  <si>
    <t>TC-P2G-079</t>
  </si>
  <si>
    <t>An obstetric study whose name lacks the trigger word is probed deliberately</t>
  </si>
  <si>
    <t>1) Open /settings/radiology 2) Confirm "USG Pregnancy Profile" exists 3) Order it for a pregnant patient 4) Check whether Form F is created</t>
  </si>
  <si>
    <t>Record what actually happens. Clinically this is an obstetric scan, but the name does not contain "obstetric".</t>
  </si>
  <si>
    <t>MOCK_DATA_BOOK Radiology — USG Pregnancy Profile ₹1,500, deliberately named without the word obstetric</t>
  </si>
  <si>
    <t>MOCK_DATA_BOOK seeds two obstetric studies with deliberately different names because Form F auto-creation triggers on the study name containing "obstetric". If the trigger is name-based, this scan escapes Form F entirely — which is the exact gap a PCPNDT inspection would find.</t>
  </si>
  <si>
    <t>radiology_study_master where hospital_id = A and name = 'USG Pregnancy Profile' → 1 row; record whether Form F is created</t>
  </si>
  <si>
    <t>TC-P2G-080</t>
  </si>
  <si>
    <t>PCPNDT machine and doctor registration numbers save</t>
  </si>
  <si>
    <t>1) Open /settings/radiology 2) Enter the Ultrasound Machine Name, Machine Registration Number and Doctor PCPNDT Registration Number 3) Save 4) Reload</t>
  </si>
  <si>
    <t>All three persist after the reload.</t>
  </si>
  <si>
    <t>Literal PCPNDT registration values — synthetic, no real registration is used</t>
  </si>
  <si>
    <t>SETTINGS_PREREQ_MATRIX flags pcpndt_settings in red: without it Form F may not generate correctly. The machine and doctor registration numbers are printed on Form F and are what an inspector checks first.</t>
  </si>
  <si>
    <t>pcpndt_settings where hospital_id = A → machine and doctor registration recorded</t>
  </si>
  <si>
    <t>TC-P2G-081</t>
  </si>
  <si>
    <t>The PACS viewer configuration saves</t>
  </si>
  <si>
    <t>1) Open /settings/radiology 2) Enter PACS Display Name, Viewer Base URL and WADO-URI Root URL 3) Save 4) Reload</t>
  </si>
  <si>
    <t>Literal PACS values — https://pacs.yourhospital.com/wado (the placeholder the field suggests)</t>
  </si>
  <si>
    <t>SETTINGS_PREREQ_MATRIX warns that without hospital_pacs_config the DICOM and PACS features are inert. The radiologist then has a report screen with no images attached to it.</t>
  </si>
  <si>
    <t>hospital_pacs_config where hospital_id = A → viewer and WADO URLs recorded</t>
  </si>
  <si>
    <t>TC-P2G-082</t>
  </si>
  <si>
    <t>The PACS AE title saves</t>
  </si>
  <si>
    <t>1) Open /settings/radiology 2) Enter an AE Title 3) Save 4) Reload</t>
  </si>
  <si>
    <t>The AE title persists after the reload.</t>
  </si>
  <si>
    <t>Literal AE title HOSPITAL_PACS (the placeholder the field suggests)</t>
  </si>
  <si>
    <t>The AE title is how the modality identifies itself to the PACS. A wrong one means images are pushed and silently rejected at the far end.</t>
  </si>
  <si>
    <t>hospital_pacs_config where hospital_id = A → AE title recorded</t>
  </si>
  <si>
    <t>TC-P2G-083</t>
  </si>
  <si>
    <t>A duplicate modality type code is rejected</t>
  </si>
  <si>
    <t>1) Open /settings/radiology 2) Create modality Fluoroscopy with code fluoro 3) Create another with the same code 4) Count the rows</t>
  </si>
  <si>
    <t>Only one radiology_modalities row carries that code for Hospital A.</t>
  </si>
  <si>
    <t>phase2.invalid — duplicate modality code fluoro</t>
  </si>
  <si>
    <t>The code is the DICOM routing key. Two modalities sharing it means incoming images attach to whichever the query returns first, and a CT ends up filed under an ultrasound.</t>
  </si>
  <si>
    <t>radiology_modalities where hospital_id = A and type code = 'fluoro' → exactly 1 row</t>
  </si>
  <si>
    <t>TC-P2G-084</t>
  </si>
  <si>
    <t>The study sort order saves</t>
  </si>
  <si>
    <t>1) Open /settings/radiology 2) Set a sort order on a study 3) Save 4) Read the list order</t>
  </si>
  <si>
    <t>Studies list in sort order, not insertion order.</t>
  </si>
  <si>
    <t>MOCK_DATA_BOOK Radiology — the seven seeded studies</t>
  </si>
  <si>
    <t>Sort order puts Chest X-Ray at the top where it is ordered dozens of times a day, instead of below an MRI nobody orders. It is what makes the picker usable during a busy OPD.</t>
  </si>
  <si>
    <t>radiology_study_master where hospital_id = A → sort_order honoured in the listing</t>
  </si>
  <si>
    <t>TC-P2G-085</t>
  </si>
  <si>
    <t>Study fees render in en-IN grouping with the rupee symbol</t>
  </si>
  <si>
    <t>1) Open /settings/radiology 2) Locate MRI Lumbar Spine at ₹8,500 3) Read the fee as displayed</t>
  </si>
  <si>
    <t>The fee renders as ₹8,500.00 with Indian grouping.</t>
  </si>
  <si>
    <t>MOCK_DATA_BOOK Radiology — MRI Lumbar Spine ₹8,500</t>
  </si>
  <si>
    <t>This is the rate the counter quotes to a patient before an expensive scan. A number without the rupee symbol or with the wrong comma position is misread at exactly the moment it matters most.</t>
  </si>
  <si>
    <t>radiology_study_master where hospital_id = A and name = 'MRI Lumbar Spine' → fee = 8500 rendered as ₹8,500.00</t>
  </si>
  <si>
    <t>TC-P2G-086</t>
  </si>
  <si>
    <t>A new radiology study appears as a chip in the OPD Rx tab</t>
  </si>
  <si>
    <t>1) Add a study under /settings/radiology 2) Open the OPD consultation workspace 3) Open the Rx tab 4) Look for the radiology chips</t>
  </si>
  <si>
    <t>The new study is offered as a radiology chip.</t>
  </si>
  <si>
    <t>MOCK_DATA_BOOK Phase 2 additions — Fluoroscopy Barium Swallow</t>
  </si>
  <si>
    <t>OPD, Radiology</t>
  </si>
  <si>
    <t>SETTINGS_PREREQ_MATRIX warns that with no radiology_study_master rows the radiology chips in the Rx tab are EMPTY. A doctor who cannot pick a study writes it as free text, and free text does not reach the radiology worklist.</t>
  </si>
  <si>
    <t>radiology_study_master where hospital_id = A → offered as a chip in the OPD Rx tab</t>
  </si>
  <si>
    <t>TC-P2G-087</t>
  </si>
  <si>
    <t>Editing a study fee persists</t>
  </si>
  <si>
    <t>1) Open /settings/radiology 2) Change a study fee 3) Save 4) Reload</t>
  </si>
  <si>
    <t>The new fee shows after the reload.</t>
  </si>
  <si>
    <t>MOCK_DATA_BOOK Radiology — the seven seeded study fees</t>
  </si>
  <si>
    <t>Imaging rates are revised as equipment contracts change. An edit that does not persist means the department bills the old rate on a scan whose cost has risen.</t>
  </si>
  <si>
    <t>radiology_study_master where hospital_id = A → the edited fee persists</t>
  </si>
  <si>
    <t>TC-P2G-088</t>
  </si>
  <si>
    <t>A study can be deactivated without being deleted</t>
  </si>
  <si>
    <t>1) Open /settings/radiology 2) Deactivate a study 3) Reload</t>
  </si>
  <si>
    <t>The study is marked inactive and the row still exists.</t>
  </si>
  <si>
    <t>Radiology, MRD</t>
  </si>
  <si>
    <t>A study withdrawn when a machine is decommissioned must stop being orderable while every historical report that used it still resolves its name.</t>
  </si>
  <si>
    <t>radiology_study_master → the row is inactive and still present</t>
  </si>
  <si>
    <t>TC-P2G-089</t>
  </si>
  <si>
    <t>Radiology settings survive a hard reload</t>
  </si>
  <si>
    <t>1) Open /settings/radiology 2) Create the Fluoroscopy modality and its study 3) Hard-reload 4) Locate both</t>
  </si>
  <si>
    <t>Both the modality and the study are still listed after the reload.</t>
  </si>
  <si>
    <t>MOCK_DATA_BOOK Phase 2 additions — Fluoroscopy modality and Barium Swallow study</t>
  </si>
  <si>
    <t>This screen writes to four tables — modalities, studies, PCPNDT settings and PACS config. A partial write that toasts success leaves a modality with no studies, which shows the radiographer "No studies configured".</t>
  </si>
  <si>
    <t>radiology_modalities and radiology_study_master → both rows persist</t>
  </si>
  <si>
    <t>TC-P2G-090</t>
  </si>
  <si>
    <t>Hospital A's radiology catalogue is invisible to Hospital B</t>
  </si>
  <si>
    <t>1) Sign in as the Hospital B administrator 2) Open /settings/radiology as Hospital B 3) Query radiology_study_master through the API with no hospital filter</t>
  </si>
  <si>
    <t>Not one Hospital A study is returned.</t>
  </si>
  <si>
    <t>Multi-tenancy, Radiology</t>
  </si>
  <si>
    <t>The PCPNDT registration numbers stored alongside are legal registrations tied to a named doctor and machine. Cross-tenant exposure of those is a regulatory disclosure, not just a rate-card leak.</t>
  </si>
  <si>
    <t>radiology_study_master queried as the Hospital B admin → zero rows with hospital_id = A</t>
  </si>
  <si>
    <t>TC-P2G-091</t>
  </si>
  <si>
    <t>A receptionist cannot edit the radiology catalogue</t>
  </si>
  <si>
    <t>1) Log in as receptionist (Hospital A) 2) Navigate directly to /settings/radiology</t>
  </si>
  <si>
    <t>Radiology, PCPNDT</t>
  </si>
  <si>
    <t>This screen holds the PCPNDT registration numbers. Altering them would put a wrong registration on a legal Form F, which is a PCPNDT offence attributable to the named doctor.</t>
  </si>
  <si>
    <t>TC-P2G-092</t>
  </si>
  <si>
    <t>The Radiology settings screen loads with no red console errors</t>
  </si>
  <si>
    <t>1) Open DevTools → Console 2) Open /settings/radiology 3) Create a modality and a study 4) Read the console</t>
  </si>
  <si>
    <t>No red console text from any of the four table writes.</t>
  </si>
  <si>
    <t>MOCK_DATA_BOOK Phase 2 additions — Fluoroscopy modality and study</t>
  </si>
  <si>
    <t>A failure on the PCPNDT or PACS write would leave the visible catalogue looking correct while Form F generation and image routing are both broken.</t>
  </si>
  <si>
    <t>TC-P2G-093</t>
  </si>
  <si>
    <t>ICD-10 Code Master loads</t>
  </si>
  <si>
    <t>1) Open /settings/icd-codes 2) Read the code list</t>
  </si>
  <si>
    <t>The screen renders with a searchable code list and an Add Code action. No red console errors.</t>
  </si>
  <si>
    <t>MOCK_DATA_BOOK Phase 2 additions — ICD-10 N18.5</t>
  </si>
  <si>
    <t>MRD, Insurance, PMJAY, Billing, Analytics</t>
  </si>
  <si>
    <t xml:space="preserve">Automated: FAILED.
Error: expect(locator).toBeVisible() failed
Locator: getByPlaceholder(/search code or description/i)
Expected: visible
Timeout: 15000ms
Error: element(s) not found
Call log:
  - Expect "toBeVisible" with timeout 15000ms
  - waiting for getByPlaceholder(/search code or description/i)</t>
  </si>
  <si>
    <t>SETTINGS_PREREQ_MATRIX lists the ICD-10 code set as a back-office prerequisite. Without it a diagnosis cannot be coded, and an uncoded claim is rejected by every insurer.</t>
  </si>
  <si>
    <t>hospital_icd_settings where hospital_id = A → matches what is displayed</t>
  </si>
  <si>
    <t>e2e/phase-02-settings/P2G.clinical.masters.spec.ts</t>
  </si>
  <si>
    <t>TC-P2G-094</t>
  </si>
  <si>
    <t>An ICD-10 code saves with its description</t>
  </si>
  <si>
    <t>1) Open /settings/icd-codes 2) Add code "N18.5" described as "Chronic kidney disease, stage 5" 3) Save</t>
  </si>
  <si>
    <t>The code and description persist.</t>
  </si>
  <si>
    <t>MOCK_DATA_BOOK Phase 2 additions — ICD-10 N18.5 Chronic kidney disease, stage 5</t>
  </si>
  <si>
    <t>MRD, Insurance, PMJAY</t>
  </si>
  <si>
    <t xml:space="preserve">Automated: FAILED.
TimeoutError: locator.click: Timeout 15000ms exceeded.
Call log:
  - waiting for getByRole('button', { name: /add code/i }).first()</t>
  </si>
  <si>
    <t>The ICD code is what a claim is adjudicated against and what the morbidity return reports. A wrong or missing code is a rejected claim and a distorted national health statistic.</t>
  </si>
  <si>
    <t>the ICD code set → N18.5 present with its description</t>
  </si>
  <si>
    <t>TC-P2G-095</t>
  </si>
  <si>
    <t>An ICD code cannot be saved without a code value</t>
  </si>
  <si>
    <t>1) Open /settings/icd-codes 2) Add an entry with a description but no Code 3) Save</t>
  </si>
  <si>
    <t>The save is refused and no entry is written.</t>
  </si>
  <si>
    <t>MRD, Insurance</t>
  </si>
  <si>
    <t>A description with no code cannot be submitted on a claim. The coder believes the diagnosis is coded and the claim is rejected weeks later for a missing code.</t>
  </si>
  <si>
    <t>the ICD code set → no entry with a blank code</t>
  </si>
  <si>
    <t>TC-P2G-096</t>
  </si>
  <si>
    <t>An ICD code cannot be saved without a description</t>
  </si>
  <si>
    <t>1) Open /settings/icd-codes 2) Add a code with no Description 3) Save</t>
  </si>
  <si>
    <t>None — deliberately omits the required Description</t>
  </si>
  <si>
    <t>A bare code is unsearchable by a coder who knows the condition but not the number. The diagnosis picker becomes usable only by someone who has memorised ICD-10.</t>
  </si>
  <si>
    <t>the ICD code set → no entry with a blank description</t>
  </si>
  <si>
    <t>TC-P2G-097</t>
  </si>
  <si>
    <t>A duplicate ICD code is rejected</t>
  </si>
  <si>
    <t>1) Open /settings/icd-codes 2) Add N18.5 3) Add it again 4) Count the entries</t>
  </si>
  <si>
    <t>Only one entry carries N18.5.</t>
  </si>
  <si>
    <t>phase2.invalid — duplicate ICD code N18.5</t>
  </si>
  <si>
    <t>MRD, Analytics</t>
  </si>
  <si>
    <t>Two entries for one code split the morbidity count, so a condition reported to the state health department is understated by however many cases used the duplicate.</t>
  </si>
  <si>
    <t>the ICD code set → N18.5 appears exactly once</t>
  </si>
  <si>
    <t>TC-P2G-098</t>
  </si>
  <si>
    <t>The common-Indian-codes-first preference saves</t>
  </si>
  <si>
    <t>1) Open /settings/icd-codes 2) Toggle "Show common Indian codes first in search results" 3) Save 4) Reload</t>
  </si>
  <si>
    <t>The preference persists after the reload.</t>
  </si>
  <si>
    <t>The common-codes toggle on SettingsICDCodesPage</t>
  </si>
  <si>
    <t>MRD, OPD</t>
  </si>
  <si>
    <t>ICD-10 has tens of thousands of codes and an Indian hospital uses a few hundred. Surfacing the common ones first is the difference between a two-second selection and a coder giving up and picking an approximate code.</t>
  </si>
  <si>
    <t>hospital_icd_settings where hospital_id = A → the preference persists</t>
  </si>
  <si>
    <t>TC-P2G-099</t>
  </si>
  <si>
    <t>The billable-only filter works</t>
  </si>
  <si>
    <t>1) Open /settings/icd-codes 2) Apply the "Billable only" filter 3) Read the results</t>
  </si>
  <si>
    <t>Only billable codes remain listed.</t>
  </si>
  <si>
    <t>The Billable only filter on SettingsICDCodesPage</t>
  </si>
  <si>
    <t>MRD, Billing, Insurance</t>
  </si>
  <si>
    <t xml:space="preserve">Automated: FAILED.
Error: No billable-only filter rendered. Non-billable category headers exist in ICD-10 and cannot be submitted on a claim — coding to one produces a rejection that reads as a coding error rather than a picker that offered an invalid option.
expect(received).toBeTruthy()
Received: false</t>
  </si>
  <si>
    <t>Non-billable category headers exist in ICD-10 and cannot be submitted on a claim. Coding to one produces a rejection that reads as a coding error rather than a picker that offered an invalid option.</t>
  </si>
  <si>
    <t>TC-P2G-100</t>
  </si>
  <si>
    <t>A new ICD code is searchable in the diagnosis picker</t>
  </si>
  <si>
    <t>1) Add N18.5 under /settings/icd-codes 2) Open a clinical screen with a diagnosis picker 3) Search for N18.5</t>
  </si>
  <si>
    <t>The code is offered in the diagnosis picker.</t>
  </si>
  <si>
    <t>MOCK_DATA_BOOK Phase 2 additions — ICD-10 N18.5, searchable in the diagnosis picker</t>
  </si>
  <si>
    <t>OPD, IPD, MRD, Insurance</t>
  </si>
  <si>
    <t>MOCK_DATA_BOOK adds N18.5 specifically so this hop is provable. A code configured here and absent from the picker means the coder cannot use it, and the diagnosis is recorded as free text that no claim can carry.</t>
  </si>
  <si>
    <t>the ICD code set → N18.5 is offered in the clinical diagnosis picker</t>
  </si>
  <si>
    <t>TC-P2G-101</t>
  </si>
  <si>
    <t>Hospital A's ICD settings are invisible to Hospital B</t>
  </si>
  <si>
    <t>1) Sign in as the Hospital B administrator 2) Open /settings/icd-codes as Hospital B 3) Query hospital_icd_settings through the API with no hospital filter</t>
  </si>
  <si>
    <t>No Hospital A ICD settings row is returned.</t>
  </si>
  <si>
    <t>Multi-tenancy, MRD</t>
  </si>
  <si>
    <t>A hospital's active code set reveals its clinical case mix. It is also a configuration one tenant must never be able to change for another.</t>
  </si>
  <si>
    <t>hospital_icd_settings queried as the Hospital B admin → zero rows with hospital_id = A</t>
  </si>
  <si>
    <t>TC-P2G-102</t>
  </si>
  <si>
    <t>The ICD-10 screen loads with no red console errors</t>
  </si>
  <si>
    <t>1) Open DevTools → Console 2) Open /settings/icd-codes 3) Add a code and search 4) Read the console</t>
  </si>
  <si>
    <t>No red console text from the read or write.</t>
  </si>
  <si>
    <t xml:space="preserve">Automated: FAILED.
TimeoutError: locator.fill: Timeout 15000ms exceeded.
Call log:
  - waiting for getByPlaceholder(/search code or description/i)</t>
  </si>
  <si>
    <t>A failed write that appears only in the console leaves the coder believing a code is available when it is not, and they find out with a patient chart open.</t>
  </si>
  <si>
    <t>TC-P2G-103</t>
  </si>
  <si>
    <t>Consent Forms screen loads</t>
  </si>
  <si>
    <t>1) Open /settings/consent-forms 2) Read the form list</t>
  </si>
  <si>
    <t>The screen renders with an Add Consent Form action. No red console errors.</t>
  </si>
  <si>
    <t>MOCK_DATA_BOOK Phase 2 additions — Haemodialysis Consent</t>
  </si>
  <si>
    <t>OT, IPD, Day Care, Anaesthesia, Quality</t>
  </si>
  <si>
    <t>SETTINGS_PREREQ_MATRIX lists consent form templates as an Emergency and OT prerequisite. A procedure performed without a signed consent is a medico-legal exposure with no defence.</t>
  </si>
  <si>
    <t>consent_form_templates where hospital_id = A → matches the list displayed</t>
  </si>
  <si>
    <t>TC-P2G-104</t>
  </si>
  <si>
    <t>A consent form saves with its body text</t>
  </si>
  <si>
    <t>1) Open /settings/consent-forms 2) Add "Haemodialysis Consent" with its consent text 3) Save</t>
  </si>
  <si>
    <t>A consent_form_templates row exists with the name and the full body text.</t>
  </si>
  <si>
    <t>MOCK_DATA_BOOK Phase 2 additions — Haemodialysis Consent with its body text</t>
  </si>
  <si>
    <t>OT, IPD, Dialysis, Quality</t>
  </si>
  <si>
    <t>The body text is what the patient signs. Truncated or lost, the hospital holds a signature against a document that does not say what it was supposed to say.</t>
  </si>
  <si>
    <t>consent_form_templates where hospital_id = A and name = 'Haemodialysis Consent' → body text stored in full</t>
  </si>
  <si>
    <t>TC-P2G-105</t>
  </si>
  <si>
    <t>A consent form cannot be saved without a name</t>
  </si>
  <si>
    <t>1) Open /settings/consent-forms 2) Add a form with body text but no Form Name 3) Save</t>
  </si>
  <si>
    <t>None — deliberately omits the required Form Name</t>
  </si>
  <si>
    <t>OT, IPD</t>
  </si>
  <si>
    <t>An unnamed consent renders as a blank option in the procedure consent picker, so the wrong form is printed for a patient about to sign it.</t>
  </si>
  <si>
    <t>consent_form_templates where hospital_id = A and (name is null or name = '') → 0 rows</t>
  </si>
  <si>
    <t>TC-P2G-106</t>
  </si>
  <si>
    <t>A consent form cannot be saved with empty content</t>
  </si>
  <si>
    <t>1) Open /settings/consent-forms 2) Add a form with a name but no Content 3) Save</t>
  </si>
  <si>
    <t>The save is refused, or the empty form is visibly flagged as not usable.</t>
  </si>
  <si>
    <t>None — deliberately omits the Content</t>
  </si>
  <si>
    <t>OT, IPD, Quality</t>
  </si>
  <si>
    <t>A blank consent form is printed, signed and filed. The hospital then holds a signature on an empty page, which is worse than having no consent at all because it looks like the process was followed.</t>
  </si>
  <si>
    <t>consent_form_templates where hospital_id = A → no row with empty content</t>
  </si>
  <si>
    <t>TC-P2G-107</t>
  </si>
  <si>
    <t>The consent type saves</t>
  </si>
  <si>
    <t>1) Open /settings/consent-forms 2) Set a Consent Type on a form 3) Save 4) Reload</t>
  </si>
  <si>
    <t>The consent type persists after the reload.</t>
  </si>
  <si>
    <t>The Consent Type options on SettingsConsentFormsPage</t>
  </si>
  <si>
    <t>OT, IPD, Anaesthesia</t>
  </si>
  <si>
    <t>Consent type decides where the form is offered — surgical consent must appear at OT booking, not at outpatient registration. Untyped forms appear everywhere or nowhere.</t>
  </si>
  <si>
    <t>consent_form_templates where hospital_id = A → consent type recorded</t>
  </si>
  <si>
    <t>TC-P2G-108</t>
  </si>
  <si>
    <t>A new consent form appears in the procedure consent picker</t>
  </si>
  <si>
    <t>1) Add Haemodialysis Consent under /settings/consent-forms 2) Open a procedure that requires consent 3) Open the consent picker</t>
  </si>
  <si>
    <t>The new form is offered.</t>
  </si>
  <si>
    <t>MOCK_DATA_BOOK Phase 2 additions — Haemodialysis Consent must appear in the procedure consent picker</t>
  </si>
  <si>
    <t>OT, IPD, Dialysis</t>
  </si>
  <si>
    <t>MOCK_DATA_BOOK states this downstream requirement explicitly. A form configured here and absent from the picker means the procedure goes ahead on a generic consent, or on none.</t>
  </si>
  <si>
    <t>consent_form_templates → the form is offered in the procedure consent picker</t>
  </si>
  <si>
    <t>TC-P2G-109</t>
  </si>
  <si>
    <t>Hospital A's consent forms are invisible to Hospital B</t>
  </si>
  <si>
    <t>1) Sign in as the Hospital B administrator 2) Open /settings/consent-forms as Hospital B 3) Query consent_form_templates through the API with no hospital filter</t>
  </si>
  <si>
    <t>Not one Hospital A consent form is returned.</t>
  </si>
  <si>
    <t>Multi-tenancy, OT, Quality</t>
  </si>
  <si>
    <t>A consent form names the hospital and carries its own legal wording, reviewed by its own advisers. One hospital printing another's consent text puts an unreviewed legal document in front of a patient.</t>
  </si>
  <si>
    <t>consent_form_templates queried as the Hospital B admin → zero rows with hospital_id = A</t>
  </si>
  <si>
    <t>TC-P2G-110</t>
  </si>
  <si>
    <t>A saved consent form survives a hard reload</t>
  </si>
  <si>
    <t>1) Open /settings/consent-forms 2) Create Haemodialysis Consent 3) Hard-reload 4) Locate the form</t>
  </si>
  <si>
    <t>The form is still listed with its body text intact.</t>
  </si>
  <si>
    <t>A false save means the consent is missing at the moment a procedure is being booked, and the ward improvises with a handwritten form that nobody has reviewed.</t>
  </si>
  <si>
    <t>consent_form_templates where hospital_id = A and name = 'Haemodialysis Consent' → 1 row</t>
  </si>
  <si>
    <t>TC-P2G-111</t>
  </si>
  <si>
    <t>OT Checklist screen loads with the WHO surgical safety structure</t>
  </si>
  <si>
    <t>1) Open /settings/ot-checklist 2) Read the checklist</t>
  </si>
  <si>
    <t>The WHO surgical safety checklist structure renders — sign in, time out and sign out. No red console errors.</t>
  </si>
  <si>
    <t>The WHO surgical safety checklist rendered by SettingsOTChecklistPage</t>
  </si>
  <si>
    <t>OT, Anaesthesia, Quality</t>
  </si>
  <si>
    <t>The WHO checklist is a NABH requirement and the single most evidenced patient-safety intervention in surgery. It has to be present before the first case is booked.</t>
  </si>
  <si>
    <t>ot_checklist_custom_items where hospital_id = A → custom items match what is displayed</t>
  </si>
  <si>
    <t>TC-P2G-112</t>
  </si>
  <si>
    <t>A custom checklist item saves</t>
  </si>
  <si>
    <t>1) Open /settings/ot-checklist 2) Add "Confirm dialysis access site is marked" 3) Save</t>
  </si>
  <si>
    <t>An ot_checklist_custom_items row exists with that text.</t>
  </si>
  <si>
    <t>phase2.entry./settings/ot-checklist — "Confirm dialysis access site is marked"</t>
  </si>
  <si>
    <t>OT, Quality</t>
  </si>
  <si>
    <t>Site marking is the control against wrong-site surgery. A custom item that does not save means the check is never presented to the team, and the hospital believes its checklist covers it.</t>
  </si>
  <si>
    <t>ot_checklist_custom_items where hospital_id = A → the item text is stored</t>
  </si>
  <si>
    <t>TC-P2G-113</t>
  </si>
  <si>
    <t>An empty checklist item is refused</t>
  </si>
  <si>
    <t>1) Open /settings/ot-checklist 2) Attempt to add a blank item 3) Save</t>
  </si>
  <si>
    <t>None — deliberately submits a blank checklist item</t>
  </si>
  <si>
    <t>OT</t>
  </si>
  <si>
    <t>A blank item renders as an unlabelled checkbox the team must tick without knowing what they are confirming. That converts a safety checklist into a box-ticking ritual.</t>
  </si>
  <si>
    <t>ot_checklist_custom_items where hospital_id = A → no row with empty text</t>
  </si>
  <si>
    <t>TC-P2G-114</t>
  </si>
  <si>
    <t>A custom checklist item can be removed</t>
  </si>
  <si>
    <t>1) Open /settings/ot-checklist 2) Delete a custom item 3) Reload</t>
  </si>
  <si>
    <t>The item is gone and does not return after the reload.</t>
  </si>
  <si>
    <t>phase2.entry./settings/ot-checklist — the custom dialysis item</t>
  </si>
  <si>
    <t>A checklist that only grows becomes too long to complete honestly, and a team that cannot finish it starts ticking without reading. Removing obsolete items is a safety act, not tidying.</t>
  </si>
  <si>
    <t>ot_checklist_custom_items → the row is deleted and stays deleted</t>
  </si>
  <si>
    <t>TC-P2G-115</t>
  </si>
  <si>
    <t>Custom checklist items survive a hard reload</t>
  </si>
  <si>
    <t>1) Open /settings/ot-checklist 2) Add a custom item 3) Hard-reload 4) Look for the item</t>
  </si>
  <si>
    <t>The item is still listed after the reload.</t>
  </si>
  <si>
    <t>A false save here means a safety check the hospital deliberately added is silently absent from every subsequent operation.</t>
  </si>
  <si>
    <t>ot_checklist_custom_items where hospital_id = A → the item persists</t>
  </si>
  <si>
    <t>TC-P2G-116</t>
  </si>
  <si>
    <t>A custom checklist item appears in the OT workflow</t>
  </si>
  <si>
    <t>1) Add a custom item under /settings/ot-checklist 2) Open an OT case 3) Open the surgical safety checklist</t>
  </si>
  <si>
    <t>The custom item is presented alongside the standard WHO items.</t>
  </si>
  <si>
    <t>A checklist item configured but never presented is worse than not adding it — the hospital documents the control in its quality manual and the theatre never performs it.</t>
  </si>
  <si>
    <t>ot_checklist_custom_items → the item is presented in the OT case checklist</t>
  </si>
  <si>
    <t>TC-P2G-117</t>
  </si>
  <si>
    <t>Hospital A's OT checklist items are invisible to Hospital B</t>
  </si>
  <si>
    <t>1) Sign in as the Hospital B administrator 2) Open /settings/ot-checklist as Hospital B 3) Query ot_checklist_custom_items through the API with no hospital filter</t>
  </si>
  <si>
    <t>Not one Hospital A checklist item is returned.</t>
  </si>
  <si>
    <t>Multi-tenancy, OT</t>
  </si>
  <si>
    <t>A surgical checklist is specific to a hospital's own procedures and equipment. Inheriting another's would present a theatre team with checks that do not apply and omit the ones that do.</t>
  </si>
  <si>
    <t>ot_checklist_custom_items queried as the Hospital B admin → zero rows with hospital_id = A</t>
  </si>
  <si>
    <t>TC-P2G-118</t>
  </si>
  <si>
    <t>The OT Checklist screen loads with no red console errors</t>
  </si>
  <si>
    <t>1) Open DevTools → Console 2) Open /settings/ot-checklist 3) Add and remove an item 4) Read the console</t>
  </si>
  <si>
    <t>No red console text.</t>
  </si>
  <si>
    <t>A failed write that appears only in the console leaves the quality manager believing a safety check is in place across every theatre.</t>
  </si>
  <si>
    <t>TC-P2G-119</t>
  </si>
  <si>
    <t>Clinical Protocols loads its rows from clinical_protocols rather than a hardcoded list</t>
  </si>
  <si>
    <t>1) Open /settings/protocols 2) Read the protocol table</t>
  </si>
  <si>
    <t>The table reflects the clinical_protocols rows for Hospital A. If none exist it shows an empty state, NOT the five placeholder protocols.</t>
  </si>
  <si>
    <t>phase2.entry./settings/protocols — Acute Kidney Injury Bundle</t>
  </si>
  <si>
    <t>IPD, Nursing, Emergency, Quality, IPC</t>
  </si>
  <si>
    <t>REGRESSION LOCK for BUG-P2-005. This screen rendered five hardcoded protocols and never queried the database, so every hospital saw the same fake Sepsis Bundle and Code Blue while its own protocols existed nowhere.</t>
  </si>
  <si>
    <t>clinical_protocols where hospital_id = A → matches the rows displayed</t>
  </si>
  <si>
    <t>TC-P2G-120</t>
  </si>
  <si>
    <t>A new protocol saves to clinical_protocols</t>
  </si>
  <si>
    <t>1) Open /settings/protocols 2) Add "Acute Kidney Injury Bundle" in category Critical Care with five steps 3) Click "Save Protocol"</t>
  </si>
  <si>
    <t>A clinical_protocols row exists with the name, category, description and all five steps.</t>
  </si>
  <si>
    <t>phase2.entry./settings/protocols — Acute Kidney Injury Bundle with its five steps</t>
  </si>
  <si>
    <t>IPD, Nursing, Quality</t>
  </si>
  <si>
    <t>REGRESSION LOCK for BUG-P2-005. Saving showed a green toast and issued zero Supabase calls, so a protocol a hospital wrote vanished on reload. A protocol nobody can retrieve is a protocol nobody follows.</t>
  </si>
  <si>
    <t>clinical_protocols where hospital_id = A and protocol_name = 'Acute Kidney Injury Bundle' → 1 row with 5 steps</t>
  </si>
  <si>
    <t>TC-P2G-121</t>
  </si>
  <si>
    <t>Protocol steps save in order as a list</t>
  </si>
  <si>
    <t>1) Open /settings/protocols 2) Create a protocol with five ordered steps 3) Save 4) Reload and re-open it</t>
  </si>
  <si>
    <t>All five steps are present, in the order they were entered.</t>
  </si>
  <si>
    <t>phase2.entry./settings/protocols — the five AKI bundle steps in order</t>
  </si>
  <si>
    <t>IPD, Nursing, Emergency</t>
  </si>
  <si>
    <t>A protocol is a sequence. "Stop nephrotoxics" before "assess volume status" is the clinical order that matters, and steps reordered on save turn a bundle into a list of unrelated actions.</t>
  </si>
  <si>
    <t>clinical_protocols where hospital_id = A and protocol_name = 'Acute Kidney Injury Bundle' → steps in entry order</t>
  </si>
  <si>
    <t>TC-P2G-122</t>
  </si>
  <si>
    <t>A protocol cannot be saved without a name</t>
  </si>
  <si>
    <t>1) Open /settings/protocols 2) Add a protocol with steps but no Name 3) Click "Save Protocol"</t>
  </si>
  <si>
    <t>A destructive toast reads "Protocol name is required" and no row is written.</t>
  </si>
  <si>
    <t>None — deliberately omits the required protocol Name</t>
  </si>
  <si>
    <t>IPD, Quality</t>
  </si>
  <si>
    <t>An unnamed protocol cannot be found when a nurse needs it at the bedside, and it renders as a blank row in the protocol list.</t>
  </si>
  <si>
    <t>clinical_protocols where hospital_id = A and (protocol_name is null or protocol_name = '') → 0 rows</t>
  </si>
  <si>
    <t>TC-P2G-123</t>
  </si>
  <si>
    <t>A protocol cannot be saved with no steps</t>
  </si>
  <si>
    <t>1) Open /settings/protocols 2) Add a protocol with a name but every step blank 3) Click "Save Protocol"</t>
  </si>
  <si>
    <t>A destructive toast explains that at least one step is required, and no row is written.</t>
  </si>
  <si>
    <t>None — deliberately leaves every step blank</t>
  </si>
  <si>
    <t>A protocol with no steps tells the ward nothing. It appears in the protocol list, a nurse opens it during an emergency, and it is empty.</t>
  </si>
  <si>
    <t>clinical_protocols where hospital_id = A → every row has at least one step</t>
  </si>
  <si>
    <t>TC-P2G-124</t>
  </si>
  <si>
    <t>A protocol can be edited and the change persists</t>
  </si>
  <si>
    <t>1) Open /settings/protocols 2) Open an existing protocol 3) Add a step 4) Save 5) Reload</t>
  </si>
  <si>
    <t>The added step is present after the reload.</t>
  </si>
  <si>
    <t>Protocols are revised as guidelines change. An edit that toasts success without persisting means the ward keeps following the superseded version while the quality manual says otherwise.</t>
  </si>
  <si>
    <t>clinical_protocols → the edited steps persist</t>
  </si>
  <si>
    <t>TC-P2G-125</t>
  </si>
  <si>
    <t>A protocol can be deactivated and reactivated</t>
  </si>
  <si>
    <t>1) Open /settings/protocols 2) Switch a protocol inactive 3) Reload 4) Switch it back</t>
  </si>
  <si>
    <t>clinical_protocols.is_active follows the toggle in both directions and survives the reload.</t>
  </si>
  <si>
    <t>A superseded protocol must stop being offered while the record of what was in force at the time of an incident stays intact. Deleting would destroy the evidence a review depends on.</t>
  </si>
  <si>
    <t>clinical_protocols → is_active toggles both ways and persists</t>
  </si>
  <si>
    <t>TC-P2G-126</t>
  </si>
  <si>
    <t>The protocol category saves</t>
  </si>
  <si>
    <t>1) Open /settings/protocols 2) Set Category to Critical Care 3) Save 4) Reload</t>
  </si>
  <si>
    <t>phase2.entry./settings/protocols — category Critical Care</t>
  </si>
  <si>
    <t>IPD, Emergency, Quality</t>
  </si>
  <si>
    <t>Category is how a nurse finds the right protocol under pressure. Uncategorised protocols sit in one undifferentiated list that nobody scrolls during an emergency.</t>
  </si>
  <si>
    <t>clinical_protocols where hospital_id = A → category = 'Critical Care' on the AKI bundle</t>
  </si>
  <si>
    <t>TC-P2G-127</t>
  </si>
  <si>
    <t>A saved protocol survives a hard reload</t>
  </si>
  <si>
    <t>1) Open /settings/protocols 2) Create the AKI bundle 3) Hard-reload 4) Locate the protocol</t>
  </si>
  <si>
    <t>The protocol is still listed with its steps intact.</t>
  </si>
  <si>
    <t>REGRESSION LOCK for BUG-P2-005. Before the fix everything lived in component state, so a reload wiped it and clinical_protocols stayed empty while the UI looked healthy.</t>
  </si>
  <si>
    <t>clinical_protocols where hospital_id = A and protocol_name = 'Acute Kidney Injury Bundle' → 1 row</t>
  </si>
  <si>
    <t>TC-P2G-128</t>
  </si>
  <si>
    <t>Hospital A's protocols are invisible to Hospital B</t>
  </si>
  <si>
    <t>1) Sign in as the Hospital B administrator 2) Open /settings/protocols as Hospital B 3) Query clinical_protocols through the API with no hospital filter</t>
  </si>
  <si>
    <t>Not one Hospital A protocol is returned.</t>
  </si>
  <si>
    <t>Multi-tenancy, IPD, Quality</t>
  </si>
  <si>
    <t>A treatment protocol is specific to a hospital's own drug formulary, equipment and staffing. Before the fix this table was never queried at all, so its RLS has never been exercised — this is the first case that proves it works.</t>
  </si>
  <si>
    <t>clinical_protocols queried as the Hospital B admin → zero rows with hospital_id = A</t>
  </si>
  <si>
    <t>TC-P2G-129</t>
  </si>
  <si>
    <t>A receptionist cannot edit clinical protocols</t>
  </si>
  <si>
    <t>1) Log in as receptionist (Hospital A) 2) Navigate directly to /settings/protocols</t>
  </si>
  <si>
    <t>A clinical protocol is a standing medical order the ward follows. Editing one is a clinical governance act, not an administrative one.</t>
  </si>
  <si>
    <t>TC-P2G-130</t>
  </si>
  <si>
    <t>The Clinical Protocols screen loads with no red console errors</t>
  </si>
  <si>
    <t>1) Open DevTools → Console 2) Open /settings/protocols 3) Create and edit a protocol 4) Read the console</t>
  </si>
  <si>
    <t>No red console text, and specifically no PostgREST error from a clinical_protocols column the query names and the schema lacks.</t>
  </si>
  <si>
    <t>This screen was rewired to a table it had never touched. A column-name mismatch on the jsonb steps column would surface only here while the UI carried on looking healthy.</t>
  </si>
  <si>
    <t>TC-P2G-131</t>
  </si>
  <si>
    <t>Alert Thresholds screen loads</t>
  </si>
  <si>
    <t>1) Open /settings/clinical-thresholds 2) Read the threshold list</t>
  </si>
  <si>
    <t>Vitals and lab critical-value thresholds render. No red console errors.</t>
  </si>
  <si>
    <t>SETTINGS_PREREQ_MATRIX lists clinical thresholds as an Emergency prerequisite. They decide when an alert fires, so an unconfigured threshold means either silence or constant noise.</t>
  </si>
  <si>
    <t>hospital_settings where hospital_id = A → the thresholds key matches what is displayed</t>
  </si>
  <si>
    <t>TC-P2G-132</t>
  </si>
  <si>
    <t>A critical high threshold saves</t>
  </si>
  <si>
    <t>1) Open /settings/clinical-thresholds 2) Set Serum Potassium critical high to 6.0 3) Save 4) Reload</t>
  </si>
  <si>
    <t>The threshold persists at 6.0 after the reload.</t>
  </si>
  <si>
    <t>phase2.entry./settings/clinical-thresholds — criticalHigh 6.0</t>
  </si>
  <si>
    <t>MOCK_DATA_BOOK sets this deliberately as a LOWER critical bar than the seeded default — the hospital is choosing to be paged earlier. If it does not save, the hospital believes it has tightened the threshold and it has not.</t>
  </si>
  <si>
    <t>hospital_settings thresholds → Serum Potassium critical high = 6.0</t>
  </si>
  <si>
    <t>TC-P2G-133</t>
  </si>
  <si>
    <t>A critical high below the normal maximum is refused or warned</t>
  </si>
  <si>
    <t>1) Open /settings/clinical-thresholds 2) Set a critical high below that analyte's normal maximum 3) Save</t>
  </si>
  <si>
    <t>The screen refuses it or warns clearly. A critical value inside the normal range would fire on healthy patients.</t>
  </si>
  <si>
    <t>MOCK_DATA_BOOK Lab test master — Serum Potassium normal 3.5–5.1</t>
  </si>
  <si>
    <t>A critical high of 4.0 against a normal range topping out at 5.1 would page a doctor for every healthy patient. Within a day the ward mutes the alert, and the genuine 7.2 goes unseen — alert fatigue caused by configuration.</t>
  </si>
  <si>
    <t>hospital_settings thresholds → no critical high below the analyte normal maximum</t>
  </si>
  <si>
    <t>TC-P2G-134</t>
  </si>
  <si>
    <t>A critical low above the normal minimum is refused or warned</t>
  </si>
  <si>
    <t>1) Open /settings/clinical-thresholds 2) Set a critical low above that analyte's normal minimum 3) Save</t>
  </si>
  <si>
    <t>The screen refuses it or warns clearly.</t>
  </si>
  <si>
    <t>The mirror of the previous case. A critical low inside the normal range fires on every healthy result and trains staff to dismiss the alert channel entirely.</t>
  </si>
  <si>
    <t>hospital_settings thresholds → no critical low above the analyte normal minimum</t>
  </si>
  <si>
    <t>TC-P2G-135</t>
  </si>
  <si>
    <t>A vitals threshold saves</t>
  </si>
  <si>
    <t>1) Open /settings/clinical-thresholds 2) Set a vitals threshold such as SpO₂ low 3) Save 4) Reload</t>
  </si>
  <si>
    <t>The vitals threshold persists after the reload.</t>
  </si>
  <si>
    <t>MOCK_DATA_BOOK Values used across many tests — abnormal vitals SpO₂ 89%</t>
  </si>
  <si>
    <t>Nursing, IPD, Emergency</t>
  </si>
  <si>
    <t>Vitals thresholds drive NEWS2 scoring and the deteriorating-patient alert. The seeded sepsis vitals — SpO₂ 89%, RR 28, BP 86/54 — exist to prove the escalation fires.</t>
  </si>
  <si>
    <t>hospital_settings thresholds → the vitals threshold persists</t>
  </si>
  <si>
    <t>TC-P2G-136</t>
  </si>
  <si>
    <t>A non-numeric threshold is refused</t>
  </si>
  <si>
    <t>1) Open /settings/clinical-thresholds 2) Enter a non-numeric threshold value 3) Save</t>
  </si>
  <si>
    <t xml:space="preserve">Automated: FAILED.
Error: locator.fill: Error: Cannot type text into input[type=number]
Call log:
  - waiting for locator('input[type="number"]').first()
    - locator resolved to &lt;input value="40" type="number" class="flex rounded-md border border-input bg-background px-3 py-2 text-base ring-offset-background file:border-0 file:bg-transparent file:text-sm file:font-medium file:text-foreground placeholder:text-muted-foreground focus-visible:outline-none focus-visible:ring-2 focus-visible:ring-ring focus-visible:ring-offset-2 disabled:cursor-not-allowed disabled:opacity-50 md:text-sm w-24 h-8"/&gt;
    - fill("abc")
  - attempting fill action
    - waiting for element to be visible, enabled and editable</t>
  </si>
  <si>
    <t>A threshold that parses to NaN compares false against every result, so the alert never fires and the screen still shows a configured threshold.</t>
  </si>
  <si>
    <t>hospital_settings thresholds → every stored threshold is numeric</t>
  </si>
  <si>
    <t>TC-P2G-137</t>
  </si>
  <si>
    <t>A tightened threshold overrides the seeded default</t>
  </si>
  <si>
    <t>1) Open /settings/clinical-thresholds and note the default critical potassium threshold 2) Set it to 6.0 3) Open /lab and enter a potassium result of 6.5 4) Observe the alert</t>
  </si>
  <si>
    <t>The 6.5 result fires a critical alert against the configured 6.0, not against the higher default.</t>
  </si>
  <si>
    <t>MOCK_DATA_BOOK Phase 2 additions — Serum Potassium critical high 6.0, a lower bar than the seeded one</t>
  </si>
  <si>
    <t>MOCK_DATA_BOOK describes this row as overriding the default with a lower critical bar. If the override is stored but not read, the hospital has explicitly asked to be paged earlier and is not.</t>
  </si>
  <si>
    <t>hospital_settings thresholds → the configured 6.0 is used in preference to the default</t>
  </si>
  <si>
    <t>TC-P2G-138</t>
  </si>
  <si>
    <t>Thresholds survive a hard reload</t>
  </si>
  <si>
    <t>1) Open /settings/clinical-thresholds 2) Set a threshold 3) Hard-reload 4) Re-read it</t>
  </si>
  <si>
    <t>The threshold is still set after the reload.</t>
  </si>
  <si>
    <t>A false save leaves the hospital on defaults it did not choose, and it will only discover that when an alert it expected does not arrive.</t>
  </si>
  <si>
    <t>hospital_settings thresholds → the value persists</t>
  </si>
  <si>
    <t>TC-P2G-139</t>
  </si>
  <si>
    <t>Hospital A's thresholds are invisible to Hospital B</t>
  </si>
  <si>
    <t>1) Sign in as the Hospital B administrator 2) Open /settings/clinical-thresholds as Hospital B 3) Query hospital_settings through the API with no hospital filter</t>
  </si>
  <si>
    <t>No Hospital A thresholds row is returned.</t>
  </si>
  <si>
    <t>Multi-tenancy, Lab, Nursing</t>
  </si>
  <si>
    <t>Thresholds are a clinical safety parameter. One hospital tightening a critical value must never loosen it at another, and hospital_settings has no per-role RLS to fall back on.</t>
  </si>
  <si>
    <t>TC-P2G-140</t>
  </si>
  <si>
    <t>A receptionist cannot change clinical thresholds</t>
  </si>
  <si>
    <t>1) Log in as receptionist (Hospital A) 2) Navigate directly to /settings/clinical-thresholds</t>
  </si>
  <si>
    <t>Lab, Nursing, Emergency</t>
  </si>
  <si>
    <t>Widening a critical threshold suppresses the alert that would otherwise page a doctor. That is a clinical decision with a direct patient-safety consequence.</t>
  </si>
  <si>
    <t>TC-P2G-141</t>
  </si>
  <si>
    <t>A threshold change is written to the config change log</t>
  </si>
  <si>
    <t>1) Open /settings/clinical-thresholds 2) Change a threshold 3) Save 4) Open /settings/change-log</t>
  </si>
  <si>
    <t>A config_change_logs entry records the change.</t>
  </si>
  <si>
    <t>Quality, Audit, Lab</t>
  </si>
  <si>
    <t>If an alert failed to fire during an incident, the review has to establish what the threshold was at the time. An unlogged change makes that unanswerable.</t>
  </si>
  <si>
    <t>config_change_logs where hospital_id = A → an entry exists for the threshold change</t>
  </si>
  <si>
    <t>TC-P2G-142</t>
  </si>
  <si>
    <t>The Alert Thresholds screen loads with no red console errors</t>
  </si>
  <si>
    <t>1) Open DevTools → Console 2) Open /settings/clinical-thresholds 3) Save a threshold 4) Read the console</t>
  </si>
  <si>
    <t>Thresholds are stored as a JSON blob under a hospital_settings key. A malformed blob rejected by Postgres would surface only here while the UI reports the threshold saved.</t>
  </si>
  <si>
    <t>TC-P2G-143</t>
  </si>
  <si>
    <t>Day Care Procedures screen loads</t>
  </si>
  <si>
    <t>1) Open /settings/day-care-procedures 2) Read the procedure list</t>
  </si>
  <si>
    <t>The screen renders with an Add Procedure action. No red console errors.</t>
  </si>
  <si>
    <t>MOCK_DATA_BOOK Phase 2 additions — Haemodialysis Session (Day Care) ₹2,200</t>
  </si>
  <si>
    <t>Day Care, IPD, Billing</t>
  </si>
  <si>
    <t>SETTINGS_PREREQ_MATRIX warns that without day_care_procedures the day-care procedure picker is empty, so a same-day case cannot be booked against anything billable.</t>
  </si>
  <si>
    <t>day_care_procedures where hospital_id = A → matches the list displayed</t>
  </si>
  <si>
    <t>TC-P2G-144</t>
  </si>
  <si>
    <t>A day care procedure saves with its standard rate</t>
  </si>
  <si>
    <t>1) Open /settings/day-care-procedures 2) Add "Haemodialysis Session (Day Care)" at ₹2,200 3) Save</t>
  </si>
  <si>
    <t>A day_care_procedures row exists with rate 2200.</t>
  </si>
  <si>
    <t>Day Care, Billing, Dialysis</t>
  </si>
  <si>
    <t>The standard rate is what the day-care case bills. Without it the procedure is performed and charged at zero, and a dialysis unit running three sessions a week per patient loses a great deal quickly.</t>
  </si>
  <si>
    <t>day_care_procedures where hospital_id = A and name = 'Haemodialysis Session (Day Care)' → rate = 2200</t>
  </si>
  <si>
    <t>TC-P2G-145</t>
  </si>
  <si>
    <t>A day care procedure cannot be saved without a name or rate</t>
  </si>
  <si>
    <t>1) Open /settings/day-care-procedures 2) Attempt to save a procedure missing the Name, then one missing the Standard Rate 3) Observe both</t>
  </si>
  <si>
    <t>Both saves are refused and no rows are written.</t>
  </si>
  <si>
    <t>None — deliberately omits the required Procedure Name and Standard Rate</t>
  </si>
  <si>
    <t>Day Care, Billing</t>
  </si>
  <si>
    <t>Both fields are marked required on the form. An unnamed procedure is unbookable and an unpriced one is unbillable, and neither failure is visible until a patient is already in the chair.</t>
  </si>
  <si>
    <t>day_care_procedures where hospital_id = A → name and rate set on every row</t>
  </si>
  <si>
    <t>TC-P2G-146</t>
  </si>
  <si>
    <t>The PMJAY code saves against a day care procedure</t>
  </si>
  <si>
    <t>1) Open /settings/day-care-procedures 2) Enter a PMJAY Code 3) Save 4) Reload</t>
  </si>
  <si>
    <t>The PMJAY code persists after the reload.</t>
  </si>
  <si>
    <t>Literal PMJAY code P-001 (the placeholder the field itself suggests)</t>
  </si>
  <si>
    <t>Day Care, PMJAY, Insurance</t>
  </si>
  <si>
    <t>A PMJAY claim is adjudicated against the package code. Without it a scheme patient's day-care procedure cannot be claimed and the hospital absorbs the cost.</t>
  </si>
  <si>
    <t>day_care_procedures where hospital_id = A → PMJAY code recorded</t>
  </si>
  <si>
    <t>TC-P2G-147</t>
  </si>
  <si>
    <t>The deposit percentage saves</t>
  </si>
  <si>
    <t>1) Open /settings/day-care-procedures 2) Set "Deposit required (% of procedure rate)" 3) Save 4) Reload</t>
  </si>
  <si>
    <t>The deposit percentage persists after the reload.</t>
  </si>
  <si>
    <t>The deposit percentage field on SettingsDayCareProceduresPage</t>
  </si>
  <si>
    <t>Day Care, Billing, Payments</t>
  </si>
  <si>
    <t xml:space="preserve">Automated: FAILED.
Error: The deposit is collected before the procedure starts. Unset, the case proceeds with nothing paid and the hospital chases the money after the patient has gone home.
expect(received).toBe(expected) // Object.is equality
Expected: 25
Received: 100</t>
  </si>
  <si>
    <t>The deposit is collected before the procedure starts. Unset, the case proceeds with nothing paid and the hospital chases the money after the patient has gone home.</t>
  </si>
  <si>
    <t>hospital_settings or day_care_procedures → the deposit percentage persists</t>
  </si>
  <si>
    <t>TC-P2G-148</t>
  </si>
  <si>
    <t>The insurance pre-authorisation flag saves</t>
  </si>
  <si>
    <t>1) Open /settings/day-care-procedures 2) Toggle "Insurance Pre-Authorisation Required" 3) Save 4) Reload</t>
  </si>
  <si>
    <t>The flag persists after the reload.</t>
  </si>
  <si>
    <t>The Insurance Pre-Authorisation Required toggle on SettingsDayCareProceduresPage</t>
  </si>
  <si>
    <t>Day Care, Insurance</t>
  </si>
  <si>
    <t>A procedure performed without a required pre-authorisation is a claim the insurer will decline outright. The flag is what makes the desk stop and obtain approval first.</t>
  </si>
  <si>
    <t>day_care_procedures where hospital_id = A → the pre-auth flag persists</t>
  </si>
  <si>
    <t>TC-P2G-149</t>
  </si>
  <si>
    <t>A new day care procedure appears in the day-care procedure picker</t>
  </si>
  <si>
    <t>1) Add Haemodialysis Session (Day Care) under /settings/day-care-procedures 2) Open the day care module 3) Open the procedure picker</t>
  </si>
  <si>
    <t>The new procedure is offered.</t>
  </si>
  <si>
    <t>MOCK_DATA_BOOK Phase 2 additions — Haemodialysis Session (Day Care) must appear in the day-care procedure picker</t>
  </si>
  <si>
    <t>Day Care, Dialysis, Billing</t>
  </si>
  <si>
    <t>MOCK_DATA_BOOK states this downstream requirement explicitly. A procedure configured here and missing from the picker means the day-care case is booked as something else, or not booked at all.</t>
  </si>
  <si>
    <t>day_care_procedures → the procedure is offered in the day-care picker</t>
  </si>
  <si>
    <t>TC-P2G-150</t>
  </si>
  <si>
    <t>Hospital A's day care procedures are invisible to Hospital B</t>
  </si>
  <si>
    <t>1) Sign in as the Hospital B administrator 2) Open /settings/day-care-procedures as Hospital B 3) Query day_care_procedures through the API with no hospital filter</t>
  </si>
  <si>
    <t>Not one Hospital A procedure is returned.</t>
  </si>
  <si>
    <t>Multi-tenancy, Day Care</t>
  </si>
  <si>
    <t>Day-care rates and PMJAY package codes are commercial and scheme-specific. One hospital reading another's exposes both its pricing and its scheme empanelment.</t>
  </si>
  <si>
    <t>day_care_procedures queried as the Hospital B admin → zero rows with hospital_id = A</t>
  </si>
  <si>
    <t>TC-P2G-151</t>
  </si>
  <si>
    <t>EMR Templates screen loads</t>
  </si>
  <si>
    <t>1) Open /settings/templates 2) Read the template list</t>
  </si>
  <si>
    <t>The screen renders with a template list and a create action. No red console errors.</t>
  </si>
  <si>
    <t>phase2.entry./settings/templates — Nephrology OPD Note</t>
  </si>
  <si>
    <t>OPD, IPD, ANC, Neonatal, Dental, all EMR modules</t>
  </si>
  <si>
    <t>Templates are how a specialist records a consultation in the fields their specialty needs. Without them every note is free text, which cannot be reported on or coded.</t>
  </si>
  <si>
    <t>emr_template_definitions where hospital_id = A → matches the list displayed</t>
  </si>
  <si>
    <t>TC-P2G-152</t>
  </si>
  <si>
    <t>An EMR template saves with its title and specialty</t>
  </si>
  <si>
    <t>1) Open /settings/templates 2) Create "Nephrology OPD Note" with a specialty and description 3) Save</t>
  </si>
  <si>
    <t>An emr_template_definitions row exists with that title and specialty.</t>
  </si>
  <si>
    <t>OPD, IPD, MRD</t>
  </si>
  <si>
    <t>The specialty decides which consultations the template is offered on. A template with none is either offered everywhere or nowhere, and a nephrology note appearing in a paediatric clinic is worse than no template.</t>
  </si>
  <si>
    <t>emr_template_definitions where hospital_id = A and title = 'Nephrology OPD Note' → 1 row</t>
  </si>
  <si>
    <t>TC-P2G-153</t>
  </si>
  <si>
    <t>A template cannot be saved without a title</t>
  </si>
  <si>
    <t>1) Open /settings/templates 2) Create a template with no Title 3) Save</t>
  </si>
  <si>
    <t>None — deliberately omits the required Title</t>
  </si>
  <si>
    <t>OPD, MRD</t>
  </si>
  <si>
    <t>An untitled template renders as a blank option in the template picker, so a doctor selects it by accident mid-consultation and the note structure is wrong.</t>
  </si>
  <si>
    <t>emr_template_definitions where hospital_id = A and (title is null or title = '') → 0 rows</t>
  </si>
  <si>
    <t>TC-P2G-154</t>
  </si>
  <si>
    <t>A template can be edited and the change persists</t>
  </si>
  <si>
    <t>1) Open /settings/templates 2) Edit a template description 3) Save 4) Reload</t>
  </si>
  <si>
    <t>The edited description shows after the reload.</t>
  </si>
  <si>
    <t>Templates are refined as clinicians use them. An edit that does not persist means the same awkward field ordering is imposed on every consultation indefinitely.</t>
  </si>
  <si>
    <t>emr_template_definitions → the edited description persists</t>
  </si>
  <si>
    <t>TC-P2G-155</t>
  </si>
  <si>
    <t>A new template is offered in the consultation workspace</t>
  </si>
  <si>
    <t>1) Open /settings/templates and create the Nephrology OPD Note template 2) Open the /opd consultation workspace 3) Open the template picker</t>
  </si>
  <si>
    <t>The new template is offered for the matching specialty.</t>
  </si>
  <si>
    <t>A template configured but never offered means the specialist writes free text instead. Free text cannot be coded for a claim or aggregated for a clinical audit.</t>
  </si>
  <si>
    <t>emr_template_definitions → the template is offered in the consultation workspace</t>
  </si>
  <si>
    <t>TC-P2G-156</t>
  </si>
  <si>
    <t>A saved template survives a hard reload</t>
  </si>
  <si>
    <t>1) Open /settings/templates 2) Create a template 3) Hard-reload 4) Locate it</t>
  </si>
  <si>
    <t>The template is still listed after the reload.</t>
  </si>
  <si>
    <t>A false save means the specialist builds a template, is told it saved, and finds it gone the next time they open a clinic.</t>
  </si>
  <si>
    <t>TC-P2G-157</t>
  </si>
  <si>
    <t>Hospital A's EMR templates are invisible to Hospital B</t>
  </si>
  <si>
    <t>1) Sign in as the Hospital B administrator 2) Open /settings/templates as Hospital B 3) Query emr_template_definitions through the API with no hospital filter</t>
  </si>
  <si>
    <t>Not one Hospital A template is returned.</t>
  </si>
  <si>
    <t>Multi-tenancy, OPD, MRD</t>
  </si>
  <si>
    <t>A template encodes how a hospital's clinicians document care, which is intellectual property and clinically specific to their own protocols.</t>
  </si>
  <si>
    <t>emr_template_definitions queried as the Hospital B admin → zero rows with hospital_id = A</t>
  </si>
  <si>
    <t>TC-P2G-158</t>
  </si>
  <si>
    <t>The EMR Templates screen loads with no red console errors</t>
  </si>
  <si>
    <t>1) Open DevTools → Console 2) Open /settings/templates 3) Create and edit a template 4) Read the console</t>
  </si>
  <si>
    <t>No red console text from the emr_template_definitions read or write.</t>
  </si>
  <si>
    <t>Template definitions are stored as structured JSON. A malformed definition rejected by Postgres would surface only here while the builder reports the template saved.</t>
  </si>
  <si>
    <t>TC-P2H-001</t>
  </si>
  <si>
    <t>2H Workflows &amp; Communications</t>
  </si>
  <si>
    <t>OPD Queue Config screen loads</t>
  </si>
  <si>
    <t>1) Log in as hospital_admin (Hospital A) 2) Open /settings/opd-workflow 3) Read the form</t>
  </si>
  <si>
    <t>Token Prefix, Starting Number and Patient Name Format all render. No red console errors.</t>
  </si>
  <si>
    <t>phase2.entry./settings/opd-workflow — tokenPrefix OPD</t>
  </si>
  <si>
    <t>OPD, TV Display, Telemedicine</t>
  </si>
  <si>
    <t>SETTINGS_PREREQ_MATRIX notes that without OPD workflow config the defaults simply apply. A hospital that never sees this screen inherits a token scheme it did not choose and cannot explain to its own staff.</t>
  </si>
  <si>
    <t>hospital_settings where hospital_id = A → the OPD config key matches what is displayed</t>
  </si>
  <si>
    <t>e2e/phase-02-settings/P2H.workflows.spec.ts</t>
  </si>
  <si>
    <t>TC-P2H-002</t>
  </si>
  <si>
    <t>The token prefix saves</t>
  </si>
  <si>
    <t>1) Open /settings/opd-workflow 2) Set Prefix to "OPD" 3) Save 4) Reload</t>
  </si>
  <si>
    <t>The prefix persists after the reload.</t>
  </si>
  <si>
    <t>OPD, TV Display</t>
  </si>
  <si>
    <t>The token prefix is called out on the waiting-room display and printed on the slip a patient holds. A prefix that reverts means the number announced does not match the number in the patient's hand.</t>
  </si>
  <si>
    <t>hospital_settings OPD config → token prefix = OPD</t>
  </si>
  <si>
    <t>TC-P2H-003</t>
  </si>
  <si>
    <t>The token starting number saves</t>
  </si>
  <si>
    <t>1) Open /settings/opd-workflow 2) Set Starting Number 3) Save 4) Reload</t>
  </si>
  <si>
    <t>The starting number persists after the reload.</t>
  </si>
  <si>
    <t>phase2.entry./settings/opd-workflow — the token starting number</t>
  </si>
  <si>
    <t>Hospitals resume their existing token series when they migrate. Starting at 1 while the paper register is at 4,000 produces duplicate token numbers on the same day.</t>
  </si>
  <si>
    <t>hospital_settings OPD config → starting number persists</t>
  </si>
  <si>
    <t>TC-P2H-004</t>
  </si>
  <si>
    <t>A negative token starting number is refused</t>
  </si>
  <si>
    <t>1) Open /settings/opd-workflow 2) Set Starting Number to -5 3) Save</t>
  </si>
  <si>
    <t>The save is refused, or the value is not stored as negative.</t>
  </si>
  <si>
    <t>phase2.invalid.ratePerDayNegative (-100) applied to the token start</t>
  </si>
  <si>
    <t xml:space="preserve">Automated: FAILED.
Error: Starting number stored as -5. A negative token number is not a number anyone can call out, and it breaks the sort order on the queue display so the wrong patient is called next.
expect(received).toBeTruthy()
Received: false</t>
  </si>
  <si>
    <t>A negative token number is not a number anyone can call out, and it breaks the sort order on the queue display so the wrong patient is called next.</t>
  </si>
  <si>
    <t>hospital_settings OPD config → starting number &gt;= 0</t>
  </si>
  <si>
    <t>TC-P2H-005</t>
  </si>
  <si>
    <t>The patient name format saves</t>
  </si>
  <si>
    <t>1) Open /settings/opd-workflow 2) Change Patient Name Format 3) Save 4) Reload</t>
  </si>
  <si>
    <t>The chosen format persists after the reload.</t>
  </si>
  <si>
    <t>The Patient Name Format options on SettingsOPDWorkflowPage</t>
  </si>
  <si>
    <t>OPD, TV Display, Patient Portal</t>
  </si>
  <si>
    <t>The waiting room is a public space. Whether a full name or an initial is displayed on the queue board is a privacy decision under the DPDP Act, not a cosmetic preference.</t>
  </si>
  <si>
    <t>hospital_settings OPD config → patient name format persists</t>
  </si>
  <si>
    <t>TC-P2H-006</t>
  </si>
  <si>
    <t>The configured prefix appears on a newly created token</t>
  </si>
  <si>
    <t>1) Set the token prefix to OPD under /settings/opd-workflow 2) Open /opd and create a token 3) Read the token number</t>
  </si>
  <si>
    <t>The token carries the configured prefix.</t>
  </si>
  <si>
    <t>A prefix stored but not read means the setting is decorative. The receptionist changes it, sees it saved, and the tokens keep coming out with the old scheme.</t>
  </si>
  <si>
    <t>the OPD token → carries the configured prefix</t>
  </si>
  <si>
    <t>TC-P2H-007</t>
  </si>
  <si>
    <t>The follow-up charging mode saves</t>
  </si>
  <si>
    <t>1) Open /settings/opd-workflow 2) Set the follow-up charging mode to free, percent or fixed 3) Save 4) Reload</t>
  </si>
  <si>
    <t>The chosen mode persists after the reload.</t>
  </si>
  <si>
    <t>The follow-up mode options on SettingsOPDWorkflowPage — free, percent, fixed</t>
  </si>
  <si>
    <t>The mode decides whether a return visit inside the validity window is free, a percentage of the consultation, or a flat fee. Wrong, and the hospital either gives away revenue or charges a patient it promised would not pay.</t>
  </si>
  <si>
    <t>hospital_settings OPD config → follow-up mode persists</t>
  </si>
  <si>
    <t>TC-P2H-008</t>
  </si>
  <si>
    <t>OPD config survives a hard reload</t>
  </si>
  <si>
    <t>1) Open /settings/opd-workflow 2) Set the prefix and starting number 3) Save 4) Hard-reload 5) Re-read both</t>
  </si>
  <si>
    <t>Four screens in this phase showed a green toast and wrote nothing. On the token scheme a false save means every token issued that day uses a configuration nobody chose.</t>
  </si>
  <si>
    <t>hospital_settings where hospital_id = A → the OPD config key persists</t>
  </si>
  <si>
    <t>TC-P2H-009</t>
  </si>
  <si>
    <t>A saved OPD config shows a success confirmation</t>
  </si>
  <si>
    <t>1) Open /settings/opd-workflow 2) Change a value 3) Save 4) Read the toast</t>
  </si>
  <si>
    <t>A "OPD config saved" confirmation appears and a hospital_settings row exists.</t>
  </si>
  <si>
    <t>The toast is the only feedback the screen gives. It must appear only when the write succeeded, because a success message over a failed write is what four other screens in this phase were doing.</t>
  </si>
  <si>
    <t>hospital_settings where hospital_id = A → the OPD config row exists after the toast</t>
  </si>
  <si>
    <t>TC-P2H-010</t>
  </si>
  <si>
    <t>Hospital A's OPD config is invisible to Hospital B</t>
  </si>
  <si>
    <t>1) Sign in as the Hospital B administrator 2) Open /settings/opd-workflow as Hospital B 3) Query hospital_settings through the API with no hospital filter</t>
  </si>
  <si>
    <t>No Hospital A OPD config row is returned.</t>
  </si>
  <si>
    <t>hospital_settings has no per-role RLS, so tenant isolation is the only protection this table has. Two hospitals sharing a token series would call the same number in two buildings.</t>
  </si>
  <si>
    <t>TC-P2H-011</t>
  </si>
  <si>
    <t>A receptionist cannot change the OPD queue configuration</t>
  </si>
  <si>
    <t>1) Log in as receptionist (Hospital A) 2) Navigate directly to /settings/opd-workflow</t>
  </si>
  <si>
    <t xml:space="preserve">Automated: FAILED.
Error: A receptionist reached /settings/opd-workflow. Reception issues tokens but must not change the scheme mid-day, and the follow-up charging mode here decides what a return visit costs.
expect(received).toBeTruthy()
Received: false</t>
  </si>
  <si>
    <t>Reception issues tokens but must not change the scheme mid-day, and the follow-up charging mode on this screen decides what a return visit costs.</t>
  </si>
  <si>
    <t>TC-P2H-012</t>
  </si>
  <si>
    <t>The OPD Queue Config screen loads with no red console errors</t>
  </si>
  <si>
    <t>1) Open DevTools → Console 2) Open /settings/opd-workflow 3) Save a change 4) Read the console</t>
  </si>
  <si>
    <t>The config is stored as a JSON blob under a hospital_settings key. A malformed blob rejected by Postgres would surface only here while the UI reports the config saved.</t>
  </si>
  <si>
    <t>TC-P2H-013</t>
  </si>
  <si>
    <t>Discharge Workflow screen loads</t>
  </si>
  <si>
    <t>1) Open /settings/discharge-workflow 2) Read the workflow</t>
  </si>
  <si>
    <t>The discharge clearance steps render with an action to add a step. No red console errors.</t>
  </si>
  <si>
    <t>phase2.entry./settings/discharge-workflow — step "Pharmacy returns reconciled"</t>
  </si>
  <si>
    <t>IPD, Billing, Pharmacy, MRD</t>
  </si>
  <si>
    <t xml:space="preserve">Automated: FAILED.
Error: expect(locator).toBeVisible() failed
Locator: getByPlaceholder(/step name/i).first()
Expected: visible
Timeout: 15000ms
Error: element(s) not found
Call log:
  - Expect "toBeVisible" with timeout 15000ms
  - waiting for getByPlaceholder(/step name/i).first()</t>
  </si>
  <si>
    <t>SETTINGS_PREREQ_MATRIX notes that without hospitals.discharge_workflow the default clearance list applies. A hospital that never configures it discharges patients without the clearances it thinks it requires.</t>
  </si>
  <si>
    <t>hospitals where id = A → discharge_workflow matches what is displayed</t>
  </si>
  <si>
    <t>TC-P2H-014</t>
  </si>
  <si>
    <t>A discharge step saves</t>
  </si>
  <si>
    <t>1) Open /settings/discharge-workflow 2) Add the step "Pharmacy returns reconciled" 3) Save 4) Reload</t>
  </si>
  <si>
    <t>The step persists in hospitals.discharge_workflow after the reload.</t>
  </si>
  <si>
    <t>phase2.entry./settings/discharge-workflow — "Pharmacy returns reconciled"</t>
  </si>
  <si>
    <t>IPD, Pharmacy, Billing</t>
  </si>
  <si>
    <t xml:space="preserve">Automated: FAILED.
TimeoutError: locator.fill: Timeout 15000ms exceeded.
Call log:
  - waiting for getByPlaceholder(/step name/i).first()</t>
  </si>
  <si>
    <t>Unreturned ward stock is a real leak — drugs issued to a patient who went home without them are written off. A clearance step that does not save means nobody is ever prompted to reconcile.</t>
  </si>
  <si>
    <t>hospitals where id = A → discharge_workflow contains 'Pharmacy returns reconciled'</t>
  </si>
  <si>
    <t>TC-P2H-015</t>
  </si>
  <si>
    <t>Discharge steps save in order</t>
  </si>
  <si>
    <t>1) Open /settings/discharge-workflow 2) Add three steps in a specific order 3) Save 4) Reload and read the order</t>
  </si>
  <si>
    <t>The steps are listed in the order they were entered.</t>
  </si>
  <si>
    <t>phase2.entry./settings/discharge-workflow — ordered clearance steps</t>
  </si>
  <si>
    <t>Discharge clearance is a sequence: pharmacy returns before final billing, billing before the gate pass. Steps reordered on save let a patient leave before the bill is settled.</t>
  </si>
  <si>
    <t>hospitals where id = A → discharge_workflow steps in entry order</t>
  </si>
  <si>
    <t>TC-P2H-016</t>
  </si>
  <si>
    <t>An empty discharge step is refused</t>
  </si>
  <si>
    <t>1) Open /settings/discharge-workflow 2) Add a step with no name 3) Save</t>
  </si>
  <si>
    <t>The save is refused and no blank step is stored.</t>
  </si>
  <si>
    <t>None — deliberately submits a blank step name</t>
  </si>
  <si>
    <t>A blank clearance step renders as an unlabelled checkbox the ward clerk must tick without knowing what they are confirming, which turns the clearance into a formality.</t>
  </si>
  <si>
    <t>hospitals where id = A → discharge_workflow contains no blank steps</t>
  </si>
  <si>
    <t>TC-P2H-017</t>
  </si>
  <si>
    <t>A discharge step can be removed</t>
  </si>
  <si>
    <t>1) Open /settings/discharge-workflow 2) Remove a step 3) Save 4) Reload</t>
  </si>
  <si>
    <t>The step is gone and does not return after the reload.</t>
  </si>
  <si>
    <t>A clearance list that only grows becomes a ritual nobody reads. Removing a step that no longer applies is what keeps the remaining ones meaningful.</t>
  </si>
  <si>
    <t>hospitals where id = A → the removed step is absent after reload</t>
  </si>
  <si>
    <t>TC-P2H-018</t>
  </si>
  <si>
    <t>A named discharge workflow can be created</t>
  </si>
  <si>
    <t>1) Open /settings/discharge-workflow 2) Create a workflow with a name 3) Save</t>
  </si>
  <si>
    <t>A "Workflow saved" confirmation appears and the named workflow persists.</t>
  </si>
  <si>
    <t>Literal workflow name QA Standard Discharge</t>
  </si>
  <si>
    <t>A day-care discharge and a post-surgical discharge need different clearance lists. One undifferentiated workflow forces the ward to skip steps that do not apply, which trains staff to skip the ones that do.</t>
  </si>
  <si>
    <t>hospitals where id = A → the named workflow persists</t>
  </si>
  <si>
    <t>TC-P2H-019</t>
  </si>
  <si>
    <t>The configured steps appear on the discharge clearance screen</t>
  </si>
  <si>
    <t>1) Add a step under /settings/discharge-workflow 2) Open a discharge in the IPD module 3) Read the clearance list</t>
  </si>
  <si>
    <t>The configured step is presented as a clearance item.</t>
  </si>
  <si>
    <t>A step configured but never presented means the hospital documents a control in its quality manual and the ward never performs it. That is worse than not configuring it, because the audit looks clean.</t>
  </si>
  <si>
    <t>hospitals discharge_workflow → the step is presented in the IPD discharge clearance</t>
  </si>
  <si>
    <t>TC-P2H-020</t>
  </si>
  <si>
    <t>The discharge workflow survives a hard reload</t>
  </si>
  <si>
    <t>1) Open /settings/discharge-workflow 2) Add a step 3) Hard-reload 4) Look for the step</t>
  </si>
  <si>
    <t>The step is still listed after the reload.</t>
  </si>
  <si>
    <t>A false save leaves the hospital on the default clearance list while believing it has added its own steps, and the gap only shows when a patient leaves without a clearance the hospital thought it required.</t>
  </si>
  <si>
    <t>hospitals where id = A → discharge_workflow persists</t>
  </si>
  <si>
    <t>TC-P2H-021</t>
  </si>
  <si>
    <t>Hospital A's discharge workflow is invisible to Hospital B</t>
  </si>
  <si>
    <t>1) Sign in as the Hospital B administrator 2) Open /settings/discharge-workflow as Hospital B 3) Read the steps</t>
  </si>
  <si>
    <t>Hospital B sees only its own workflow.</t>
  </si>
  <si>
    <t>Multi-tenancy, IPD</t>
  </si>
  <si>
    <t>A clearance list encodes how a hospital controls patients leaving with unpaid bills or unreturned drugs. Inheriting another's would impose steps its own wards cannot complete.</t>
  </si>
  <si>
    <t>TC-P2H-022</t>
  </si>
  <si>
    <t>A nurse cannot change the discharge workflow</t>
  </si>
  <si>
    <t>1) Log in as nurse (Hospital A) 2) Navigate directly to /settings/discharge-workflow</t>
  </si>
  <si>
    <t xml:space="preserve">Automated: FAILED.
Error: A nurse reached /settings/discharge-workflow. A nurse able to remove the billing clearance step could discharge a patient past the counter — the clearance list is a financial control as much as a clinical one.
expect(received).toBeTruthy()
Received: false</t>
  </si>
  <si>
    <t>A nurse able to remove the billing clearance step could discharge a patient past the counter. The clearance list is a financial control as much as a clinical one.</t>
  </si>
  <si>
    <t>TC-P2H-023</t>
  </si>
  <si>
    <t>A discharge workflow with no steps is handled explicitly</t>
  </si>
  <si>
    <t>1) Open /settings/discharge-workflow 2) Remove every step 3) Save 4) Open a discharge in IPD</t>
  </si>
  <si>
    <t>Either the empty list is refused, or the default clearance list applies and the screen says so.</t>
  </si>
  <si>
    <t>None — deliberately empties the clearance list</t>
  </si>
  <si>
    <t>An empty clearance list means a patient can be discharged with one click and no checks at all. If the default is meant to apply, the administrator has to be told that rather than left assuming nothing happens.</t>
  </si>
  <si>
    <t>hospitals where id = A → an empty discharge_workflow falls back to the documented default</t>
  </si>
  <si>
    <t>TC-P2H-024</t>
  </si>
  <si>
    <t>The Discharge Workflow screen loads with no red console errors</t>
  </si>
  <si>
    <t>1) Open DevTools → Console 2) Open /settings/discharge-workflow 3) Add a step and save 4) Read the console</t>
  </si>
  <si>
    <t>No red console text from the hospitals update.</t>
  </si>
  <si>
    <t>The workflow is written into a JSON column on hospitals. A malformed structure rejected by Postgres would surface only here while the UI reports the workflow saved.</t>
  </si>
  <si>
    <t>TC-P2H-025</t>
  </si>
  <si>
    <t>IPD Ancillary Payment screen loads</t>
  </si>
  <si>
    <t>1) Open /settings/ipd-ancillary-payment 2) Read the form</t>
  </si>
  <si>
    <t>The pre-paid versus post-paid policy control renders with its override and urgency settings. No red console errors.</t>
  </si>
  <si>
    <t>MOCK_DATA_BOOK IPD ancillary payment — default post_paid</t>
  </si>
  <si>
    <t>IPD, Pharmacy, Lab, Radiology, Billing</t>
  </si>
  <si>
    <t>SETTINGS_PREREQ_MATRIX flags this in red: the setting changes whether pharmacy stock decrements at dispense AT ALL. Both values need a full test run because they are genuinely different code paths.</t>
  </si>
  <si>
    <t>hospital_settings where hospital_id = A → the IPD ancillary policy key matches what is displayed</t>
  </si>
  <si>
    <t>TC-P2H-026</t>
  </si>
  <si>
    <t>The post-paid policy saves</t>
  </si>
  <si>
    <t>1) Open /settings/ipd-ancillary-payment 2) Select post-paid 3) Save 4) Reload</t>
  </si>
  <si>
    <t>The policy reads post-paid after the reload.</t>
  </si>
  <si>
    <t>MOCK_DATA_BOOK IPD ancillary payment — post_paid is the default for testing</t>
  </si>
  <si>
    <t>Post-paid means ancillary orders accrue to the discharge bill, which is how most Indian hospitals run inpatients. It is the documented default, and a hospital that cannot hold it is forced into pre-paid without choosing it.</t>
  </si>
  <si>
    <t>hospital_settings IPD ancillary policy → post_paid</t>
  </si>
  <si>
    <t>TC-P2H-027</t>
  </si>
  <si>
    <t>The pre-paid policy saves</t>
  </si>
  <si>
    <t>1) Open /settings/ipd-ancillary-payment 2) Select pre-paid 3) Save 4) Reload</t>
  </si>
  <si>
    <t>The policy reads pre-paid after the reload.</t>
  </si>
  <si>
    <t>phase2.entry./settings/ipd-ancillary-payment — mode Pre-Paid</t>
  </si>
  <si>
    <t>MOCK_DATA_BOOK names scenarios P6-S03, P7-S12 and P5-S03 as switching to pre_paid and re-running, because they are genuinely different code paths — including whether stock decrements at all.</t>
  </si>
  <si>
    <t>hospital_settings IPD ancillary policy → pre_paid</t>
  </si>
  <si>
    <t>TC-P2H-028</t>
  </si>
  <si>
    <t>Under post-paid, an ancillary order accrues to the bill without payment</t>
  </si>
  <si>
    <t>1) Open /settings/ipd-ancillary-payment and set the policy to post-paid 2) Open /pharmacy and raise an order for an admitted patient 3) Observe whether payment is demanded</t>
  </si>
  <si>
    <t>The order proceeds and the charge accrues to the discharge bill.</t>
  </si>
  <si>
    <t>MOCK_DATA_BOOK IPD ancillary payment — post_paid</t>
  </si>
  <si>
    <t>Tier 0 complete; an admission exists</t>
  </si>
  <si>
    <t>Blocking an inpatient drug order on payment would stop a ward round. Post-paid must let the order through, or the setting is not doing what the hospital selected.</t>
  </si>
  <si>
    <t>the ancillary charge → accrues to the admission bill with no payment gate</t>
  </si>
  <si>
    <t>TC-P2H-029</t>
  </si>
  <si>
    <t>Under pre-paid, an ancillary order is gated on payment</t>
  </si>
  <si>
    <t>1) Open /settings/ipd-ancillary-payment and set the policy to pre-paid 2) Open /pharmacy and raise an order for an admitted patient 3) Observe the gate</t>
  </si>
  <si>
    <t>The order is blocked until the counter records payment.</t>
  </si>
  <si>
    <t>Pre-paid is what a hospital chooses when it cannot carry inpatient credit. If the gate does not fire, the hospital believes it is collecting up front and is not — and it finds out at discharge with an unpayable bill.</t>
  </si>
  <si>
    <t>the ancillary order → blocked until payment is recorded</t>
  </si>
  <si>
    <t>TC-P2H-030</t>
  </si>
  <si>
    <t>Stock decrement behaviour differs between the two modes</t>
  </si>
  <si>
    <t>1) Open /pharmacy and dispense a drug to an inpatient under post-paid, checking the batch quantity 2) Switch to pre-paid under /settings/ipd-ancillary-payment 3) Dispense again and check the batch quantity</t>
  </si>
  <si>
    <t>Stock decrements correctly under whichever mode is active, and the difference between the two is deliberate and documented.</t>
  </si>
  <si>
    <t>MOCK_DATA_BOOK Drug batches — QA-DOLO-A quantity 500</t>
  </si>
  <si>
    <t>Pharmacy, IPD, Inventory</t>
  </si>
  <si>
    <t>Tier 0 complete; a drug with a batch exists</t>
  </si>
  <si>
    <t>SETTINGS_PREREQ_MATRIX states this setting changes whether stock decrements at dispense at all. A mode where the drug leaves the shelf and the system still shows it in stock produces a physical count that never reconciles.</t>
  </si>
  <si>
    <t>drug_batches → quantity_available decrements as documented for the active mode</t>
  </si>
  <si>
    <t>TC-P2H-031</t>
  </si>
  <si>
    <t>The override roles list saves</t>
  </si>
  <si>
    <t>1) Open /settings/ipd-ancillary-payment 2) Enter comma-separated roles allowed to override 3) Save 4) Reload</t>
  </si>
  <si>
    <t>The role list persists after the reload.</t>
  </si>
  <si>
    <t>The "Roles allowed to override" field on SettingsIPDAncillaryPaymentPage</t>
  </si>
  <si>
    <t>IPD, Pharmacy, RBAC</t>
  </si>
  <si>
    <t xml:space="preserve">Automated: FAILED.
Error: Someone has to be able to release an urgent drug for a patient who cannot pay at 2am. Without an override role the pre-paid gate becomes a clinical obstruction rather than a financial control.
expect(received).toContain(expected) // indexOf
Expected substring: "doctor"
Received string:    "admin, billing"</t>
  </si>
  <si>
    <t>Someone has to be able to release an urgent drug for a patient who cannot pay at 2am. Without an override role the pre-paid gate becomes a clinical obstruction rather than a financial control.</t>
  </si>
  <si>
    <t>hospital_settings IPD ancillary policy → the override roles list persists</t>
  </si>
  <si>
    <t>TC-P2H-032</t>
  </si>
  <si>
    <t>The urgent priorities list saves</t>
  </si>
  <si>
    <t>1) Open /settings/ipd-ancillary-payment 2) Enter the priorities treated as urgent 3) Save 4) Reload</t>
  </si>
  <si>
    <t>The list persists after the reload.</t>
  </si>
  <si>
    <t>The "Priorities treated as urgent" field on SettingsIPDAncillaryPaymentPage</t>
  </si>
  <si>
    <t>IPD, Pharmacy, Emergency</t>
  </si>
  <si>
    <t>A STAT order for a deteriorating patient must bypass the payment gate. If the urgent list does not save, an emergency drug waits at the counter while somebody finds a card.</t>
  </si>
  <si>
    <t>hospital_settings IPD ancillary policy → the urgent priorities list persists</t>
  </si>
  <si>
    <t>TC-P2H-033</t>
  </si>
  <si>
    <t>An urgent-priority order bypasses the pre-paid gate</t>
  </si>
  <si>
    <t>1) Open /settings/ipd-ancillary-payment and set the policy to pre-paid with STAT listed as urgent 2) Open /pharmacy and raise a STAT order for an admitted patient 3) Observe the gate</t>
  </si>
  <si>
    <t>The urgent order proceeds without payment.</t>
  </si>
  <si>
    <t>MOCK_DATA_BOOK Config values — drug frequency STAT (immediately)</t>
  </si>
  <si>
    <t>Tier 0 complete; pre-paid policy active</t>
  </si>
  <si>
    <t>This is the safety valve on a financial control. Without it, pre-paid mode delays a STAT drug for a patient who is deteriorating, and no billing policy is worth that.</t>
  </si>
  <si>
    <t>the urgent ancillary order → proceeds without a payment gate under pre-paid</t>
  </si>
  <si>
    <t>TC-P2H-034</t>
  </si>
  <si>
    <t>The IPD ancillary policy survives a hard reload</t>
  </si>
  <si>
    <t>1) Open /settings/ipd-ancillary-payment 2) Set the policy to pre-paid 3) Hard-reload 4) Re-read the policy</t>
  </si>
  <si>
    <t>The policy still reads pre-paid after the reload.</t>
  </si>
  <si>
    <t>A false save silently reverts the hospital to post-paid, so it extends inpatient credit it deliberately decided not to extend and discovers the exposure only at discharge.</t>
  </si>
  <si>
    <t>hospital_settings where hospital_id = A → the IPD ancillary policy persists</t>
  </si>
  <si>
    <t>TC-P2H-035</t>
  </si>
  <si>
    <t>hospital_settings has no per-role RLS, so the route guard is the only control</t>
  </si>
  <si>
    <t>1) Confirm /settings/ipd-ancillary-payment is blocked for the nurse 2) Sign in through the API as nurse (Hospital A) 3) Attempt to write the ancillary policy key directly to hospital_settings via PostgREST</t>
  </si>
  <si>
    <t>Record the outcome. If the write succeeds, the route guard is the only protection and that must be documented as a known risk.</t>
  </si>
  <si>
    <t>IPD, Pharmacy, Security</t>
  </si>
  <si>
    <t>The page itself carries a security note saying hospital_settings has no per-role RLS — any authenticated user of the hospital can write any key via PostgREST. This case makes that stated risk a tested fact rather than a comment nobody re-checks.</t>
  </si>
  <si>
    <t>hospital_settings written as a nurse → record whether the write is refused</t>
  </si>
  <si>
    <t>TC-P2H-036</t>
  </si>
  <si>
    <t>Hospital A's ancillary policy is invisible to Hospital B</t>
  </si>
  <si>
    <t>1) Sign in as the Hospital B administrator 2) Open /settings/ipd-ancillary-payment as Hospital B 3) Query hospital_settings through the API with no hospital filter</t>
  </si>
  <si>
    <t>No Hospital A policy row is returned.</t>
  </si>
  <si>
    <t>Multi-tenancy, IPD, Pharmacy</t>
  </si>
  <si>
    <t>One hospital switching to pre-paid must never gate another hospital's inpatient drugs. With no per-role RLS on this table, tenant isolation is the only thing standing between them.</t>
  </si>
  <si>
    <t>TC-P2H-037</t>
  </si>
  <si>
    <t>A nurse cannot change the IPD ancillary payment policy</t>
  </si>
  <si>
    <t>1) Log in as nurse (Hospital A) 2) Navigate directly to /settings/ipd-ancillary-payment</t>
  </si>
  <si>
    <t xml:space="preserve">Automated: FAILED.
Error: A nurse reached /settings/ipd-ancillary-payment. Switching to post-paid removes the payment gate on every inpatient drug, lab and scan — and the route guard is the only control on this page, which makes it the whole control.
expect(received).toBeTruthy()
Received: false</t>
  </si>
  <si>
    <t>Switching to post-paid removes the payment gate on every inpatient drug, lab and scan. The route guard is the only control on this page, which makes it the whole control.</t>
  </si>
  <si>
    <t>TC-P2H-038</t>
  </si>
  <si>
    <t>The IPD Ancillary Payment screen loads with no red console errors</t>
  </si>
  <si>
    <t>1) Open DevTools → Console 2) Open /settings/ipd-ancillary-payment 3) Switch the mode and save 4) Read the console</t>
  </si>
  <si>
    <t>IPD, Pharmacy</t>
  </si>
  <si>
    <t>A failed write that appears only here leaves the hospital believing it switched mode. Every inpatient order afterwards then follows the old policy while the screen shows the new one.</t>
  </si>
  <si>
    <t>TC-P2H-039</t>
  </si>
  <si>
    <t>WhatsApp settings screen loads</t>
  </si>
  <si>
    <t>1) Open /settings/whatsapp 2) Read the form</t>
  </si>
  <si>
    <t>The WATI and Meta credential fields, template controls and test-send panel all render. No red console errors.</t>
  </si>
  <si>
    <t>phase2.entry./settings/whatsapp — template qa_appointment_reminder</t>
  </si>
  <si>
    <t>CRM, OPD, Billing, Patient Portal</t>
  </si>
  <si>
    <t>SETTINGS_PREREQ_MATRIX flags this in red: without WhatsApp config ALL notifications silently no-op. Nothing fails and nothing sends, so the hospital believes reminders are going out and patients simply stop turning up.</t>
  </si>
  <si>
    <t>hospitals where id = A → WhatsApp config matches what is displayed</t>
  </si>
  <si>
    <t>e2e/phase-02-settings/P2H.communications.spec.ts</t>
  </si>
  <si>
    <t>TC-P2H-040</t>
  </si>
  <si>
    <t>The WATI endpoint and API key save</t>
  </si>
  <si>
    <t>1) Open /settings/whatsapp 2) Enter the WATI API Endpoint and API Key 3) Save 4) Reload</t>
  </si>
  <si>
    <t>The endpoint persists and the key is stored but rendered masked.</t>
  </si>
  <si>
    <t>Literal WATI sandbox endpoint and key — no production credential is used</t>
  </si>
  <si>
    <t>CRM, OPD</t>
  </si>
  <si>
    <t>Without both values no message can be sent at all, and the failure is silent. The key must also not be re-displayed, because it authorises sending under the hospital's WhatsApp number.</t>
  </si>
  <si>
    <t>hospitals where id = A → WATI endpoint stored, key masked in the UI</t>
  </si>
  <si>
    <t>TC-P2H-041</t>
  </si>
  <si>
    <t>The WhatsApp API key is never rendered in plain text</t>
  </si>
  <si>
    <t>1) Open /settings/whatsapp 2) Save an API key 3) Reload 4) Inspect the field and the DOM</t>
  </si>
  <si>
    <t>The key renders masked and the plain value is not present in the DOM.</t>
  </si>
  <si>
    <t>Literal WATI sandbox API key</t>
  </si>
  <si>
    <t>CRM, Security</t>
  </si>
  <si>
    <t>The key lets anyone send WhatsApp messages as the hospital. Rendered in plain text on a settings screen, it can be copied by anyone who walks past a logged-in terminal and used to message patients.</t>
  </si>
  <si>
    <t>TC-P2H-042</t>
  </si>
  <si>
    <t>Testing the connection with no credentials is refused</t>
  </si>
  <si>
    <t>1) Open /settings/whatsapp 2) Clear the endpoint and key 3) Click the connection test</t>
  </si>
  <si>
    <t>A message reads "Please enter both endpoint and API key" and no request is attempted.</t>
  </si>
  <si>
    <t>None — deliberately clears both credentials before testing</t>
  </si>
  <si>
    <t>CRM</t>
  </si>
  <si>
    <t>A test that silently does nothing when credentials are missing teaches the administrator that the integration is broken, when in fact they simply have not filled the form in.</t>
  </si>
  <si>
    <t>TC-P2H-043</t>
  </si>
  <si>
    <t>The connection test reports success or failure explicitly</t>
  </si>
  <si>
    <t>1) Open /settings/whatsapp 2) Enter credentials 3) Run the connection test 4) Read the result</t>
  </si>
  <si>
    <t>The screen states clearly whether the connection succeeded, failed, or the endpoint was unreachable.</t>
  </si>
  <si>
    <t>Literal WATI sandbox endpoint and key</t>
  </si>
  <si>
    <t>This is the only way to find out the integration works BEFORE relying on it. Given that a broken WhatsApp config fails silently everywhere else, an explicit test result is the hospital's only early warning.</t>
  </si>
  <si>
    <t>None — reads the connection test outcome</t>
  </si>
  <si>
    <t>TC-P2H-044</t>
  </si>
  <si>
    <t>A WhatsApp template saves</t>
  </si>
  <si>
    <t>1) Open /settings/whatsapp 2) Add template "qa_appointment_reminder" with its body 3) Save</t>
  </si>
  <si>
    <t>A whatsapp_templates row exists with that name and body.</t>
  </si>
  <si>
    <t>phase2.entry./settings/whatsapp — qa_appointment_reminder with its body text</t>
  </si>
  <si>
    <t>CRM, OPD, Patient Portal</t>
  </si>
  <si>
    <t>Meta requires pre-approved templates for business-initiated messages. A template that does not save means the reminder cannot be sent at all, and the send fails silently.</t>
  </si>
  <si>
    <t>whatsapp_templates where hospital_id = A and name = 'qa_appointment_reminder' → 1 row</t>
  </si>
  <si>
    <t>TC-P2H-045</t>
  </si>
  <si>
    <t>Template placeholders are preserved exactly</t>
  </si>
  <si>
    <t>1) Open /settings/whatsapp 2) Save a template body containing {{hospital}} and {{date}} 3) Reload and re-read the body</t>
  </si>
  <si>
    <t>Both placeholders survive exactly as typed, braces intact.</t>
  </si>
  <si>
    <t>phase2.entry./settings/whatsapp — "Reminder: your appointment at {{hospital}} is on {{date}}."</t>
  </si>
  <si>
    <t>Meta matches the approved template by its exact placeholder structure. A mangled brace makes the send fail at the API with a template-mismatch error the hospital cannot interpret.</t>
  </si>
  <si>
    <t>whatsapp_templates where hospital_id = A → body contains {{hospital}} and {{date}}</t>
  </si>
  <si>
    <t>TC-P2H-046</t>
  </si>
  <si>
    <t>A template cannot be saved without a name</t>
  </si>
  <si>
    <t>1) Open /settings/whatsapp 2) Add a template with a body but no name 3) Save</t>
  </si>
  <si>
    <t>The save is refused and no whatsapp_templates row is written.</t>
  </si>
  <si>
    <t>None — deliberately omits the template name</t>
  </si>
  <si>
    <t>The template name is the key Meta matches on. Without it the message cannot be sent, and the row sits in the list looking configured.</t>
  </si>
  <si>
    <t>whatsapp_templates where hospital_id = A and (name is null or name = '') → 0 rows</t>
  </si>
  <si>
    <t>TC-P2H-047</t>
  </si>
  <si>
    <t>The Meta template language saves</t>
  </si>
  <si>
    <t>1) Open /settings/whatsapp 2) Set the Meta Template Language 3) Save 4) Reload</t>
  </si>
  <si>
    <t>The language persists after the reload.</t>
  </si>
  <si>
    <t>Literal template language en (the placeholder the field itself suggests)</t>
  </si>
  <si>
    <t>CRM, Patient Portal</t>
  </si>
  <si>
    <t>Meta approves a template per language. Sending against the wrong language code returns a template-not-found error, and the patient simply never receives the message.</t>
  </si>
  <si>
    <t>whatsapp_templates or hospitals → the template language persists</t>
  </si>
  <si>
    <t>TC-P2H-048</t>
  </si>
  <si>
    <t>The fallback message template saves</t>
  </si>
  <si>
    <t>1) Open /settings/whatsapp 2) Enter a Fallback Message Template 3) Save 4) Reload</t>
  </si>
  <si>
    <t>The fallback persists after the reload.</t>
  </si>
  <si>
    <t>The Fallback Message Template field on SettingsWhatsAppPage</t>
  </si>
  <si>
    <t>The fallback is what a wa.me link carries when the API route is unavailable. Without it, a hospital with no WATI subscription has no way to message a patient at all.</t>
  </si>
  <si>
    <t>hospitals where id = A → the fallback template persists</t>
  </si>
  <si>
    <t>TC-P2H-049</t>
  </si>
  <si>
    <t>A malformed recipient phone number is rejected on the test send</t>
  </si>
  <si>
    <t>1) Open /settings/whatsapp 2) Enter a 9-digit Recipient Phone Number 3) Attempt a test send</t>
  </si>
  <si>
    <t>The send is refused with a message naming the format.</t>
  </si>
  <si>
    <t>A malformed number is accepted by the form and rejected by the gateway, so the test reports a connection failure when the real problem is the number. That sends the administrator debugging the wrong thing.</t>
  </si>
  <si>
    <t>None — reads the validation message on the test send</t>
  </si>
  <si>
    <t>TC-P2H-050</t>
  </si>
  <si>
    <t>The send delay saves</t>
  </si>
  <si>
    <t>1) Open /settings/whatsapp 2) Set the send delay 3) Save 4) Reload</t>
  </si>
  <si>
    <t>The delay persists after the reload.</t>
  </si>
  <si>
    <t>The Send delay control on SettingsWhatsAppPage</t>
  </si>
  <si>
    <t>WhatsApp rate-limits business sends. A delay that does not persist means a bulk reminder run trips the limit and the remaining messages are dropped without notice.</t>
  </si>
  <si>
    <t>hospitals where id = A → the send delay persists</t>
  </si>
  <si>
    <t>TC-P2H-051</t>
  </si>
  <si>
    <t>With WhatsApp unconfigured, notifications are visibly inert rather than silently dropped</t>
  </si>
  <si>
    <t>1) Open /settings/whatsapp and clear the configuration 2) Trigger an action that would send a notification 3) Observe what the system reports</t>
  </si>
  <si>
    <t>The system indicates the notification could not be sent. It must not report success.</t>
  </si>
  <si>
    <t>None — deliberately clears the WhatsApp configuration</t>
  </si>
  <si>
    <t>CRM, OPD, Billing, Nursing</t>
  </si>
  <si>
    <t>SETTINGS_PREREQ_MATRIX flags exactly this: all notifications SILENTLY no-op — nothing fails, nothing sends. A hospital relying on appointment reminders finds out through empty clinics, weeks later.</t>
  </si>
  <si>
    <t>whatsapp_notifications → no silent success recorded when the config is absent</t>
  </si>
  <si>
    <t>TC-P2H-052</t>
  </si>
  <si>
    <t>WhatsApp settings survive a hard reload</t>
  </si>
  <si>
    <t>1) Open /settings/whatsapp 2) Save the endpoint and a template 3) Hard-reload 4) Re-read both</t>
  </si>
  <si>
    <t>Both are still present after the reload.</t>
  </si>
  <si>
    <t>phase2.entry./settings/whatsapp — qa_appointment_reminder</t>
  </si>
  <si>
    <t>A false save here is invisible in the worst way: the configuration screen looks correct and every message quietly fails to send.</t>
  </si>
  <si>
    <t>whatsapp_templates and hospitals → the WhatsApp configuration persists</t>
  </si>
  <si>
    <t>TC-P2H-053</t>
  </si>
  <si>
    <t>Hospital A's WhatsApp credentials are invisible to Hospital B</t>
  </si>
  <si>
    <t>1) Sign in as the Hospital B administrator 2) Open /settings/whatsapp as Hospital B 3) Query whatsapp_templates through the API with no hospital filter</t>
  </si>
  <si>
    <t>No Hospital A credential or template is returned.</t>
  </si>
  <si>
    <t>Multi-tenancy, CRM, Security</t>
  </si>
  <si>
    <t>A WhatsApp API key lets the holder message patients as that hospital. Leaking one across tenants enables impersonation of a healthcare provider to its own patients.</t>
  </si>
  <si>
    <t>whatsapp_templates queried as the Hospital B admin → zero rows with hospital_id = A</t>
  </si>
  <si>
    <t>TC-P2H-054</t>
  </si>
  <si>
    <t>The WhatsApp screen loads with no red console errors</t>
  </si>
  <si>
    <t>1) Open DevTools → Console 2) Open /settings/whatsapp 3) Save a template 4) Read the console</t>
  </si>
  <si>
    <t>No red console text, and no API key echoed into a console message.</t>
  </si>
  <si>
    <t>Literal WATI sandbox credentials</t>
  </si>
  <si>
    <t>No credential must ever appear in console output. A WhatsApp key logged to the console is captured by any browser extension the hospital has installed.</t>
  </si>
  <si>
    <t>TC-P2H-055</t>
  </si>
  <si>
    <t>Scheduled Reports screen loads</t>
  </si>
  <si>
    <t>1) Open /settings/report-schedules 2) Read the form and the schedule list</t>
  </si>
  <si>
    <t>Report Name, Report Type, Frequency, Send Time, Recipient Emails and Format all render. No red console errors.</t>
  </si>
  <si>
    <t>phase2.entry./settings/report-schedules — Nephrology Daily Collections</t>
  </si>
  <si>
    <t>Analytics, Accounts, Billing, Quality</t>
  </si>
  <si>
    <t xml:space="preserve">Automated: FAILED.
Error: "Report Name" is missing
expect(locator).toBeVisible() failed
Locator: getByText('Report Name').first()
Expected: visible
Timeout: 15000ms
Error: element(s) not found
Call log:
  - "Report Name" is missing with timeout 15000ms
  - waiting for getByText('Report Name').first()</t>
  </si>
  <si>
    <t>Scheduled reports are how the owner and CFO see the hospital without logging in. A screen that will not load means the management reporting nobody asked for explicitly but everybody depends on simply never starts.</t>
  </si>
  <si>
    <t>report_schedules where hospital_id = A → matches the list displayed</t>
  </si>
  <si>
    <t>TC-P2H-056</t>
  </si>
  <si>
    <t>A report schedule saves with all its fields</t>
  </si>
  <si>
    <t>1) Open /settings/report-schedules 2) Add "Nephrology Daily Collections", Daily Collection Summary, Daily, 08:30, the QA recipient, PDF 3) Save</t>
  </si>
  <si>
    <t>A report_schedules row exists with all six values.</t>
  </si>
  <si>
    <t>phase2.entry./settings/report-schedules — the full schedule definition</t>
  </si>
  <si>
    <t>Analytics, Accounts</t>
  </si>
  <si>
    <t>Every field drives a different part of the delivery: type selects the query, frequency and time drive the cron, recipients drive the send, format drives the attachment. A partial save produces a schedule that fires and delivers nothing usable.</t>
  </si>
  <si>
    <t>report_schedules where hospital_id = A and report_name = 'Nephrology Daily Collections' → 1 row</t>
  </si>
  <si>
    <t>TC-P2H-057</t>
  </si>
  <si>
    <t>A report schedule cannot be saved without a name</t>
  </si>
  <si>
    <t>1) Open /settings/report-schedules 2) Leave Report Name blank 3) Save</t>
  </si>
  <si>
    <t>A destructive toast reads "Report name is required" and no row is written.</t>
  </si>
  <si>
    <t>None — deliberately omits the required Report Name</t>
  </si>
  <si>
    <t>Analytics</t>
  </si>
  <si>
    <t>An unnamed schedule cannot be identified in the list, so nobody can tell which report to stop when the recipient changes role or leaves.</t>
  </si>
  <si>
    <t>report_schedules where hospital_id = A and (report_name is null or report_name = '') → 0 rows</t>
  </si>
  <si>
    <t>TC-P2H-058</t>
  </si>
  <si>
    <t>A report schedule cannot be saved without a recipient</t>
  </si>
  <si>
    <t>1) Open /settings/report-schedules 2) Leave Recipient Emails blank 3) Save</t>
  </si>
  <si>
    <t>The save is refused, or the schedule is visibly flagged as undeliverable.</t>
  </si>
  <si>
    <t>None — deliberately omits the Recipient Emails</t>
  </si>
  <si>
    <t>A schedule with no recipient runs on time, generates the report, and sends it nowhere. It appears healthy in the list while nobody ever receives anything.</t>
  </si>
  <si>
    <t>report_schedules where hospital_id = A → recipient_emails set on every row</t>
  </si>
  <si>
    <t>TC-P2H-059</t>
  </si>
  <si>
    <t>A malformed recipient email is rejected</t>
  </si>
  <si>
    <t>1) Open /settings/report-schedules 2) Enter "rakesh.iyer@" as the recipient 3) Save</t>
  </si>
  <si>
    <t>A malformed address bounces silently at the mail gateway. The schedule reports as sent and the CFO never receives the month-end figures.</t>
  </si>
  <si>
    <t>report_schedules where hospital_id = A → no row with recipient 'rakesh.iyer@'</t>
  </si>
  <si>
    <t>TC-P2H-060</t>
  </si>
  <si>
    <t>Multiple comma-separated recipients are accepted</t>
  </si>
  <si>
    <t>1) Open /settings/report-schedules 2) Enter two comma-separated recipient addresses 3) Save 4) Reload</t>
  </si>
  <si>
    <t>Both addresses persist.</t>
  </si>
  <si>
    <t>phase2.entry./settings/report-schedules — the QA reports mailbox, plus a second address</t>
  </si>
  <si>
    <t>A month-end report goes to the owner, the CFO and the accountant at once. If only the first address survives, the others quietly stop receiving it and assume the report was discontinued.</t>
  </si>
  <si>
    <t>report_schedules where hospital_id = A → recipient_emails holds both addresses</t>
  </si>
  <si>
    <t>TC-P2H-061</t>
  </si>
  <si>
    <t>Report type "Daily Executive Summary" saves</t>
  </si>
  <si>
    <t>1) Open /settings/report-schedules 2) Create a schedule with Report Type "Daily Executive Summary" 3) Save 4) Reload and re-read the type</t>
  </si>
  <si>
    <t>report_schedules.report_type = 'daily_summary' and the dropdown still shows "Daily Executive Summary" after the reload.</t>
  </si>
  <si>
    <t>phase2.dropdowns.reportType — "daily_summary"</t>
  </si>
  <si>
    <t>Report type selects which query runs, so a mis-stored type delivers the wrong report to a recipient who will read it as though it were the right one. This one covers the owner's morning read on yesterday.</t>
  </si>
  <si>
    <t>report_schedules where hospital_id = A → report_type = 'daily_summary'</t>
  </si>
  <si>
    <t>TC-P2H-062</t>
  </si>
  <si>
    <t>Report type "Daily Collection Summary" saves</t>
  </si>
  <si>
    <t>1) Open /settings/report-schedules 2) Create a schedule with Report Type "Daily Collection Summary" 3) Save 4) Reload and re-read the type</t>
  </si>
  <si>
    <t>report_schedules.report_type = 'daily_collection' and the dropdown still shows "Daily Collection Summary" after the reload.</t>
  </si>
  <si>
    <t>phase2.dropdowns.reportType — "daily_collection"</t>
  </si>
  <si>
    <t>Report type selects which query runs, so a mis-stored type delivers the wrong report to a recipient who will read it as though it were the right one. This one covers what was actually banked, checked against day closure.</t>
  </si>
  <si>
    <t>report_schedules where hospital_id = A → report_type = 'daily_collection'</t>
  </si>
  <si>
    <t>TC-P2H-063</t>
  </si>
  <si>
    <t>Report type "Weekly OPD Report" saves</t>
  </si>
  <si>
    <t>1) Open /settings/report-schedules 2) Create a schedule with Report Type "Weekly OPD Report" 3) Save 4) Reload and re-read the type</t>
  </si>
  <si>
    <t>report_schedules.report_type = 'weekly_opd' and the dropdown still shows "Weekly OPD Report" after the reload.</t>
  </si>
  <si>
    <t>phase2.dropdowns.reportType — "weekly_opd"</t>
  </si>
  <si>
    <t>Report type selects which query runs, so a mis-stored type delivers the wrong report to a recipient who will read it as though it were the right one. This one covers outpatient volume by department and doctor.</t>
  </si>
  <si>
    <t>report_schedules where hospital_id = A → report_type = 'weekly_opd'</t>
  </si>
  <si>
    <t>TC-P2H-064</t>
  </si>
  <si>
    <t>Report type "Weekly Outstanding Receivables" saves</t>
  </si>
  <si>
    <t>1) Open /settings/report-schedules 2) Create a schedule with Report Type "Weekly Outstanding Receivables" 3) Save 4) Reload and re-read the type</t>
  </si>
  <si>
    <t>report_schedules.report_type = 'weekly_outstanding' and the dropdown still shows "Weekly Outstanding Receivables" after the reload.</t>
  </si>
  <si>
    <t>phase2.dropdowns.reportType — "weekly_outstanding"</t>
  </si>
  <si>
    <t>Report type selects which query runs, so a mis-stored type delivers the wrong report to a recipient who will read it as though it were the right one. This one covers the ageing that drives the collections call list.</t>
  </si>
  <si>
    <t>report_schedules where hospital_id = A → report_type = 'weekly_outstanding'</t>
  </si>
  <si>
    <t>TC-P2H-065</t>
  </si>
  <si>
    <t>Report type "Monthly Revenue Report" saves</t>
  </si>
  <si>
    <t>1) Open /settings/report-schedules 2) Create a schedule with Report Type "Monthly Revenue Report" 3) Save 4) Reload and re-read the type</t>
  </si>
  <si>
    <t>report_schedules.report_type = 'monthly_revenue' and the dropdown still shows "Monthly Revenue Report" after the reload.</t>
  </si>
  <si>
    <t>phase2.dropdowns.reportType — "monthly_revenue"</t>
  </si>
  <si>
    <t>Report type selects which query runs, so a mis-stored type delivers the wrong report to a recipient who will read it as though it were the right one. This one covers the figure the board sees.</t>
  </si>
  <si>
    <t>report_schedules where hospital_id = A → report_type = 'monthly_revenue'</t>
  </si>
  <si>
    <t>TC-P2H-066</t>
  </si>
  <si>
    <t>Report type "Monthly Revenue by Department" saves</t>
  </si>
  <si>
    <t>1) Open /settings/report-schedules 2) Create a schedule with Report Type "Monthly Revenue by Department" 3) Save 4) Reload and re-read the type</t>
  </si>
  <si>
    <t>report_schedules.report_type = 'monthly_revenue_dept' and the dropdown still shows "Monthly Revenue by Department" after the reload.</t>
  </si>
  <si>
    <t>phase2.dropdowns.reportType — "monthly_revenue_dept"</t>
  </si>
  <si>
    <t>Report type selects which query runs, so a mis-stored type delivers the wrong report to a recipient who will read it as though it were the right one. This one covers which units carry the hospital and which do not.</t>
  </si>
  <si>
    <t>report_schedules where hospital_id = A → report_type = 'monthly_revenue_dept'</t>
  </si>
  <si>
    <t>TC-P2H-067</t>
  </si>
  <si>
    <t>Report type "Monthly NABH Quality Report" saves</t>
  </si>
  <si>
    <t>1) Open /settings/report-schedules 2) Create a schedule with Report Type "Monthly NABH Quality Report" 3) Save 4) Reload and re-read the type</t>
  </si>
  <si>
    <t>report_schedules.report_type = 'monthly_quality' and the dropdown still shows "Monthly NABH Quality Report" after the reload.</t>
  </si>
  <si>
    <t>phase2.dropdowns.reportType — "monthly_quality"</t>
  </si>
  <si>
    <t>Report type selects which query runs, so a mis-stored type delivers the wrong report to a recipient who will read it as though it were the right one. This one covers the evidence pack an assessor asks for.</t>
  </si>
  <si>
    <t>report_schedules where hospital_id = A → report_type = 'monthly_quality'</t>
  </si>
  <si>
    <t>TC-P2H-068</t>
  </si>
  <si>
    <t>Report type "Custom Report" saves</t>
  </si>
  <si>
    <t>1) Open /settings/report-schedules 2) Create a schedule with Report Type "Custom Report" 3) Save 4) Reload and re-read the type</t>
  </si>
  <si>
    <t>report_schedules.report_type = 'custom' and the dropdown still shows "Custom Report" after the reload.</t>
  </si>
  <si>
    <t>phase2.dropdowns.reportType — "custom"</t>
  </si>
  <si>
    <t>Report type selects which query runs, so a mis-stored type delivers the wrong report to a recipient who will read it as though it were the right one. This one covers anything the hospital defines for itself.</t>
  </si>
  <si>
    <t>report_schedules where hospital_id = A → report_type = 'custom'</t>
  </si>
  <si>
    <t>TC-P2H-069</t>
  </si>
  <si>
    <t>Report frequency "Daily" saves</t>
  </si>
  <si>
    <t>1) Open /settings/report-schedules 2) Create a schedule with Frequency "Daily" 3) Save 4) Reload</t>
  </si>
  <si>
    <t>report_schedules.frequency = 'daily' after the reload.</t>
  </si>
  <si>
    <t>phase2.dropdowns.reportFrequency — "daily"</t>
  </si>
  <si>
    <t>Frequency drives the cron expression. A mis-stored value either fires far too often or never at all, and sent every morning; the send time matters most here.</t>
  </si>
  <si>
    <t>report_schedules where hospital_id = A → frequency = 'daily'</t>
  </si>
  <si>
    <t>TC-P2H-070</t>
  </si>
  <si>
    <t>Report frequency "Weekly" saves</t>
  </si>
  <si>
    <t>1) Open /settings/report-schedules 2) Create a schedule with Frequency "Weekly" 3) Save 4) Reload</t>
  </si>
  <si>
    <t>report_schedules.frequency = 'weekly' after the reload.</t>
  </si>
  <si>
    <t>phase2.dropdowns.reportFrequency — "weekly"</t>
  </si>
  <si>
    <t>Frequency drives the cron expression. A mis-stored value either fires far too often or never at all, and needs a day of week, or it never fires.</t>
  </si>
  <si>
    <t>report_schedules where hospital_id = A → frequency = 'weekly'</t>
  </si>
  <si>
    <t>TC-P2H-071</t>
  </si>
  <si>
    <t>Report frequency "Monthly" saves</t>
  </si>
  <si>
    <t>1) Open /settings/report-schedules 2) Create a schedule with Frequency "Monthly" 3) Save 4) Reload</t>
  </si>
  <si>
    <t>report_schedules.frequency = 'monthly' after the reload.</t>
  </si>
  <si>
    <t>phase2.dropdowns.reportFrequency — "monthly"</t>
  </si>
  <si>
    <t>Frequency drives the cron expression. A mis-stored value either fires far too often or never at all, and needs a day of month capped at 28 so February still works.</t>
  </si>
  <si>
    <t>report_schedules where hospital_id = A → frequency = 'monthly'</t>
  </si>
  <si>
    <t>TC-P2H-072</t>
  </si>
  <si>
    <t>Report format "PDF" saves</t>
  </si>
  <si>
    <t>1) Open /settings/report-schedules 2) Create a schedule with Format "PDF" 3) Save 4) Reload</t>
  </si>
  <si>
    <t>report_schedules.format = 'pdf' after the reload.</t>
  </si>
  <si>
    <t>phase2.dropdowns.reportFormat — "pdf"</t>
  </si>
  <si>
    <t>Format decides what the recipient can actually do with the report — what gets printed and filed. Each value is stored separately, so one can fail while the others save.</t>
  </si>
  <si>
    <t>report_schedules where hospital_id = A → format = 'pdf'</t>
  </si>
  <si>
    <t>TC-P2H-073</t>
  </si>
  <si>
    <t>Report format "Excel" saves</t>
  </si>
  <si>
    <t>1) Open /settings/report-schedules 2) Create a schedule with Format "Excel" 3) Save 4) Reload</t>
  </si>
  <si>
    <t>report_schedules.format = 'excel' after the reload.</t>
  </si>
  <si>
    <t>phase2.dropdowns.reportFormat — "excel"</t>
  </si>
  <si>
    <t>Format decides what the recipient can actually do with the report — what the accountant actually works in. Each value is stored separately, so one can fail while the others save.</t>
  </si>
  <si>
    <t>report_schedules where hospital_id = A → format = 'excel'</t>
  </si>
  <si>
    <t>TC-P2H-074</t>
  </si>
  <si>
    <t>Report format "Both" saves</t>
  </si>
  <si>
    <t>1) Open /settings/report-schedules 2) Create a schedule with Format "Both" 3) Save 4) Reload</t>
  </si>
  <si>
    <t>report_schedules.format = 'both' after the reload.</t>
  </si>
  <si>
    <t>phase2.dropdowns.reportFormat — "both"</t>
  </si>
  <si>
    <t>Format decides what the recipient can actually do with the report — the belt-and-braces option for month-end. Each value is stored separately, so one can fail while the others save.</t>
  </si>
  <si>
    <t>report_schedules where hospital_id = A → format = 'both'</t>
  </si>
  <si>
    <t>TC-P2H-075</t>
  </si>
  <si>
    <t>Report format "HTML (in email)" saves</t>
  </si>
  <si>
    <t>1) Open /settings/report-schedules 2) Create a schedule with Format "HTML (in email)" 3) Save 4) Reload</t>
  </si>
  <si>
    <t>report_schedules.format = 'html' after the reload.</t>
  </si>
  <si>
    <t>phase2.dropdowns.reportFormat — "html"</t>
  </si>
  <si>
    <t>Format decides what the recipient can actually do with the report — readable on a phone without opening an attachment. Each value is stored separately, so one can fail while the others save.</t>
  </si>
  <si>
    <t>report_schedules where hospital_id = A → format = 'html'</t>
  </si>
  <si>
    <t>TC-P2H-076</t>
  </si>
  <si>
    <t>A weekly schedule requires a day of week</t>
  </si>
  <si>
    <t>1) Open /settings/report-schedules 2) Set Frequency to Weekly 3) Leave Day of Week blank 4) Save</t>
  </si>
  <si>
    <t>The save is refused, or a day of week is required before the schedule can be created.</t>
  </si>
  <si>
    <t>The Day of Week field on SettingsReportSchedulesPage (0=Sun … 6=Sat)</t>
  </si>
  <si>
    <t>A weekly schedule with no day has no valid cron expression. It either never fires or fires every day, and both look like the schedule was never set up.</t>
  </si>
  <si>
    <t>report_schedules where frequency = 'weekly' → day_of_week is set</t>
  </si>
  <si>
    <t>TC-P2H-077</t>
  </si>
  <si>
    <t>A monthly schedule caps the day of month at 28</t>
  </si>
  <si>
    <t>1) Open /settings/report-schedules 2) Set Frequency to Monthly 3) Attempt to set Day of Month to 31 4) Save</t>
  </si>
  <si>
    <t>The field caps at 28, matching its own label.</t>
  </si>
  <si>
    <t>The Day of Month field on SettingsReportSchedulesPage (1–28)</t>
  </si>
  <si>
    <t>A schedule set to the 31st never fires in February, April, June, September or November. Capping at 28 is why the label says 1–28 — the month-end report has to arrive every month, not seven times a year.</t>
  </si>
  <si>
    <t>report_schedules where frequency = 'monthly' → day_of_month between 1 and 28</t>
  </si>
  <si>
    <t>TC-P2H-078</t>
  </si>
  <si>
    <t>The send time saves</t>
  </si>
  <si>
    <t>1) Open /settings/report-schedules 2) Set Send Time to 08:30 3) Save 4) Reload</t>
  </si>
  <si>
    <t>The send time persists at 08:30 after the reload.</t>
  </si>
  <si>
    <t>phase2.entry./settings/report-schedules — send_time 08:30</t>
  </si>
  <si>
    <t>A daily collection summary is useful at 08:30 and useless at 23:00. The time is the whole point of scheduling it rather than running it by hand.</t>
  </si>
  <si>
    <t>report_schedules where hospital_id = A → send_time = '08:30'</t>
  </si>
  <si>
    <t>TC-P2H-079</t>
  </si>
  <si>
    <t>A schedule can be edited and deleted</t>
  </si>
  <si>
    <t>1) Open /settings/report-schedules 2) Edit a schedule and save 3) Delete it 4) Reload</t>
  </si>
  <si>
    <t>The edit persists, and after deletion the schedule does not return on reload.</t>
  </si>
  <si>
    <t>When a recipient leaves the hospital their schedule has to be stopped or redirected. A delete that only clears local state means the report keeps arriving at a former employee's mailbox — a DPDP exposure.</t>
  </si>
  <si>
    <t>report_schedules → the edit persists and the deleted row stays deleted</t>
  </si>
  <si>
    <t>TC-P2H-080</t>
  </si>
  <si>
    <t>Hospital A's report schedules are invisible to Hospital B</t>
  </si>
  <si>
    <t>1) Sign in as the Hospital B administrator 2) Open /settings/report-schedules as Hospital B 3) Query report_schedules through the API with no hospital filter</t>
  </si>
  <si>
    <t>Not one Hospital A schedule is returned.</t>
  </si>
  <si>
    <t>Multi-tenancy, Analytics, Accounts</t>
  </si>
  <si>
    <t>A schedule row carries recipient email addresses and names a revenue report. A leak would let one hospital add itself as a recipient of another's financial reporting.</t>
  </si>
  <si>
    <t>report_schedules queried as the Hospital B admin → zero rows with hospital_id = A</t>
  </si>
  <si>
    <t>TC-P2H-081</t>
  </si>
  <si>
    <t>TV Display screen loads</t>
  </si>
  <si>
    <t>1) Open /settings/tv-display 2) Read the form</t>
  </si>
  <si>
    <t>Announcement Language, Call Format Template and Slide Interval all render. No red console errors.</t>
  </si>
  <si>
    <t>phase2.entry./settings/tv-display — "Token {number}, please proceed to {doctor}"</t>
  </si>
  <si>
    <t>TV Display, OPD, CRM</t>
  </si>
  <si>
    <t>The waiting-room screen is the only interface most outpatients ever see. If it cannot be configured, the hospital falls back to calling names aloud across a crowded hall.</t>
  </si>
  <si>
    <t>tv_display_settings where hospital_id = A → matches what is displayed</t>
  </si>
  <si>
    <t>TC-P2H-082</t>
  </si>
  <si>
    <t>The call format template saves with its placeholders</t>
  </si>
  <si>
    <t>1) Open /settings/tv-display 2) Set the Call Format Template to "Token {number}, please proceed to {doctor}" 3) Save 4) Reload</t>
  </si>
  <si>
    <t>The template persists with both placeholders intact.</t>
  </si>
  <si>
    <t>TV Display, OPD</t>
  </si>
  <si>
    <t>The template is what the speech synthesiser reads aloud. A mangled placeholder makes the announcement say the literal word "number" instead of the token, and patients stop responding to it.</t>
  </si>
  <si>
    <t>tv_display_settings where hospital_id = A → call format contains {number} and {doctor}</t>
  </si>
  <si>
    <t>TC-P2H-083</t>
  </si>
  <si>
    <t>The announcement language saves</t>
  </si>
  <si>
    <t>1) Open /settings/tv-display 2) Set the Announcement Language 3) Save 4) Reload</t>
  </si>
  <si>
    <t>MOCK_DATA_BOOK Preferred Patient Languages — Telugu for Hospital A in Hyderabad</t>
  </si>
  <si>
    <t>TV Display, OPD, Patient Portal</t>
  </si>
  <si>
    <t>A token announced in English in a Telugu-speaking waiting room is not heard. The announcement language is an access issue for patients with limited English.</t>
  </si>
  <si>
    <t>tv_display_settings where hospital_id = A → announcement language persists</t>
  </si>
  <si>
    <t>TC-P2H-084</t>
  </si>
  <si>
    <t>The slide interval saves</t>
  </si>
  <si>
    <t>1) Open /settings/tv-display 2) Set the Slide Interval in seconds 3) Save 4) Reload</t>
  </si>
  <si>
    <t>The interval persists after the reload.</t>
  </si>
  <si>
    <t>The Slide Interval (seconds) field on SettingsTVDisplayPage</t>
  </si>
  <si>
    <t xml:space="preserve">Automated: FAILED.
Error: The interval controls how long a health tip stays on screen between token calls. Too short and nothing is readable; unsaved and the hospital gets a default it never chose.
expect(received).toBe(expected) // Object.is equality
Expected: 12
Received: 8</t>
  </si>
  <si>
    <t>The interval controls how long a health tip or banner stays on screen between token calls. Too short and nothing is readable; unsaved and the hospital gets a default it never chose.</t>
  </si>
  <si>
    <t>tv_display_settings where hospital_id = A → slide interval persists</t>
  </si>
  <si>
    <t>TC-P2H-085</t>
  </si>
  <si>
    <t>A zero or negative slide interval is refused</t>
  </si>
  <si>
    <t>1) Open /settings/tv-display 2) Set the Slide Interval to 0, then to -5 3) Save each time</t>
  </si>
  <si>
    <t>Both are refused, or the interval is clamped to a sensible minimum.</t>
  </si>
  <si>
    <t>phase2.invalid.ratePerDayZero (0) and ratePerDayNegative (-100) applied to the interval</t>
  </si>
  <si>
    <t>TV Display</t>
  </si>
  <si>
    <t>A zero interval makes the display cycle continuously, which is unreadable and can trigger discomfort in a waiting room full of people who cannot look away.</t>
  </si>
  <si>
    <t>tv_display_settings where hospital_id = A → slide interval &gt; 0</t>
  </si>
  <si>
    <t>TC-P2H-086</t>
  </si>
  <si>
    <t>A marketing banner can be added</t>
  </si>
  <si>
    <t>1) Open /settings/tv-display 2) Add a banner image URL and a health tip 3) Save 4) Reload</t>
  </si>
  <si>
    <t>Literal banner URL https://example.com/banner.jpg (the placeholder the field suggests)</t>
  </si>
  <si>
    <t>The waiting-room screen is the hospital's own advertising space between token calls. Content that does not persist leaves it showing an empty frame.</t>
  </si>
  <si>
    <t>tv_display_settings where hospital_id = A → banner and health tip persist</t>
  </si>
  <si>
    <t>TC-P2H-087</t>
  </si>
  <si>
    <t>The patient name format from OPD config is respected on the display</t>
  </si>
  <si>
    <t>1) Set the patient name format under /settings/opd-workflow 2) Open the TV display 3) Read how a called patient is identified</t>
  </si>
  <si>
    <t>The display follows the configured name format.</t>
  </si>
  <si>
    <t>The waiting room is public. Showing a full name where the hospital chose an initial is a DPDP disclosure to everyone sitting in the hall, and it happens dozens of times an hour.</t>
  </si>
  <si>
    <t>tv_display_settings and the OPD config → the display honours the configured name format</t>
  </si>
  <si>
    <t>TC-P2H-088</t>
  </si>
  <si>
    <t>TV display settings survive a hard reload</t>
  </si>
  <si>
    <t>1) Open /settings/tv-display 2) Save the call template and interval 3) Hard-reload 4) Re-read both</t>
  </si>
  <si>
    <t>Both are still set after the reload.</t>
  </si>
  <si>
    <t>A false save leaves the waiting-room screen on defaults. Nobody notices from the settings page, because the screen it controls is in another room.</t>
  </si>
  <si>
    <t>tv_display_settings where hospital_id = A → the configuration persists</t>
  </si>
  <si>
    <t>TC-P2H-089</t>
  </si>
  <si>
    <t>Hospital A's TV display settings are invisible to Hospital B</t>
  </si>
  <si>
    <t>1) Sign in as the Hospital B administrator 2) Open /settings/tv-display as Hospital B 3) Query tv_display_settings through the API with no hospital filter</t>
  </si>
  <si>
    <t>No Hospital A settings row is returned.</t>
  </si>
  <si>
    <t>Multi-tenancy, TV Display</t>
  </si>
  <si>
    <t>The display config carries the hospital's own banners and announcement wording. One tenant's marketing appearing in another's waiting room is the most publicly visible leak possible.</t>
  </si>
  <si>
    <t>tv_display_settings queried as the Hospital B admin → zero rows with hospital_id = A</t>
  </si>
  <si>
    <t>TC-P2H-090</t>
  </si>
  <si>
    <t>The TV Display screen loads with no red console errors</t>
  </si>
  <si>
    <t>1) Open DevTools → Console 2) Open /settings/tv-display 3) Save the configuration 4) Read the console</t>
  </si>
  <si>
    <t>No red console text, and the speech-synthesis capability check does not error.</t>
  </si>
  <si>
    <t>phase2.entry./settings/tv-display — the call format template</t>
  </si>
  <si>
    <t>The screen probes SpeechSynthesis support. An unhandled failure there would stop the announcement feature with no visible explanation on the display device itself.</t>
  </si>
  <si>
    <t>TC-P2H-091</t>
  </si>
  <si>
    <t>Store Locations screen loads</t>
  </si>
  <si>
    <t>1) Open /settings/inventory 2) Read the store list</t>
  </si>
  <si>
    <t>The store locations render with an action to add one. No red console errors.</t>
  </si>
  <si>
    <t>MOCK_DATA_BOOK Phase 2 additions — Nephrology Sub-Store</t>
  </si>
  <si>
    <t>Inventory, Pharmacy, OT, CSSD, Nursing</t>
  </si>
  <si>
    <t>SETTINGS_PREREQ_MATRIX warns that without store_locations there are no store transfers. Ward stock cannot be issued from the central store, so every indent has to be handled on paper.</t>
  </si>
  <si>
    <t>store_locations where hospital_id = A → matches the list displayed</t>
  </si>
  <si>
    <t>TC-P2H-092</t>
  </si>
  <si>
    <t>A store location saves</t>
  </si>
  <si>
    <t>1) Open /settings/inventory 2) Add "Nephrology Sub-Store" 3) Save</t>
  </si>
  <si>
    <t>A store_locations row exists with that name.</t>
  </si>
  <si>
    <t>MOCK_DATA_BOOK requires this store to appear as a transfer destination. Without it, ward stock has nowhere to be issued to and the sub-store runs on an informal cupboard nobody counts.</t>
  </si>
  <si>
    <t>store_locations where hospital_id = A and name = 'Nephrology Sub-Store' → 1 row</t>
  </si>
  <si>
    <t>TC-P2H-093</t>
  </si>
  <si>
    <t>A store cannot be saved without a name</t>
  </si>
  <si>
    <t>1) Open /settings/inventory 2) Add a store with a blank Store Name 3) Save</t>
  </si>
  <si>
    <t>The save is refused and no store_locations row is written.</t>
  </si>
  <si>
    <t>None — deliberately omits the required Store Name</t>
  </si>
  <si>
    <t>Inventory</t>
  </si>
  <si>
    <t>An unnamed store appears as a blank transfer destination, so stock is issued to nowhere identifiable and the physical count never reconciles.</t>
  </si>
  <si>
    <t>store_locations where hospital_id = A and (name is null or name = '') → 0 rows</t>
  </si>
  <si>
    <t>TC-P2H-094</t>
  </si>
  <si>
    <t>A store can be linked to a ward</t>
  </si>
  <si>
    <t>1) Open /settings/inventory 2) Create a store and set Linked Ward to Nephrology Ward 3) Save 4) Reload</t>
  </si>
  <si>
    <t>The ward link persists after the reload.</t>
  </si>
  <si>
    <t>MOCK_DATA_BOOK Phase 2 additions — Nephrology Ward and Nephrology Sub-Store</t>
  </si>
  <si>
    <t>Inventory, IPD, Nursing</t>
  </si>
  <si>
    <t>Tier 0 complete; the ward exists</t>
  </si>
  <si>
    <t>The ward link is how consumption is attributed to a cost centre. Unlinked, the sub-store's usage cannot be charged back to the ward that used it.</t>
  </si>
  <si>
    <t>store_locations where hospital_id = A and name = 'Nephrology Sub-Store' → linked ward set</t>
  </si>
  <si>
    <t>TC-P2H-095</t>
  </si>
  <si>
    <t>A store with linked indents cannot be deleted</t>
  </si>
  <si>
    <t>1) Open /settings/inventory, create a store and raise an indent against it 2) Attempt to delete the store</t>
  </si>
  <si>
    <t>A destructive toast reads "Cannot delete — store has linked indents" and the store remains.</t>
  </si>
  <si>
    <t>MOCK_DATA_BOOK Phase 2 additions — Nephrology Sub-Store with a linked indent</t>
  </si>
  <si>
    <t>Tier 0 complete; an indent exists against the store</t>
  </si>
  <si>
    <t>Deleting a store with indents against it orphans the stock movement history, so the physical count and the system diverge with no audit trail explaining why.</t>
  </si>
  <si>
    <t>store_locations → the store still exists when indents reference it</t>
  </si>
  <si>
    <t>TC-P2H-096</t>
  </si>
  <si>
    <t>Hospital A's store locations are invisible to Hospital B</t>
  </si>
  <si>
    <t>1) Sign in as the Hospital B administrator 2) Open /settings/inventory as Hospital B 3) Query store_locations through the API with no hospital filter</t>
  </si>
  <si>
    <t>Not one Hospital A store is returned.</t>
  </si>
  <si>
    <t>Multi-tenancy, Inventory</t>
  </si>
  <si>
    <t>A store appearing as a transfer destination in another hospital would let stock be issued across tenants, which no physical count could ever reconcile.</t>
  </si>
  <si>
    <t>store_locations queried as the Hospital B admin → zero rows with hospital_id = A</t>
  </si>
  <si>
    <t>TC-P2I-001</t>
  </si>
  <si>
    <t>2I Integrations, Data &amp; API</t>
  </si>
  <si>
    <t>Integrations Console loads</t>
  </si>
  <si>
    <t>1) Log in as hospital_admin (Hospital A) 2) Open /settings/integrations 3) Read the console</t>
  </si>
  <si>
    <t>The lab analyser, PACS, WhatsApp and Tally sections render. No red console errors.</t>
  </si>
  <si>
    <t>phase2.entry./settings/integrations — connector QA Lab Analyser at 192.168.1.77</t>
  </si>
  <si>
    <t>Lab, Radiology, Accounts, CRM, Biomedical</t>
  </si>
  <si>
    <t>SETTINGS_PREREQ_MATRIX warns that without HL7 and analyser connectors, analyser results simply do not arrive. The lab runs the sample, the machine produces a result, and nothing reaches the patient chart.</t>
  </si>
  <si>
    <t>lab_device_connectors where hospital_id = A → matches what is displayed</t>
  </si>
  <si>
    <t>e2e/phase-02-settings/P2I.integrations.spec.ts</t>
  </si>
  <si>
    <t>TC-P2I-002</t>
  </si>
  <si>
    <t>A lab analyser connector saves</t>
  </si>
  <si>
    <t>1) Open /settings/integrations 2) Add connector "QA Lab Analyser" with host 192.168.1.77 3) Save</t>
  </si>
  <si>
    <t>A lab_device_connectors row exists with that name and host.</t>
  </si>
  <si>
    <t>phase2.entry./settings/integrations — QA Lab Analyser, endpoint 192.168.1.77</t>
  </si>
  <si>
    <t>Lab, Biomedical</t>
  </si>
  <si>
    <t>The connector is what pulls results off the analyser. Without it a technician retypes every value by hand, which is both slow and the commonest source of transcription error in a lab.</t>
  </si>
  <si>
    <t>lab_device_connectors where hospital_id = A and name = 'QA Lab Analyser' → 1 row</t>
  </si>
  <si>
    <t>TC-P2I-003</t>
  </si>
  <si>
    <t>A connector cannot be saved without a name</t>
  </si>
  <si>
    <t>1) Open /settings/integrations 2) Add a connector with a blank Name 3) Save</t>
  </si>
  <si>
    <t>A destructive toast reads "Name is required" and no row is written.</t>
  </si>
  <si>
    <t>None — deliberately omits the required connector Name</t>
  </si>
  <si>
    <t>An unnamed connector cannot be identified in the list, so when results stop arriving nobody can tell which machine has gone offline.</t>
  </si>
  <si>
    <t>lab_device_connectors where hospital_id = A and (name is null or name = '') → 0 rows</t>
  </si>
  <si>
    <t>TC-P2I-004</t>
  </si>
  <si>
    <t>The connector protocol and connection type save</t>
  </si>
  <si>
    <t>1) Open /settings/integrations 2) Set Device Type, Protocol and Connection Type on a connector 3) Save 4) Reload</t>
  </si>
  <si>
    <t>The Device Type, Protocol and Connection Type controls on IntegrationsHubPage</t>
  </si>
  <si>
    <t>A Sysmex on serial and a Sysmex on TCP need entirely different handling. The wrong protocol produces a connector that appears configured and never receives a byte.</t>
  </si>
  <si>
    <t>lab_device_connectors where hospital_id = A → protocol and connection type persist</t>
  </si>
  <si>
    <t>TC-P2I-005</t>
  </si>
  <si>
    <t>A serial connector stores its port and a network connector stores host and port</t>
  </si>
  <si>
    <t>1) Open /settings/integrations 2) Configure one serial connector and one network connector 3) Save both 4) Reload</t>
  </si>
  <si>
    <t>The serial connector holds a serial port and the network connector holds a host and port. Neither loses its own field.</t>
  </si>
  <si>
    <t>IntegrationsHubPage placeholders — COM3 or /dev/ttyUSB0 for serial, 192.168.1.50:6000 for network</t>
  </si>
  <si>
    <t>The two connection types use different fields. A form that stores only one set silently discards whichever the other kind of analyser needs, and that machine never connects.</t>
  </si>
  <si>
    <t>lab_device_connectors where hospital_id = A → serial and network connectors each retain their own fields</t>
  </si>
  <si>
    <t>TC-P2I-006</t>
  </si>
  <si>
    <t>A file-drop connector stores its folder path</t>
  </si>
  <si>
    <t>1) Open /settings/integrations 2) Configure a file-drop connector with a folder path 3) Save 4) Reload</t>
  </si>
  <si>
    <t>The folder path persists exactly, backslashes intact.</t>
  </si>
  <si>
    <t>IntegrationsHubPage placeholder — C:\LabResults\incoming</t>
  </si>
  <si>
    <t>Windows paths contain backslashes that are easy to mangle in transit. A corrupted path means the watcher polls a folder that does not exist and no results are ever picked up.</t>
  </si>
  <si>
    <t>lab_device_connectors where hospital_id = A → the file drop path persists with its separators</t>
  </si>
  <si>
    <t>TC-P2I-007</t>
  </si>
  <si>
    <t>A connector can be removed</t>
  </si>
  <si>
    <t>1) Open /settings/integrations 2) Remove a connector 3) Reload</t>
  </si>
  <si>
    <t>A "Connector removed" confirmation appears and the connector does not return after the reload.</t>
  </si>
  <si>
    <t>phase2.entry./settings/integrations — QA Lab Analyser</t>
  </si>
  <si>
    <t>A decommissioned analyser left configured keeps its connector polling a dead IP, which fills the error log and masks a genuine failure on a machine that is still in use.</t>
  </si>
  <si>
    <t>lab_device_connectors where hospital_id = A and name = 'QA Lab Analyser' → 0 rows</t>
  </si>
  <si>
    <t>TC-P2I-008</t>
  </si>
  <si>
    <t>A PACS connector saves</t>
  </si>
  <si>
    <t>1) Open /settings/integrations 2) Enter a PACS Vendor name, Base URL, AE Title and DICOM Port 3) Save</t>
  </si>
  <si>
    <t>A "PACS configuration saved" confirmation appears and a pacs_connectors row exists.</t>
  </si>
  <si>
    <t>IntegrationsHubPage placeholders — Orthanc, AUMRTI_SCU, port 4242</t>
  </si>
  <si>
    <t>SETTINGS_PREREQ_MATRIX warns that without hospital_pacs_config the DICOM and PACS features are inert. The radiologist opens a study and there are no images attached to it.</t>
  </si>
  <si>
    <t>pacs_connectors where hospital_id = A → 1 row with the AE title and port</t>
  </si>
  <si>
    <t>TC-P2I-009</t>
  </si>
  <si>
    <t>A PACS connector cannot be saved without a vendor name</t>
  </si>
  <si>
    <t>1) Open /settings/integrations 2) Attempt to save a PACS connector with a blank vendor name 3) Save</t>
  </si>
  <si>
    <t>A destructive toast reads "Vendor name is required" and no row is written.</t>
  </si>
  <si>
    <t>None — deliberately omits the required PACS vendor name</t>
  </si>
  <si>
    <t>A hospital may run more than one PACS. An unnamed one cannot be told apart when images stop arriving from one of them.</t>
  </si>
  <si>
    <t>pacs_connectors where hospital_id = A and (vendor is null or vendor = '') → 0 rows</t>
  </si>
  <si>
    <t>TC-P2I-010</t>
  </si>
  <si>
    <t>Testing a PACS endpoint with no base URL is refused</t>
  </si>
  <si>
    <t>1) Open /settings/integrations 2) Clear the PACS Base URL 3) Click the test action</t>
  </si>
  <si>
    <t>A message reads "Enter base URL to test" and no request is attempted.</t>
  </si>
  <si>
    <t>None — deliberately clears the PACS base URL before testing</t>
  </si>
  <si>
    <t>A test that silently does nothing teaches the administrator the PACS is unreachable, when in fact they have not entered the address yet.</t>
  </si>
  <si>
    <t>TC-P2I-011</t>
  </si>
  <si>
    <t>The PACS reachability test reports its outcome</t>
  </si>
  <si>
    <t>1) Open /settings/integrations 2) Enter a PACS Base URL 3) Run the test 4) Read the result</t>
  </si>
  <si>
    <t>The screen states clearly whether the endpoint was reachable or not.</t>
  </si>
  <si>
    <t>IntegrationsHubPage placeholder — https://pacs.yourhospital.com/wado</t>
  </si>
  <si>
    <t>This is the only way to confirm the PACS link works before a radiologist depends on it. Without an explicit result the failure surfaces mid-report, with a patient waiting on the finding.</t>
  </si>
  <si>
    <t>None — reads the reachability test outcome</t>
  </si>
  <si>
    <t>TC-P2I-012</t>
  </si>
  <si>
    <t>A WhatsApp connector saves with its sender number</t>
  </si>
  <si>
    <t>1) Open /settings/integrations 2) Enter a WhatsApp API Key and Sender Number 3) Save 4) Reload</t>
  </si>
  <si>
    <t>A whatsapp_connectors row exists and the API key is rendered masked.</t>
  </si>
  <si>
    <t>IntegrationsHubPage placeholder — +91 98765 43210</t>
  </si>
  <si>
    <t>CRM, OPD, Billing</t>
  </si>
  <si>
    <t>The sender number is what a patient sees the message arrive from. A wrong or missing number means reminders come from an unrecognised sender and are ignored or reported as spam.</t>
  </si>
  <si>
    <t>whatsapp_connectors where hospital_id = A → 1 row with the sender number</t>
  </si>
  <si>
    <t>TC-P2I-013</t>
  </si>
  <si>
    <t>Tally ledger mapping saves</t>
  </si>
  <si>
    <t>1) Open /settings/integrations 2) Map a ledger to a Tally account 3) Save 4) Reload</t>
  </si>
  <si>
    <t>A tally_ledger_mapping row exists and persists after the reload.</t>
  </si>
  <si>
    <t>The Tally ledger mapping section on IntegrationsHubPage</t>
  </si>
  <si>
    <t>Most Indian hospitals still keep statutory books in Tally. An unmapped ledger means the export lands in a suspense account and the accountant reallocates every line by hand.</t>
  </si>
  <si>
    <t>tally_ledger_mapping where hospital_id = A → the mapping persists</t>
  </si>
  <si>
    <t>TC-P2I-014</t>
  </si>
  <si>
    <t>Hospital A's connectors are invisible to Hospital B</t>
  </si>
  <si>
    <t>1) Sign in as the Hospital B administrator 2) Open /settings/integrations as Hospital B 3) Query lab_device_connectors through the API with no hospital filter</t>
  </si>
  <si>
    <t>Not one Hospital A connector is returned.</t>
  </si>
  <si>
    <t>Multi-tenancy, Lab, Radiology</t>
  </si>
  <si>
    <t>A connector row carries internal IP addresses and API credentials. Leaking them across tenants hands one hospital a map of another's internal network.</t>
  </si>
  <si>
    <t>lab_device_connectors queried as the Hospital B admin → zero rows with hospital_id = A</t>
  </si>
  <si>
    <t>TC-P2I-015</t>
  </si>
  <si>
    <t>A lab technician cannot edit the Integrations Console</t>
  </si>
  <si>
    <t>1) Log in as lab_technician (Hospital A) 2) Navigate directly to /settings/integrations</t>
  </si>
  <si>
    <t>MOCK_DATA_BOOK Staff logins — lab_technician (Hospital A), Mr. Naveen Kumar</t>
  </si>
  <si>
    <t>Lab, Security</t>
  </si>
  <si>
    <t>The console holds internal IP addresses and integration credentials. A technician repointing an analyser connector could redirect result traffic without anyone noticing.</t>
  </si>
  <si>
    <t>lab_technician (Hospital A)</t>
  </si>
  <si>
    <t>TC-P2I-016</t>
  </si>
  <si>
    <t>The Integrations Console loads with no red console errors</t>
  </si>
  <si>
    <t>1) Open DevTools → Console 2) Open /settings/integrations 3) Save a connector 4) Read the console</t>
  </si>
  <si>
    <t>No red console text from any of the four connector tables.</t>
  </si>
  <si>
    <t>Lab, Radiology, Accounts</t>
  </si>
  <si>
    <t>This screen writes to four separate tables. A failure on one leaves the console looking correct while one entire integration is silently unconfigured.</t>
  </si>
  <si>
    <t>TC-P2I-017</t>
  </si>
  <si>
    <t>Payment gateway "Razorpay" can be selected and saves</t>
  </si>
  <si>
    <t>1) Open /settings/integrations 2) Select payment gateway "Razorpay" 3) Save 4) Reload and re-read the selection</t>
  </si>
  <si>
    <t>The gateway persists as 'razorpay' after the reload.</t>
  </si>
  <si>
    <t>phase2.dropdowns.paymentGateway — "razorpay"</t>
  </si>
  <si>
    <t>The gateway decides where a patient's payment settles. Each value is stored separately, so one failing to persist silently reverts the hospital to a provider it does not hold a merchant account with. This one covers the default, and the one the Razorpay settings screen configures separately.</t>
  </si>
  <si>
    <t>the integrations config → payment gateway = 'razorpay'</t>
  </si>
  <si>
    <t>TC-P2I-018</t>
  </si>
  <si>
    <t>Payment gateway "PayU" can be selected and saves</t>
  </si>
  <si>
    <t>1) Open /settings/integrations 2) Select payment gateway "PayU" 3) Save 4) Reload and re-read the selection</t>
  </si>
  <si>
    <t>The gateway persists as 'payu' after the reload.</t>
  </si>
  <si>
    <t>phase2.dropdowns.paymentGateway — "payu"</t>
  </si>
  <si>
    <t>The gateway decides where a patient's payment settles. Each value is stored separately, so one failing to persist silently reverts the hospital to a provider it does not hold a merchant account with. This one covers common where a hospital already has a PayU merchant relationship.</t>
  </si>
  <si>
    <t>the integrations config → payment gateway = 'payu'</t>
  </si>
  <si>
    <t>TC-P2I-019</t>
  </si>
  <si>
    <t>Payment gateway "PhonePe for Business" can be selected and saves</t>
  </si>
  <si>
    <t>1) Open /settings/integrations 2) Select payment gateway "PhonePe for Business" 3) Save 4) Reload and re-read the selection</t>
  </si>
  <si>
    <t>The gateway persists as 'phonepe' after the reload.</t>
  </si>
  <si>
    <t>phase2.dropdowns.paymentGateway — "phonepe"</t>
  </si>
  <si>
    <t>The gateway decides where a patient's payment settles. Each value is stored separately, so one failing to persist silently reverts the hospital to a provider it does not hold a merchant account with. This one covers UPI-first, which is how most Indian outpatients pay.</t>
  </si>
  <si>
    <t>the integrations config → payment gateway = 'phonepe'</t>
  </si>
  <si>
    <t>TC-P2I-020</t>
  </si>
  <si>
    <t>Payment gateway "CCAvenue" can be selected and saves</t>
  </si>
  <si>
    <t>1) Open /settings/integrations 2) Select payment gateway "CCAvenue" 3) Save 4) Reload and re-read the selection</t>
  </si>
  <si>
    <t>The gateway persists as 'ccavenue' after the reload.</t>
  </si>
  <si>
    <t>phase2.dropdowns.paymentGateway — "ccavenue"</t>
  </si>
  <si>
    <t>The gateway decides where a patient's payment settles. Each value is stored separately, so one failing to persist silently reverts the hospital to a provider it does not hold a merchant account with. This one covers the long-standing choice for hospitals with legacy card terminals.</t>
  </si>
  <si>
    <t>the integrations config → payment gateway = 'ccavenue'</t>
  </si>
  <si>
    <t>TC-P2I-021</t>
  </si>
  <si>
    <t>HL7 / FHIR screen loads</t>
  </si>
  <si>
    <t>1) Open /settings/hl7 2) Read the form</t>
  </si>
  <si>
    <t>Mirth host, port, channel, sending and receiving facility fields all render. No red console errors.</t>
  </si>
  <si>
    <t>phase2.entry./settings/hl7 — endpoint 192.168.1.100, port 2575</t>
  </si>
  <si>
    <t>Lab, Radiology, ABDM, MRD</t>
  </si>
  <si>
    <t>HL7 is how results arrive from a LIS or RIS. SETTINGS_PREREQ_MATRIX warns that without the connector configured, analyser results do not arrive at all — and nothing about the lab screen says why.</t>
  </si>
  <si>
    <t>config_values where hospital_id = A → the HL7 configuration matches what is displayed</t>
  </si>
  <si>
    <t>TC-P2I-022</t>
  </si>
  <si>
    <t>The Mirth host and port save</t>
  </si>
  <si>
    <t>1) Open /settings/hl7 2) Enter Mirth Host 192.168.1.100 and Port 2575 3) Save 4) Reload</t>
  </si>
  <si>
    <t>Lab, Radiology</t>
  </si>
  <si>
    <t xml:space="preserve">Automated: FAILED.
TimeoutError: locator.click: Timeout 15000ms exceeded.
Call log:
  - waiting for getByRole('button', { name: /save changes/i }).first()</t>
  </si>
  <si>
    <t>Port 2575 is the conventional HL7 MLLP port. A wrong host or port means the integration engine is never reached and every result stays on the analyser.</t>
  </si>
  <si>
    <t>config_values where hospital_id = A → Mirth host = 192.168.1.100, port = 2575</t>
  </si>
  <si>
    <t>TC-P2I-023</t>
  </si>
  <si>
    <t>A non-numeric HL7 port is refused</t>
  </si>
  <si>
    <t>1) Open /settings/hl7 2) Enter a non-numeric Port 3) Save</t>
  </si>
  <si>
    <t>The save is refused, or the port is not stored as a non-numeric value.</t>
  </si>
  <si>
    <t>phase2.invalid.feeNonNumeric (abc) applied to the HL7 port</t>
  </si>
  <si>
    <t>A non-numeric port cannot open a socket. The connection fails with a low-level error that looks like a network problem rather than a typo on this screen.</t>
  </si>
  <si>
    <t>config_values where hospital_id = A → the HL7 port is numeric</t>
  </si>
  <si>
    <t>TC-P2I-024</t>
  </si>
  <si>
    <t>An HL7 port outside the valid range is refused</t>
  </si>
  <si>
    <t>1) Open /settings/hl7 2) Enter Port 70000 3) Save</t>
  </si>
  <si>
    <t>The save is refused. TCP ports run from 1 to 65535.</t>
  </si>
  <si>
    <t>Literal out-of-range port 70000</t>
  </si>
  <si>
    <t>A port above 65535 cannot be bound. The failure appears at connection time as an obscure system error, days after the value was entered.</t>
  </si>
  <si>
    <t>config_values where hospital_id = A → the HL7 port is between 1 and 65535</t>
  </si>
  <si>
    <t>TC-P2I-025</t>
  </si>
  <si>
    <t>The sending and receiving facility identifiers save</t>
  </si>
  <si>
    <t>1) Open /settings/hl7 2) Enter Sending Facility, Sending Application, Receiving Facility and Receiving Application 3) Save 4) Reload</t>
  </si>
  <si>
    <t>All four persist after the reload.</t>
  </si>
  <si>
    <t>SettingsHL7Page placeholder — LIS / RIS facility name</t>
  </si>
  <si>
    <t>Lab, Radiology, MRD</t>
  </si>
  <si>
    <t>These four values populate the MSH segment of every HL7 message. A mismatch makes the receiving system reject the message outright, and the rejection is logged at the far end where the hospital cannot see it.</t>
  </si>
  <si>
    <t>config_values where hospital_id = A → all four MSH identifiers persist</t>
  </si>
  <si>
    <t>TC-P2I-026</t>
  </si>
  <si>
    <t>The Mirth channel ID saves</t>
  </si>
  <si>
    <t>1) Open /settings/hl7 2) Enter a Channel ID 3) Save 4) Reload</t>
  </si>
  <si>
    <t>The channel ID persists after the reload.</t>
  </si>
  <si>
    <t>SettingsHL7Page placeholder — Mirth channel UUID</t>
  </si>
  <si>
    <t>The channel ID routes the message to the right Mirth pipeline. Wrong, and lab results are processed by the radiology channel, which drops them as unparseable.</t>
  </si>
  <si>
    <t>config_values where hospital_id = A → the Mirth channel ID persists</t>
  </si>
  <si>
    <t>TC-P2I-027</t>
  </si>
  <si>
    <t>Testing the Mirth connection with no host is refused</t>
  </si>
  <si>
    <t>1) Open /settings/hl7 2) Clear the Mirth Host 3) Run the connection test</t>
  </si>
  <si>
    <t>A message reads "Connection failed — no host configured" rather than a generic failure.</t>
  </si>
  <si>
    <t>None — deliberately clears the Mirth host before testing</t>
  </si>
  <si>
    <t>A generic "connection failed" sends the hospital IT team investigating the network. Naming the missing field turns a half-day of debugging into a ten-second fix.</t>
  </si>
  <si>
    <t>TC-P2I-028</t>
  </si>
  <si>
    <t>The Mirth connection test reports reachability explicitly</t>
  </si>
  <si>
    <t>1) Open /settings/hl7 2) Enter a host and port 3) Run the connection test 4) Read the result</t>
  </si>
  <si>
    <t>The screen states whether Mirth Connect was reachable.</t>
  </si>
  <si>
    <t>Without an explicit reachability result the hospital discovers the integration is down when a clinician asks why a result from three hours ago has not appeared.</t>
  </si>
  <si>
    <t>TC-P2I-029</t>
  </si>
  <si>
    <t>Vitals monitor vendor "Mindray (BeneVision)" can be selected and saves</t>
  </si>
  <si>
    <t>1) Open /settings/hl7 2) Enable "Auto-populate ICU Flowsheet from Bedside Monitors" 3) Select Device Manufacturer "Mindray (BeneVision)" 4) Save 5) Reload</t>
  </si>
  <si>
    <t>The vendor persists as 'mindray' after the reload.</t>
  </si>
  <si>
    <t>phase2.dropdowns.vitalsMonitorVendor — "Mindray (BeneVision)"</t>
  </si>
  <si>
    <t>IPD, Nursing, ICU</t>
  </si>
  <si>
    <t>Tier 0 complete; the bedside monitor toggle is enabled</t>
  </si>
  <si>
    <t xml:space="preserve">Automated: FAILED.
Error: Vitals monitor vendor "Mindray (BeneVision)" (mindray) is not offered. Each vendor speaks a different dialect of HL7 for vitals — a missing one means the ICU flowsheet is populated with the wrong parameters or nothing at all, while the nurse believes charting is automatic.
expect(received).toBeTruthy()
Received: false</t>
  </si>
  <si>
    <t>Each vendor speaks a different dialect of HL7 for vitals. A mis-stored vendor means the ICU flowsheet is populated with the wrong parameters or nothing at all, and the nurse charts by hand while believing it is automatic. This one covers the commonest bedside monitor in Indian ICUs.</t>
  </si>
  <si>
    <t>config_values where hospital_id = A → vitals monitor vendor = 'mindray'</t>
  </si>
  <si>
    <t>TC-P2I-030</t>
  </si>
  <si>
    <t>Vitals monitor vendor "Philips IntelliVue" can be selected and saves</t>
  </si>
  <si>
    <t>1) Open /settings/hl7 2) Enable "Auto-populate ICU Flowsheet from Bedside Monitors" 3) Select Device Manufacturer "Philips IntelliVue" 4) Save 5) Reload</t>
  </si>
  <si>
    <t>The vendor persists as 'philips' after the reload.</t>
  </si>
  <si>
    <t>phase2.dropdowns.vitalsMonitorVendor — "Philips IntelliVue"</t>
  </si>
  <si>
    <t xml:space="preserve">Automated: FAILED.
Error: Vitals monitor vendor "Philips IntelliVue" (philips) is not offered. Each vendor speaks a different dialect of HL7 for vitals — a missing one means the ICU flowsheet is populated with the wrong parameters or nothing at all, while the nurse believes charting is automatic.
expect(received).toBeTruthy()
Received: false</t>
  </si>
  <si>
    <t>Each vendor speaks a different dialect of HL7 for vitals. A mis-stored vendor means the ICU flowsheet is populated with the wrong parameters or nothing at all, and the nurse charts by hand while believing it is automatic. This one covers the tertiary-care standard, usually in the older ICU block.</t>
  </si>
  <si>
    <t>config_values where hospital_id = A → vitals monitor vendor = 'philips'</t>
  </si>
  <si>
    <t>TC-P2I-031</t>
  </si>
  <si>
    <t>Vitals monitor vendor "GE Healthcare" can be selected and saves</t>
  </si>
  <si>
    <t>1) Open /settings/hl7 2) Enable "Auto-populate ICU Flowsheet from Bedside Monitors" 3) Select Device Manufacturer "GE Healthcare" 4) Save 5) Reload</t>
  </si>
  <si>
    <t>The vendor persists as 'ge' after the reload.</t>
  </si>
  <si>
    <t>phase2.dropdowns.vitalsMonitorVendor — "GE Healthcare"</t>
  </si>
  <si>
    <t>Each vendor speaks a different dialect of HL7 for vitals. A mis-stored vendor means the ICU flowsheet is populated with the wrong parameters or nothing at all, and the nurse charts by hand while believing it is automatic. This one covers frequently paired with GE anaesthesia machines in theatre.</t>
  </si>
  <si>
    <t>config_values where hospital_id = A → vitals monitor vendor = 'ge'</t>
  </si>
  <si>
    <t>TC-P2I-032</t>
  </si>
  <si>
    <t>Vitals monitor vendor "Dräger" can be selected and saves</t>
  </si>
  <si>
    <t>1) Open /settings/hl7 2) Enable "Auto-populate ICU Flowsheet from Bedside Monitors" 3) Select Device Manufacturer "Dräger" 4) Save 5) Reload</t>
  </si>
  <si>
    <t>The vendor persists as 'drager' after the reload.</t>
  </si>
  <si>
    <t>phase2.dropdowns.vitalsMonitorVendor — "Dräger"</t>
  </si>
  <si>
    <t xml:space="preserve">Automated: FAILED.
Error: Vitals monitor vendor "Dräger" (drager) is not offered. Each vendor speaks a different dialect of HL7 for vitals — a missing one means the ICU flowsheet is populated with the wrong parameters or nothing at all, while the nurse believes charting is automatic.
expect(received).toBeTruthy()
Received: false</t>
  </si>
  <si>
    <t>Each vendor speaks a different dialect of HL7 for vitals. A mis-stored vendor means the ICU flowsheet is populated with the wrong parameters or nothing at all, and the nurse charts by hand while believing it is automatic. This one covers ventilator-integrated, so its feed carries respiratory parameters too.</t>
  </si>
  <si>
    <t>config_values where hospital_id = A → vitals monitor vendor = 'drager'</t>
  </si>
  <si>
    <t>TC-P2I-033</t>
  </si>
  <si>
    <t>Vitals monitor vendor "Nihon Kohden" can be selected and saves</t>
  </si>
  <si>
    <t>1) Open /settings/hl7 2) Enable "Auto-populate ICU Flowsheet from Bedside Monitors" 3) Select Device Manufacturer "Nihon Kohden" 4) Save 5) Reload</t>
  </si>
  <si>
    <t>The vendor persists as 'nihon_kohden' after the reload.</t>
  </si>
  <si>
    <t>phase2.dropdowns.vitalsMonitorVendor — "Nihon Kohden"</t>
  </si>
  <si>
    <t xml:space="preserve">Automated: FAILED.
Error: Vitals monitor vendor "Nihon Kohden" (nihon_kohden) is not offered. Each vendor speaks a different dialect of HL7 for vitals — a missing one means the ICU flowsheet is populated with the wrong parameters or nothing at all, while the nurse believes charting is automatic.
expect(received).toBeTruthy()
Received: false</t>
  </si>
  <si>
    <t>Each vendor speaks a different dialect of HL7 for vitals. A mis-stored vendor means the ICU flowsheet is populated with the wrong parameters or nothing at all, and the nurse charts by hand while believing it is automatic. This one covers common in neonatal units where the alarm limits differ.</t>
  </si>
  <si>
    <t>config_values where hospital_id = A → vitals monitor vendor = 'nihon_kohden'</t>
  </si>
  <si>
    <t>TC-P2I-034</t>
  </si>
  <si>
    <t>The vitals vendor selector appears only once bedside monitoring is enabled</t>
  </si>
  <si>
    <t>1) Open /settings/hl7 with the bedside monitor toggle off 2) Look for the Device Manufacturer control 3) Enable the toggle 4) Look again</t>
  </si>
  <si>
    <t>The vendor selector is hidden while the toggle is off and appears once it is on.</t>
  </si>
  <si>
    <t>MOCK_DATA_BOOK Vitals Monitor Vendor — only visible once the ICU flowsheet toggle is on</t>
  </si>
  <si>
    <t>MOCK_DATA_BOOK records this conditional deliberately. A vendor selected while the feature is off stores a setting that does nothing, and the administrator believes bedside integration is configured.</t>
  </si>
  <si>
    <t>None — asserts the conditional visibility of the vendor selector</t>
  </si>
  <si>
    <t>TC-P2I-035</t>
  </si>
  <si>
    <t>HL7 settings survive a hard reload</t>
  </si>
  <si>
    <t>1) Open /settings/hl7 2) Save the host, port and facilities 3) Hard-reload 4) Re-read them</t>
  </si>
  <si>
    <t>All values are still present after the reload.</t>
  </si>
  <si>
    <t>A false save leaves the integration unconfigured while the screen shows it set up. Results stop arriving and the lab assumes the analyser has failed.</t>
  </si>
  <si>
    <t>config_values where hospital_id = A → the HL7 configuration persists</t>
  </si>
  <si>
    <t>TC-P2I-036</t>
  </si>
  <si>
    <t>A lab technician cannot change the HL7 configuration</t>
  </si>
  <si>
    <t>1) Log in as lab_technician (Hospital A) 2) Navigate directly to /settings/hl7</t>
  </si>
  <si>
    <t>Repointing the HL7 receiving facility would divert result messages to another system. That is a clinical data-routing change and belongs to whoever owns the integration.</t>
  </si>
  <si>
    <t>TC-P2I-037</t>
  </si>
  <si>
    <t>ABDM screen loads</t>
  </si>
  <si>
    <t>1) Open /settings/abdm 2) Read the form</t>
  </si>
  <si>
    <t>HFR ID, Facility Name, Bridge URL, ABDM Base URL and the Production Mode toggle all render. No red console errors.</t>
  </si>
  <si>
    <t>phase2.entry./settings/abdm — hipId QA-HIP-001, hipName Aarogya Multispecialty Hospital</t>
  </si>
  <si>
    <t>ABDM, Patient Portal, MRD</t>
  </si>
  <si>
    <t xml:space="preserve">Automated: FAILED.
Error: Console errors:
Failed to load resource: the server responded with a status of 406 ()
expect(received).toHaveLength(expected)
Expected length: 0
Received length: 1
Received array:  ["Failed to load resource: the server responded with a status of 406 ()"]</t>
  </si>
  <si>
    <t>Failed to load resource: the server responded with a status of 406 ()</t>
  </si>
  <si>
    <t>SETTINGS_PREREQ_MATRIX warns that without hospital_abdm_config the ABDM edge functions fail quietly. ABHA linkage appears to work and no record ever reaches the national exchange.</t>
  </si>
  <si>
    <t>hospital_abdm_config where hospital_id = A → matches what is displayed</t>
  </si>
  <si>
    <t>TC-P2I-038</t>
  </si>
  <si>
    <t>The HFR ID and facility name save</t>
  </si>
  <si>
    <t>1) Open /settings/abdm 2) Enter the HFR ID and Facility Name 3) Save 4) Reload</t>
  </si>
  <si>
    <t>ABDM, MRD</t>
  </si>
  <si>
    <t>The HFR ID is the hospital's registered identity in the national Health Facility Registry. A wrong one means records are published under another facility, which is a data-integrity problem at national scale.</t>
  </si>
  <si>
    <t>hospital_abdm_config where hospital_id = A → HFR ID = 'QA-HIP-001'</t>
  </si>
  <si>
    <t>TC-P2I-039</t>
  </si>
  <si>
    <t>The ABDM facility name matches the registered hospital name</t>
  </si>
  <si>
    <t>1) Open /settings/abdm 2) Compare the Facility Name against the hospital name on /settings/profile</t>
  </si>
  <si>
    <t>They match, or the screen states that the ABDM name must be exactly as registered with HFR.</t>
  </si>
  <si>
    <t>ABDM validates the facility name against the HFR record. A mismatch is rejected at the gateway with an error the hospital sees only in an edge-function log it never reads.</t>
  </si>
  <si>
    <t>hospital_abdm_config facility name matches hospitals.name</t>
  </si>
  <si>
    <t>TC-P2I-040</t>
  </si>
  <si>
    <t>The bridge callback URL saves</t>
  </si>
  <si>
    <t>1) Open /settings/abdm 2) Enter the Bridge URL 3) Save 4) Reload</t>
  </si>
  <si>
    <t>The callback URL persists after the reload.</t>
  </si>
  <si>
    <t>The Bridge URL (Callback URL) field on SettingsABDMPage</t>
  </si>
  <si>
    <t>ABDM</t>
  </si>
  <si>
    <t xml:space="preserve">Automated: FAILED.
Error: ABDM calls back to this URL with consent artefacts. A wrong address means consent requests are issued and the response never arrives, so the linkage hangs forever in a pending state.
expect(received).toBe(expected) // Object.is equality
Expected: "https://qa.example.invalid/abdm/callback"
Received: ""</t>
  </si>
  <si>
    <t xml:space="preserve">Failed to load resource: the server responded with a status of 406 ()
Failed to load resource: the server responded with a status of 406 ()</t>
  </si>
  <si>
    <t>ABDM calls back to this URL with consent artefacts. A wrong address means consent requests are issued and the response never arrives, so the linkage hangs forever in a pending state.</t>
  </si>
  <si>
    <t>hospital_abdm_config where hospital_id = A → the bridge URL persists</t>
  </si>
  <si>
    <t>TC-P2I-041</t>
  </si>
  <si>
    <t>ABDM credentials are stored securely and can be rotated</t>
  </si>
  <si>
    <t>1) Open /settings/abdm 2) Save the ABDM credentials 3) Use the rotate action 4) Read the confirmation</t>
  </si>
  <si>
    <t>A "Credentials saved securely" confirmation appears, and rotation reports that the token cache was cleared.</t>
  </si>
  <si>
    <t>Literal sandbox ABDM credentials — no production secret is used</t>
  </si>
  <si>
    <t>ABDM, Security</t>
  </si>
  <si>
    <t>ABDM credentials authorise publishing patient records to the national exchange. They must be rotatable without a redeploy, and rotation must clear the cached token or the old credential keeps being used.</t>
  </si>
  <si>
    <t>hospital_abdm_config where hospital_id = A → credentials stored, rotation clears the token cache</t>
  </si>
  <si>
    <t>TC-P2I-042</t>
  </si>
  <si>
    <t>ABDM credentials are never rendered in plain text</t>
  </si>
  <si>
    <t>1) Open /settings/abdm 2) Save a credential 3) Reload 4) Inspect the field and the DOM</t>
  </si>
  <si>
    <t>The credential renders masked and the plain value is not present in the DOM.</t>
  </si>
  <si>
    <t>Literal sandbox ABDM credential</t>
  </si>
  <si>
    <t>An exposed ABDM credential lets the holder publish or retrieve patient health records under the hospital's national identity. That is the highest-value credential in the product.</t>
  </si>
  <si>
    <t>TC-P2I-043</t>
  </si>
  <si>
    <t>Switching ABDM to Production Mode warns before it takes effect</t>
  </si>
  <si>
    <t>1) Open /settings/abdm 2) Switch Production Mode on 3) Read the screen</t>
  </si>
  <si>
    <t>A warning states that real patient records will be published to the national exchange.</t>
  </si>
  <si>
    <t>The Production Mode toggle on SettingsABDMPage</t>
  </si>
  <si>
    <t>ABDM, Security, MRD</t>
  </si>
  <si>
    <t>A record published to the national exchange cannot be recalled. Flipping this during configuration would push real PHI into ABDM before the hospital has verified anything.</t>
  </si>
  <si>
    <t>None — reads the production-mode warning</t>
  </si>
  <si>
    <t>TC-P2I-044</t>
  </si>
  <si>
    <t>ABDM settings survive a hard reload</t>
  </si>
  <si>
    <t>1) Open /settings/abdm 2) Save the HFR ID and base URL 3) Hard-reload 4) Re-read them</t>
  </si>
  <si>
    <t>phase2.entry./settings/abdm — hipId QA-HIP-001</t>
  </si>
  <si>
    <t xml:space="preserve">Automated: FAILED.
Error: The ABDM edge functions fail quietly when unconfigured. A false save means ABHA linkage silently does nothing while the settings screen shows it as ready.
expect(received).toBe(expected) // Object.is equality
Expected: "QA-HIP-001"
Received: ""</t>
  </si>
  <si>
    <t>The ABDM edge functions fail quietly when unconfigured. A false save means ABHA linkage silently does nothing while the settings screen shows it as ready.</t>
  </si>
  <si>
    <t>hospital_abdm_config where hospital_id = A → the configuration persists</t>
  </si>
  <si>
    <t>TC-P2I-045</t>
  </si>
  <si>
    <t>Hospital A's ABDM configuration is invisible to Hospital B</t>
  </si>
  <si>
    <t>1) Sign in as the Hospital B administrator 2) Open /settings/abdm as Hospital B 3) Query hospital_abdm_config through the API with no hospital filter</t>
  </si>
  <si>
    <t>No Hospital A ABDM row is returned.</t>
  </si>
  <si>
    <t>Multi-tenancy, ABDM, Security</t>
  </si>
  <si>
    <t>The HFR ID is a national registered identity. One hospital publishing records under another's HFR ID would attribute patient care to the wrong facility in the national health record.</t>
  </si>
  <si>
    <t>hospital_abdm_config queried as the Hospital B admin → zero rows with hospital_id = A</t>
  </si>
  <si>
    <t>TC-P2I-046</t>
  </si>
  <si>
    <t>An MRD officer cannot change the ABDM configuration</t>
  </si>
  <si>
    <t>1) Log in as mrd_officer (Hospital A) 2) Navigate directly to /settings/abdm</t>
  </si>
  <si>
    <t>MOCK_DATA_BOOK Staff logins — mrd_officer (Hospital A), Mr. Sanjay Deshmukh</t>
  </si>
  <si>
    <t>ABDM, MRD, Security</t>
  </si>
  <si>
    <t xml:space="preserve">Failed to load resource: the server responded with a status of 406 ()
Warning: Encountered two children with the same key, `%s`. Keys should be unique so that components maintain their identity across updates. Non-unique keys may cause children to be duplicated and/or omitted — the behavior is unsupported and could change in a future version.%s Nephrology Ward
    at div
    at div
    at BedOccupancy (http://localhost:8080/src/components/dashboard/BedOccupancy.tsx:21:28)
    at div
    at div
    at Dashboard (http://localhost:8080/src/pages/Dashboard.tsx:107:56)
    at ModuleErrorBoundary (h
…(truncated)</t>
  </si>
  <si>
    <t>MRD publishes records through ABDM but must not hold the credentials that authorise publishing under the hospital's national identity.</t>
  </si>
  <si>
    <t>mrd_officer (Hospital A)</t>
  </si>
  <si>
    <t>TC-P2I-047</t>
  </si>
  <si>
    <t>HMIS Portal screen loads</t>
  </si>
  <si>
    <t>1) Open /settings/hmis-portal 2) Read the form</t>
  </si>
  <si>
    <t>HIN Code, Facility Code, Portal Username, Portal Password and Portal Base URL all render. No red console errors.</t>
  </si>
  <si>
    <t>phase2.entry./settings/hmis-portal — facilityCode QA-HMIS-001</t>
  </si>
  <si>
    <t>HMIS, Quality, Analytics</t>
  </si>
  <si>
    <t>HMIS submission to the MoHFW portal is a statutory monthly return for most Indian hospitals. Without credentials the return cannot be filed and the hospital falls out of compliance.</t>
  </si>
  <si>
    <t>api_configurations where hospital_id = A → the HMIS row matches what is displayed</t>
  </si>
  <si>
    <t>TC-P2I-048</t>
  </si>
  <si>
    <t>The HIN and facility codes save</t>
  </si>
  <si>
    <t>1) Open /settings/hmis-portal 2) Enter the HIN Code and Facility Code 3) Save 4) Reload</t>
  </si>
  <si>
    <t>HMIS, Quality</t>
  </si>
  <si>
    <t>The HIN identifies the hospital on the National Health Portal. A wrong code files the hospital's monthly return against another facility, which is very hard to unwind once submitted.</t>
  </si>
  <si>
    <t>api_configurations where hospital_id = A → HMIS facility code = 'QA-HMIS-001'</t>
  </si>
  <si>
    <t>TC-P2I-049</t>
  </si>
  <si>
    <t>The HMIS portal password is never rendered in plain text</t>
  </si>
  <si>
    <t>1) Open /settings/hmis-portal 2) Save a portal password 3) Reload 4) Inspect the field and the DOM</t>
  </si>
  <si>
    <t>The password renders masked and the plain value is not present in the DOM.</t>
  </si>
  <si>
    <t>Literal sandbox portal password — no production credential is used</t>
  </si>
  <si>
    <t>HMIS, Security</t>
  </si>
  <si>
    <t>These are government portal credentials tied to a named hospital. Exposure would let someone file or alter statutory returns in the hospital's name.</t>
  </si>
  <si>
    <t>TC-P2I-050</t>
  </si>
  <si>
    <t>The portal base URL saves</t>
  </si>
  <si>
    <t>1) Open /settings/hmis-portal 2) Enter the Portal Base URL 3) Save 4) Reload</t>
  </si>
  <si>
    <t>The URL persists after the reload.</t>
  </si>
  <si>
    <t>SettingsHMISPage placeholder — https://ihip.nhp.gov.in</t>
  </si>
  <si>
    <t>HMIS</t>
  </si>
  <si>
    <t>The IHIP portal address changes between state and central deployments. A wrong base URL means submissions post to an endpoint that accepts and discards them.</t>
  </si>
  <si>
    <t>api_configurations where hospital_id = A → the HMIS base URL persists</t>
  </si>
  <si>
    <t>TC-P2I-051</t>
  </si>
  <si>
    <t>An insecure http portal URL is refused or warned</t>
  </si>
  <si>
    <t>1) Open /settings/hmis-portal 2) Enter an http:// base URL 3) Save</t>
  </si>
  <si>
    <t>The save is refused, or the screen warns that credentials would be sent unencrypted.</t>
  </si>
  <si>
    <t>phase2.invalid.webhookInsecure (http://qa.example.invalid/webhook)</t>
  </si>
  <si>
    <t xml:space="preserve">Automated: FAILED.
Error: An http:// portal URL was accepted with no warning. Posting government portal credentials over plain http exposes them to anyone on the hospital network.
expect(received).toBeTruthy()
Received: false</t>
  </si>
  <si>
    <t>Posting government portal credentials over plain http exposes them to anyone on the hospital network. The warning is the only thing standing between a typo and a credential leak.</t>
  </si>
  <si>
    <t>api_configurations where hospital_id = A → the HMIS base URL uses https</t>
  </si>
  <si>
    <t>TC-P2I-052</t>
  </si>
  <si>
    <t>HMIS settings survive a hard reload</t>
  </si>
  <si>
    <t>1) Open /settings/hmis-portal 2) Save the codes and URL 3) Hard-reload 4) Re-read them</t>
  </si>
  <si>
    <t>A false save means the monthly statutory return cannot be filed, and the hospital only discovers it at the filing deadline.</t>
  </si>
  <si>
    <t>api_configurations where hospital_id = A → the HMIS configuration persists</t>
  </si>
  <si>
    <t>TC-P2I-053</t>
  </si>
  <si>
    <t>Hospital A's HMIS credentials are invisible to Hospital B</t>
  </si>
  <si>
    <t>1) Sign in as the Hospital B administrator 2) Open /settings/hmis-portal as Hospital B 3) Query api_configurations through the API with no hospital filter</t>
  </si>
  <si>
    <t>No Hospital A HMIS row is returned.</t>
  </si>
  <si>
    <t>Multi-tenancy, HMIS, Security</t>
  </si>
  <si>
    <t>Government portal credentials in the wrong hands allow statutory returns to be filed in another hospital's name — a regulatory offence attributable to the hospital named on the submission.</t>
  </si>
  <si>
    <t>TC-P2I-054</t>
  </si>
  <si>
    <t>The HMIS Portal screen loads with no red console errors</t>
  </si>
  <si>
    <t>1) Open DevTools → Console 2) Open /settings/hmis-portal 3) Save the credentials 4) Read the console</t>
  </si>
  <si>
    <t>No red console text, and no credential echoed into a console message.</t>
  </si>
  <si>
    <t>No credential must ever appear in console output. A government portal password logged there is captured by any browser extension the hospital has installed.</t>
  </si>
  <si>
    <t>TC-P2I-055</t>
  </si>
  <si>
    <t>API Keys screen loads</t>
  </si>
  <si>
    <t>1) Open /settings/api-keys 2) Read the key list</t>
  </si>
  <si>
    <t>The key list renders with a generate action. No red console errors.</t>
  </si>
  <si>
    <t>phase2.entry./settings/api-keys — keyName "QA Phase 2 key"</t>
  </si>
  <si>
    <t>Platform, Security</t>
  </si>
  <si>
    <t>API keys grant programmatic access to hospital data. If the screen will not load, existing keys cannot be reviewed or revoked, which is the entire point of having a key management page.</t>
  </si>
  <si>
    <t>api_keys where hospital_id = A → matches the list displayed</t>
  </si>
  <si>
    <t>TC-P2I-056</t>
  </si>
  <si>
    <t>An API key can be generated with a name</t>
  </si>
  <si>
    <t>1) Open /settings/api-keys 2) Enter Key Name "QA Phase 2 key" 3) Generate</t>
  </si>
  <si>
    <t>An api_keys row exists with that name and the key value is shown once.</t>
  </si>
  <si>
    <t>The name is how a key is identified for revocation later. An unnamed key cannot be safely revoked because nobody knows what would break.</t>
  </si>
  <si>
    <t>api_keys where hospital_id = A and name = 'QA Phase 2 key' → 1 row</t>
  </si>
  <si>
    <t>TC-P2I-057</t>
  </si>
  <si>
    <t>The generated key value is shown once and never again</t>
  </si>
  <si>
    <t>1) Open /settings/api-keys 2) Generate a key and note the value 3) Reload the page 4) Look for the key value</t>
  </si>
  <si>
    <t>The full key is displayed at generation and is not retrievable afterwards — only a prefix or hash is shown.</t>
  </si>
  <si>
    <t>A key retrievable from the list is a key any settings-permitted user can copy at any time. Show-once is what makes revocation meaningful, because the stored value is a hash rather than the secret.</t>
  </si>
  <si>
    <t>api_keys where hospital_id = A → the stored value is not the plain key</t>
  </si>
  <si>
    <t>TC-P2I-058</t>
  </si>
  <si>
    <t>A key cannot be generated without a name</t>
  </si>
  <si>
    <t>1) Open /settings/api-keys 2) Leave Key Name blank 3) Generate</t>
  </si>
  <si>
    <t>The generation is refused and no api_keys row is written.</t>
  </si>
  <si>
    <t>None — deliberately omits the required Key Name</t>
  </si>
  <si>
    <t>An unnamed key in the list cannot be attributed to a system, so nobody dares revoke it and it lives forever.</t>
  </si>
  <si>
    <t>api_keys where hospital_id = A and (name is null or name = '') → 0 rows</t>
  </si>
  <si>
    <t>TC-P2I-059</t>
  </si>
  <si>
    <t>An API key can be revoked</t>
  </si>
  <si>
    <t>1) Open /settings/api-keys 2) Revoke a key 3) Reload</t>
  </si>
  <si>
    <t>An "API key revoked" confirmation appears and the key is marked revoked after the reload.</t>
  </si>
  <si>
    <t>Revocation is the only response to a leaked key. If it does not persist, the compromised key keeps working while the screen says it is revoked.</t>
  </si>
  <si>
    <t>api_keys where hospital_id = A and name = 'QA Phase 2 key' → revoked</t>
  </si>
  <si>
    <t>TC-P2I-060</t>
  </si>
  <si>
    <t>A revoked key no longer authenticates</t>
  </si>
  <si>
    <t>1) Open /settings/api-keys, generate a key and confirm it authenticates 2) Revoke it 3) Attempt to use it again</t>
  </si>
  <si>
    <t>The revoked key is rejected.</t>
  </si>
  <si>
    <t>A revocation stored but not enforced is the worst possible security failure: the hospital believes it has responded to a leak and the attacker retains access.</t>
  </si>
  <si>
    <t>api_keys → a revoked key is refused at authentication</t>
  </si>
  <si>
    <t>TC-P2I-061</t>
  </si>
  <si>
    <t>The key value can be copied to the clipboard at generation</t>
  </si>
  <si>
    <t>1) Open /settings/api-keys 2) Generate a key 3) Use the copy action</t>
  </si>
  <si>
    <t>An "API key copied to clipboard" confirmation appears.</t>
  </si>
  <si>
    <t>The key is shown once. Forcing the integrator to transcribe a long secret by hand guarantees a typo, and the key cannot be re-read to check.</t>
  </si>
  <si>
    <t>TC-P2I-062</t>
  </si>
  <si>
    <t>Hospital A's API keys are invisible to Hospital B</t>
  </si>
  <si>
    <t>1) Sign in as the Hospital B administrator 2) Open /settings/api-keys as Hospital B 3) Query api_keys through the API with no hospital filter</t>
  </si>
  <si>
    <t>Not one Hospital A key is returned.</t>
  </si>
  <si>
    <t>Multi-tenancy, Platform, Security</t>
  </si>
  <si>
    <t>An API key grants programmatic access to a hospital's patient data. Cross-tenant visibility here is the most direct possible path to a PHI breach under the DPDP Act.</t>
  </si>
  <si>
    <t>api_keys queried as the Hospital B admin → zero rows with hospital_id = A</t>
  </si>
  <si>
    <t>TC-P2I-063</t>
  </si>
  <si>
    <t>A receptionist cannot reach the API Keys screen</t>
  </si>
  <si>
    <t>1) Log in as receptionist (Hospital A) 2) Navigate directly to /settings/api-keys</t>
  </si>
  <si>
    <t>Generating an API key creates a credential with programmatic access to patient data that outlives the session and is not tied to a login.</t>
  </si>
  <si>
    <t>TC-P2I-064</t>
  </si>
  <si>
    <t>The API Keys screen loads with no red console errors</t>
  </si>
  <si>
    <t>1) Open DevTools → Console 2) Open /settings/api-keys 3) Generate and revoke a key 4) Read the console</t>
  </si>
  <si>
    <t>No red console text, and no key value echoed into a console message.</t>
  </si>
  <si>
    <t>A generated key logged to the console defeats show-once entirely — the secret sits in the browser log where any extension can read it.</t>
  </si>
  <si>
    <t>TC-P2I-065</t>
  </si>
  <si>
    <t>API Portal screen loads</t>
  </si>
  <si>
    <t>1) Open /settings/api-portal 2) Read the page</t>
  </si>
  <si>
    <t>The key management and webhook endpoint sections render. No red console errors.</t>
  </si>
  <si>
    <t>phase2.entry./settings/api-portal — endpoint https://qa.example.invalid/webhook</t>
  </si>
  <si>
    <t xml:space="preserve">Automated: FAILED.
Error: Console errors:
Failed to load resource: the server responded with a status of 404 ()
The developer portal is how a hospital wires the HMS to its own systems. A broken portal blocks every partner integration it has commissioned.
expect(received).toHaveLength(expected)
Expected length: 0
Received length: 1
Received array:  ["Failed to load resource: the server responded with a status of 404 ()"]</t>
  </si>
  <si>
    <t>The developer portal is how a hospital wires the HMS to its own systems. A broken portal blocks every partner integration the hospital has commissioned.</t>
  </si>
  <si>
    <t>api_keys and webhook_endpoints where hospital_id = A → match what is displayed</t>
  </si>
  <si>
    <t>TC-P2I-066</t>
  </si>
  <si>
    <t>A webhook endpoint saves</t>
  </si>
  <si>
    <t>1) Open /settings/api-portal 2) Enter Endpoint URL https://qa.example.invalid/webhook and an Event 3) Register</t>
  </si>
  <si>
    <t>A "Webhook endpoint registered" confirmation appears and a webhook_endpoints row exists.</t>
  </si>
  <si>
    <t>A webhook is how the hospital's own systems learn that a bill was finalised or a patient admitted. An endpoint that does not save means those systems silently stop being told.</t>
  </si>
  <si>
    <t>webhook_endpoints where hospital_id = A and url = 'https://qa.example.invalid/webhook' → 1 row</t>
  </si>
  <si>
    <t>TC-P2I-067</t>
  </si>
  <si>
    <t>An insecure http webhook URL is refused</t>
  </si>
  <si>
    <t>1) Open /settings/api-portal 2) Enter "http://qa.example.invalid/webhook" 3) Register</t>
  </si>
  <si>
    <t>The save is refused with a message requiring https.</t>
  </si>
  <si>
    <t>A webhook payload carries patient and billing data. Delivered over plain http it is readable by anyone on the path, which is a DPDP Act breach the hospital caused by accepting a typo.</t>
  </si>
  <si>
    <t>webhook_endpoints where hospital_id = A → no row with an http:// URL</t>
  </si>
  <si>
    <t>TC-P2I-068</t>
  </si>
  <si>
    <t>A webhook cannot be registered without a URL</t>
  </si>
  <si>
    <t>1) Open /settings/api-portal 2) Leave Endpoint URL blank 3) Register</t>
  </si>
  <si>
    <t>The registration is refused and no row is written.</t>
  </si>
  <si>
    <t>None — deliberately omits the required Endpoint URL</t>
  </si>
  <si>
    <t>An endpoint with no URL appears registered and delivers nowhere. The integrator waits for events that were never going to arrive.</t>
  </si>
  <si>
    <t>webhook_endpoints where hospital_id = A and (url is null or url = '') → 0 rows</t>
  </si>
  <si>
    <t>TC-P2I-069</t>
  </si>
  <si>
    <t>API key scopes save</t>
  </si>
  <si>
    <t>1) Open /settings/api-portal 2) Create a key with a restricted set of Scopes 3) Save 4) Reload</t>
  </si>
  <si>
    <t>The scopes persist after the reload.</t>
  </si>
  <si>
    <t>The Scopes control on SettingsAPIPortalPage</t>
  </si>
  <si>
    <t xml:space="preserve">Automated: FAILED.
Error: No scopes control rendered. Scopes are what stop a billing integration reading clinical notes — a key whose scopes do not persist defaults to whatever the API grants, which is the opposite of least privilege.
expect(received).toBeTruthy()
Received: false</t>
  </si>
  <si>
    <t>Scopes are what stop a billing integration reading clinical notes. A key whose scopes do not persist defaults to whatever the API grants by default, which is the opposite of least privilege.</t>
  </si>
  <si>
    <t>api_keys where hospital_id = A → the scope set persists</t>
  </si>
  <si>
    <t>TC-P2I-070</t>
  </si>
  <si>
    <t>A newly created portal key is shown once with an explicit warning</t>
  </si>
  <si>
    <t>1) Open /settings/api-portal 2) Create a key 3) Read the message shown with the key</t>
  </si>
  <si>
    <t>The message states the key will not be shown again.</t>
  </si>
  <si>
    <t>phase2.entry./settings/api-portal — a new API key</t>
  </si>
  <si>
    <t xml:space="preserve">Automated: FAILED.
TimeoutError: locator.click: Timeout 15000ms exceeded.
Call log:
  - waiting for getByRole('button', { name: /create|generate/i }).first()</t>
  </si>
  <si>
    <t>Without the warning an integrator closes the dialog assuming they can copy the key later, and the only recovery is to revoke and reissue — which breaks whatever was already wired up.</t>
  </si>
  <si>
    <t>None — reads the show-once warning</t>
  </si>
  <si>
    <t>TC-P2I-071</t>
  </si>
  <si>
    <t>Hospital A's webhook endpoints are invisible to Hospital B</t>
  </si>
  <si>
    <t>1) Sign in as the Hospital B administrator 2) Open /settings/api-portal as Hospital B 3) Query webhook_endpoints through the API with no hospital filter</t>
  </si>
  <si>
    <t>Not one Hospital A endpoint is returned.</t>
  </si>
  <si>
    <t>A webhook URL is where patient and billing events are delivered. One tenant registering an endpoint visible to another could redirect another hospital's clinical event stream.</t>
  </si>
  <si>
    <t>webhook_endpoints queried as the Hospital B admin → zero rows with hospital_id = A</t>
  </si>
  <si>
    <t>TC-P2I-072</t>
  </si>
  <si>
    <t>The API Portal screen loads with no red console errors</t>
  </si>
  <si>
    <t>1) Open DevTools → Console 2) Open /settings/api-portal 3) Create a key and register a webhook 4) Read the console</t>
  </si>
  <si>
    <t xml:space="preserve">Automated: FAILED.
Error: Console errors:
Failed to load resource: the server responded with a status of 404 ()
This screen writes to two tables and displays a secret once. A console-only failure on either write leaves the integrator holding a key that authorises nothing.
expect(received).toHaveLength(expected)
Expected length: 0
Received length: 1
Received array:  ["Failed to load resource: the server responded with a status of 404 ()"]</t>
  </si>
  <si>
    <t>This screen writes to two tables and displays a secret once. A console-only failure on either write leaves the integrator holding a key that authorises nothing.</t>
  </si>
  <si>
    <t>TC-P2I-073</t>
  </si>
  <si>
    <t>Integration Keys hub loads</t>
  </si>
  <si>
    <t>1) Open /settings/api-hub 2) Read the credential list</t>
  </si>
  <si>
    <t>The payment, WhatsApp and government API credential slots render. No red console errors.</t>
  </si>
  <si>
    <t>phase2.entry./settings/api-hub — label qa-ai-provider-key</t>
  </si>
  <si>
    <t>Payments, CRM, ABDM, HMIS</t>
  </si>
  <si>
    <t>This hub is where the credentials for several integrations live in one place. If it will not load, none of them can be rotated when one is compromised.</t>
  </si>
  <si>
    <t>api_configurations where hospital_id = A → matches the list displayed</t>
  </si>
  <si>
    <t>TC-P2I-074</t>
  </si>
  <si>
    <t>An integration credential saves</t>
  </si>
  <si>
    <t>1) Open /settings/api-hub 2) Enter an API Key and Endpoint URL for a service 3) Save</t>
  </si>
  <si>
    <t>A confirmation names the service and an api_configurations row exists.</t>
  </si>
  <si>
    <t>Payments, CRM, ABDM</t>
  </si>
  <si>
    <t>Every external call the product makes authenticates with a credential from this table. A save that does not persist leaves the integration dead with no error visible on the screen that owns it.</t>
  </si>
  <si>
    <t>api_configurations where hospital_id = A → the credential row exists</t>
  </si>
  <si>
    <t>TC-P2I-075</t>
  </si>
  <si>
    <t>Integration secrets are never rendered in plain text</t>
  </si>
  <si>
    <t>1) Open /settings/api-hub 2) Save a Key Secret 3) Reload 4) Inspect the field and the DOM</t>
  </si>
  <si>
    <t>Literal sandbox key secret</t>
  </si>
  <si>
    <t>This hub holds payment and government credentials together. A single unmasked field here exposes more than any other screen in the product.</t>
  </si>
  <si>
    <t>TC-P2I-076</t>
  </si>
  <si>
    <t>The credential mode saves</t>
  </si>
  <si>
    <t>1) Open /settings/api-hub 2) Set the Mode for a credential 3) Save 4) Reload</t>
  </si>
  <si>
    <t>The mode persists after the reload.</t>
  </si>
  <si>
    <t>The Mode control on APIConfigHubPage</t>
  </si>
  <si>
    <t>Payments, GST</t>
  </si>
  <si>
    <t xml:space="preserve">Automated: FAILED.
Error: No mode control rendered. Mode decides whether a credential points at sandbox or production — a hospital stuck in sandbox takes payments that never settle, and one accidentally in production issues real tax documents while testing.
expect(received).toBeTruthy()
Received: false</t>
  </si>
  <si>
    <t>Mode decides whether a credential points at sandbox or production. A hospital stuck in sandbox takes payments that never settle, and one accidentally in production issues real tax documents while testing.</t>
  </si>
  <si>
    <t>api_configurations where hospital_id = A → the mode persists</t>
  </si>
  <si>
    <t>TC-P2I-077</t>
  </si>
  <si>
    <t>An existing credential can be edited without clearing the others</t>
  </si>
  <si>
    <t>1) Open /settings/api-hub 2) Edit one service credential 3) Save 4) Check the other credentials</t>
  </si>
  <si>
    <t>Only the edited credential changes. The others are untouched.</t>
  </si>
  <si>
    <t>Several integrations share this table. A save that sends a partial payload would silently null every other credential, taking down payments, WhatsApp and ABDM in one action.</t>
  </si>
  <si>
    <t>api_configurations where hospital_id = A → unrelated credential rows are unchanged</t>
  </si>
  <si>
    <t>TC-P2I-078</t>
  </si>
  <si>
    <t>Integration credentials survive a hard reload</t>
  </si>
  <si>
    <t>1) Open /settings/api-hub 2) Save a credential 3) Hard-reload 4) Confirm it is still listed</t>
  </si>
  <si>
    <t>The credential is still present after the reload.</t>
  </si>
  <si>
    <t>Payments, CRM</t>
  </si>
  <si>
    <t>A false save means the integration is dead and the settings screen says it is configured. The failure then surfaces at the far end of whatever workflow depends on it.</t>
  </si>
  <si>
    <t>api_configurations where hospital_id = A → the credential persists</t>
  </si>
  <si>
    <t>TC-P2I-079</t>
  </si>
  <si>
    <t>Hospital A's integration credentials are invisible to Hospital B</t>
  </si>
  <si>
    <t>1) Sign in as the Hospital B administrator 2) Open /settings/api-hub as Hospital B 3) Query api_configurations through the API with no hospital filter</t>
  </si>
  <si>
    <t>Not one Hospital A credential is returned.</t>
  </si>
  <si>
    <t>This table holds payment gateway keys, WhatsApp keys and government portal credentials together. A cross-tenant leak here compromises money, patient communication and statutory filing at once.</t>
  </si>
  <si>
    <t>TC-P2I-080</t>
  </si>
  <si>
    <t>An accountant cannot reach the Integration Keys hub</t>
  </si>
  <si>
    <t>1) Log in as accountant (Hospital A) 2) Navigate directly to /settings/api-hub</t>
  </si>
  <si>
    <t>MOCK_DATA_BOOK Staff logins — accountant (Hospital A), Mr. Venkat Rao</t>
  </si>
  <si>
    <t>The accountant reconciles payments but must not hold the merchant credentials that authorise them. Separating the two is the basic control against redirected settlement.</t>
  </si>
  <si>
    <t>accountant (Hospital A)</t>
  </si>
  <si>
    <t>TC-P2I-081</t>
  </si>
  <si>
    <t>AI Language Packs screen loads</t>
  </si>
  <si>
    <t>1) Open /settings/ai-languages 2) Read the language list</t>
  </si>
  <si>
    <t>The supported AI languages render with per-language toggles. No red console errors.</t>
  </si>
  <si>
    <t>phase2.entry./settings/ai-languages — language Hindi</t>
  </si>
  <si>
    <t>AI Suite, OPD, IPD, TV Display, Patient Portal</t>
  </si>
  <si>
    <t>SETTINGS_PREREQ_MATRIX warns that without ai_language_settings the AI output defaults to English only. A Voice Scribe that only understands English is unusable for a doctor dictating in Telugu.</t>
  </si>
  <si>
    <t>ai_language_settings where hospital_id = A → matches what is displayed</t>
  </si>
  <si>
    <t>e2e/phase-02-settings/P2I.data-audit.spec.ts</t>
  </si>
  <si>
    <t>TC-P2I-082</t>
  </si>
  <si>
    <t>A language pack can be enabled and saves</t>
  </si>
  <si>
    <t>1) Open /settings/ai-languages 2) Enable Hindi 3) Save 4) Reload</t>
  </si>
  <si>
    <t>An ai_language_settings row records Hindi as enabled after the reload.</t>
  </si>
  <si>
    <t>AI Suite, OPD</t>
  </si>
  <si>
    <t>The enabled set decides which languages Voice Scribe and the discharge summary generator will produce. A toggle that does not persist means the hospital believes it has enabled a language its clinicians cannot actually use.</t>
  </si>
  <si>
    <t>ai_language_settings where hospital_id = A → Hindi enabled</t>
  </si>
  <si>
    <t>TC-P2I-083</t>
  </si>
  <si>
    <t>A language pack can be disabled again</t>
  </si>
  <si>
    <t>1) Open /settings/ai-languages 2) Disable a previously enabled language 3) Save 4) Reload</t>
  </si>
  <si>
    <t>The language reads disabled after the reload.</t>
  </si>
  <si>
    <t>A language pack the hospital has not validated for its own clinical vocabulary should be switchable off. A one-way toggle forces the hospital to keep an output it does not trust.</t>
  </si>
  <si>
    <t>ai_language_settings where hospital_id = A → the language reads disabled</t>
  </si>
  <si>
    <t>TC-P2I-084</t>
  </si>
  <si>
    <t>English remains available regardless of the other selections</t>
  </si>
  <si>
    <t>1) Open /settings/ai-languages 2) Disable every language 3) Save 4) Read the resulting state</t>
  </si>
  <si>
    <t>English remains available as the fallback.</t>
  </si>
  <si>
    <t>MOCK_DATA_BOOK Preferred Patient Languages — English is always included</t>
  </si>
  <si>
    <t>English is the fallback every other language degrades to. With no language enabled at all, an AI feature would have no output language and would fail with an error the clinician cannot interpret.</t>
  </si>
  <si>
    <t>ai_language_settings where hospital_id = A → English available even with all others disabled</t>
  </si>
  <si>
    <t>TC-P2I-085</t>
  </si>
  <si>
    <t>The enabled languages align with the hospital patient languages</t>
  </si>
  <si>
    <t>1) Open /settings/profile and note the Preferred Patient Languages 2) Open /settings/ai-languages 3) Compare the two lists</t>
  </si>
  <si>
    <t>The screen makes the relationship clear, or flags a language the hospital serves that has no AI pack enabled.</t>
  </si>
  <si>
    <t>MOCK_DATA_BOOK Hospital A — Telugu among the preferred patient languages</t>
  </si>
  <si>
    <t>AI Suite, Patients, Patient Portal</t>
  </si>
  <si>
    <t>A hospital serving Telugu patients with only English AI enabled produces discharge summaries the patient cannot read. The two settings describe the same population and should not silently diverge.</t>
  </si>
  <si>
    <t>hospitals.patient_languages compared against ai_language_settings</t>
  </si>
  <si>
    <t>TC-P2I-086</t>
  </si>
  <si>
    <t>AI language settings survive a hard reload</t>
  </si>
  <si>
    <t>1) Open /settings/ai-languages 2) Enable a language and save 3) Hard-reload 4) Re-read the toggle</t>
  </si>
  <si>
    <t>The language is still enabled after the reload.</t>
  </si>
  <si>
    <t>A false save leaves AI output on English only while the screen shows the language enabled, so nobody investigates why the Telugu discharge summary never appears.</t>
  </si>
  <si>
    <t>ai_language_settings where hospital_id = A → the enabled set persists</t>
  </si>
  <si>
    <t>TC-P2I-087</t>
  </si>
  <si>
    <t>Hospital A's AI language settings are invisible to Hospital B</t>
  </si>
  <si>
    <t>1) Sign in as the Hospital B administrator 2) Open /settings/ai-languages as Hospital B 3) Query ai_language_settings through the API with no hospital filter</t>
  </si>
  <si>
    <t>No Hospital A row is returned.</t>
  </si>
  <si>
    <t>A Telangana hospital enables Telugu and a Maharashtra hospital enables Marathi. Crossed settings would generate clinical documents in a language the receiving patient does not read.</t>
  </si>
  <si>
    <t>ai_language_settings queried as the Hospital B admin → zero rows with hospital_id = A</t>
  </si>
  <si>
    <t>TC-P2I-088</t>
  </si>
  <si>
    <t>A doctor cannot change the hospital AI language packs</t>
  </si>
  <si>
    <t>1) Log in as doctor (Hospital A) 2) Navigate directly to /settings/ai-languages</t>
  </si>
  <si>
    <t>Enabling a language pack commits the hospital to clinical output in a language it may not have validated. That is a governance decision, not an individual preference.</t>
  </si>
  <si>
    <t>TC-P2I-089</t>
  </si>
  <si>
    <t>The enabled-language count is shown</t>
  </si>
  <si>
    <t>1) Open /settings/ai-languages 2) Read the summary of how many languages are on</t>
  </si>
  <si>
    <t>The screen states how many packs are enabled.</t>
  </si>
  <si>
    <t xml:space="preserve">Automated: FAILED.
Error: No enabled-language summary. Each pack has a cost and a validation obligation — an at-a-glance count is how an administrator notices that ten languages are on when the hospital only serves two.
expect(received).toBeTruthy()
Received: false</t>
  </si>
  <si>
    <t>Each enabled pack has a cost and a validation obligation. An at-a-glance count is how an administrator notices that ten languages are on when the hospital only serves two.</t>
  </si>
  <si>
    <t>None — reads the enabled count</t>
  </si>
  <si>
    <t>TC-P2I-090</t>
  </si>
  <si>
    <t>The AI Language Packs screen loads with no red console errors</t>
  </si>
  <si>
    <t>1) Open DevTools → Console 2) Open /settings/ai-languages 3) Toggle a language and save 4) Read the console</t>
  </si>
  <si>
    <t>No red console text from the ai_language_settings read or write.</t>
  </si>
  <si>
    <t>A failed write appearing only in the console leaves the hospital believing a language is enabled while every AI output continues in English.</t>
  </si>
  <si>
    <t>TC-P2I-091</t>
  </si>
  <si>
    <t>Backup &amp; Export screen loads</t>
  </si>
  <si>
    <t>1) Open /settings/backup 2) Read the page</t>
  </si>
  <si>
    <t>The export actions and the data erasure request form render. No red console errors.</t>
  </si>
  <si>
    <t>phase2.entry./settings/backup — scope "QA export check"</t>
  </si>
  <si>
    <t>MRD, Security, DPDP</t>
  </si>
  <si>
    <t>DPDP Act 2023 gives a data principal the right to erasure and the hospital the obligation to honour it. This screen is where both the export and the erasure request live.</t>
  </si>
  <si>
    <t>data_erasure_requests where hospital_id = A → matches what is displayed</t>
  </si>
  <si>
    <t>TC-P2I-092</t>
  </si>
  <si>
    <t>An audit log export produces a file</t>
  </si>
  <si>
    <t>1) Open /settings/backup 2) Export the audit log 3) Observe the result</t>
  </si>
  <si>
    <t>An "Audit log exported" confirmation appears, or a clear message explains there is no data.</t>
  </si>
  <si>
    <t>audit_log — the existing entries for Hospital A</t>
  </si>
  <si>
    <t>MRD, Quality, Security</t>
  </si>
  <si>
    <t>The audit log is the evidence a NABH assessor or a DPDP investigation asks for. An export that fails silently means the hospital cannot produce it when required.</t>
  </si>
  <si>
    <t>audit_log where hospital_id = A → export succeeds or explains the empty state</t>
  </si>
  <si>
    <t>TC-P2I-093</t>
  </si>
  <si>
    <t>An export with no data explains itself rather than failing silently</t>
  </si>
  <si>
    <t>1) Open /settings/backup 2) Export a dataset that is empty 3) Read the message</t>
  </si>
  <si>
    <t>A message such as "No audit data to export" appears. Nothing downloads silently.</t>
  </si>
  <si>
    <t>None — exports a dataset with no rows</t>
  </si>
  <si>
    <t>A download that produces nothing looks like a broken button. Saying the dataset is empty tells the administrator the system worked and there was simply nothing to send.</t>
  </si>
  <si>
    <t>None — reads the empty-export message</t>
  </si>
  <si>
    <t>TC-P2I-094</t>
  </si>
  <si>
    <t>A data erasure request can be submitted</t>
  </si>
  <si>
    <t>1) Open /settings/backup 2) Submit an erasure request with a reason 3) Read the confirmation</t>
  </si>
  <si>
    <t>An "Erasure request submitted" confirmation appears and a data_erasure_requests row exists.</t>
  </si>
  <si>
    <t>Literal erasure reason "QA Phase 2 verification — safe to reject"</t>
  </si>
  <si>
    <t>Under the DPDP Act a data principal can demand erasure and the hospital must record and act on the request. A request that is not stored means the obligation is missed and the clock keeps running.</t>
  </si>
  <si>
    <t>data_erasure_requests where hospital_id = A → 1 new row with the reason</t>
  </si>
  <si>
    <t>TC-P2I-095</t>
  </si>
  <si>
    <t>An erasure request is recorded rather than executed immediately</t>
  </si>
  <si>
    <t>1) Open /settings/backup 2) Submit an erasure request 3) Check whether patient data was deleted</t>
  </si>
  <si>
    <t>The request is recorded for review. No patient record is deleted at the moment of the request.</t>
  </si>
  <si>
    <t>Medical records carry statutory retention periods that override an erasure request — three years, and ten for MLC. Immediate deletion would breach retention law while satisfying a DPDP request, so it has to be a reviewed workflow.</t>
  </si>
  <si>
    <t>patients where hospital_id = A → row count unchanged immediately after the request</t>
  </si>
  <si>
    <t>TC-P2I-096</t>
  </si>
  <si>
    <t>A patient data export is available</t>
  </si>
  <si>
    <t>1) Open /settings/backup 2) Export patient data 3) Observe the result</t>
  </si>
  <si>
    <t>The export produces a file, or explains that there is no patient data.</t>
  </si>
  <si>
    <t>MOCK_DATA_BOOK Patients — the 40 seeded records</t>
  </si>
  <si>
    <t>MRD, DPDP</t>
  </si>
  <si>
    <t>Data portability is the other half of the DPDP obligation. A hospital that cannot export a patient's own record on request is non-compliant.</t>
  </si>
  <si>
    <t>patients where hospital_id = A → export succeeds or explains the empty state</t>
  </si>
  <si>
    <t>TC-P2I-097</t>
  </si>
  <si>
    <t>An export never includes another tenant's data</t>
  </si>
  <si>
    <t>1) Sign in as the Hospital A administrator 2) Open /settings/backup and export patient data 3) Inspect the export for Hospital B records</t>
  </si>
  <si>
    <t>The export contains only Hospital A records.</t>
  </si>
  <si>
    <t>MOCK_DATA_BOOK Patients — PT-QA-0030 Rohan Kulkarni is HOSPITAL B ONLY</t>
  </si>
  <si>
    <t>Multi-tenancy, MRD, Security</t>
  </si>
  <si>
    <t>MOCK_DATA_BOOK seeds PT-QA-0030 in Hospital B specifically as the isolation control. An export that includes it is a bulk PHI breach of another hospital's patients, delivered as a downloadable file.</t>
  </si>
  <si>
    <t>the export → contains no patient with hospital_id = B</t>
  </si>
  <si>
    <t>TC-P2I-098</t>
  </si>
  <si>
    <t>A receptionist cannot reach the Backup &amp; Export screen</t>
  </si>
  <si>
    <t>1) Log in as receptionist (Hospital A) 2) Navigate directly to /settings/backup</t>
  </si>
  <si>
    <t>MRD, Security</t>
  </si>
  <si>
    <t>This screen exports the entire patient database to a file. Anyone who can reach it can walk out with the hospital's PHI on a laptop.</t>
  </si>
  <si>
    <t>TC-P2I-099</t>
  </si>
  <si>
    <t>Hospital A's erasure requests are invisible to Hospital B</t>
  </si>
  <si>
    <t>1) Sign in as the Hospital B administrator 2) Open /settings/backup as Hospital B 3) Query data_erasure_requests through the API with no hospital filter</t>
  </si>
  <si>
    <t>No Hospital A erasure request is returned.</t>
  </si>
  <si>
    <t>Multi-tenancy, Security, DPDP</t>
  </si>
  <si>
    <t>An erasure request names a patient and states why they want their record removed. It is among the most sensitive rows the product holds.</t>
  </si>
  <si>
    <t>data_erasure_requests queried as the Hospital B admin → zero rows with hospital_id = A</t>
  </si>
  <si>
    <t>TC-P2I-100</t>
  </si>
  <si>
    <t>The Backup &amp; Export screen loads with no red console errors</t>
  </si>
  <si>
    <t>1) Open DevTools → Console 2) Open /settings/backup 3) Run an export 4) Read the console</t>
  </si>
  <si>
    <t>No red console text, and no patient identifier written into a console message.</t>
  </si>
  <si>
    <t>MOCK_DATA_BOOK Patients — the seeded records</t>
  </si>
  <si>
    <t>No PHI must ever appear in console output. A patient name or UHID logged during an export is a disclosure into the browser log.</t>
  </si>
  <si>
    <t>TC-P2I-101</t>
  </si>
  <si>
    <t>Record Retention screen loads</t>
  </si>
  <si>
    <t>1) Open /settings/record-retention 2) Read the policy list</t>
  </si>
  <si>
    <t>Retention policies render per record type. No red console errors.</t>
  </si>
  <si>
    <t>MOCK_DATA_BOOK — record_retention_policies default 3 years, 10 for MLC</t>
  </si>
  <si>
    <t>MRD, Quality, Lab, Radiology, IPD</t>
  </si>
  <si>
    <t xml:space="preserve">Automated: FAILED.
Error: expect(locator).toBeVisible() failed
Locator: getByRole('heading', { name: 'Record Retention' }).first().or(getByRole('heading', { name: /retention/i }).first())
Expected: visible
Timeout: 15000ms
Error: element(s) not found
Call log:
  - Expect "toBeVisible" with timeout 15000ms
  - waiting for getByRole('heading', { name: 'Record Retention' }).first().or(getByRole('heading', { name: /retention/i }).first())</t>
  </si>
  <si>
    <t>SETTINGS_PREREQ_MATRIX notes that without record_retention_policies the defaults are 3 years and 10 for MLC. A hospital that never sees this screen inherits retention periods it has not reviewed against its own state law.</t>
  </si>
  <si>
    <t>record_retention_policies where hospital_id = A → matches what is displayed</t>
  </si>
  <si>
    <t>TC-P2I-102</t>
  </si>
  <si>
    <t>A retention period saves per record type</t>
  </si>
  <si>
    <t>1) Open /settings/record-retention 2) Set a retention period for a record type 3) Save 4) Reload</t>
  </si>
  <si>
    <t>A confirmation names the record type and the period persists after the reload.</t>
  </si>
  <si>
    <t>MOCK_DATA_BOOK — record retention defaults, 3 years and 10 for MLC</t>
  </si>
  <si>
    <t>MRD, Quality</t>
  </si>
  <si>
    <t>Retention drives when a record may be purged. Too short and the hospital destroys evidence it is legally required to hold; too long and it holds PHI beyond its lawful purpose under the DPDP Act.</t>
  </si>
  <si>
    <t>record_retention_policies where hospital_id = A → the period persists per record type</t>
  </si>
  <si>
    <t>TC-P2I-103</t>
  </si>
  <si>
    <t>The MLC retention period is longer than the general one</t>
  </si>
  <si>
    <t>1) Open /settings/record-retention 2) Compare the MLC retention period against the general record period</t>
  </si>
  <si>
    <t>MLC retention is longer — ten years against three by default.</t>
  </si>
  <si>
    <t>MOCK_DATA_BOOK — 3 years general, 10 years for MLC</t>
  </si>
  <si>
    <t>MRD, Quality, Emergency</t>
  </si>
  <si>
    <t>A medico-legal case record destroyed at three years is evidence lost in a matter that may still be before a court. The longer MLC period is a legal requirement, not a preference.</t>
  </si>
  <si>
    <t>record_retention_policies where hospital_id = A → MLC period &gt; general period</t>
  </si>
  <si>
    <t>TC-P2I-104</t>
  </si>
  <si>
    <t>A zero or negative retention period is refused</t>
  </si>
  <si>
    <t>1) Open /settings/record-retention 2) Set a retention period of 0, then -1 3) Save each time</t>
  </si>
  <si>
    <t>Both are refused.</t>
  </si>
  <si>
    <t>phase2.invalid.ratePerDayZero (0) and ratePerDayNegative (-100) applied to the retention period</t>
  </si>
  <si>
    <t>A zero retention period makes every record immediately purgeable. If a scheduled purge ever ran against it, the hospital would destroy its entire medical record archive in one pass.</t>
  </si>
  <si>
    <t>record_retention_policies where hospital_id = A → every period &gt; 0</t>
  </si>
  <si>
    <t>TC-P2I-105</t>
  </si>
  <si>
    <t>The legal basis and notes save against a policy</t>
  </si>
  <si>
    <t>1) Open /settings/record-retention 2) Enter a Legal basis and Notes 3) Save 4) Reload</t>
  </si>
  <si>
    <t>SettingsRecordRetentionPage placeholders — Legal basis, Notes</t>
  </si>
  <si>
    <t xml:space="preserve">Automated: FAILED.
Error: DPDP requires a documented purpose and lawful basis for holding personal data. The legal basis field is where the hospital records why it keeps each record type for as long as it does.
expect(received).toBeTruthy()
Received: false</t>
  </si>
  <si>
    <t>DPDP requires a documented purpose and lawful basis for holding personal data. The legal basis field is where the hospital records why it keeps each record type for as long as it does.</t>
  </si>
  <si>
    <t>record_retention_policies where hospital_id = A → legal basis and notes persist</t>
  </si>
  <si>
    <t>TC-P2I-106</t>
  </si>
  <si>
    <t>A retention scan reports its outcome</t>
  </si>
  <si>
    <t>1) Open /settings/record-retention 2) Run the retention scan 3) Read the result</t>
  </si>
  <si>
    <t>A "Retention scan complete" confirmation appears with what it found.</t>
  </si>
  <si>
    <t>MOCK_DATA_BOOK — the seeded records under the default retention periods</t>
  </si>
  <si>
    <t>The scan is how the hospital learns which records are now beyond retention. A scan with no reported outcome cannot support the purge decision it exists to inform.</t>
  </si>
  <si>
    <t>None — reads the retention scan outcome</t>
  </si>
  <si>
    <t>TC-P2I-107</t>
  </si>
  <si>
    <t>Hospital A's retention policies are invisible to Hospital B</t>
  </si>
  <si>
    <t>1) Sign in as the Hospital B administrator 2) Open /settings/record-retention as Hospital B 3) Query record_retention_policies through the API with no hospital filter</t>
  </si>
  <si>
    <t>Not one Hospital A policy is returned.</t>
  </si>
  <si>
    <t>Multi-tenancy, MRD, Quality</t>
  </si>
  <si>
    <t>Retention periods differ by state law — Telangana and Maharashtra are not identical. One hospital inheriting another's policy could purge records it was legally required to keep.</t>
  </si>
  <si>
    <t>record_retention_policies queried as the Hospital B admin → zero rows with hospital_id = A</t>
  </si>
  <si>
    <t>TC-P2I-108</t>
  </si>
  <si>
    <t>An MRD officer cannot shorten a retention period unilaterally</t>
  </si>
  <si>
    <t>1) Log in as mrd_officer (Hospital A) 2) Navigate directly to /settings/record-retention 3) Attempt to shorten a period</t>
  </si>
  <si>
    <t>The route is blocked, or the change is refused and logged.</t>
  </si>
  <si>
    <t>Shortening retention makes records purgeable earlier than the law allows. Whoever does it is making a legal determination on the hospital's behalf, so it needs authority and an audit trail.</t>
  </si>
  <si>
    <t>TC-P2I-109</t>
  </si>
  <si>
    <t>Config Change Log screen loads</t>
  </si>
  <si>
    <t>1) Open /settings/change-log 2) Read the log</t>
  </si>
  <si>
    <t>The change log renders with From, To, Config Area and Changed By filters. No red console errors.</t>
  </si>
  <si>
    <t>phase2.entry./settings/change-log — search Nephrology</t>
  </si>
  <si>
    <t>Audit, Quality, Security, RBAC</t>
  </si>
  <si>
    <t xml:space="preserve">Automated: FAILED.
Error: "From" filter is missing
expect(locator).toBeVisible() failed
Locator: getByText('From').first()
Expected: visible
Timeout: 15000ms
Error: element(s) not found
Call log:
  - "From" filter is missing with timeout 15000ms
  - waiting for getByText('From').first()</t>
  </si>
  <si>
    <t>Controlled change management is a NABH expectation. Without a readable change log the hospital cannot answer who altered a clinical threshold or a permission, or when.</t>
  </si>
  <si>
    <t>config_change_logs where hospital_id = A → matches the entries displayed</t>
  </si>
  <si>
    <t>TC-P2I-110</t>
  </si>
  <si>
    <t>A settings change appears in the change log</t>
  </si>
  <si>
    <t>1) Change a role permission under /settings/roles 2) Open /settings/change-log 3) Look for the entry</t>
  </si>
  <si>
    <t>The change is listed with its config area, the old and new values and who made it.</t>
  </si>
  <si>
    <t>role_permissions — a permission change made during Phase 2</t>
  </si>
  <si>
    <t>Audit, RBAC, Quality</t>
  </si>
  <si>
    <t>A log that does not receive entries is worse than no log, because the hospital believes it has an audit trail. Nobody discovers the gap until an incident review needs it.</t>
  </si>
  <si>
    <t>config_change_logs where hospital_id = A and config_area = 'role_permissions' → the entry exists</t>
  </si>
  <si>
    <t>TC-P2I-111</t>
  </si>
  <si>
    <t>The change log records who made the change</t>
  </si>
  <si>
    <t>1) Make a settings change as hospital_admin 2) Open /settings/change-log 3) Read the Changed By column</t>
  </si>
  <si>
    <t>The entry names the user who made the change.</t>
  </si>
  <si>
    <t>Attribution is the whole point of a change log. An entry with no user answers what changed but not who is accountable for it.</t>
  </si>
  <si>
    <t>config_change_logs where hospital_id = A → the changed_by user is recorded</t>
  </si>
  <si>
    <t>TC-P2I-112</t>
  </si>
  <si>
    <t>The date range filter works</t>
  </si>
  <si>
    <t>1) Open /settings/change-log 2) Set a From and To date that exclude recent entries 3) Read the results</t>
  </si>
  <si>
    <t>Only entries within the range are listed.</t>
  </si>
  <si>
    <t>The From and To date filters on ConfigChangeLogPage</t>
  </si>
  <si>
    <t>An incident review asks what changed in a specific window. Without a working date filter the reviewer scrolls the whole log and misses the entry that matters.</t>
  </si>
  <si>
    <t>TC-P2I-113</t>
  </si>
  <si>
    <t>The config area filter works</t>
  </si>
  <si>
    <t>1) Open /settings/change-log 2) Filter by a Config Area 3) Read the results</t>
  </si>
  <si>
    <t>Only entries for that area are listed.</t>
  </si>
  <si>
    <t>config_change_logs — the role_permissions config area</t>
  </si>
  <si>
    <t>Audit, RBAC</t>
  </si>
  <si>
    <t>An auditor investigating a permission escalation wants only role_permissions entries. Mixing every configuration change into one list makes the relevant ones impossible to find.</t>
  </si>
  <si>
    <t>TC-P2I-114</t>
  </si>
  <si>
    <t>The change log can be exported</t>
  </si>
  <si>
    <t>1) Open /settings/change-log 2) Export the log 3) Read the confirmation</t>
  </si>
  <si>
    <t>An "Exported" confirmation appears, or a clear message explains why not.</t>
  </si>
  <si>
    <t>config_change_logs — the entries for Hospital A</t>
  </si>
  <si>
    <t xml:space="preserve">Automated: FAILED.
TimeoutError: locator.click: Timeout 15000ms exceeded.
Call log:
  - waiting for getByRole('button', { name: /export/i }).first()
    - locator resolved to &lt;button disabled class="inline-flex items-center justify-center gap-2 whitespace-nowrap text-sm font-medium ring-offset-background transition-colors focus-visible:outline-none focus-visible:ring-2 focus-visible:ring-ring focus-visible:ring-offset-2 disabled:pointer-events-none disabled:opacity-50 [&amp;_svg]:pointer-events-none [&amp;_svg]:size-4 [&amp;_svg]:shrink-0 bg-primary text-primary-foreground hover:bg-primary/90 h-9 rounded-md px-3"&gt;…&lt;/button&gt;
  - attempting click action
    2 × waiting for element to be visible, enabled and stable
      - element is not enabled
    - retrying click action
    - waiting 20ms
    2 × waiting for element to be visible, enabled and stable
      - element is not enabled
    - retrying click action
      - wa
…(truncated)</t>
  </si>
  <si>
    <t>A NABH assessor asks for the change log as evidence. An export that fails silently means the hospital cannot produce it during the assessment window.</t>
  </si>
  <si>
    <t>None — export interaction</t>
  </si>
  <si>
    <t>TC-P2I-115</t>
  </si>
  <si>
    <t>The change log is read-only</t>
  </si>
  <si>
    <t>1) Open /settings/change-log 2) Look for any control that edits or deletes an entry</t>
  </si>
  <si>
    <t>No edit or delete control exists. The log can be filtered and exported only.</t>
  </si>
  <si>
    <t>None — asserts the absence of any mutation control</t>
  </si>
  <si>
    <t>Audit, Security, Quality</t>
  </si>
  <si>
    <t>An editable audit trail is not an audit trail. If entries can be removed, the log proves nothing and the first thing anyone acting improperly would do is delete their own entry.</t>
  </si>
  <si>
    <t>config_change_logs → no UI path exists to modify or delete an entry</t>
  </si>
  <si>
    <t>TC-P2I-116</t>
  </si>
  <si>
    <t>Hospital A's change log is invisible to Hospital B</t>
  </si>
  <si>
    <t>1) Sign in as the Hospital B administrator 2) Open /settings/change-log as Hospital B 3) Query config_change_logs through the API with no hospital filter</t>
  </si>
  <si>
    <t>Not one Hospital A entry is returned.</t>
  </si>
  <si>
    <t>Multi-tenancy, Audit, Security</t>
  </si>
  <si>
    <t>The change log names staff and describes how a hospital configures its controls. Cross-tenant visibility would expose one hospital's internal governance and its people to another.</t>
  </si>
  <si>
    <t>config_change_logs queried as the Hospital B admin → zero rows with hospital_id = A</t>
  </si>
  <si>
    <t>TC-P2J-001</t>
  </si>
  <si>
    <t>2J Downstream verification</t>
  </si>
  <si>
    <t>Consultation service rows exist, so OPD never bills the hardcoded ₹500</t>
  </si>
  <si>
    <t>1) Open /settings/services 2) Confirm consultation rows exist with their fees 3) Open /opd and create a consultation for each seeded doctor 4) Read each charge</t>
  </si>
  <si>
    <t>Every consultation bills its configured fee. No charge lands on ₹500 unless ₹500 is the configured fee for that doctor.</t>
  </si>
  <si>
    <t>MOCK_DATA_BOOK Doctors — Dr. Menon ₹500, Dr. Rao ₹700, Dr. Nair ₹800</t>
  </si>
  <si>
    <t>ALL of Phase 2 configured — this section runs last, with the tenant complete</t>
  </si>
  <si>
    <t>This is the headline silent failure in SETTINGS_PREREQ_MATRIX: with no consultation row the app bills a hardcoded ₹500 with no warning. Dr. Rao at ₹700 and Dr. Nair at ₹800 are what make the fallback detectable — if either bills ₹500, the fee lookup missed.</t>
  </si>
  <si>
    <t>service_master where hospital_id = A and category = consultation → one row per doctor with its own fee</t>
  </si>
  <si>
    <t>e2e/phase-02-settings/P2J.downstream.spec.ts</t>
  </si>
  <si>
    <t>TC-P2J-002</t>
  </si>
  <si>
    <t>Drug routes are configured, so the prescription route dropdown is not empty</t>
  </si>
  <si>
    <t>1) Open /settings/config-values?cat=drug_routes 2) Confirm the nine routes exist 3) Open /opd and open the Rx tab 4) Open the Route dropdown</t>
  </si>
  <si>
    <t>The route dropdown offers the configured routes. It is never empty.</t>
  </si>
  <si>
    <t>MOCK_DATA_BOOK Config values — Oral, IV, IM, SC, Topical, Inhalation, Rectal, Sublingual, Ophthalmic</t>
  </si>
  <si>
    <t>SETTINGS_PREREQ_MATRIX calls an empty route dropdown the single most common false "OPD is broken" report. It renders empty with no error, so the doctor concludes the module is faulty rather than unconfigured.</t>
  </si>
  <si>
    <t>hospital_config_values where hospital_id = A and category = 'drug_routes' → 9 rows</t>
  </si>
  <si>
    <t>TC-P2J-003</t>
  </si>
  <si>
    <t>Drug frequencies are configured, so the frequency dropdown is not empty</t>
  </si>
  <si>
    <t>1) Open /settings/config-values?cat=drug_frequencies 2) Confirm the nine frequencies exist 3) Open /opd and open the Rx tab 4) Open the Frequency dropdown</t>
  </si>
  <si>
    <t>The frequency dropdown offers OD, BD, TDS, QID, HS, SOS, STAT, Q6H and Q8H.</t>
  </si>
  <si>
    <t>MOCK_DATA_BOOK Config values — OD, BD, TDS, QID, HS, SOS, STAT, Q6H, Q8H</t>
  </si>
  <si>
    <t>Frequency is half of a dosing instruction. An empty dropdown means the prescription reaches the ward without it, which is an incomplete medication order and a NABH medication-safety finding.</t>
  </si>
  <si>
    <t>hospital_config_values where hospital_id = A and category = 'drug_frequencies' → 9 rows</t>
  </si>
  <si>
    <t>TC-P2J-004</t>
  </si>
  <si>
    <t>Drug master rows exist, so drug search returns results</t>
  </si>
  <si>
    <t>1) Open /settings/drugs 2) Confirm the twenty seeded drugs exist 3) Open /opd, open the Rx tab and search for "Dolo"</t>
  </si>
  <si>
    <t>The search returns Dolo 650. Drug search never returns nothing for a stocked drug.</t>
  </si>
  <si>
    <t>OPD, Pharmacy, IPD</t>
  </si>
  <si>
    <t>With no drug_master rows, drug search returns nothing. A doctor who cannot find a drug writes it as free text, and free text cannot be interaction-checked or dispensed against stock.</t>
  </si>
  <si>
    <t>TC-P2J-005</t>
  </si>
  <si>
    <t>Lab test master rows exist, so the Rx lab chips are not empty</t>
  </si>
  <si>
    <t>1) Open /settings/lab-tests 2) Confirm the fifteen seeded tests exist 3) Open /opd and open the Rx tab 4) Read the lab chips</t>
  </si>
  <si>
    <t>Lab chips render with the configured tests.</t>
  </si>
  <si>
    <t>SETTINGS_PREREQ_MATRIX says the lab chips render EMPTY without these rows. The doctor then types the test name, and the exact-name match silently drops anything not in the catalogue.</t>
  </si>
  <si>
    <t>TC-P2J-006</t>
  </si>
  <si>
    <t>Radiology study rows exist, so the Rx radiology chips are not empty</t>
  </si>
  <si>
    <t>1) Open /settings/radiology 2) Confirm the seven seeded studies exist 3) Open /opd and open the Rx tab 4) Read the radiology chips</t>
  </si>
  <si>
    <t>Radiology chips render with the configured studies.</t>
  </si>
  <si>
    <t>Empty radiology chips mean the doctor writes the study as free text, and free text never reaches the radiology worklist — the scan is simply never performed.</t>
  </si>
  <si>
    <t>radiology_study_master where hospital_id = A → 7 rows</t>
  </si>
  <si>
    <t>TC-P2J-007</t>
  </si>
  <si>
    <t>OPD workflow config exists, so tokens do not silently use defaults</t>
  </si>
  <si>
    <t>1) Open /settings/opd-workflow 2) Confirm the token prefix and starting number are set 3) Open /opd and create a token 4) Read the token number</t>
  </si>
  <si>
    <t>The token uses the configured prefix and series, not an unconfigured default.</t>
  </si>
  <si>
    <t>SETTINGS_PREREQ_MATRIX notes the defaults simply apply when unconfigured. The hospital never chose them, and the token series will not match its paper register.</t>
  </si>
  <si>
    <t>hospital_settings where hospital_id = A → the OPD config key exists</t>
  </si>
  <si>
    <t>TC-P2J-008</t>
  </si>
  <si>
    <t>Doctor schedules and slots exist, so appointments are bookable</t>
  </si>
  <si>
    <t>1) Open /settings/doctor-schedules 2) Confirm a schedule exists for a doctor 3) Open the appointment booking screen 4) Look for bookable slots</t>
  </si>
  <si>
    <t>Bookable slots appear for the configured session windows.</t>
  </si>
  <si>
    <t>MOCK_DATA_BOOK Phase 2 additions — the OPD schedule for Dr. Rakesh Iyer</t>
  </si>
  <si>
    <t>SETTINGS_PREREQ_MATRIX names both doctor_schedules and doctor_slots. Without them no appointment slot is bookable and the booking screen shows nothing, which reads as a broken module.</t>
  </si>
  <si>
    <t>doctor_schedules and doctor_slots where hospital_id = A → rows exist</t>
  </si>
  <si>
    <t>TC-P2J-009</t>
  </si>
  <si>
    <t>Every lab test carries a fee, so no order is raised at ₹0</t>
  </si>
  <si>
    <t>1) Open /settings/lab-tests 2) Read the fee on every seeded test 3) Order one and read the charge</t>
  </si>
  <si>
    <t>No lab test has a null or zero fee, and the order bills the configured amount.</t>
  </si>
  <si>
    <t>MOCK_DATA_BOOK Lab test master — fees from ₹80 to ₹1,200</t>
  </si>
  <si>
    <t>SETTINGS_PREREQ_MATRIX says an order is created at ₹0 without a fee. The lab consumes reagent and staff time and bills nothing, and it shows only in the monthly revenue variance.</t>
  </si>
  <si>
    <t>lab_test_master where hospital_id = A → fee &gt; 0 on every row</t>
  </si>
  <si>
    <t>TC-P2J-010</t>
  </si>
  <si>
    <t>Every lab test carries a normal range, so abnormal results are flagged</t>
  </si>
  <si>
    <t>1) Open /settings/lab-tests 2) Read the normal range on each numeric test 3) Enter an out-of-range result 4) Observe the abnormal flag</t>
  </si>
  <si>
    <t>Numeric tests carry a range, and an out-of-range result is flagged abnormal.</t>
  </si>
  <si>
    <t>MOCK_DATA_BOOK Lab test master — Haemoglobin 13.0–17.0, Potassium 3.5–5.1</t>
  </si>
  <si>
    <t>No normal range means no abnormal flag and NO CRITICAL ALERT. A dangerously abnormal result is reported as an unremarkable number and nobody is paged.</t>
  </si>
  <si>
    <t>lab_test_master where hospital_id = A → every numeric test has normal_min and normal_max</t>
  </si>
  <si>
    <t>TC-P2J-011</t>
  </si>
  <si>
    <t>The critical potassium value fires an alert</t>
  </si>
  <si>
    <t>1) Confirm Serum Potassium is configured 3.5–5.1 under /settings/lab-tests 2) Open /lab and enter a result of 7.2 3) Observe the alert</t>
  </si>
  <si>
    <t>A critical alert fires immediately.</t>
  </si>
  <si>
    <t>MOCK_DATA_BOOK names Serum Potassium as THE critical-value test and scenario P5-S07 enters 7.2. Potassium at that level causes fatal arrhythmia — this is the single most consequential alert in the product.</t>
  </si>
  <si>
    <t>lab_test_master where hospital_id = A and code = 'K' → normal 3.5–5.1 and a 7.2 result alerts</t>
  </si>
  <si>
    <t>TC-P2J-012</t>
  </si>
  <si>
    <t>The lab test group bills its package rate, not the sum of its members</t>
  </si>
  <si>
    <t>1) Confirm Fever Panel is ₹1,100 under /settings/lab-tests while its members sum to ₹1,300 2) Order the Fever Panel from /opd 3) Read the charge</t>
  </si>
  <si>
    <t>The order bills ₹1,100.</t>
  </si>
  <si>
    <t>MOCK_DATA_BOOK Lab test group — Fever Panel ₹1,100, members sum ₹1,300</t>
  </si>
  <si>
    <t>Without the group fee, panel orders bill as the sum of individual tests. The ₹200 gap exists precisely so the wrong behaviour is detectable, and a patient charged the sum is over-billed on a package the hospital advertised.</t>
  </si>
  <si>
    <t>lab_test_groups where hospital_id = A and name = 'Fever Panel' → fee = 1100</t>
  </si>
  <si>
    <t>TC-P2J-013</t>
  </si>
  <si>
    <t>Sample types are set, so specimens can be grouped for collection</t>
  </si>
  <si>
    <t>1) Open /settings/lab-tests 2) Confirm every test carries a sample type 3) Order several tests for one patient 4) Read the collection worklist</t>
  </si>
  <si>
    <t>Tests sharing a sample type are grouped into one collection, not one tube per test.</t>
  </si>
  <si>
    <t>MOCK_DATA_BOOK Lab test master — EDTA Blood, Fluoride, Serum, Urine, Culture Bottle</t>
  </si>
  <si>
    <t>SETTINGS_PREREQ_MATRIX warns that sample rows cannot be grouped for collection without matching sample types. The phlebotomist then draws a separate tube per test, which is more needles for the patient.</t>
  </si>
  <si>
    <t>TC-P2J-014</t>
  </si>
  <si>
    <t>Radiology modalities exist, so the module does not show "No studies configured"</t>
  </si>
  <si>
    <t>1) Open /settings/radiology 2) Confirm the four modalities exist 3) Open /radiology 4) Read the screen</t>
  </si>
  <si>
    <t>The radiology module lists studies. It does not show "No studies configured. Go to Settings → Radiology Modalities".</t>
  </si>
  <si>
    <t>MOCK_DATA_BOOK Radiology — X-Ray, Ultrasound, CT Scan, MRI</t>
  </si>
  <si>
    <t>SETTINGS_PREREQ_MATRIX says modalities must be created FIRST. That error message is the only clue a radiographer gets, and it appears on the module rather than on the settings screen that caused it.</t>
  </si>
  <si>
    <t>TC-P2J-015</t>
  </si>
  <si>
    <t>Every radiology study carries a fee and a modality</t>
  </si>
  <si>
    <t>1) Open /settings/radiology 2) Read the fee and modality on each study 3) Order one and read the charge</t>
  </si>
  <si>
    <t>No study has a null fee or a null modality, and the order bills correctly.</t>
  </si>
  <si>
    <t>MOCK_DATA_BOOK Radiology — fees from ₹400 to ₹8,500</t>
  </si>
  <si>
    <t>An unpriced study orders at ₹0. On an MRI at ₹8,500 that is a substantial silent loss on every scan, and a study with no modality cannot be routed to a machine.</t>
  </si>
  <si>
    <t>radiology_study_master where hospital_id = A → fee &gt; 0 and modality_id not null on every row</t>
  </si>
  <si>
    <t>TC-P2J-016</t>
  </si>
  <si>
    <t>PCPNDT settings exist, so Form F generates for obstetric scans</t>
  </si>
  <si>
    <t>1) Open /settings/radiology 2) Confirm the PCPNDT machine and doctor registration are set 3) Order USG Obstetric (Level II) for the pregnant patient 4) Check Form F</t>
  </si>
  <si>
    <t>Form F is generated carrying the machine and doctor registration numbers.</t>
  </si>
  <si>
    <t>MOCK_DATA_BOOK Patients — PT-QA-0012 Deepa Nair, 22 weeks pregnant; Radiology — USG Obstetric (Level II)</t>
  </si>
  <si>
    <t>SETTINGS_PREREQ_MATRIX flags this in red: Form F may not generate correctly without pcpndt_settings. Form F is a legal requirement for every obstetric ultrasound, and failure carries criminal liability and licence suspension.</t>
  </si>
  <si>
    <t>TC-P2J-017</t>
  </si>
  <si>
    <t>PACS configuration exists, so DICOM features are not inert</t>
  </si>
  <si>
    <t>1) Open /settings/radiology 2) Confirm the PACS viewer and WADO URLs are set 3) Open a radiology study 4) Look for the image viewer</t>
  </si>
  <si>
    <t>The image viewer is available on the study.</t>
  </si>
  <si>
    <t>IntegrationsHubPage — the PACS viewer and WADO URLs</t>
  </si>
  <si>
    <t>SETTINGS_PREREQ_MATRIX says DICOM and PACS features are inert without hospital_pacs_config. The radiologist opens a study and has a report screen with no images attached to it.</t>
  </si>
  <si>
    <t>TC-P2J-018</t>
  </si>
  <si>
    <t>Drug batches exist, so dispensing is possible and stock decrements</t>
  </si>
  <si>
    <t>1) Open /settings/drugs and confirm batches exist for the seeded drugs 2) Open /pharmacy and dispense one 3) Check the batch quantity before and after</t>
  </si>
  <si>
    <t>The dispense succeeds and quantity_available decrements by the quantity dispensed.</t>
  </si>
  <si>
    <t>SETTINGS_PREREQ_MATRIX is explicit: no dispensing is possible and no stock decrement happens without a batch. A drug with no batch is invisible to the dispenser even though the formulary lists it.</t>
  </si>
  <si>
    <t>drug_batches where hospital_id = A → rows exist with quantity_available &gt; 0</t>
  </si>
  <si>
    <t>TC-P2J-019</t>
  </si>
  <si>
    <t>FEFO batch selection picks the earliest expiry first</t>
  </si>
  <si>
    <t>1) Open /settings/drugs and confirm Dolo 650 has batch QA-DOLO-A expiring 31/12/2027 and QA-DOLO-B expiring 31/03/2027 2) Dispense Dolo 650 3) Read which batch was consumed</t>
  </si>
  <si>
    <t>Batch QA-DOLO-B is picked first — the earlier expiry.</t>
  </si>
  <si>
    <t>MOCK_DATA_BOOK Drug batches — QA-DOLO-B is the FEFO test, must be picked before QA-DOLO-A</t>
  </si>
  <si>
    <t>MOCK_DATA_BOOK seeds the two Dolo batches specifically for this. Picking the later expiry first means the earlier batch expires on the shelf and is written off — a direct, recurring loss.</t>
  </si>
  <si>
    <t>drug_batches → QA-DOLO-B is consumed before QA-DOLO-A</t>
  </si>
  <si>
    <t>TC-P2J-020</t>
  </si>
  <si>
    <t>An expired batch is refused at dispensing</t>
  </si>
  <si>
    <t>1) Open /settings/drugs and confirm Mox 500 has batch QA-MOX-EXP expiring 31/01/2026 2) Attempt to dispense from it 3) Observe the refusal</t>
  </si>
  <si>
    <t>The expired batch is excluded and cannot be dispensed.</t>
  </si>
  <si>
    <t>MOCK_DATA_BOOK Drug batches — QA-MOX-EXP, expired, must be refused</t>
  </si>
  <si>
    <t>Pharmacy, Quality</t>
  </si>
  <si>
    <t>Dispensing an expired drug is a patient-safety failure and a drug-inspector finding. MOCK_DATA_BOOK seeds this batch deliberately so the exclusion is provable rather than assumed.</t>
  </si>
  <si>
    <t>drug_batches where batch = 'QA-MOX-EXP' → excluded from dispensing</t>
  </si>
  <si>
    <t>TC-P2J-021</t>
  </si>
  <si>
    <t>A quarantined batch is excluded from dispensing</t>
  </si>
  <si>
    <t>1) Open /settings/drugs and confirm Zifi 200 has batch QA-ZIFI-Q in quarantined status 2) Attempt to dispense from it 3) Observe the refusal</t>
  </si>
  <si>
    <t>The quarantined batch is excluded.</t>
  </si>
  <si>
    <t>MOCK_DATA_BOOK Drug batches — QA-ZIFI-Q, quarantined, must be excluded</t>
  </si>
  <si>
    <t>A batch is quarantined because something is wrong with it — a recall, a temperature excursion, a damaged consignment. Dispensing from it defeats the entire purpose of the quarantine.</t>
  </si>
  <si>
    <t>drug_batches where batch = 'QA-ZIFI-Q' → excluded from dispensing</t>
  </si>
  <si>
    <t>TC-P2J-022</t>
  </si>
  <si>
    <t>Store locations exist, so stock transfers are possible</t>
  </si>
  <si>
    <t>1) Open /settings/inventory 2) Confirm store locations exist 3) Attempt a stock transfer between stores</t>
  </si>
  <si>
    <t>A transfer destination is offered and the transfer can be raised.</t>
  </si>
  <si>
    <t>Pharmacy, Inventory, Nursing</t>
  </si>
  <si>
    <t>SETTINGS_PREREQ_MATRIX warns there are no store transfers without store_locations. Ward stock cannot be issued from the central store and every indent goes on paper.</t>
  </si>
  <si>
    <t>store_locations where hospital_id = A → rows exist</t>
  </si>
  <si>
    <t>TC-P2J-023</t>
  </si>
  <si>
    <t>Every ward carries a rate_per_day, so no room charge falls back to ₹500</t>
  </si>
  <si>
    <t>1) Open /settings/wards 2) Read rate_per_day on all six seeded wards 3) Admit a patient to each and read the room charge</t>
  </si>
  <si>
    <t>Every ward has a rate and each admission bills that rate. No admission bills ₹500 unless ₹500 is the ward rate.</t>
  </si>
  <si>
    <t>MOCK_DATA_BOOK Wards — ₹1,500 to ₹12,000 per day across six wards</t>
  </si>
  <si>
    <t>Room-charge precedence is wards.rate_per_day → service_rates → service_master → ₹500. A ward without a rate silently under-bills every night of every stay, and nobody notices until month-end reconciliation.</t>
  </si>
  <si>
    <t>wards where hospital_id = A → rate_per_day is not null on all 6 rows</t>
  </si>
  <si>
    <t>TC-P2J-024</t>
  </si>
  <si>
    <t>Beds are linked to wards, so the Admit modal is not empty</t>
  </si>
  <si>
    <t>1) Open /settings/wards 2) Confirm each ward has its beds 3) Open the IPD Admit modal 4) Read the bed picker</t>
  </si>
  <si>
    <t>Beds are offered for each ward. The Admit modal never shows an empty bed list.</t>
  </si>
  <si>
    <t>MOCK_DATA_BOOK Wards &amp; beds — 32 beds across six wards</t>
  </si>
  <si>
    <t>SETTINGS_PREREQ_MATRIX says the Admit modal shows NO BEDS without them — admission is simply impossible. The ward clerk sees an empty picker and concludes the system is down.</t>
  </si>
  <si>
    <t>beds where hospital_id = A → every ward has at least one bed</t>
  </si>
  <si>
    <t>TC-P2J-025</t>
  </si>
  <si>
    <t>Payer masters exist, so insurance can be selected at admission</t>
  </si>
  <si>
    <t>1) Open /settings/payer-masters 2) Confirm the eight payers exist 3) Open the IPD Admit modal 4) Open the payer picker</t>
  </si>
  <si>
    <t>All configured payers are offered at admission.</t>
  </si>
  <si>
    <t>IPD, Insurance, Billing</t>
  </si>
  <si>
    <t>SETTINGS_PREREQ_MATRIX says there is no insurance selection at admission without payer_masters. Every insured patient is admitted as cash and the claim window closes before anyone notices.</t>
  </si>
  <si>
    <t>payer_masters where hospital_id = A → 8 rows offered at admission</t>
  </si>
  <si>
    <t>TC-P2J-026</t>
  </si>
  <si>
    <t>Each doctor carries an IPD consultation fee, so ward visits are charged</t>
  </si>
  <si>
    <t>1) Open /settings/staff 2) Confirm each doctor has an IPD Consultation Fee 3) Record a ward visit 4) Read the charge</t>
  </si>
  <si>
    <t>The ward visit bills the doctor's configured IPD fee.</t>
  </si>
  <si>
    <t>MOCK_DATA_BOOK Doctors — IPD visit ₹400, ₹500 and ₹600</t>
  </si>
  <si>
    <t>SETTINGS_PREREQ_MATRIX warns that doctor visit charges default or vanish entirely without ipd_consultation_fee. A ward round that generates no charge is pure revenue leakage, repeated daily for every inpatient.</t>
  </si>
  <si>
    <t>service_master where hospital_id = A → ipd_consultation_fee set for every doctor</t>
  </si>
  <si>
    <t>TC-P2J-027</t>
  </si>
  <si>
    <t>The discharge workflow is configured, so the default clearance list is not silently used</t>
  </si>
  <si>
    <t>1) Open /settings/discharge-workflow 2) Confirm the clearance steps are set 3) Open an IPD discharge 4) Read the clearance list</t>
  </si>
  <si>
    <t>The configured steps are presented, not an unconfigured default.</t>
  </si>
  <si>
    <t>SETTINGS_PREREQ_MATRIX notes the default clearance list applies when unconfigured. The hospital believes its own steps are in force and patients are discharged without checks it thought it required.</t>
  </si>
  <si>
    <t>hospitals where id = A → discharge_workflow is configured</t>
  </si>
  <si>
    <t>TC-P2J-028</t>
  </si>
  <si>
    <t>Day care procedures exist, so the day-care picker is not empty</t>
  </si>
  <si>
    <t>1) Open /settings/day-care-procedures 2) Confirm procedures exist 3) Open the day care module 4) Open the procedure picker</t>
  </si>
  <si>
    <t>The configured procedures are offered.</t>
  </si>
  <si>
    <t xml:space="preserve">Automated: FAILED.
Error: worker process exited unexpectedly (code=3221226505, signal=null)</t>
  </si>
  <si>
    <t>SETTINGS_PREREQ_MATRIX says the day care procedure picker is empty without them. A same-day case cannot be booked against anything billable, so the hospital performs the procedure and charges nothing.</t>
  </si>
  <si>
    <t>day_care_procedures where hospital_id = A → rows exist</t>
  </si>
  <si>
    <t>TC-P2J-029</t>
  </si>
  <si>
    <t>Health packages exist, so the estimate step is not empty</t>
  </si>
  <si>
    <t>1) Open /settings/services 2) Confirm the Master Health Checkup package exists 3) Open the admission estimate step 4) Read the package list</t>
  </si>
  <si>
    <t>The configured package is offered on the estimate.</t>
  </si>
  <si>
    <t>IPD, Billing, Health Packages</t>
  </si>
  <si>
    <t>SETTINGS_PREREQ_MATRIX says the estimate step is empty without health_packages. A patient asking what a package costs gets no answer, which is exactly the moment they decide whether to proceed.</t>
  </si>
  <si>
    <t>health_packages where hospital_id = A → rows exist</t>
  </si>
  <si>
    <t>TC-P2J-030</t>
  </si>
  <si>
    <t>The hospital GSTIN is set, so invoices carry GST</t>
  </si>
  <si>
    <t>1) Open /settings/profile 2) Confirm the GSTIN is set 3) Raise a bill with a taxable line 4) Read the GST on the invoice</t>
  </si>
  <si>
    <t>The invoice shows GST calculated against the hospital GSTIN.</t>
  </si>
  <si>
    <t>SETTINGS_PREREQ_MATRIX says there is no GST on invoices without a GSTIN. The hospital under-collects tax it is liable for and carries the shortfall at the next filing.</t>
  </si>
  <si>
    <t>hospitals where id = A → gstin is not null</t>
  </si>
  <si>
    <t>TC-P2J-031</t>
  </si>
  <si>
    <t>Every billable service carries an HSN, so bill finalisation is not hard-blocked</t>
  </si>
  <si>
    <t>1) Confirm the hospital GSTIN is set 2) Open /settings/services and read the HSN on every row 3) Raise a bill covering several services 4) Attempt to finalise it</t>
  </si>
  <si>
    <t>Every service carries an HSN and the bill finalises. Any line lacking one is named explicitly.</t>
  </si>
  <si>
    <t>MOCK_DATA_BOOK Services &amp; rates — every row carries an HSN</t>
  </si>
  <si>
    <t>Once the GSTIN is set, finalisation is HARD-BLOCKED for any line lacking an HSN. MOCK_DATA_BOOK notes all seeded rows carry one precisely so this gate does not fire spuriously during later phases.</t>
  </si>
  <si>
    <t>service_master where hospital_id = A → hsn_code set on every billable row</t>
  </si>
  <si>
    <t>TC-P2J-032</t>
  </si>
  <si>
    <t>Service rates by bed category exist, so there is no ₹0 leakage</t>
  </si>
  <si>
    <t>1) Open /settings/services 2) Confirm service_rates rows exist by bed category 3) Raise a dialysis, physio and ambulance charge for an inpatient 4) Read each amount</t>
  </si>
  <si>
    <t>Each charge bills its configured rate. None bills ₹0.</t>
  </si>
  <si>
    <t>MOCK_DATA_BOOK Services &amp; rates — Haemodialysis ₹2,200, Ambulance ₹1,500</t>
  </si>
  <si>
    <t>SETTINGS_PREREQ_MATRIX names ₹0 leakage on dialysis, physio and ambulance specifically. A dialysis patient attending three times a week generates a large recurring loss that nothing on screen flags.</t>
  </si>
  <si>
    <t>service_rates where hospital_id = A → bed_category rows exist for the leakage-prone services</t>
  </si>
  <si>
    <t>TC-P2J-033</t>
  </si>
  <si>
    <t>Discount approval rules exist, so discounts do not all auto-approve</t>
  </si>
  <si>
    <t>1) Open /settings/approvals 2) Confirm the three tiers are configured 3) Apply a 35% discount to a bill 4) Observe whether approval is required</t>
  </si>
  <si>
    <t>The 35% discount is held for administrator approval.</t>
  </si>
  <si>
    <t>SETTINGS_PREREQ_MATRIX states it plainly: EVERY discount auto-approves with no approval workflow at all. The finance team believes a control exists and it does not — a 50% write-off is granted at the counter.</t>
  </si>
  <si>
    <t>hospital_settings where hospital_id = A → the discount approval rules key exists with three tiers</t>
  </si>
  <si>
    <t>TC-P2J-034</t>
  </si>
  <si>
    <t>Razorpay keys are configured, so payment links are not dead</t>
  </si>
  <si>
    <t>1) Open /settings/razorpay 2) Confirm the key ID and secret are set 3) Generate a payment link for a bill 4) Open the link</t>
  </si>
  <si>
    <t>A working payment link is produced.</t>
  </si>
  <si>
    <t>phase2.entry./settings/razorpay — keyId rzp_test_QA0000000000, Test Mode</t>
  </si>
  <si>
    <t>SETTINGS_PREREQ_MATRIX says payment links are DEAD without Razorpay keys. The patient receives a link that does nothing, and the hospital never sees the money or the failure.</t>
  </si>
  <si>
    <t>api_configurations where hospital_id = A → the Razorpay credential row exists</t>
  </si>
  <si>
    <t>TC-P2J-035</t>
  </si>
  <si>
    <t>The chart of accounts exists, so journals post</t>
  </si>
  <si>
    <t>1) Open /accounts and confirm chart_of_accounts and auto_posting_rules exist for the tenant 2) Finalise a bill 3) Check whether a journal entry posted</t>
  </si>
  <si>
    <t>A journal entry is posted against the configured accounts.</t>
  </si>
  <si>
    <t>SETTINGS_PREREQ_MATRIX — chart_of_accounts is auto-seeded by a DB trigger at hospital creation</t>
  </si>
  <si>
    <t>SETTINGS_PREREQ_MATRIX warns journals do not post without them, and notes they are auto-seeded by a trigger. If the trigger did not fire for this tenant, every bill raised is invisible to the ledger.</t>
  </si>
  <si>
    <t>chart_of_accounts and auto_posting_rules where hospital_id = A → rows exist</t>
  </si>
  <si>
    <t>TC-P2J-036</t>
  </si>
  <si>
    <t>A bank account exists, so day-closure reconciliation is possible</t>
  </si>
  <si>
    <t>1) Open /settings/bank-accounts 2) Confirm an account exists 3) Open day closure 4) Look for the reconciliation target</t>
  </si>
  <si>
    <t>The configured bank account is offered for reconciliation.</t>
  </si>
  <si>
    <t>Accounts, Day Closure, Payments</t>
  </si>
  <si>
    <t>SETTINGS_PREREQ_MATRIX says there is no reconciliation without bank_accounts. Day closure cannot be completed and cash differences go undetected until someone counts the drawer.</t>
  </si>
  <si>
    <t>bank_accounts where hospital_id = A → at least one active account</t>
  </si>
  <si>
    <t>TC-P2J-037</t>
  </si>
  <si>
    <t>TPA ceilings and co-pay are applied to an insured bill</t>
  </si>
  <si>
    <t>1) Confirm HDFC ERGO carries a ₹4,000/day ceiling under /settings/payer-masters 2) Admit a patient to the ₹6,000/day Private Room under that payer 3) Read the claim split</t>
  </si>
  <si>
    <t>A proportionate deduction is applied against the ₹4,000 ceiling.</t>
  </si>
  <si>
    <t>SETTINGS_PREREQ_MATRIX warns ceilings and co-pay are not applied and claim amounts come out wrong. MOCK_DATA_BOOK names this scenario P9-S07 — get it wrong and it is a real argument with a real patient at the discharge counter.</t>
  </si>
  <si>
    <t>payer_masters where hospital_id = A and name = 'HDFC ERGO' → ceiling 4000 applied against the 6000 room</t>
  </si>
  <si>
    <t>TC-P2J-038</t>
  </si>
  <si>
    <t>A CGHS patient without a referral date is hard-blocked at finalisation</t>
  </si>
  <si>
    <t>1) Open /patients and confirm PT-QA-0007 K. Venkatesan is categorised CGHS with NO referral letter 2) Raise their bill 3) Attempt to finalise it</t>
  </si>
  <si>
    <t>Finalisation is blocked, and the message names the missing referral date.</t>
  </si>
  <si>
    <t>MOCK_DATA_BOOK Patients — PT-QA-0007 K. Venkatesan, CGHS, NO referral letter</t>
  </si>
  <si>
    <t>SETTINGS_PREREQ_MATRIX flags this in red and says the block is DELIBERATE. MOCK_DATA_BOOK seeds PT-QA-0006 with a referral and PT-QA-0007 without, precisely so both branches are provable.</t>
  </si>
  <si>
    <t>cghs_echs_beneficiaries → PT-QA-0007 has no referral_date and finalisation is blocked</t>
  </si>
  <si>
    <t>TC-P2J-039</t>
  </si>
  <si>
    <t>A CGHS patient with a referral date finalises normally</t>
  </si>
  <si>
    <t>1) Open /patients and confirm PT-QA-0006 R. Subramanian is CGHS WITH a referral letter 2) Raise their bill 3) Finalise it</t>
  </si>
  <si>
    <t>The bill finalises without the referral block firing.</t>
  </si>
  <si>
    <t>MOCK_DATA_BOOK Patients — PT-QA-0006 R. Subramanian, CGHS, has referral letter</t>
  </si>
  <si>
    <t xml:space="preserve">Automated: FAILED.
Error: PT-QA-0006 R. Subramanian is seeded as the CGHS patient WITH a referral letter. The block must fire only when the referral is genuinely missing — one that blocks every CGHS patient would stop the hospital billing an entire scheme population.
expect(received).toMatch(expected)
Expected pattern: /has referral/i
Received string:  "HAS a referral letter"</t>
  </si>
  <si>
    <t>The block must fire only when the referral is genuinely missing. A gate that blocks every CGHS patient regardless would stop the hospital billing an entire scheme population.</t>
  </si>
  <si>
    <t>cghs_echs_beneficiaries → PT-QA-0006 has a referral_date and finalisation succeeds</t>
  </si>
  <si>
    <t>TC-P2J-040</t>
  </si>
  <si>
    <t>Insurance automation config exists, so intimations and alerts fire</t>
  </si>
  <si>
    <t>1) Open /insurance and confirm insurance_automation_config exists for the tenant 2) Raise an insured admission 3) Check whether an intimation was generated</t>
  </si>
  <si>
    <t>An automated intimation or alert is produced.</t>
  </si>
  <si>
    <t>SETTINGS_PREREQ_MATRIX — insurance_automation_config under Insurance → Automation Settings</t>
  </si>
  <si>
    <t>SETTINGS_PREREQ_MATRIX says there are no automated intimations or alerts without it. An insurer intimation missed inside its window converts a payable claim into a rejected one.</t>
  </si>
  <si>
    <t>insurance_automation_config where hospital_id = A → the row exists</t>
  </si>
  <si>
    <t>TC-P2J-041</t>
  </si>
  <si>
    <t>All three AI gates are open, so the AI button renders</t>
  </si>
  <si>
    <t>1) Open /settings/plan and confirm the entitlement includes the AI feature key 2) Confirm the hospital toggle is on under /settings/ai-features 3) Confirm the AI budget is not exhausted 4) Open a module offering that AI action</t>
  </si>
  <si>
    <t>The AI control renders.</t>
  </si>
  <si>
    <t>MOCK_DATA_BOOK Hospital A — Professional plan; AI_FEATURES — the seven feature keys</t>
  </si>
  <si>
    <t>SETTINGS_PREREQ_MATRIX warns of THREE independent stacked gates and that the AI button is simply NOT RENDERED with no message and no explanation. Before logging "the AI button is missing", all three must be checked — this case checks them together.</t>
  </si>
  <si>
    <t>hospital_addons, hospitals.ai_feature_flags and hospital_ai_wallet → all three permit the feature</t>
  </si>
  <si>
    <t>TC-P2J-042</t>
  </si>
  <si>
    <t>AI language settings exist, so AI output is not English-only</t>
  </si>
  <si>
    <t>1) Open /settings/ai-languages 2) Confirm a non-English pack is enabled 3) Generate an AI output 4) Read the language</t>
  </si>
  <si>
    <t>The output can be produced in the enabled language.</t>
  </si>
  <si>
    <t>AI Suite, OPD, Patient Portal</t>
  </si>
  <si>
    <t>SETTINGS_PREREQ_MATRIX says the AI defaults to English only. A discharge summary generated in English for a patient who reads Telugu is a document they cannot use.</t>
  </si>
  <si>
    <t>ai_language_settings where hospital_id = A → a non-English pack is enabled</t>
  </si>
  <si>
    <t>TC-P2J-043</t>
  </si>
  <si>
    <t>The AI budget is not exhausted, so callAI does not refuse</t>
  </si>
  <si>
    <t>1) Open /settings/plan and check hospital_ai_wallet and the AI budget for the tenant 2) Invoke an AI feature 3) Observe whether it runs</t>
  </si>
  <si>
    <t>The AI call proceeds, or refuses with a message naming the budget rather than failing silently.</t>
  </si>
  <si>
    <t>SETTINGS_PREREQ_MATRIX — hospital_ai_wallet and ai_budget</t>
  </si>
  <si>
    <t>SETTINGS_PREREQ_MATRIX says callAI refuses and the feature appears broken. A doctor pressing an AI button that does nothing has no way to know the hospital has simply run out of budget.</t>
  </si>
  <si>
    <t>hospital_ai_wallet where hospital_id = A → budget available, or the refusal names the budget</t>
  </si>
  <si>
    <t>TC-P2J-044</t>
  </si>
  <si>
    <t>WhatsApp is configured, so notifications do not silently no-op</t>
  </si>
  <si>
    <t>1) Open /settings/whatsapp 2) Confirm the credentials and a template are set 3) Trigger a notification 4) Confirm it was actually sent</t>
  </si>
  <si>
    <t>The notification is sent, or the failure is reported. It is never silently dropped.</t>
  </si>
  <si>
    <t>SETTINGS_PREREQ_MATRIX flags this in red: ALL notifications silently no-op — nothing fails, nothing sends. A hospital relying on appointment reminders discovers it through empty clinics weeks later.</t>
  </si>
  <si>
    <t>whatsapp_templates and the WhatsApp credentials where hospital_id = A → configured, and a send is recorded</t>
  </si>
  <si>
    <t>TC-P2J-045</t>
  </si>
  <si>
    <t>ABDM configuration exists, so the edge functions do not fail quietly</t>
  </si>
  <si>
    <t>1) Open /settings/abdm 2) Confirm the HFR ID and credentials are set 3) Attempt an ABHA linkage 4) Observe the outcome</t>
  </si>
  <si>
    <t>The linkage succeeds, or fails with a visible error. It never appears to work and do nothing.</t>
  </si>
  <si>
    <t>SETTINGS_PREREQ_MATRIX says the ABDM edge functions fail QUIETLY. ABHA linkage appears to work, no record reaches the national exchange, and the hospital believes it is compliant.</t>
  </si>
  <si>
    <t>hospital_abdm_config where hospital_id = A → the row exists and linkage reports its outcome</t>
  </si>
  <si>
    <t>TC-P2J-046</t>
  </si>
  <si>
    <t>Every master-data picker renders populated for a correctly scoped user</t>
  </si>
  <si>
    <t>1) Log in as hospital_admin (Hospital A) 2) Open /settings and confirm the hub renders 3) Open /opd (Rx tab), /ipd (Admit modal) and /billing (charge picker) 4) Confirm each picker renders options</t>
  </si>
  <si>
    <t>Every picker is populated: departments, wards, service_master, drug_master, lab_test_master and payer_masters all return rows for Hospital A, and each dependent picker renders those rows rather than an empty list.</t>
  </si>
  <si>
    <t>MOCK_DATA_BOOK — the full seeded master data set</t>
  </si>
  <si>
    <t>OPD, IPD, Billing, Multi-tenancy</t>
  </si>
  <si>
    <t>SETTINGS_PREREQ_MATRIX describes the multi-tenancy failure mode: when hospital_id resolves wrong or null, master-data pickers render EMPTY with no error. An empty picker is the single most common symptom of a broken tenant anchor.</t>
  </si>
  <si>
    <t>users where hospital_id = A → the admin resolves to Hospital A and every picker is populated</t>
  </si>
  <si>
    <t>TC-P2J-047</t>
  </si>
  <si>
    <t>The bill number series is per-hospital and produces no duplicates</t>
  </si>
  <si>
    <t>1) Open /billing and raise several bills for Hospital A 2) Read the bill numbers 3) Confirm they are sequential and unique within the tenant</t>
  </si>
  <si>
    <t>Bill numbers are unique and follow the hospital's own series.</t>
  </si>
  <si>
    <t>Billing, Accounts, Multi-tenancy</t>
  </si>
  <si>
    <t>SETTINGS_PREREQ_MATRIX warns that bill number sequences are per-hospital, so a wrong tenant means a wrong or duplicate series. Duplicate invoice numbers are a GST filing problem, not just a data one.</t>
  </si>
  <si>
    <t>bills where hospital_id = A → bill numbers unique and in the tenant series</t>
  </si>
  <si>
    <t>TC-P2J-048</t>
  </si>
  <si>
    <t>The discharge charge sweep does not double-bill</t>
  </si>
  <si>
    <t>1) Open /ipd, admit a patient and accrue several charges 2) Run the discharge charge sweep 3) Run it again 4) Compare the bill totals</t>
  </si>
  <si>
    <t>The second sweep adds nothing. Charges appear exactly once.</t>
  </si>
  <si>
    <t>MOCK_DATA_BOOK Patients — PT-QA-0018 Sharma Ji, planned hernia repair</t>
  </si>
  <si>
    <t>IPD, Billing, Multi-tenancy</t>
  </si>
  <si>
    <t>SETTINGS_PREREQ_MATRIX flags this in red: the sweep's dedupe query is hospital-scoped, so a hospital_id mismatch makes dedupe fail and DOUBLE-BILLS the patient. That is money taken from a patient who owes it once.</t>
  </si>
  <si>
    <t>the admission bill → each charge appears exactly once after a repeated sweep</t>
  </si>
  <si>
    <t>TC-P2K-001</t>
  </si>
  <si>
    <t>2K Isolation &amp; permissions</t>
  </si>
  <si>
    <t>Departments: Hospital B cannot read any Hospital A row in departments</t>
  </si>
  <si>
    <t>1) Sign in to Supabase as the Hospital B admin using the anon key (RLS active) 2) Select every row from departments 3) Compare each hospital_id against Hospital A’s id</t>
  </si>
  <si>
    <t>Zero rows returned carry Hospital A’s hospital_id. RLS filters departments by get_user_hospital_id(), so a Hospital B session sees only Hospital B rows.</t>
  </si>
  <si>
    <t>MOCK_DATA_BOOK Hospitals — A Aarogya Multispecialty Hospital, B Sanjeevani General Hospital</t>
  </si>
  <si>
    <t>OPD, IPD, Staff</t>
  </si>
  <si>
    <t>Both QA tenants seeded and configured — Hospital A (Aarogya Multispecialty) and Hospital B (Sanjeevani General)</t>
  </si>
  <si>
    <t>A doctor assigned to a department that belongs to another hospital is an unresolvable reference — the OPD queue would filter on a department the tenant cannot see.</t>
  </si>
  <si>
    <t>departments read through an authenticated anon client as the Hospital B admin → no row has hospital_id = Hospital A. The service key is NOT used here because it bypasses RLS and would pass on a wide-open table.</t>
  </si>
  <si>
    <t>e2e/phase-02-settings/P2K.isolation-permissions.spec.ts</t>
  </si>
  <si>
    <t>TC-P2K-002</t>
  </si>
  <si>
    <t>Wards: Hospital B cannot read any Hospital A row in wards</t>
  </si>
  <si>
    <t>1) Sign in to Supabase as the Hospital B admin using the anon key (RLS active) 2) Select every row from wards 3) Compare each hospital_id against Hospital A’s id</t>
  </si>
  <si>
    <t>Zero rows returned carry Hospital A’s hospital_id. RLS filters wards by get_user_hospital_id(), so a Hospital B session sees only Hospital B rows.</t>
  </si>
  <si>
    <t>Ward rates drive the room charge. A leaked ward means another hospital’s tariff is visible, which is commercially sensitive information in a competitive market.</t>
  </si>
  <si>
    <t>wards read through an authenticated anon client as the Hospital B admin → no row has hospital_id = Hospital A. The service key is NOT used here because it bypasses RLS and would pass on a wide-open table.</t>
  </si>
  <si>
    <t>TC-P2K-003</t>
  </si>
  <si>
    <t>Beds: Hospital B cannot read any Hospital A row in beds</t>
  </si>
  <si>
    <t>1) Sign in to Supabase as the Hospital B admin using the anon key (RLS active) 2) Select every row from beds 3) Compare each hospital_id against Hospital A’s id</t>
  </si>
  <si>
    <t>Zero rows returned carry Hospital A’s hospital_id. RLS filters beds by get_user_hospital_id(), so a Hospital B session sees only Hospital B rows.</t>
  </si>
  <si>
    <t>A leaked bed could be offered in the Admit modal, so a patient would be admitted to a bed that physically sits in another hospital.</t>
  </si>
  <si>
    <t>beds read through an authenticated anon client as the Hospital B admin → no row has hospital_id = Hospital A. The service key is NOT used here because it bypasses RLS and would pass on a wide-open table.</t>
  </si>
  <si>
    <t>TC-P2K-004</t>
  </si>
  <si>
    <t>Services and tariffs: Hospital B cannot read any Hospital A row in service_master</t>
  </si>
  <si>
    <t>1) Sign in to Supabase as the Hospital B admin using the anon key (RLS active) 2) Select every row from service_master 3) Compare each hospital_id against Hospital A’s id</t>
  </si>
  <si>
    <t>Zero rows returned carry Hospital A’s hospital_id. RLS filters service_master by get_user_hospital_id(), so a Hospital B session sees only Hospital B rows.</t>
  </si>
  <si>
    <t>The full price list is the most commercially sensitive table in the product. Leaking it hands a competitor the hospital’s entire tariff.</t>
  </si>
  <si>
    <t>service_master read through an authenticated anon client as the Hospital B admin → no row has hospital_id = Hospital A. The service key is NOT used here because it bypasses RLS and would pass on a wide-open table.</t>
  </si>
  <si>
    <t>TC-P2K-005</t>
  </si>
  <si>
    <t>Drug formulary: Hospital B cannot read any Hospital A row in drug_master</t>
  </si>
  <si>
    <t>1) Sign in to Supabase as the Hospital B admin using the anon key (RLS active) 2) Select every row from drug_master 3) Compare each hospital_id against Hospital A’s id</t>
  </si>
  <si>
    <t>Zero rows returned carry Hospital A’s hospital_id. RLS filters drug_master by get_user_hospital_id(), so a Hospital B session sees only Hospital B rows.</t>
  </si>
  <si>
    <t>A leaked formulary lets one hospital prescribe against another’s catalogue, and the dispense then fails against stock that does not exist.</t>
  </si>
  <si>
    <t>drug_master read through an authenticated anon client as the Hospital B admin → no row has hospital_id = Hospital A. The service key is NOT used here because it bypasses RLS and would pass on a wide-open table.</t>
  </si>
  <si>
    <t>TC-P2K-006</t>
  </si>
  <si>
    <t>Drug batches: Hospital B cannot read any Hospital A row in drug_batches</t>
  </si>
  <si>
    <t>1) Sign in to Supabase as the Hospital B admin using the anon key (RLS active) 2) Select every row from drug_batches 3) Compare each hospital_id against Hospital A’s id</t>
  </si>
  <si>
    <t>Zero rows returned carry Hospital A’s hospital_id. RLS filters drug_batches by get_user_hospital_id(), so a Hospital B session sees only Hospital B rows.</t>
  </si>
  <si>
    <t>Batch rows carry stock quantity and purchase cost. A leak exposes both the margin and the physical stock position.</t>
  </si>
  <si>
    <t>drug_batches read through an authenticated anon client as the Hospital B admin → no row has hospital_id = Hospital A. The service key is NOT used here because it bypasses RLS and would pass on a wide-open table.</t>
  </si>
  <si>
    <t>TC-P2K-007</t>
  </si>
  <si>
    <t>Lab test catalogue: Hospital B cannot read any Hospital A row in lab_test_master</t>
  </si>
  <si>
    <t>1) Sign in to Supabase as the Hospital B admin using the anon key (RLS active) 2) Select every row from lab_test_master 3) Compare each hospital_id against Hospital A’s id</t>
  </si>
  <si>
    <t>Zero rows returned carry Hospital A’s hospital_id. RLS filters lab_test_master by get_user_hospital_id(), so a Hospital B session sees only Hospital B rows.</t>
  </si>
  <si>
    <t>Lab, OPD, Billing</t>
  </si>
  <si>
    <t>A leaked test catalogue exposes fees, and a test ordered against another tenant’s row produces a result nobody can report against.</t>
  </si>
  <si>
    <t>lab_test_master read through an authenticated anon client as the Hospital B admin → no row has hospital_id = Hospital A. The service key is NOT used here because it bypasses RLS and would pass on a wide-open table.</t>
  </si>
  <si>
    <t>TC-P2K-008</t>
  </si>
  <si>
    <t>Lab test groups: Hospital B cannot read any Hospital A row in lab_test_groups</t>
  </si>
  <si>
    <t>1) Sign in to Supabase as the Hospital B admin using the anon key (RLS active) 2) Select every row from lab_test_groups 3) Compare each hospital_id against Hospital A’s id</t>
  </si>
  <si>
    <t>Zero rows returned carry Hospital A’s hospital_id. RLS filters lab_test_groups by get_user_hospital_id(), so a Hospital B session sees only Hospital B rows.</t>
  </si>
  <si>
    <t>Panel package rates are the discounted end of the tariff. They are the numbers a hospital least wants a rival to hold.</t>
  </si>
  <si>
    <t>lab_test_groups read through an authenticated anon client as the Hospital B admin → no row has hospital_id = Hospital A. The service key is NOT used here because it bypasses RLS and would pass on a wide-open table.</t>
  </si>
  <si>
    <t>TC-P2K-009</t>
  </si>
  <si>
    <t>Radiology modalities: Hospital B cannot read any Hospital A row in radiology_modalities</t>
  </si>
  <si>
    <t>1) Sign in to Supabase as the Hospital B admin using the anon key (RLS active) 2) Select every row from radiology_modalities 3) Compare each hospital_id against Hospital A’s id</t>
  </si>
  <si>
    <t>Zero rows returned carry Hospital A’s hospital_id. RLS filters radiology_modalities by get_user_hospital_id(), so a Hospital B session sees only Hospital B rows.</t>
  </si>
  <si>
    <t>A leaked modality could route a study to a machine in another building belonging to another company.</t>
  </si>
  <si>
    <t>radiology_modalities read through an authenticated anon client as the Hospital B admin → no row has hospital_id = Hospital A. The service key is NOT used here because it bypasses RLS and would pass on a wide-open table.</t>
  </si>
  <si>
    <t>TC-P2K-010</t>
  </si>
  <si>
    <t>Radiology studies: Hospital B cannot read any Hospital A row in radiology_study_master</t>
  </si>
  <si>
    <t>1) Sign in to Supabase as the Hospital B admin using the anon key (RLS active) 2) Select every row from radiology_study_master 3) Compare each hospital_id against Hospital A’s id</t>
  </si>
  <si>
    <t>Zero rows returned carry Hospital A’s hospital_id. RLS filters radiology_study_master by get_user_hospital_id(), so a Hospital B session sees only Hospital B rows.</t>
  </si>
  <si>
    <t>Study fees are tariff data, and an MRI at ₹8,500 ordered against the wrong tenant’s row bills the wrong hospital.</t>
  </si>
  <si>
    <t>radiology_study_master read through an authenticated anon client as the Hospital B admin → no row has hospital_id = Hospital A. The service key is NOT used here because it bypasses RLS and would pass on a wide-open table.</t>
  </si>
  <si>
    <t>TC-P2K-011</t>
  </si>
  <si>
    <t>Payers and TPAs: Hospital B cannot read any Hospital A row in payer_masters</t>
  </si>
  <si>
    <t>1) Sign in to Supabase as the Hospital B admin using the anon key (RLS active) 2) Select every row from payer_masters 3) Compare each hospital_id against Hospital A’s id</t>
  </si>
  <si>
    <t>Zero rows returned carry Hospital A’s hospital_id. RLS filters payer_masters by get_user_hospital_id(), so a Hospital B session sees only Hospital B rows.</t>
  </si>
  <si>
    <t>Payer rows hold negotiated discount percentages and ceilings — the specific commercial terms a hospital agreed with each insurer.</t>
  </si>
  <si>
    <t>payer_masters read through an authenticated anon client as the Hospital B admin → no row has hospital_id = Hospital A. The service key is NOT used here because it bypasses RLS and would pass on a wide-open table.</t>
  </si>
  <si>
    <t>TC-P2K-012</t>
  </si>
  <si>
    <t>Configuration values: Hospital B cannot read any Hospital A row in hospital_config_values</t>
  </si>
  <si>
    <t>1) Sign in to Supabase as the Hospital B admin using the anon key (RLS active) 2) Select every row from hospital_config_values 3) Compare each hospital_id against Hospital A’s id</t>
  </si>
  <si>
    <t>Zero rows returned carry Hospital A’s hospital_id. RLS filters hospital_config_values by get_user_hospital_id(), so a Hospital B session sees only Hospital B rows.</t>
  </si>
  <si>
    <t>Config values feed most dropdowns in the product. A cross-tenant leak would show another hospital’s option lists in this hospital’s forms.</t>
  </si>
  <si>
    <t>hospital_config_values read through an authenticated anon client as the Hospital B admin → no row has hospital_id = Hospital A. The service key is NOT used here because it bypasses RLS and would pass on a wide-open table.</t>
  </si>
  <si>
    <t>TC-P2K-013</t>
  </si>
  <si>
    <t>Shifts: Hospital B cannot read any Hospital A row in shift_master</t>
  </si>
  <si>
    <t>1) Sign in to Supabase as the Hospital B admin using the anon key (RLS active) 2) Select every row from shift_master 3) Compare each hospital_id against Hospital A’s id</t>
  </si>
  <si>
    <t>Zero rows returned carry Hospital A’s hospital_id. RLS filters shift_master by get_user_hospital_id(), so a Hospital B session sees only Hospital B rows.</t>
  </si>
  <si>
    <t>Staff, Nursing</t>
  </si>
  <si>
    <t>Shift definitions are HR data and drive duty rosters. A leak both exposes the roster and risks scheduling staff against another hospital’s shift.</t>
  </si>
  <si>
    <t>shift_master read through an authenticated anon client as the Hospital B admin → no row has hospital_id = Hospital A. The service key is NOT used here because it bypasses RLS and would pass on a wide-open table.</t>
  </si>
  <si>
    <t>TC-P2K-014</t>
  </si>
  <si>
    <t>Clinical protocols: Hospital B cannot read any Hospital A row in clinical_protocols</t>
  </si>
  <si>
    <t>1) Sign in to Supabase as the Hospital B admin using the anon key (RLS active) 2) Select every row from clinical_protocols 3) Compare each hospital_id against Hospital A’s id</t>
  </si>
  <si>
    <t>Zero rows returned carry Hospital A’s hospital_id. RLS filters clinical_protocols by get_user_hospital_id(), so a Hospital B session sees only Hospital B rows.</t>
  </si>
  <si>
    <t>OPD, IPD, Quality</t>
  </si>
  <si>
    <t>A protocol is a clinical instruction. Applying another hospital’s protocol means treating a patient by rules the treating clinicians never agreed to.</t>
  </si>
  <si>
    <t>clinical_protocols read through an authenticated anon client as the Hospital B admin → no row has hospital_id = Hospital A. The service key is NOT used here because it bypasses RLS and would pass on a wide-open table.</t>
  </si>
  <si>
    <t>TC-P2K-015</t>
  </si>
  <si>
    <t>Hospital settings key/value: Hospital B cannot read any Hospital A row in hospital_settings</t>
  </si>
  <si>
    <t>1) Sign in to Supabase as the Hospital B admin using the anon key (RLS active) 2) Select every row from hospital_settings 3) Compare each hospital_id against Hospital A’s id</t>
  </si>
  <si>
    <t>Zero rows returned carry Hospital A’s hospital_id. RLS filters hospital_settings by get_user_hospital_id(), so a Hospital B session sees only Hospital B rows.</t>
  </si>
  <si>
    <t>This table now holds notification routing, language and region, discount rules and ancillary payment config. A leak exposes a hospital’s entire operating configuration in one query.</t>
  </si>
  <si>
    <t>hospital_settings read through an authenticated anon client as the Hospital B admin → no row has hospital_id = Hospital A. The service key is NOT used here because it bypasses RLS and would pass on a wide-open table.</t>
  </si>
  <si>
    <t>TC-P2K-016</t>
  </si>
  <si>
    <t>Staff records: Hospital B cannot read any Hospital A row in users</t>
  </si>
  <si>
    <t>1) Sign in to Supabase as the Hospital B admin using the anon key (RLS active) 2) Select every row from users 3) Compare each hospital_id against Hospital A’s id</t>
  </si>
  <si>
    <t>Zero rows returned carry Hospital A’s hospital_id. RLS filters users by get_user_hospital_id(), so a Hospital B session sees only Hospital B rows.</t>
  </si>
  <si>
    <t>Staff, RBAC, HR</t>
  </si>
  <si>
    <t>Staff rows are personal data under the DPDP Act 2023. A cross-tenant leak of names, emails and phone numbers is a reportable personal-data breach.</t>
  </si>
  <si>
    <t>users read through an authenticated anon client as the Hospital B admin → no row has hospital_id = Hospital A. The service key is NOT used here because it bypasses RLS and would pass on a wide-open table.</t>
  </si>
  <si>
    <t>TC-P2K-017</t>
  </si>
  <si>
    <t>Doctor schedules: Hospital B cannot read any Hospital A row in doctor_schedules</t>
  </si>
  <si>
    <t>1) Sign in to Supabase as the Hospital B admin using the anon key (RLS active) 2) Select every row from doctor_schedules 3) Compare each hospital_id against Hospital A’s id</t>
  </si>
  <si>
    <t>Zero rows returned carry Hospital A’s hospital_id. RLS filters doctor_schedules by get_user_hospital_id(), so a Hospital B session sees only Hospital B rows.</t>
  </si>
  <si>
    <t>A leaked schedule would offer a patient an appointment slot with a doctor who does not work at the hospital they are booking into.</t>
  </si>
  <si>
    <t>doctor_schedules read through an authenticated anon client as the Hospital B admin → no row has hospital_id = Hospital A. The service key is NOT used here because it bypasses RLS and would pass on a wide-open table.</t>
  </si>
  <si>
    <t>TC-P2K-018</t>
  </si>
  <si>
    <t>Store locations: Hospital B cannot read any Hospital A row in store_locations</t>
  </si>
  <si>
    <t>1) Sign in to Supabase as the Hospital B admin using the anon key (RLS active) 2) Select every row from store_locations 3) Compare each hospital_id against Hospital A’s id</t>
  </si>
  <si>
    <t>Zero rows returned carry Hospital A’s hospital_id. RLS filters store_locations by get_user_hospital_id(), so a Hospital B session sees only Hospital B rows.</t>
  </si>
  <si>
    <t>A leaked store makes another hospital’s store a transfer destination, so stock could be issued out of the building entirely.</t>
  </si>
  <si>
    <t>store_locations read through an authenticated anon client as the Hospital B admin → no row has hospital_id = Hospital A. The service key is NOT used here because it bypasses RLS and would pass on a wide-open table.</t>
  </si>
  <si>
    <t>TC-P2K-019</t>
  </si>
  <si>
    <t>Bank accounts: Hospital B cannot read any Hospital A row in bank_accounts</t>
  </si>
  <si>
    <t>1) Sign in to Supabase as the Hospital B admin using the anon key (RLS active) 2) Select every row from bank_accounts 3) Compare each hospital_id against Hospital A’s id</t>
  </si>
  <si>
    <t>Zero rows returned carry Hospital A’s hospital_id. RLS filters bank_accounts by get_user_hospital_id(), so a Hospital B session sees only Hospital B rows.</t>
  </si>
  <si>
    <t>Bank account numbers and IFSC codes are financial credentials. Cross-tenant visibility of them is the most serious leak on this list.</t>
  </si>
  <si>
    <t>bank_accounts read through an authenticated anon client as the Hospital B admin → no row has hospital_id = Hospital A. The service key is NOT used here because it bypasses RLS and would pass on a wide-open table.</t>
  </si>
  <si>
    <t>TC-P2K-020</t>
  </si>
  <si>
    <t>Health packages: Hospital B cannot read any Hospital A row in health_packages</t>
  </si>
  <si>
    <t>1) Sign in to Supabase as the Hospital B admin using the anon key (RLS active) 2) Select every row from health_packages 3) Compare each hospital_id against Hospital A’s id</t>
  </si>
  <si>
    <t>Zero rows returned carry Hospital A’s hospital_id. RLS filters health_packages by get_user_hospital_id(), so a Hospital B session sees only Hospital B rows.</t>
  </si>
  <si>
    <t>Package pricing is the advertised end of the tariff and the most directly competitive number a hospital publishes.</t>
  </si>
  <si>
    <t>health_packages read through an authenticated anon client as the Hospital B admin → no row has hospital_id = Hospital A. The service key is NOT used here because it bypasses RLS and would pass on a wide-open table.</t>
  </si>
  <si>
    <t>TC-P2K-021</t>
  </si>
  <si>
    <t>The Departments screen shows Hospital B only its own departments</t>
  </si>
  <si>
    <t>1) Log in as the Hospital B admin 2) Open /settings/departments 3) Read every department name rendered</t>
  </si>
  <si>
    <t>Only Hospital B departments render. None of Hospital A’s eight seeded departments appears on the page.</t>
  </si>
  <si>
    <t>MOCK_DATA_BOOK Departments — the eight Hospital A rows, and Hospital B’s own set</t>
  </si>
  <si>
    <t xml:space="preserve">Automated: FAILED.
Error: Hospital A department(s) rendered in a Hospital B session: General Medicine, General Surgery, Paediatrics, Orthopaedics, Radiology, Pathology, Pharmacy, Emergency. RLS at the database is only half the guarantee — this is the screen an auditor is actually shown.
expect(received).toEqual(expected) // deep equality
- Expected  -  1
+ Received  + 10
- Array []
+ Array [
+   "General Medicine",
+   "General Surgery",
+   "Paediatrics",
+   "Orthopaedics",
+   "Radiology",
+   "Pathology",
+   "Pharmacy",
+   "Emergency",
+ ]</t>
  </si>
  <si>
    <t>RLS at the database is only half the guarantee. This case proves the rendered screen agrees with it, which is what an auditor is shown during a DPDP assessment.</t>
  </si>
  <si>
    <t>departments where hospital_id = B → matches exactly the names rendered on /settings/departments</t>
  </si>
  <si>
    <t>TC-P2K-022</t>
  </si>
  <si>
    <t>The Wards screen shows Hospital B only its own wards and rates</t>
  </si>
  <si>
    <t>1) Log in as the Hospital B admin 2) Open /settings/wards 3) Read every ward name and rate rendered</t>
  </si>
  <si>
    <t>Only Hospital B wards render. Hospital A’s General Ward, Semi-Private, Private Room, ICU and Nephrology Ward do not appear, and neither do their rates.</t>
  </si>
  <si>
    <t>MOCK_DATA_BOOK Wards — the Hospital A set with rates from ₹1,200 to ₹6,500</t>
  </si>
  <si>
    <t xml:space="preserve">Automated: FAILED.
Error: Hospital A ward(s) rendered in a Hospital B session: General Ward. Ward rates are the visible face of the tariff, so a rival admin reading them on screen is the leak that matters.
expect(received).toEqual(expected) // deep equality
- Expected  - 1
+ Received  + 3
- Array []
+ Array [
+   "General Ward",
+ ]</t>
  </si>
  <si>
    <t>Ward rates are the visible face of the tariff. A rival admin reading them on screen is the leak that matters commercially, whatever the database says.</t>
  </si>
  <si>
    <t>wards where hospital_id = B → matches exactly the rows rendered on /settings/wards</t>
  </si>
  <si>
    <t>TC-P2K-023</t>
  </si>
  <si>
    <t>The Services screen shows Hospital B only its own tariff</t>
  </si>
  <si>
    <t>1) Log in as the Hospital B admin 2) Open /settings/services 3) Search for a service code that exists only in Hospital A, such as CONS-SPL</t>
  </si>
  <si>
    <t>The search returns nothing. Hospital A’s Specialist Consultation at ₹800 is not reachable from a Hospital B session.</t>
  </si>
  <si>
    <t>MOCK_DATA_BOOK Services — CONS-SPL Specialist Consultation ₹800 (Hospital A)</t>
  </si>
  <si>
    <t>Searching by a known code is how a leak would actually be exploited — not by browsing the list but by asking for a specific competitor price.</t>
  </si>
  <si>
    <t>service_master where hospital_id = B and code = CONS-SPL → zero rows</t>
  </si>
  <si>
    <t>TC-P2K-024</t>
  </si>
  <si>
    <t>A department created in Hospital B never appears in Hospital A</t>
  </si>
  <si>
    <t>1) Log in as the Hospital B admin 2) Open /settings/departments and create a department named QA Isolation Probe 3) Log out 4) Log in as the Hospital A admin 5) Open /settings/departments and search for QA Isolation Probe</t>
  </si>
  <si>
    <t>Hospital A does not show QA Isolation Probe. The row exists in departments with hospital_id = B and with no Hospital A copy.</t>
  </si>
  <si>
    <t>Purpose-built probe row — QA Isolation Probe</t>
  </si>
  <si>
    <t>This is isolation proven in the direction a leak would actually travel — a write in one tenant becoming visible in the other. A read-only check cannot catch a write that sets the wrong hospital_id.</t>
  </si>
  <si>
    <t>departments where name = QA Isolation Probe → exactly one row, hospital_id = B</t>
  </si>
  <si>
    <t>TC-P2K-025</t>
  </si>
  <si>
    <t>An anonymous client cannot read hospital_settings</t>
  </si>
  <si>
    <t>1) Create a Supabase client with the anon key and no session 2) Select from hospital_settings 3) Read the response</t>
  </si>
  <si>
    <t>Zero rows, or an RLS error. An unauthenticated caller reads nothing.</t>
  </si>
  <si>
    <t>None — this case deliberately carries no credentials</t>
  </si>
  <si>
    <t>hospital_settings now holds notification routing, language and region, discount rules and ancillary payment config. Anonymous read access would publish every tenant’s operating configuration to the internet.</t>
  </si>
  <si>
    <t>Anonymous (no session)</t>
  </si>
  <si>
    <t>hospital_settings selected through an anon client with no session → zero rows or an RLS error</t>
  </si>
  <si>
    <t>TC-P2K-026</t>
  </si>
  <si>
    <t>An anonymous client cannot read the users table</t>
  </si>
  <si>
    <t>1) Create a Supabase client with the anon key and no session 2) Select from users 3) Read the response</t>
  </si>
  <si>
    <t>Zero rows, or an RLS error. No staff name, email or phone number is returned.</t>
  </si>
  <si>
    <t>Staff rows are personal data under the DPDP Act 2023. Anonymous readability would be a reportable breach affecting every hospital on the platform at once, not just one tenant.</t>
  </si>
  <si>
    <t>users selected through an anon client with no session → zero rows or an RLS error</t>
  </si>
  <si>
    <t>TC-P2K-027</t>
  </si>
  <si>
    <t>A forged hospital_id on insert is refused or rewritten</t>
  </si>
  <si>
    <t>1) Sign in through the anon key as the Hospital B admin 2) Insert a department carrying Hospital A’s hospital_id 3) Re-read that row from departments with the service key</t>
  </si>
  <si>
    <t>The insert is refused by the RLS WITH CHECK policy. If it is accepted, the stored row must carry Hospital B’s hospital_id, never the forged one.</t>
  </si>
  <si>
    <t>Purpose-built probe row — QA Forged Tenant Probe</t>
  </si>
  <si>
    <t>Multi-tenancy</t>
  </si>
  <si>
    <t>Reading is the obvious attack; writing is the damaging one. A row planted into another tenant with a forged hospital_id would appear to that hospital as its own configuration.</t>
  </si>
  <si>
    <t>departments where name = QA Forged Tenant Probe → either zero rows, or one row whose hospital_id is B and not A</t>
  </si>
  <si>
    <t>TC-P2K-028</t>
  </si>
  <si>
    <t>A cross-tenant update is refused, so Hospital A rows cannot be edited from Hospital B</t>
  </si>
  <si>
    <t>1) Sign in through the anon key as the Hospital B admin 2) Attempt to update a Hospital A ward’s rate_per_day to 1 3) Re-read that ward from wards with the service key</t>
  </si>
  <si>
    <t>No Hospital A row is modified. The ward keeps its original rate_per_day.</t>
  </si>
  <si>
    <t>MOCK_DATA_BOOK Wards — Hospital A Private Room at ₹4,500/day</t>
  </si>
  <si>
    <t>A cross-tenant update is worse than a read: setting a rival’s room rate to ₹1 would destroy their revenue silently and look like their own misconfiguration.</t>
  </si>
  <si>
    <t>wards where hospital_id = A and name = Private Room → rate_per_day is unchanged at 4500</t>
  </si>
  <si>
    <t>TC-P2K-029</t>
  </si>
  <si>
    <t>doctor is refused the settings surface</t>
  </si>
  <si>
    <t>1) Log in as Dr. Suresh Menon (doctor, Hospital A) 2) Navigate directly to /settings 3) Navigate directly to /settings/wards, /settings/services, /settings/staff and /settings/roles 4) Observe each outcome</t>
  </si>
  <si>
    <t>Every route is refused — the user is redirected away or shown an access-denied surface. No settings form renders and no Save control is reachable.</t>
  </si>
  <si>
    <t>MOCK_DATA_BOOK Staff — Dr. Suresh Menon</t>
  </si>
  <si>
    <t>RBAC, all settings screens</t>
  </si>
  <si>
    <t>A doctor who can reach /settings/services can change what the hospital charges. Clinical authority is not commercial authority.</t>
  </si>
  <si>
    <t>None — this is a route-guard assertion in the browser. The database is not reached because the screen never renders.</t>
  </si>
  <si>
    <t>TC-P2K-030</t>
  </si>
  <si>
    <t>nurse is refused the settings surface</t>
  </si>
  <si>
    <t>1) Log in as Sr. Mary Thomas (nurse, Hospital A) 2) Navigate directly to /settings 3) Navigate directly to /settings/wards, /settings/services, /settings/staff and /settings/roles 4) Observe each outcome</t>
  </si>
  <si>
    <t>MOCK_DATA_BOOK Staff — Sr. Mary Thomas</t>
  </si>
  <si>
    <t xml:space="preserve">Automated: FAILED.
Error: nurse reached 5 settings route(s) that must be refused: /settings, /settings/wards, /settings/services, /settings/staff, /settings/roles.
expect(received).toEqual(expected) // deep equality
- Expected  - 1
+ Received  + 7
- Array []
+ Array [
+   "/settings",
+   "/settings/wards",
+   "/settings/services",
+   "/settings/staff",
+   "/settings/roles",
+ ]</t>
  </si>
  <si>
    <t xml:space="preserve">Fetch user data error: JSON object requested, multiple (or no) rows returned
Fetch user data error: JSON object requested, multiple (or no) rows returned
Fetch user data error: JSON object requested, multiple (or no) rows returned
Fetch user data error: JSON object requested, multiple (or no) rows returned
Fetch user data error: JSON object requested, multiple (or no) rows returned
Fetch user data error: JSON object requested, multiple (or no) rows returned
Fetch user data error: JSON object requested, multiple (or no) rows returned
Fetch user data error: JSON object requested, multiple (or no
…(truncated)</t>
  </si>
  <si>
    <t>A nurse reaching /settings/wards could change bed configuration mid-shift, and the IPD census would stop matching the physical ward.</t>
  </si>
  <si>
    <t>TC-P2K-031</t>
  </si>
  <si>
    <t>receptionist is refused the settings surface</t>
  </si>
  <si>
    <t>1) Log in as Ms. Divya Sharma (receptionist, Hospital A) 2) Navigate directly to /settings 3) Navigate directly to /settings/wards, /settings/services, /settings/staff and /settings/roles 4) Observe each outcome</t>
  </si>
  <si>
    <t>MOCK_DATA_BOOK Staff — Ms. Divya Sharma</t>
  </si>
  <si>
    <t xml:space="preserve">Automated: FAILED.
Error: receptionist reached 1 settings route(s) that must be refused: /settings/services.
expect(received).toEqual(expected) // deep equality
- Expected  - 1
+ Received  + 3
- Array []
+ Array [
+   "/settings/services",
+ ]</t>
  </si>
  <si>
    <t>The front desk handles money at the counter. Reaching /settings/approvals would let the same person both grant and take a discount.</t>
  </si>
  <si>
    <t>TC-P2K-032</t>
  </si>
  <si>
    <t>pharmacist is refused the settings surface</t>
  </si>
  <si>
    <t>1) Log in as Mr. Imran Khan (pharmacist, Hospital A) 2) Navigate directly to /settings 3) Navigate directly to /settings/wards, /settings/services, /settings/staff and /settings/roles 4) Observe each outcome</t>
  </si>
  <si>
    <t>MOCK_DATA_BOOK Staff — Mr. Imran Khan</t>
  </si>
  <si>
    <t>A pharmacist reaching /settings/drugs could alter the formulary and the stock rules that constrain their own dispensing.</t>
  </si>
  <si>
    <t>pharmacist (Hospital A)</t>
  </si>
  <si>
    <t>TC-P2K-033</t>
  </si>
  <si>
    <t>lab_technician is refused the settings surface</t>
  </si>
  <si>
    <t>1) Log in as Mr. Naveen Kumar (lab_technician, Hospital A) 2) Navigate directly to /settings 3) Navigate directly to /settings/wards, /settings/services, /settings/staff and /settings/roles 4) Observe each outcome</t>
  </si>
  <si>
    <t>MOCK_DATA_BOOK Staff — Mr. Naveen Kumar</t>
  </si>
  <si>
    <t xml:space="preserve">Automated: FAILED.
Error: lab_technician reached 1 settings route(s) that must be refused: /settings/roles.
expect(received).toEqual(expected) // deep equality
- Expected  - 1
+ Received  + 3
- Array []
+ Array [
+   "/settings/roles",
+ ]</t>
  </si>
  <si>
    <t>A technician reaching /settings/lab-tests could change a reference range, and a changed range silently switches critical alerts off.</t>
  </si>
  <si>
    <t>TC-P2K-034</t>
  </si>
  <si>
    <t>lab_tech is refused the settings surface</t>
  </si>
  <si>
    <t>1) Log in as Ms. Sneha Patil (lab_tech, Hospital A) 2) Navigate directly to /settings 3) Navigate directly to /settings/wards, /settings/services, /settings/staff and /settings/roles 4) Observe each outcome</t>
  </si>
  <si>
    <t>MOCK_DATA_BOOK Staff — Ms. Sneha Patil</t>
  </si>
  <si>
    <t xml:space="preserve">Automated: FAILED.
Error: lab_tech reached 2 settings route(s) that must be refused: /settings/wards, /settings/services.
expect(received).toEqual(expected) // deep equality
- Expected  - 1
+ Received  + 4
- Array []
+ Array [
+   "/settings/wards",
+   "/settings/services",
+ ]</t>
  </si>
  <si>
    <t>Both lab_tech and lab_technician exist in the enum. If only one is guarded, the unguarded spelling is a permanent open door.</t>
  </si>
  <si>
    <t>lab_tech (Hospital A)</t>
  </si>
  <si>
    <t>TC-P2K-035</t>
  </si>
  <si>
    <t>radiologist is refused the settings surface</t>
  </si>
  <si>
    <t>1) Log in as Dr. Anil Verma (radiologist, Hospital A) 2) Navigate directly to /settings 3) Navigate directly to /settings/wards, /settings/services, /settings/staff and /settings/roles 4) Observe each outcome</t>
  </si>
  <si>
    <t>MOCK_DATA_BOOK Staff — Dr. Anil Verma</t>
  </si>
  <si>
    <t xml:space="preserve">Automated: FAILED.
Error: radiologist reached 2 settings route(s) that must be refused: /settings, /settings/wards.
expect(received).toEqual(expected) // deep equality
- Expected  - 1
+ Received  + 4
- Array []
+ Array [
+   "/settings",
+   "/settings/wards",
+ ]</t>
  </si>
  <si>
    <t>A radiologist reaching /settings/radiology could change study fees, and PCPNDT settings are a legal register that no clinician edits unilaterally.</t>
  </si>
  <si>
    <t>radiologist (Hospital A)</t>
  </si>
  <si>
    <t>TC-P2K-036</t>
  </si>
  <si>
    <t>billing_executive is refused the settings surface</t>
  </si>
  <si>
    <t>1) Log in as Billing executive (Hospital A) (billing_executive, Hospital A) 2) Navigate directly to /settings 3) Navigate directly to /settings/wards, /settings/services, /settings/staff and /settings/roles 4) Observe each outcome</t>
  </si>
  <si>
    <t>MOCK_DATA_BOOK Staff — Billing executive (Hospital A)</t>
  </si>
  <si>
    <t>Billing staff raise the bills. Letting them edit the tariff removes the separation between setting a price and charging it.</t>
  </si>
  <si>
    <t>TC-P2K-037</t>
  </si>
  <si>
    <t>billing_staff is refused the settings surface</t>
  </si>
  <si>
    <t>1) Log in as Billing staff (Hospital A) (billing_staff, Hospital A) 2) Navigate directly to /settings 3) Navigate directly to /settings/wards, /settings/services, /settings/staff and /settings/roles 4) Observe each outcome</t>
  </si>
  <si>
    <t>MOCK_DATA_BOOK Staff — Billing staff (Hospital A)</t>
  </si>
  <si>
    <t>billing_staff and billing_executive are separate enum values. A guard written for one and not the other leaves a role that looks restricted and is not.</t>
  </si>
  <si>
    <t>billing_staff (Hospital A)</t>
  </si>
  <si>
    <t>TC-P2K-038</t>
  </si>
  <si>
    <t>accountant is refused the settings surface</t>
  </si>
  <si>
    <t>1) Log in as Accountant (Hospital A) (accountant, Hospital A) 2) Navigate directly to /settings 3) Navigate directly to /settings/wards, /settings/services, /settings/staff and /settings/roles 4) Observe each outcome</t>
  </si>
  <si>
    <t>MOCK_DATA_BOOK Staff — Accountant (Hospital A)</t>
  </si>
  <si>
    <t>An accountant reaching /settings/bank-accounts could redirect settlement to a different account — the most direct financial fraud path in the product.</t>
  </si>
  <si>
    <t>TC-P2K-039</t>
  </si>
  <si>
    <t>cfo is refused the settings surface</t>
  </si>
  <si>
    <t>1) Log in as CFO (Hospital A) (cfo, Hospital A) 2) Navigate directly to /settings 3) Navigate directly to /settings/wards, /settings/services, /settings/staff and /settings/roles 4) Observe each outcome</t>
  </si>
  <si>
    <t>MOCK_DATA_BOOK Staff — CFO (Hospital A)</t>
  </si>
  <si>
    <t>Seniority is not the same as administration. A CFO with settings access can change the tariff and the approval rules that are meant to constrain them.</t>
  </si>
  <si>
    <t>cfo (Hospital A)</t>
  </si>
  <si>
    <t>TC-P2K-040</t>
  </si>
  <si>
    <t>hr_manager is refused the settings surface</t>
  </si>
  <si>
    <t>1) Log in as HR manager (Hospital A) (hr_manager, Hospital A) 2) Navigate directly to /settings 3) Navigate directly to /settings/wards, /settings/services, /settings/staff and /settings/roles 4) Observe each outcome</t>
  </si>
  <si>
    <t>MOCK_DATA_BOOK Staff — HR manager (Hospital A)</t>
  </si>
  <si>
    <t xml:space="preserve">Automated: FAILED.
Error: hr_manager reached 1 settings route(s) that must be refused: /settings/roles.
expect(received).toEqual(expected) // deep equality
- Expected  - 1
+ Received  + 3
- Array []
+ Array [
+   "/settings/roles",
+ ]</t>
  </si>
  <si>
    <t>HR legitimately manages people, but /settings/roles assigns application permissions. Letting HR grant roles means HR can grant itself anything.</t>
  </si>
  <si>
    <t>hr_manager (Hospital A)</t>
  </si>
  <si>
    <t>TC-P2K-041</t>
  </si>
  <si>
    <t>insurance_executive is refused the settings surface</t>
  </si>
  <si>
    <t>1) Log in as Insurance executive (Hospital A) (insurance_executive, Hospital A) 2) Navigate directly to /settings 3) Navigate directly to /settings/wards, /settings/services, /settings/staff and /settings/roles 4) Observe each outcome</t>
  </si>
  <si>
    <t>MOCK_DATA_BOOK Staff — Insurance executive (Hospital A)</t>
  </si>
  <si>
    <t xml:space="preserve">Automated: FAILED.
Error: insurance_executive reached 1 settings route(s) that must be refused: /settings/roles.
expect(received).toEqual(expected) // deep equality
- Expected  - 1
+ Received  + 3
- Array []
+ Array [
+   "/settings/roles",
+ ]</t>
  </si>
  <si>
    <t>An insurance executive reaching /settings/payer-masters could change the negotiated discount and ceiling terms they are supposed to work within.</t>
  </si>
  <si>
    <t>insurance_executive (Hospital A)</t>
  </si>
  <si>
    <t>TC-P2K-042</t>
  </si>
  <si>
    <t>mrd_officer is refused the settings surface</t>
  </si>
  <si>
    <t>1) Log in as MRD officer (Hospital A) (mrd_officer, Hospital A) 2) Navigate directly to /settings 3) Navigate directly to /settings/wards, /settings/services, /settings/staff and /settings/roles 4) Observe each outcome</t>
  </si>
  <si>
    <t>MOCK_DATA_BOOK Staff — MRD officer (Hospital A)</t>
  </si>
  <si>
    <t>Records custody is not configuration authority. /settings/record-retention decides how long records live, which is exactly the control MRD is audited against.</t>
  </si>
  <si>
    <t>TC-P2K-043</t>
  </si>
  <si>
    <t>hospital_admin reaches all fifty settings routes, so the guard is not simply blocking everyone</t>
  </si>
  <si>
    <t>1) Log in as the Hospital A admin 2) Visit each of the fifty /settings/* routes in the catalogue 3) Confirm each renders its own screen rather than a denial</t>
  </si>
  <si>
    <t>All fifty routes render. None redirects and none shows an access-denied surface.</t>
  </si>
  <si>
    <t>src/lib/settingsCatalog.ts — the fifty routable settings screens</t>
  </si>
  <si>
    <t xml:space="preserve">Failed to load resource: the server responded with a status of 404 ()
Failed to load resource: the server responded with a status of 404 ()
Failed to load resource: the server responded with a status of 406 ()
Failed to load resource: the server responded with a status of 404 ()</t>
  </si>
  <si>
    <t>A negative RBAC suite proves nothing on its own — a guard that denies everybody would pass all fourteen refusal cases. This is the control that makes those cases meaningful.</t>
  </si>
  <si>
    <t>None — this is a route-guard assertion in the browser across the full catalogue.</t>
  </si>
  <si>
    <t>TC-P2K-044</t>
  </si>
  <si>
    <t>The refusal is a real route guard, not merely a hidden sidebar link</t>
  </si>
  <si>
    <t>1) Log in as Dr. Suresh Menon (doctor, Hospital A) 2) Confirm no Settings entry appears in the sidebar 3) Type /settings/wards straight into the address bar 4) Observe the outcome</t>
  </si>
  <si>
    <t>The deep link is refused exactly as the hidden link implies. The wards form never renders.</t>
  </si>
  <si>
    <t>RBAC, Wards</t>
  </si>
  <si>
    <t>Hiding a nav item is presentation, not security. A user who has ever seen the URL — or simply guesses it — bypasses a hidden link in one keystroke, so the guard has to live on the route.</t>
  </si>
  <si>
    <t>None — this is a route-guard assertion in the browser against a directly typed URL.</t>
  </si>
  <si>
    <t>TC-P2K-045</t>
  </si>
  <si>
    <t>hospital_settings has no per-role RLS, so the route guard is the only gate — documented and asserted</t>
  </si>
  <si>
    <t>1) Sign in through the anon key as Dr. Suresh Menon (doctor, Hospital A) 2) Select from hospital_settings 3) Read what comes back</t>
  </si>
  <si>
    <t>The doctor session reads Hospital A rows, because the policy is tenant-scoped and not role-scoped. No Hospital B row is returned. This is the known and accepted design, and the finding is that /settings route guards are the ONLY control preventing a non-admin from writing these keys.</t>
  </si>
  <si>
    <t>All modules, Multi-tenancy</t>
  </si>
  <si>
    <t>SettingsIPDAncillaryPaymentPage carries this security note and every fix in this phase inherits it. Writing the finding down as a passing test is what stops it being rediscovered as a surprise during a security review — the containment is the route guard, so if that guard ever regresses, this becomes a real vulnerability rather than an accepted design.</t>
  </si>
  <si>
    <t>hospital_settings read through an authenticated anon client as a doctor → Hospital A rows are readable, zero Hospital B rows. Tenant-scoped, not role-scoped.</t>
  </si>
  <si>
    <t>TC-P2K-046</t>
  </si>
  <si>
    <t>No non-admin route reaches a hospital_settings write, so the containment holds in the UI</t>
  </si>
  <si>
    <t>1) Log in as Dr. Suresh Menon (doctor, Hospital A) 2) Attempt the four routes that write hospital_settings — /settings/notifications, /settings/language, /settings/approvals and /settings/ipd-ancillary-payment 3) Observe each outcome</t>
  </si>
  <si>
    <t>All four are refused. No Save control is reachable, so no hospital_settings write can be initiated from a non-admin session through the product.</t>
  </si>
  <si>
    <t>Notifications, Language, Approvals, IPD ancillary payment</t>
  </si>
  <si>
    <t>This is the other half of the finding above. The database will accept the write; the route guard is what prevents it ever being asked for, so the guard has to be proven on every writing route rather than assumed.</t>
  </si>
  <si>
    <t>None — this is a route-guard assertion in the browser across the four hospital_settings writers.</t>
  </si>
  <si>
    <t>TC-P2K-047</t>
  </si>
  <si>
    <t>Hospital B cannot read Hospital A hospital_settings keys</t>
  </si>
  <si>
    <t>1) Sign in through the anon key as the Hospital B admin 2) Select key and value from hospital_settings 3) Check every returned row against Hospital A’s id</t>
  </si>
  <si>
    <t>No Hospital A row is returned. Hospital A’s notification_config and language_region are not visible to Hospital B.</t>
  </si>
  <si>
    <t>MOCK_DATA_BOOK Phase 2 additions — notification_config and language_region for Hospital A</t>
  </si>
  <si>
    <t>Notifications, Language, Multi-tenancy</t>
  </si>
  <si>
    <t>The two screens fixed in this phase both write here. A fix that persists correctly but leaks across tenants would have traded a silent no-op for a data breach, which is the worse outcome of the two.</t>
  </si>
  <si>
    <t>hospital_settings read through an authenticated anon client as the Hospital B admin → no row has hospital_id = Hospital A</t>
  </si>
  <si>
    <t>TC-P2K-048</t>
  </si>
  <si>
    <t>The sidebar hides Settings for a non-admin, so the refusal is not a dead end the user keeps hitting</t>
  </si>
  <si>
    <t>1) Log in as Sr. Mary Thomas (nurse, Hospital A) 2) Open /dashboard and read the sidebar 3) Confirm no Settings entry is present 4) Log in as the Hospital A admin and confirm it is</t>
  </si>
  <si>
    <t>The nurse sees no Settings entry. The admin does. Navigation matches permission in both directions.</t>
  </si>
  <si>
    <t>MOCK_DATA_BOOK Staff — Sr. Mary Thomas and Dr. Ravi Shankar</t>
  </si>
  <si>
    <t>RBAC, Navigation</t>
  </si>
  <si>
    <t xml:space="preserve">Automated: FAILED.
Error: The admin sidebar has no Settings entry, so this case cannot tell a correctly hidden link from a link that is simply never rendered.
expect(received).toBeTruthy()
Received: false</t>
  </si>
  <si>
    <t xml:space="preserve">Fetch user data error: JSON object requested, multiple (or no) rows returned
Fetch user data error: JSON object requested, multiple (or no) rows returned
Fetch user data error: JSON object requested, multiple (or no) rows returned
Warning: Encountered two children with the same key, `%s`. Keys should be unique so that components maintain their identity across updates. Non-unique keys may cause children to be duplicated and/or omitted — the behavior is unsupported and could change in a future version.%s Nephrology Ward
    at div
    at div
    at BedOccupancy (http://localhost:8080/src/compone
…(truncated)</t>
  </si>
  <si>
    <t>The route guard is the security control; hiding the link is the usability half. Showing a nurse a Settings entry that always refuses trains staff to ignore access-denied messages, which is how a real one gets missed.</t>
  </si>
  <si>
    <t>None — this asserts rendered navigation, not stored data.</t>
  </si>
  <si>
    <t>TC-P2L-001</t>
  </si>
  <si>
    <t>2L Full-tenant sweep</t>
  </si>
  <si>
    <t>Sweep step 1 of 50 — Hospital Profile is configured and holds</t>
  </si>
  <si>
    <t>1) Open /settings/profile as the Hospital A admin 2) Confirm the screen renders its own heading rather than a denial or an empty state 3) Confirm the configuration entered in the earlier sections is present and stored in hospitals 4) Continue the sweep without reloading the session</t>
  </si>
  <si>
    <t>Hospital Profile renders and hospitals holds at least one Hospital A row carrying the swept configuration. The value survives the rest of the sweep unchanged.</t>
  </si>
  <si>
    <t>mock-data.json phase2.entry["/settings/profile"] — the seeded entry block for this screen</t>
  </si>
  <si>
    <t>All modules — this is the commissioning pass</t>
  </si>
  <si>
    <t>Sections 2B-2K complete — this sweep runs last and re-proves the tenant end to end</t>
  </si>
  <si>
    <t>Nothing else can be commissioned until the tenant knows its own name, address, state and GSTIN. The state code drives CGST/SGST versus IGST on every invoice the hospital will ever raise. Sweep position matters: sections 2B-2I prove this screen in isolation with its own prerequisite satisfied, whereas this case proves it in dependency order, which is the only way to catch a screen that works solely because an earlier section left data behind.</t>
  </si>
  <si>
    <t>hospitals where hospital_id = A → at least one row, matching what /settings/profile renders</t>
  </si>
  <si>
    <t>e2e/phase-02-settings/P2L.tenant-sweep.spec.ts</t>
  </si>
  <si>
    <t>TC-P2L-002</t>
  </si>
  <si>
    <t>Sweep step 2 of 50 — Branding is configured and holds</t>
  </si>
  <si>
    <t>1) Open /settings/branding as the Hospital A admin 2) Confirm the screen renders its own heading rather than a denial or an empty state 3) Confirm the configuration entered in the earlier sections is present and stored in hospitals 4) Continue the sweep without reloading the session</t>
  </si>
  <si>
    <t>Branding renders and hospitals holds at least one Hospital A row carrying the swept configuration. The value survives the rest of the sweep unchanged.</t>
  </si>
  <si>
    <t>mock-data.json phase2.entry["/settings/branding"] — the seeded entry block for this screen</t>
  </si>
  <si>
    <t>Branding is what a patient sees on a printed prescription and a discharge summary. An unbranded document is not obviously from this hospital at all. Sweep position matters: sections 2B-2I prove this screen in isolation with its own prerequisite satisfied, whereas this case proves it in dependency order, which is the only way to catch a screen that works solely because an earlier section left data behind.</t>
  </si>
  <si>
    <t>hospitals where hospital_id = A → at least one row, matching what /settings/branding renders</t>
  </si>
  <si>
    <t>TC-P2L-003</t>
  </si>
  <si>
    <t>Sweep step 3 of 50 — White-Label Branding is configured and holds</t>
  </si>
  <si>
    <t>1) Open /settings/white-label as the Hospital A admin 2) Confirm the screen renders its own heading rather than a denial or an empty state 3) Confirm the configuration entered in the earlier sections is present and stored in hospitals 4) Continue the sweep without reloading the session</t>
  </si>
  <si>
    <t>White-Label Branding renders and hospitals holds at least one Hospital A row carrying the swept configuration. The value survives the rest of the sweep unchanged.</t>
  </si>
  <si>
    <t>mock-data.json phase2.entry["/settings/white-label"] — the seeded entry block for this screen</t>
  </si>
  <si>
    <t>White-label is a paid entitlement. Sweeping it proves the plan gate opened for a tenant that bought it, rather than being blocked by an unrelated default. Sweep position matters: sections 2B-2I prove this screen in isolation with its own prerequisite satisfied, whereas this case proves it in dependency order, which is the only way to catch a screen that works solely because an earlier section left data behind.</t>
  </si>
  <si>
    <t>hospitals where hospital_id = A → at least one row, matching what /settings/white-label renders</t>
  </si>
  <si>
    <t>TC-P2L-004</t>
  </si>
  <si>
    <t>Sweep step 4 of 50 — Language &amp; Region is configured and holds</t>
  </si>
  <si>
    <t>1) Open /settings/language as the Hospital A admin 2) Confirm the screen renders its own heading rather than a denial or an empty state 3) Confirm the configuration entered in the earlier sections is present and stored in hospital_settings 4) Continue the sweep without reloading the session</t>
  </si>
  <si>
    <t>Language &amp; Region renders and hospital_settings holds at least one Hospital A row carrying the swept configuration. The value survives the rest of the sweep unchanged.</t>
  </si>
  <si>
    <t>mock-data.json phase2.entry["/settings/language"] — the seeded entry block for this screen</t>
  </si>
  <si>
    <t>This screen persisted nothing at all before BUG-P2-004. In a continuous sweep the regression would show as a hospital that silently reverts to US date and number formats on the next screen. Sweep position matters: sections 2B-2I prove this screen in isolation with its own prerequisite satisfied, whereas this case proves it in dependency order, which is the only way to catch a screen that works solely because an earlier section left data behind.</t>
  </si>
  <si>
    <t>hospital_settings where hospital_id = A → at least one row, matching what /settings/language renders</t>
  </si>
  <si>
    <t>TC-P2L-005</t>
  </si>
  <si>
    <t>Sweep step 5 of 50 — Support is configured and holds</t>
  </si>
  <si>
    <t>1) Open /settings/support as the Hospital A admin 2) Confirm the screen renders its own heading rather than a denial or an empty state 3) Confirm the configuration entered in the earlier sections is present and stored in platform_support_tickets 4) Continue the sweep without reloading the session</t>
  </si>
  <si>
    <t>Support renders and platform_support_tickets holds at least one Hospital A row carrying the swept configuration. The value survives the rest of the sweep unchanged.</t>
  </si>
  <si>
    <t>mock-data.json phase2.entry["/settings/support"] — the seeded entry block for this screen</t>
  </si>
  <si>
    <t>Support is the hospital’s only route to the vendor when something breaks in production. A tenant commissioned without it has no escalation path on day one. Sweep position matters: sections 2B-2I prove this screen in isolation with its own prerequisite satisfied, whereas this case proves it in dependency order, which is the only way to catch a screen that works solely because an earlier section left data behind.</t>
  </si>
  <si>
    <t>platform_support_tickets where hospital_id = A → at least one row, matching what /settings/support renders</t>
  </si>
  <si>
    <t>TC-P2L-006</t>
  </si>
  <si>
    <t>Sweep step 6 of 50 — Training Videos is configured and holds</t>
  </si>
  <si>
    <t>1) Open /settings/training as the Hospital A admin 2) Confirm the screen renders its own heading rather than a denial or an empty state 3) Read the state the sweep has produced so far 4) Continue the sweep without reloading the session</t>
  </si>
  <si>
    <t>Training Videos renders and reflects the tenant’s current state. It writes nothing, so nothing is asserted in the database beyond what earlier steps of the sweep stored.</t>
  </si>
  <si>
    <t>mock-data.json phase2.entry["/settings/training"] — the seeded entry block for this screen</t>
  </si>
  <si>
    <t>Read-only, but staff are trained from it before go-live. An empty training screen means the hospital goes live with untrained users, which produces bug reports that are really training gaps. Sweep position matters: sections 2B-2I prove this screen in isolation with its own prerequisite satisfied, whereas this case proves it in dependency order, which is the only way to catch a screen that works solely because an earlier section left data behind.</t>
  </si>
  <si>
    <t>None — this screen is read-only and writes nothing.</t>
  </si>
  <si>
    <t>TC-P2L-007</t>
  </si>
  <si>
    <t>Sweep step 7 of 50 — Plan &amp; Billing is configured and holds</t>
  </si>
  <si>
    <t>1) Open /settings/plan as the Hospital A admin 2) Confirm the screen renders its own heading rather than a denial or an empty state 3) Read the state the sweep has produced so far 4) Continue the sweep without reloading the session</t>
  </si>
  <si>
    <t>Plan &amp; Billing renders and reflects the tenant’s current state. It writes nothing, so nothing is asserted in the database beyond what earlier steps of the sweep stored.</t>
  </si>
  <si>
    <t>mock-data.json phase2.entry["/settings/plan"] — the seeded entry block for this screen</t>
  </si>
  <si>
    <t>The plan is the first of three stacked AI gates and the gate on every paid module. Reading it early in the sweep tells the tester which later screens are legitimately unavailable. Sweep position matters: sections 2B-2I prove this screen in isolation with its own prerequisite satisfied, whereas this case proves it in dependency order, which is the only way to catch a screen that works solely because an earlier section left data behind.</t>
  </si>
  <si>
    <t>TC-P2L-008</t>
  </si>
  <si>
    <t>Sweep step 8 of 50 — AI Features &amp; Attestation is configured and holds</t>
  </si>
  <si>
    <t>1) Open /settings/ai-features as the Hospital A admin 2) Confirm the screen renders its own heading rather than a denial or an empty state 3) Confirm the configuration entered in the earlier sections is present and stored in hospitals 4) Continue the sweep without reloading the session</t>
  </si>
  <si>
    <t>AI Features &amp; Attestation renders and hospitals holds at least one Hospital A row carrying the swept configuration. The value survives the rest of the sweep unchanged.</t>
  </si>
  <si>
    <t>mock-data.json phase2.entry["/settings/ai-features"] — the seeded entry block for this screen</t>
  </si>
  <si>
    <t>The second AI gate. Attestation is a clinical-governance record — the hospital stating it understands AI output is advisory — and it must exist before any AI feature is used on a patient. Sweep position matters: sections 2B-2I prove this screen in isolation with its own prerequisite satisfied, whereas this case proves it in dependency order, which is the only way to catch a screen that works solely because an earlier section left data behind.</t>
  </si>
  <si>
    <t>hospitals where hospital_id = A → at least one row, matching what /settings/ai-features renders</t>
  </si>
  <si>
    <t>TC-P2L-009</t>
  </si>
  <si>
    <t>Sweep step 9 of 50 — Departments is configured and holds</t>
  </si>
  <si>
    <t>1) Open /settings/departments as the Hospital A admin 2) Confirm the screen renders its own heading rather than a denial or an empty state 3) Confirm the configuration entered in the earlier sections is present and stored in departments 4) Continue the sweep without reloading the session</t>
  </si>
  <si>
    <t>Departments renders and departments holds at least one Hospital A row carrying the swept configuration. The value survives the rest of the sweep unchanged.</t>
  </si>
  <si>
    <t>mock-data.json phase2.entry["/settings/departments"] — the seeded entry block for this screen</t>
  </si>
  <si>
    <t>Departments come first in the structural block because staff, wards, services and the OPD queue all reference them. Commissioning them late means every later screen has an empty department picker. Sweep position matters: sections 2B-2I prove this screen in isolation with its own prerequisite satisfied, whereas this case proves it in dependency order, which is the only way to catch a screen that works solely because an earlier section left data behind.</t>
  </si>
  <si>
    <t>departments where hospital_id = A → at least one row, matching what /settings/departments renders</t>
  </si>
  <si>
    <t>TC-P2L-010</t>
  </si>
  <si>
    <t>Sweep step 10 of 50 — Wards &amp; Beds is configured and holds</t>
  </si>
  <si>
    <t>1) Open /settings/wards as the Hospital A admin 2) Confirm the screen renders its own heading rather than a denial or an empty state 3) Confirm the configuration entered in the earlier sections is present and stored in wards 4) Continue the sweep without reloading the session</t>
  </si>
  <si>
    <t>Wards &amp; Beds renders and wards holds at least one Hospital A row carrying the swept configuration. The value survives the rest of the sweep unchanged.</t>
  </si>
  <si>
    <t>mock-data.json phase2.entry["/settings/wards"] — the seeded entry block for this screen</t>
  </si>
  <si>
    <t>Wards carry rate_per_day, which is the first term in the room-charge precedence chain. A ward swept in without its rate silently under-bills every night of every admission. Sweep position matters: sections 2B-2I prove this screen in isolation with its own prerequisite satisfied, whereas this case proves it in dependency order, which is the only way to catch a screen that works solely because an earlier section left data behind.</t>
  </si>
  <si>
    <t>wards where hospital_id = A → at least one row, matching what /settings/wards renders</t>
  </si>
  <si>
    <t>TC-P2L-011</t>
  </si>
  <si>
    <t>Sweep step 11 of 50 — Shifts is configured and holds</t>
  </si>
  <si>
    <t>1) Open /settings/shifts as the Hospital A admin 2) Confirm the screen renders its own heading rather than a denial or an empty state 3) Confirm the configuration entered in the earlier sections is present and stored in shift_master 4) Continue the sweep without reloading the session</t>
  </si>
  <si>
    <t>Shifts renders and shift_master holds at least one Hospital A row carrying the swept configuration. The value survives the rest of the sweep unchanged.</t>
  </si>
  <si>
    <t>mock-data.json phase2.entry["/settings/shifts"] — the seeded entry block for this screen</t>
  </si>
  <si>
    <t>This screen wrote nothing before BUG-P2-002. Duty rosters depend on it, so in a sweep a regression shows as a hospital that cannot roster a single nurse. Sweep position matters: sections 2B-2I prove this screen in isolation with its own prerequisite satisfied, whereas this case proves it in dependency order, which is the only way to catch a screen that works solely because an earlier section left data behind.</t>
  </si>
  <si>
    <t>shift_master where hospital_id = A → at least one row, matching what /settings/shifts renders</t>
  </si>
  <si>
    <t>TC-P2L-012</t>
  </si>
  <si>
    <t>Sweep step 12 of 50 — Bank Accounts is configured and holds</t>
  </si>
  <si>
    <t>1) Open /settings/bank-accounts as the Hospital A admin 2) Confirm the screen renders its own heading rather than a denial or an empty state 3) Confirm the configuration entered in the earlier sections is present and stored in bank_accounts 4) Continue the sweep without reloading the session</t>
  </si>
  <si>
    <t>Bank Accounts renders and bank_accounts holds at least one Hospital A row carrying the swept configuration. The value survives the rest of the sweep unchanged.</t>
  </si>
  <si>
    <t>mock-data.json phase2.entry["/settings/bank-accounts"] — the seeded entry block for this screen</t>
  </si>
  <si>
    <t>Without a bank account there is no day-closure reconciliation, so cash differences go undetected from the very first day of operation. Sweep position matters: sections 2B-2I prove this screen in isolation with its own prerequisite satisfied, whereas this case proves it in dependency order, which is the only way to catch a screen that works solely because an earlier section left data behind.</t>
  </si>
  <si>
    <t>bank_accounts where hospital_id = A → at least one row, matching what /settings/bank-accounts renders</t>
  </si>
  <si>
    <t>TC-P2L-013</t>
  </si>
  <si>
    <t>Sweep step 13 of 50 — Configurable Dropdowns is configured and holds</t>
  </si>
  <si>
    <t>1) Open /settings/config-values as the Hospital A admin 2) Confirm the screen renders its own heading rather than a denial or an empty state 3) Confirm the configuration entered in the earlier sections is present and stored in hospital_config_values 4) Continue the sweep without reloading the session</t>
  </si>
  <si>
    <t>Configurable Dropdowns renders and hospital_config_values holds at least one Hospital A row carrying the swept configuration. The value survives the rest of the sweep unchanged.</t>
  </si>
  <si>
    <t>mock-data.json phase2.entry["/settings/config-values"] — the seeded entry block for this screen</t>
  </si>
  <si>
    <t>Twenty-three categories feed dropdowns across OPD, pharmacy and IPD. Sweeping them before the clinical screens is what stops those screens rendering empty pickers later in this same pass. Sweep position matters: sections 2B-2I prove this screen in isolation with its own prerequisite satisfied, whereas this case proves it in dependency order, which is the only way to catch a screen that works solely because an earlier section left data behind.</t>
  </si>
  <si>
    <t>hospital_config_values where hospital_id = A → at least one row, matching what /settings/config-values renders</t>
  </si>
  <si>
    <t>TC-P2L-014</t>
  </si>
  <si>
    <t>Sweep step 14 of 50 — Staff Members is configured and holds</t>
  </si>
  <si>
    <t>1) Open /settings/staff as the Hospital A admin 2) Confirm the screen renders its own heading rather than a denial or an empty state 3) Confirm the configuration entered in the earlier sections is present and stored in users 4) Continue the sweep without reloading the session</t>
  </si>
  <si>
    <t>Staff Members renders and users holds at least one Hospital A row carrying the swept configuration. The value survives the rest of the sweep unchanged.</t>
  </si>
  <si>
    <t>mock-data.json phase2.entry["/settings/staff"] — the seeded entry block for this screen</t>
  </si>
  <si>
    <t>Staff come after departments because each is assigned to one. A hospital with no staff has nobody to log in as, which makes every later phase untestable. Sweep position matters: sections 2B-2I prove this screen in isolation with its own prerequisite satisfied, whereas this case proves it in dependency order, which is the only way to catch a screen that works solely because an earlier section left data behind.</t>
  </si>
  <si>
    <t>users where hospital_id = A → at least one row, matching what /settings/staff renders</t>
  </si>
  <si>
    <t>TC-P2L-015</t>
  </si>
  <si>
    <t>Sweep step 15 of 50 — Roles &amp; Permissions is configured and holds</t>
  </si>
  <si>
    <t>1) Open /settings/roles as the Hospital A admin 2) Confirm the screen renders its own heading rather than a denial or an empty state 3) Confirm the configuration entered in the earlier sections is present and stored in role_permissions 4) Continue the sweep without reloading the session</t>
  </si>
  <si>
    <t>Roles &amp; Permissions renders and role_permissions holds at least one Hospital A row carrying the swept configuration. The value survives the rest of the sweep unchanged.</t>
  </si>
  <si>
    <t>mock-data.json phase2.entry["/settings/roles"] — the seeded entry block for this screen</t>
  </si>
  <si>
    <t>Roles decide who can reach what. Commissioning them is what makes the fourteen refusal cases in 2K meaningful rather than accidental. Sweep position matters: sections 2B-2I prove this screen in isolation with its own prerequisite satisfied, whereas this case proves it in dependency order, which is the only way to catch a screen that works solely because an earlier section left data behind.</t>
  </si>
  <si>
    <t>role_permissions where hospital_id = A → at least one row, matching what /settings/roles renders</t>
  </si>
  <si>
    <t>TC-P2L-016</t>
  </si>
  <si>
    <t>Sweep step 16 of 50 — Doctor Schedules is configured and holds</t>
  </si>
  <si>
    <t>1) Open /settings/doctor-schedules as the Hospital A admin 2) Confirm the screen renders its own heading rather than a denial or an empty state 3) Confirm the configuration entered in the earlier sections is present and stored in doctor_schedules 4) Continue the sweep without reloading the session</t>
  </si>
  <si>
    <t>Doctor Schedules renders and doctor_schedules holds at least one Hospital A row carrying the swept configuration. The value survives the rest of the sweep unchanged.</t>
  </si>
  <si>
    <t>mock-data.json phase2.entry["/settings/doctor-schedules"] — the seeded entry block for this screen</t>
  </si>
  <si>
    <t>Schedules come after staff because they reference a doctor. Without them no appointment slot is bookable and the booking screen simply shows nothing. Sweep position matters: sections 2B-2I prove this screen in isolation with its own prerequisite satisfied, whereas this case proves it in dependency order, which is the only way to catch a screen that works solely because an earlier section left data behind.</t>
  </si>
  <si>
    <t>doctor_schedules where hospital_id = A → at least one row, matching what /settings/doctor-schedules renders</t>
  </si>
  <si>
    <t>TC-P2L-017</t>
  </si>
  <si>
    <t>Sweep step 17 of 50 — Service Rates is configured and holds</t>
  </si>
  <si>
    <t>1) Open /settings/services as the Hospital A admin 2) Confirm the screen renders its own heading rather than a denial or an empty state 3) Confirm the configuration entered in the earlier sections is present and stored in service_master 4) Continue the sweep without reloading the session</t>
  </si>
  <si>
    <t>Service Rates renders and service_master holds at least one Hospital A row carrying the swept configuration. The value survives the rest of the sweep unchanged.</t>
  </si>
  <si>
    <t>mock-data.json phase2.entry["/settings/services"] — the seeded entry block for this screen</t>
  </si>
  <si>
    <t>The tariff is the single most consequential table in the sweep. A missing consultation row makes OPD bill a hardcoded ₹500 with no warning of any kind. Sweep position matters: sections 2B-2I prove this screen in isolation with its own prerequisite satisfied, whereas this case proves it in dependency order, which is the only way to catch a screen that works solely because an earlier section left data behind.</t>
  </si>
  <si>
    <t>service_master where hospital_id = A → at least one row, matching what /settings/services renders</t>
  </si>
  <si>
    <t>TC-P2L-018</t>
  </si>
  <si>
    <t>Sweep step 18 of 50 — Payer Masters is configured and holds</t>
  </si>
  <si>
    <t>1) Open /settings/payer-masters as the Hospital A admin 2) Confirm the screen renders its own heading rather than a denial or an empty state 3) Confirm the configuration entered in the earlier sections is present and stored in payer_masters 4) Continue the sweep without reloading the session</t>
  </si>
  <si>
    <t>Payer Masters renders and payer_masters holds at least one Hospital A row carrying the swept configuration. The value survives the rest of the sweep unchanged.</t>
  </si>
  <si>
    <t>mock-data.json phase2.entry["/settings/payer-masters"] — the seeded entry block for this screen</t>
  </si>
  <si>
    <t>Payers carry the negotiated ceilings and co-pay terms. Without them every insured patient is admitted as cash and the claim window closes unnoticed. Sweep position matters: sections 2B-2I prove this screen in isolation with its own prerequisite satisfied, whereas this case proves it in dependency order, which is the only way to catch a screen that works solely because an earlier section left data behind.</t>
  </si>
  <si>
    <t>payer_masters where hospital_id = A → at least one row, matching what /settings/payer-masters renders</t>
  </si>
  <si>
    <t>TC-P2L-019</t>
  </si>
  <si>
    <t>Sweep step 19 of 50 — GST / NIC IRP is configured and holds</t>
  </si>
  <si>
    <t>1) Open /settings/gst as the Hospital A admin 2) Confirm the screen renders its own heading rather than a denial or an empty state 3) Confirm the configuration entered in the earlier sections is present and stored in hospitals 4) Continue the sweep without reloading the session</t>
  </si>
  <si>
    <t>GST / NIC IRP renders and hospitals holds at least one Hospital A row carrying the swept configuration. The value survives the rest of the sweep unchanged.</t>
  </si>
  <si>
    <t>mock-data.json phase2.entry["/settings/gst"] — the seeded entry block for this screen</t>
  </si>
  <si>
    <t>GST configuration switches on the HSN hard-block at bill finalisation. Sweeping it before the clinical masters is deliberate — it is what makes a missing HSN visible while there is still time to fix it. Sweep position matters: sections 2B-2I prove this screen in isolation with its own prerequisite satisfied, whereas this case proves it in dependency order, which is the only way to catch a screen that works solely because an earlier section left data behind.</t>
  </si>
  <si>
    <t>hospitals where hospital_id = A → at least one row, matching what /settings/gst renders</t>
  </si>
  <si>
    <t>TC-P2L-020</t>
  </si>
  <si>
    <t>Sweep step 20 of 50 — Approval Rules is configured and holds</t>
  </si>
  <si>
    <t>1) Open /settings/approvals as the Hospital A admin 2) Confirm the screen renders its own heading rather than a denial or an empty state 3) Confirm the configuration entered in the earlier sections is present and stored in hospital_settings 4) Continue the sweep without reloading the session</t>
  </si>
  <si>
    <t>Approval Rules renders and hospital_settings holds at least one Hospital A row carrying the swept configuration. The value survives the rest of the sweep unchanged.</t>
  </si>
  <si>
    <t>mock-data.json phase2.entry["/settings/approvals"] — the seeded entry block for this screen</t>
  </si>
  <si>
    <t>With no approval rules EVERY discount auto-approves. Finance believes a control exists and it does not, so a 50% write-off is granted at the counter. Sweep position matters: sections 2B-2I prove this screen in isolation with its own prerequisite satisfied, whereas this case proves it in dependency order, which is the only way to catch a screen that works solely because an earlier section left data behind.</t>
  </si>
  <si>
    <t>hospital_settings where hospital_id = A → at least one row, matching what /settings/approvals renders</t>
  </si>
  <si>
    <t>TC-P2L-021</t>
  </si>
  <si>
    <t>Sweep step 21 of 50 — Razorpay Payments is configured and holds</t>
  </si>
  <si>
    <t>1) Open /settings/razorpay as the Hospital A admin 2) Confirm the screen renders its own heading rather than a denial or an empty state 3) Confirm the configuration entered in the earlier sections is present and stored in api_configurations 4) Continue the sweep without reloading the session</t>
  </si>
  <si>
    <t>Razorpay Payments renders and api_configurations holds at least one Hospital A row carrying the swept configuration. The value survives the rest of the sweep unchanged.</t>
  </si>
  <si>
    <t>mock-data.json phase2.entry["/settings/razorpay"] — the seeded entry block for this screen</t>
  </si>
  <si>
    <t>Without credentials, payment links are dead — the patient receives a link that does nothing, and the hospital sees neither the money nor the failure. Sweep position matters: sections 2B-2I prove this screen in isolation with its own prerequisite satisfied, whereas this case proves it in dependency order, which is the only way to catch a screen that works solely because an earlier section left data behind.</t>
  </si>
  <si>
    <t>api_configurations where hospital_id = A → at least one row, matching what /settings/razorpay renders</t>
  </si>
  <si>
    <t>TC-P2L-022</t>
  </si>
  <si>
    <t>Sweep step 22 of 50 — Lab Test Master is configured and holds</t>
  </si>
  <si>
    <t>1) Open /settings/lab-tests as the Hospital A admin 2) Confirm the screen renders its own heading rather than a denial or an empty state 3) Confirm the configuration entered in the earlier sections is present and stored in lab_test_master 4) Continue the sweep without reloading the session</t>
  </si>
  <si>
    <t>Lab Test Master renders and lab_test_master holds at least one Hospital A row carrying the swept configuration. The value survives the rest of the sweep unchanged.</t>
  </si>
  <si>
    <t>mock-data.json phase2.entry["/settings/lab-tests"] — the seeded entry block for this screen</t>
  </si>
  <si>
    <t>Every test needs a fee and a reference range. No range means no abnormal flag and no critical alert, so a dangerous result reports as an unremarkable number. Sweep position matters: sections 2B-2I prove this screen in isolation with its own prerequisite satisfied, whereas this case proves it in dependency order, which is the only way to catch a screen that works solely because an earlier section left data behind.</t>
  </si>
  <si>
    <t>lab_test_master where hospital_id = A → at least one row, matching what /settings/lab-tests renders</t>
  </si>
  <si>
    <t>TC-P2L-023</t>
  </si>
  <si>
    <t>Sweep step 23 of 50 — Drug Formulary is configured and holds</t>
  </si>
  <si>
    <t>1) Open /settings/drugs as the Hospital A admin 2) Confirm the screen renders its own heading rather than a denial or an empty state 3) Confirm the configuration entered in the earlier sections is present and stored in drug_master 4) Continue the sweep without reloading the session</t>
  </si>
  <si>
    <t>Drug Formulary renders and drug_master holds at least one Hospital A row carrying the swept configuration. The value survives the rest of the sweep unchanged.</t>
  </si>
  <si>
    <t>mock-data.json phase2.entry["/settings/drugs"] — the seeded entry block for this screen</t>
  </si>
  <si>
    <t>The formulary comes after config values because its route and frequency dropdowns are fed by them. An empty formulary sends the doctor to free text, which cannot be interaction-checked. Sweep position matters: sections 2B-2I prove this screen in isolation with its own prerequisite satisfied, whereas this case proves it in dependency order, which is the only way to catch a screen that works solely because an earlier section left data behind.</t>
  </si>
  <si>
    <t>drug_master where hospital_id = A → at least one row, matching what /settings/drugs renders</t>
  </si>
  <si>
    <t>TC-P2L-024</t>
  </si>
  <si>
    <t>Sweep step 24 of 50 — Notification Config is configured and holds</t>
  </si>
  <si>
    <t>1) Open /settings/notifications as the Hospital A admin 2) Confirm the screen renders its own heading rather than a denial or an empty state 3) Confirm the configuration entered in the earlier sections is present and stored in hospital_settings 4) Continue the sweep without reloading the session</t>
  </si>
  <si>
    <t>Notification Config renders and hospital_settings holds at least one Hospital A row carrying the swept configuration. The value survives the rest of the sweep unchanged.</t>
  </si>
  <si>
    <t>mock-data.json phase2.entry["/settings/notifications"] — the seeded entry block for this screen</t>
  </si>
  <si>
    <t>This screen faked a save with a setTimeout before BUG-P2-003. In a sweep the regression shows as alert routing that appears configured and delivers nothing. Sweep position matters: sections 2B-2I prove this screen in isolation with its own prerequisite satisfied, whereas this case proves it in dependency order, which is the only way to catch a screen that works solely because an earlier section left data behind.</t>
  </si>
  <si>
    <t>hospital_settings where hospital_id = A → at least one row, matching what /settings/notifications renders</t>
  </si>
  <si>
    <t>TC-P2L-025</t>
  </si>
  <si>
    <t>Sweep step 25 of 50 — Radiology Modalities is configured and holds</t>
  </si>
  <si>
    <t>1) Open /settings/radiology as the Hospital A admin 2) Confirm the screen renders its own heading rather than a denial or an empty state 3) Confirm the configuration entered in the earlier sections is present and stored in radiology_modalities 4) Continue the sweep without reloading the session</t>
  </si>
  <si>
    <t>Radiology Modalities renders and radiology_modalities holds at least one Hospital A row carrying the swept configuration. The value survives the rest of the sweep unchanged.</t>
  </si>
  <si>
    <t>mock-data.json phase2.entry["/settings/radiology"] — the seeded entry block for this screen</t>
  </si>
  <si>
    <t>Modalities must exist before studies or the module shows "No studies configured" — a message that appears on the module rather than on the settings screen that caused it. Sweep position matters: sections 2B-2I prove this screen in isolation with its own prerequisite satisfied, whereas this case proves it in dependency order, which is the only way to catch a screen that works solely because an earlier section left data behind.</t>
  </si>
  <si>
    <t>radiology_modalities where hospital_id = A → at least one row, matching what /settings/radiology renders</t>
  </si>
  <si>
    <t>TC-P2L-026</t>
  </si>
  <si>
    <t>Sweep step 26 of 50 — ICD-10 Code Master is configured and holds</t>
  </si>
  <si>
    <t>1) Open /settings/icd-codes as the Hospital A admin 2) Confirm the screen renders its own heading rather than a denial or an empty state 3) Confirm the configuration entered in the earlier sections is present and stored in hospital_icd_settings 4) Continue the sweep without reloading the session</t>
  </si>
  <si>
    <t>ICD-10 Code Master renders and hospital_icd_settings holds at least one Hospital A row carrying the swept configuration. The value survives the rest of the sweep unchanged.</t>
  </si>
  <si>
    <t>mock-data.json phase2.entry["/settings/icd-codes"] — the seeded entry block for this screen</t>
  </si>
  <si>
    <t>ICD-10 coding drives insurance claims and HMIS reporting. An uncoded diagnosis is a claim the insurer can reject on a technicality. Sweep position matters: sections 2B-2I prove this screen in isolation with its own prerequisite satisfied, whereas this case proves it in dependency order, which is the only way to catch a screen that works solely because an earlier section left data behind.</t>
  </si>
  <si>
    <t>hospital_icd_settings where hospital_id = A → at least one row, matching what /settings/icd-codes renders</t>
  </si>
  <si>
    <t>TC-P2L-027</t>
  </si>
  <si>
    <t>Sweep step 27 of 50 — Consent Forms is configured and holds</t>
  </si>
  <si>
    <t>1) Open /settings/consent-forms as the Hospital A admin 2) Confirm the screen renders its own heading rather than a denial or an empty state 3) Confirm the configuration entered in the earlier sections is present and stored in consent_form_templates 4) Continue the sweep without reloading the session</t>
  </si>
  <si>
    <t>Consent Forms renders and consent_form_templates holds at least one Hospital A row carrying the swept configuration. The value survives the rest of the sweep unchanged.</t>
  </si>
  <si>
    <t>mock-data.json phase2.entry["/settings/consent-forms"] — the seeded entry block for this screen</t>
  </si>
  <si>
    <t>Consent is a legal document, not a formality. A procedure performed without the right consent template on file is indefensible in a complaint or a court. Sweep position matters: sections 2B-2I prove this screen in isolation with its own prerequisite satisfied, whereas this case proves it in dependency order, which is the only way to catch a screen that works solely because an earlier section left data behind.</t>
  </si>
  <si>
    <t>consent_form_templates where hospital_id = A → at least one row, matching what /settings/consent-forms renders</t>
  </si>
  <si>
    <t>TC-P2L-028</t>
  </si>
  <si>
    <t>Sweep step 28 of 50 — OT Checklist is configured and holds</t>
  </si>
  <si>
    <t>1) Open /settings/ot-checklist as the Hospital A admin 2) Confirm the screen renders its own heading rather than a denial or an empty state 3) Confirm the configuration entered in the earlier sections is present and stored in ot_checklist_custom_items 4) Continue the sweep without reloading the session</t>
  </si>
  <si>
    <t>OT Checklist renders and ot_checklist_custom_items holds at least one Hospital A row carrying the swept configuration. The value survives the rest of the sweep unchanged.</t>
  </si>
  <si>
    <t>mock-data.json phase2.entry["/settings/ot-checklist"] — the seeded entry block for this screen</t>
  </si>
  <si>
    <t>The WHO surgical safety checklist is a NABH requirement and the single most effective intervention against wrong-site surgery. Sweep position matters: sections 2B-2I prove this screen in isolation with its own prerequisite satisfied, whereas this case proves it in dependency order, which is the only way to catch a screen that works solely because an earlier section left data behind.</t>
  </si>
  <si>
    <t>ot_checklist_custom_items where hospital_id = A → at least one row, matching what /settings/ot-checklist renders</t>
  </si>
  <si>
    <t>TC-P2L-029</t>
  </si>
  <si>
    <t>Sweep step 29 of 50 — Clinical Protocols is configured and holds</t>
  </si>
  <si>
    <t>1) Open /settings/protocols as the Hospital A admin 2) Confirm the screen renders its own heading rather than a denial or an empty state 3) Confirm the configuration entered in the earlier sections is present and stored in clinical_protocols 4) Continue the sweep without reloading the session</t>
  </si>
  <si>
    <t>Clinical Protocols renders and clinical_protocols holds at least one Hospital A row carrying the swept configuration. The value survives the rest of the sweep unchanged.</t>
  </si>
  <si>
    <t>mock-data.json phase2.entry["/settings/protocols"] — the seeded entry block for this screen</t>
  </si>
  <si>
    <t>This screen wrote nothing before BUG-P2-005. A protocol that appears saved and is not stored means clinicians follow rules the system never recorded. Sweep position matters: sections 2B-2I prove this screen in isolation with its own prerequisite satisfied, whereas this case proves it in dependency order, which is the only way to catch a screen that works solely because an earlier section left data behind.</t>
  </si>
  <si>
    <t>clinical_protocols where hospital_id = A → at least one row, matching what /settings/protocols renders</t>
  </si>
  <si>
    <t>TC-P2L-030</t>
  </si>
  <si>
    <t>Sweep step 30 of 50 — Alert Thresholds is configured and holds</t>
  </si>
  <si>
    <t>1) Open /settings/clinical-thresholds as the Hospital A admin 2) Confirm the screen renders its own heading rather than a denial or an empty state 3) Confirm the configuration entered in the earlier sections is present and stored in hospital_settings 4) Continue the sweep without reloading the session</t>
  </si>
  <si>
    <t>Alert Thresholds renders and hospital_settings holds at least one Hospital A row carrying the swept configuration. The value survives the rest of the sweep unchanged.</t>
  </si>
  <si>
    <t>mock-data.json phase2.entry["/settings/clinical-thresholds"] — the seeded entry block for this screen</t>
  </si>
  <si>
    <t>Thresholds decide when a deteriorating patient triggers an alert. Set wrong or not at all, the alert either never fires or fires so often that staff stop reading it. Sweep position matters: sections 2B-2I prove this screen in isolation with its own prerequisite satisfied, whereas this case proves it in dependency order, which is the only way to catch a screen that works solely because an earlier section left data behind.</t>
  </si>
  <si>
    <t>hospital_settings where hospital_id = A → at least one row, matching what /settings/clinical-thresholds renders</t>
  </si>
  <si>
    <t>TC-P2L-031</t>
  </si>
  <si>
    <t>Sweep step 31 of 50 — Day Care Procedures is configured and holds</t>
  </si>
  <si>
    <t>1) Open /settings/day-care-procedures as the Hospital A admin 2) Confirm the screen renders its own heading rather than a denial or an empty state 3) Confirm the configuration entered in the earlier sections is present and stored in day_care_procedures 4) Continue the sweep without reloading the session</t>
  </si>
  <si>
    <t>Day Care Procedures renders and day_care_procedures holds at least one Hospital A row carrying the swept configuration. The value survives the rest of the sweep unchanged.</t>
  </si>
  <si>
    <t>mock-data.json phase2.entry["/settings/day-care-procedures"] — the seeded entry block for this screen</t>
  </si>
  <si>
    <t>Without these the day-care picker is empty, so a same-day case cannot be booked against anything billable — the procedure is performed and nothing is charged. Sweep position matters: sections 2B-2I prove this screen in isolation with its own prerequisite satisfied, whereas this case proves it in dependency order, which is the only way to catch a screen that works solely because an earlier section left data behind.</t>
  </si>
  <si>
    <t>day_care_procedures where hospital_id = A → at least one row, matching what /settings/day-care-procedures renders</t>
  </si>
  <si>
    <t>TC-P2L-032</t>
  </si>
  <si>
    <t>Sweep step 32 of 50 — EMR Templates is configured and holds</t>
  </si>
  <si>
    <t>1) Open /settings/templates as the Hospital A admin 2) Confirm the screen renders its own heading rather than a denial or an empty state 3) Confirm the configuration entered in the earlier sections is present and stored in emr_template_definitions 4) Continue the sweep without reloading the session</t>
  </si>
  <si>
    <t>EMR Templates renders and emr_template_definitions holds at least one Hospital A row carrying the swept configuration. The value survives the rest of the sweep unchanged.</t>
  </si>
  <si>
    <t>mock-data.json phase2.entry["/settings/templates"] — the seeded entry block for this screen</t>
  </si>
  <si>
    <t>Templates are what make consultation notes consistent enough to audit. Free-text-only notes cannot be reported on or reviewed at scale. Sweep position matters: sections 2B-2I prove this screen in isolation with its own prerequisite satisfied, whereas this case proves it in dependency order, which is the only way to catch a screen that works solely because an earlier section left data behind.</t>
  </si>
  <si>
    <t>emr_template_definitions where hospital_id = A → at least one row, matching what /settings/templates renders</t>
  </si>
  <si>
    <t>TC-P2L-033</t>
  </si>
  <si>
    <t>Sweep step 33 of 50 — OPD Queue Config is configured and holds</t>
  </si>
  <si>
    <t>1) Open /settings/opd-workflow as the Hospital A admin 2) Confirm the screen renders its own heading rather than a denial or an empty state 3) Confirm the configuration entered in the earlier sections is present and stored in hospital_settings 4) Continue the sweep without reloading the session</t>
  </si>
  <si>
    <t>OPD Queue Config renders and hospital_settings holds at least one Hospital A row carrying the swept configuration. The value survives the rest of the sweep unchanged.</t>
  </si>
  <si>
    <t>mock-data.json phase2.entry["/settings/opd-workflow"] — the seeded entry block for this screen</t>
  </si>
  <si>
    <t>Token prefix and series must match the hospital’s paper register from day one, or the two records diverge immediately and permanently. Sweep position matters: sections 2B-2I prove this screen in isolation with its own prerequisite satisfied, whereas this case proves it in dependency order, which is the only way to catch a screen that works solely because an earlier section left data behind.</t>
  </si>
  <si>
    <t>hospital_settings where hospital_id = A → at least one row, matching what /settings/opd-workflow renders</t>
  </si>
  <si>
    <t>TC-P2L-034</t>
  </si>
  <si>
    <t>Sweep step 34 of 50 — Discharge Workflow is configured and holds</t>
  </si>
  <si>
    <t>1) Open /settings/discharge-workflow as the Hospital A admin 2) Confirm the screen renders its own heading rather than a denial or an empty state 3) Confirm the configuration entered in the earlier sections is present and stored in hospitals 4) Continue the sweep without reloading the session</t>
  </si>
  <si>
    <t>Discharge Workflow renders and hospitals holds at least one Hospital A row carrying the swept configuration. The value survives the rest of the sweep unchanged.</t>
  </si>
  <si>
    <t>mock-data.json phase2.entry["/settings/discharge-workflow"] — the seeded entry block for this screen</t>
  </si>
  <si>
    <t>Unconfigured, the default clearance list applies. The hospital believes its own steps are in force and patients are discharged without checks it thought it required. Sweep position matters: sections 2B-2I prove this screen in isolation with its own prerequisite satisfied, whereas this case proves it in dependency order, which is the only way to catch a screen that works solely because an earlier section left data behind.</t>
  </si>
  <si>
    <t>hospitals where hospital_id = A → at least one row, matching what /settings/discharge-workflow renders</t>
  </si>
  <si>
    <t>TC-P2L-035</t>
  </si>
  <si>
    <t>Sweep step 35 of 50 — IPD Ancillary Payment is configured and holds</t>
  </si>
  <si>
    <t>1) Open /settings/ipd-ancillary-payment as the Hospital A admin 2) Confirm the screen renders its own heading rather than a denial or an empty state 3) Confirm the configuration entered in the earlier sections is present and stored in hospital_settings 4) Continue the sweep without reloading the session</t>
  </si>
  <si>
    <t>IPD Ancillary Payment renders and hospital_settings holds at least one Hospital A row carrying the swept configuration. The value survives the rest of the sweep unchanged.</t>
  </si>
  <si>
    <t>mock-data.json phase2.entry["/settings/ipd-ancillary-payment"] — the seeded entry block for this screen</t>
  </si>
  <si>
    <t>This decides whether an inpatient pays for a lab test at the counter or on the final bill. Getting it wrong means either double payment or a charge that never reaches the bill. Sweep position matters: sections 2B-2I prove this screen in isolation with its own prerequisite satisfied, whereas this case proves it in dependency order, which is the only way to catch a screen that works solely because an earlier section left data behind.</t>
  </si>
  <si>
    <t>hospital_settings where hospital_id = A → at least one row, matching what /settings/ipd-ancillary-payment renders</t>
  </si>
  <si>
    <t>TC-P2L-036</t>
  </si>
  <si>
    <t>Sweep step 36 of 50 — WhatsApp Bot is configured and holds</t>
  </si>
  <si>
    <t>1) Open /settings/whatsapp as the Hospital A admin 2) Confirm the screen renders its own heading rather than a denial or an empty state 3) Confirm the configuration entered in the earlier sections is present and stored in whatsapp_templates 4) Continue the sweep without reloading the session</t>
  </si>
  <si>
    <t>WhatsApp Bot renders and whatsapp_templates holds at least one Hospital A row carrying the swept configuration. The value survives the rest of the sweep unchanged.</t>
  </si>
  <si>
    <t>mock-data.json phase2.entry["/settings/whatsapp"] — the seeded entry block for this screen</t>
  </si>
  <si>
    <t>With no templates, ALL notifications silently no-op — nothing fails and nothing sends. A hospital relying on reminders discovers it through empty clinics weeks later. Sweep position matters: sections 2B-2I prove this screen in isolation with its own prerequisite satisfied, whereas this case proves it in dependency order, which is the only way to catch a screen that works solely because an earlier section left data behind.</t>
  </si>
  <si>
    <t>whatsapp_templates where hospital_id = A → at least one row, matching what /settings/whatsapp renders</t>
  </si>
  <si>
    <t>TC-P2L-037</t>
  </si>
  <si>
    <t>Sweep step 37 of 50 — Scheduled Reports is configured and holds</t>
  </si>
  <si>
    <t>1) Open /settings/report-schedules as the Hospital A admin 2) Confirm the screen renders its own heading rather than a denial or an empty state 3) Confirm the configuration entered in the earlier sections is present and stored in report_schedules 4) Continue the sweep without reloading the session</t>
  </si>
  <si>
    <t>Scheduled Reports renders and report_schedules holds at least one Hospital A row carrying the swept configuration. The value survives the rest of the sweep unchanged.</t>
  </si>
  <si>
    <t>mock-data.json phase2.entry["/settings/report-schedules"] — the seeded entry block for this screen</t>
  </si>
  <si>
    <t>Scheduled reports are how management sees the hospital at all. Without them the daily revenue and census numbers reach nobody. Sweep position matters: sections 2B-2I prove this screen in isolation with its own prerequisite satisfied, whereas this case proves it in dependency order, which is the only way to catch a screen that works solely because an earlier section left data behind.</t>
  </si>
  <si>
    <t>report_schedules where hospital_id = A → at least one row, matching what /settings/report-schedules renders</t>
  </si>
  <si>
    <t>TC-P2L-038</t>
  </si>
  <si>
    <t>Sweep step 38 of 50 — TV Queue Display is configured and holds</t>
  </si>
  <si>
    <t>1) Open /settings/tv-display as the Hospital A admin 2) Confirm the screen renders its own heading rather than a denial or an empty state 3) Confirm the configuration entered in the earlier sections is present and stored in tv_display_settings 4) Continue the sweep without reloading the session</t>
  </si>
  <si>
    <t>TV Queue Display renders and tv_display_settings holds at least one Hospital A row carrying the swept configuration. The value survives the rest of the sweep unchanged.</t>
  </si>
  <si>
    <t>mock-data.json phase2.entry["/settings/tv-display"] — the seeded entry block for this screen</t>
  </si>
  <si>
    <t>The waiting-room display is the patient-facing face of the queue. An unconfigured screen means patients crowd the consultation door because they cannot see their token. Sweep position matters: sections 2B-2I prove this screen in isolation with its own prerequisite satisfied, whereas this case proves it in dependency order, which is the only way to catch a screen that works solely because an earlier section left data behind.</t>
  </si>
  <si>
    <t>tv_display_settings where hospital_id = A → at least one row, matching what /settings/tv-display renders</t>
  </si>
  <si>
    <t>TC-P2L-039</t>
  </si>
  <si>
    <t>Sweep step 39 of 50 — Store Locations is configured and holds</t>
  </si>
  <si>
    <t>1) Open /settings/inventory as the Hospital A admin 2) Confirm the screen renders its own heading rather than a denial or an empty state 3) Confirm the configuration entered in the earlier sections is present and stored in store_locations 4) Continue the sweep without reloading the session</t>
  </si>
  <si>
    <t>Store Locations renders and store_locations holds at least one Hospital A row carrying the swept configuration. The value survives the rest of the sweep unchanged.</t>
  </si>
  <si>
    <t>mock-data.json phase2.entry["/settings/inventory"] — the seeded entry block for this screen</t>
  </si>
  <si>
    <t>Without stores there are no transfers — ward stock cannot be issued from the central store and every indent falls back to paper. Sweep position matters: sections 2B-2I prove this screen in isolation with its own prerequisite satisfied, whereas this case proves it in dependency order, which is the only way to catch a screen that works solely because an earlier section left data behind.</t>
  </si>
  <si>
    <t>store_locations where hospital_id = A → at least one row, matching what /settings/inventory renders</t>
  </si>
  <si>
    <t>TC-P2L-040</t>
  </si>
  <si>
    <t>Sweep step 40 of 50 — Integrations Console is configured and holds</t>
  </si>
  <si>
    <t>1) Open /settings/integrations as the Hospital A admin 2) Confirm the screen renders its own heading rather than a denial or an empty state 3) Confirm the configuration entered in the earlier sections is present and stored in lab_device_connectors 4) Continue the sweep without reloading the session</t>
  </si>
  <si>
    <t>Integrations Console renders and lab_device_connectors holds at least one Hospital A row carrying the swept configuration. The value survives the rest of the sweep unchanged.</t>
  </si>
  <si>
    <t>mock-data.json phase2.entry["/settings/integrations"] — the seeded entry block for this screen</t>
  </si>
  <si>
    <t>Analyser connectors are what stop a technician retyping results. Manual transcription of a potassium value is exactly where a fatal typo enters the record. Sweep position matters: sections 2B-2I prove this screen in isolation with its own prerequisite satisfied, whereas this case proves it in dependency order, which is the only way to catch a screen that works solely because an earlier section left data behind.</t>
  </si>
  <si>
    <t>lab_device_connectors where hospital_id = A → at least one row, matching what /settings/integrations renders</t>
  </si>
  <si>
    <t>TC-P2L-041</t>
  </si>
  <si>
    <t>Sweep step 41 of 50 — HL7 / FHIR Integration is configured and holds</t>
  </si>
  <si>
    <t>1) Open /settings/hl7 as the Hospital A admin 2) Confirm the screen renders its own heading rather than a denial or an empty state 3) Confirm the configuration entered in the earlier sections is present and stored in config_values 4) Continue the sweep without reloading the session</t>
  </si>
  <si>
    <t>HL7 / FHIR Integration renders and config_values holds at least one Hospital A row carrying the swept configuration. The value survives the rest of the sweep unchanged.</t>
  </si>
  <si>
    <t>mock-data.json phase2.entry["/settings/hl7"] — the seeded entry block for this screen</t>
  </si>
  <si>
    <t xml:space="preserve">Automated: FAILED.
Error: Sweep step 41 (HL7 / FHIR Integration) rendered an essentially blank page at /settings/hl.
expect(received).toBeGreaterThan(expected)
Expected: &gt; 120
Received:   41</t>
  </si>
  <si>
    <t>404 Error: User attempted to access non-existent route: /settings/hl</t>
  </si>
  <si>
    <t>HL7 is how the hospital exchanges data with equipment and external systems. Misconfigured, messages are accepted and dropped without any visible error. Sweep position matters: sections 2B-2I prove this screen in isolation with its own prerequisite satisfied, whereas this case proves it in dependency order, which is the only way to catch a screen that works solely because an earlier section left data behind.</t>
  </si>
  <si>
    <t>config_values where hospital_id = A → at least one row, matching what /settings/hl7 renders</t>
  </si>
  <si>
    <t>TC-P2L-042</t>
  </si>
  <si>
    <t>Sweep step 42 of 50 — ABDM / ABHA is configured and holds</t>
  </si>
  <si>
    <t>1) Open /settings/abdm as the Hospital A admin 2) Confirm the screen renders its own heading rather than a denial or an empty state 3) Confirm the configuration entered in the earlier sections is present and stored in hospital_abdm_config 4) Continue the sweep without reloading the session</t>
  </si>
  <si>
    <t>ABDM / ABHA renders and hospital_abdm_config holds at least one Hospital A row carrying the swept configuration. The value survives the rest of the sweep unchanged.</t>
  </si>
  <si>
    <t>mock-data.json phase2.entry["/settings/abdm"] — the seeded entry block for this screen</t>
  </si>
  <si>
    <t>Without ABDM configuration the edge functions fail QUIETLY. ABHA linkage appears to work, nothing reaches the national exchange, and the hospital believes it is compliant. Sweep position matters: sections 2B-2I prove this screen in isolation with its own prerequisite satisfied, whereas this case proves it in dependency order, which is the only way to catch a screen that works solely because an earlier section left data behind.</t>
  </si>
  <si>
    <t>hospital_abdm_config where hospital_id = A → at least one row, matching what /settings/abdm renders</t>
  </si>
  <si>
    <t>TC-P2L-043</t>
  </si>
  <si>
    <t>Sweep step 43 of 50 — HMIS / IHIP Portal is configured and holds</t>
  </si>
  <si>
    <t>1) Open /settings/hmis-portal as the Hospital A admin 2) Confirm the screen renders its own heading rather than a denial or an empty state 3) Confirm the configuration entered in the earlier sections is present and stored in api_configurations 4) Continue the sweep without reloading the session</t>
  </si>
  <si>
    <t>HMIS / IHIP Portal renders and api_configurations holds at least one Hospital A row carrying the swept configuration. The value survives the rest of the sweep unchanged.</t>
  </si>
  <si>
    <t>mock-data.json phase2.entry["/settings/hmis-portal"] — the seeded entry block for this screen</t>
  </si>
  <si>
    <t>HMIS and IHIP reporting is a statutory obligation for Indian hospitals. Missed submissions are a compliance failure regardless of clinical performance. Sweep position matters: sections 2B-2I prove this screen in isolation with its own prerequisite satisfied, whereas this case proves it in dependency order, which is the only way to catch a screen that works solely because an earlier section left data behind.</t>
  </si>
  <si>
    <t>api_configurations where hospital_id = A → at least one row, matching what /settings/hmis-portal renders</t>
  </si>
  <si>
    <t>TC-P2L-044</t>
  </si>
  <si>
    <t>Sweep step 44 of 50 — API Keys is configured and holds</t>
  </si>
  <si>
    <t>1) Open /settings/api-keys as the Hospital A admin 2) Confirm the screen renders its own heading rather than a denial or an empty state 3) Confirm the configuration entered in the earlier sections is present and stored in api_keys 4) Continue the sweep without reloading the session</t>
  </si>
  <si>
    <t>API Keys renders and api_keys holds at least one Hospital A row carrying the swept configuration. The value survives the rest of the sweep unchanged.</t>
  </si>
  <si>
    <t>mock-data.json phase2.entry["/settings/api-keys"] — the seeded entry block for this screen</t>
  </si>
  <si>
    <t>API keys are credentials. Sweeping them proves they are created scoped to this tenant and are not visible to any other hospital on the platform. Sweep position matters: sections 2B-2I prove this screen in isolation with its own prerequisite satisfied, whereas this case proves it in dependency order, which is the only way to catch a screen that works solely because an earlier section left data behind.</t>
  </si>
  <si>
    <t>api_keys where hospital_id = A → at least one row, matching what /settings/api-keys renders</t>
  </si>
  <si>
    <t>TC-P2L-045</t>
  </si>
  <si>
    <t>Sweep step 45 of 50 — API Portal is configured and holds</t>
  </si>
  <si>
    <t>1) Open /settings/api-portal as the Hospital A admin 2) Confirm the screen renders its own heading rather than a denial or an empty state 3) Confirm the configuration entered in the earlier sections is present and stored in webhook_endpoints 4) Continue the sweep without reloading the session</t>
  </si>
  <si>
    <t>API Portal renders and webhook_endpoints holds at least one Hospital A row carrying the swept configuration. The value survives the rest of the sweep unchanged.</t>
  </si>
  <si>
    <t>mock-data.json phase2.entry["/settings/api-portal"] — the seeded entry block for this screen</t>
  </si>
  <si>
    <t>Webhooks push patient data outward. An endpoint on plain http:// sends clinical information across the network in the clear. Sweep position matters: sections 2B-2I prove this screen in isolation with its own prerequisite satisfied, whereas this case proves it in dependency order, which is the only way to catch a screen that works solely because an earlier section left data behind.</t>
  </si>
  <si>
    <t>webhook_endpoints where hospital_id = A → at least one row, matching what /settings/api-portal renders</t>
  </si>
  <si>
    <t>TC-P2L-046</t>
  </si>
  <si>
    <t>Sweep step 46 of 50 — Integration Keys is configured and holds</t>
  </si>
  <si>
    <t>1) Open /settings/api-hub as the Hospital A admin 2) Confirm the screen renders its own heading rather than a denial or an empty state 3) Confirm the configuration entered in the earlier sections is present and stored in api_configurations 4) Continue the sweep without reloading the session</t>
  </si>
  <si>
    <t>Integration Keys renders and api_configurations holds at least one Hospital A row carrying the swept configuration. The value survives the rest of the sweep unchanged.</t>
  </si>
  <si>
    <t>mock-data.json phase2.entry["/settings/api-hub"] — the seeded entry block for this screen</t>
  </si>
  <si>
    <t>The hub is where third-party credentials are held. A key stored against the wrong tenant would let one hospital spend another hospital’s integration quota. Sweep position matters: sections 2B-2I prove this screen in isolation with its own prerequisite satisfied, whereas this case proves it in dependency order, which is the only way to catch a screen that works solely because an earlier section left data behind.</t>
  </si>
  <si>
    <t>api_configurations where hospital_id = A → at least one row, matching what /settings/api-hub renders</t>
  </si>
  <si>
    <t>TC-P2L-047</t>
  </si>
  <si>
    <t>Sweep step 47 of 50 — AI Language Packs is configured and holds</t>
  </si>
  <si>
    <t>1) Open /settings/ai-languages as the Hospital A admin 2) Confirm the screen renders its own heading rather than a denial or an empty state 3) Confirm the configuration entered in the earlier sections is present and stored in ai_language_settings 4) Continue the sweep without reloading the session</t>
  </si>
  <si>
    <t>AI Language Packs renders and ai_language_settings holds at least one Hospital A row carrying the swept configuration. The value survives the rest of the sweep unchanged.</t>
  </si>
  <si>
    <t>mock-data.json phase2.entry["/settings/ai-languages"] — the seeded entry block for this screen</t>
  </si>
  <si>
    <t>Unconfigured, AI output defaults to English only. A discharge summary in English for a patient who reads Telugu is a document they cannot use. Sweep position matters: sections 2B-2I prove this screen in isolation with its own prerequisite satisfied, whereas this case proves it in dependency order, which is the only way to catch a screen that works solely because an earlier section left data behind.</t>
  </si>
  <si>
    <t>ai_language_settings where hospital_id = A → at least one row, matching what /settings/ai-languages renders</t>
  </si>
  <si>
    <t>TC-P2L-048</t>
  </si>
  <si>
    <t>Sweep step 48 of 50 — Backup &amp; Export is configured and holds</t>
  </si>
  <si>
    <t>1) Open /settings/backup as the Hospital A admin 2) Confirm the screen renders its own heading rather than a denial or an empty state 3) Read the state the sweep has produced so far 4) Continue the sweep without reloading the session</t>
  </si>
  <si>
    <t>Backup &amp; Export renders and reflects the tenant’s current state. It writes nothing, so nothing is asserted in the database beyond what earlier steps of the sweep stored.</t>
  </si>
  <si>
    <t>mock-data.json phase2.entry["/settings/backup"] — the seeded entry block for this screen</t>
  </si>
  <si>
    <t>Read-only, but it is the last line of defence. A hospital that has never confirmed its backup position discovers the gap only when it needs a restore. Sweep position matters: sections 2B-2I prove this screen in isolation with its own prerequisite satisfied, whereas this case proves it in dependency order, which is the only way to catch a screen that works solely because an earlier section left data behind.</t>
  </si>
  <si>
    <t>TC-P2L-049</t>
  </si>
  <si>
    <t>Sweep step 49 of 50 — Record Retention is configured and holds</t>
  </si>
  <si>
    <t>1) Open /settings/record-retention as the Hospital A admin 2) Confirm the screen renders its own heading rather than a denial or an empty state 3) Confirm the configuration entered in the earlier sections is present and stored in record_retention_policies 4) Continue the sweep without reloading the session</t>
  </si>
  <si>
    <t>Record Retention renders and record_retention_policies holds at least one Hospital A row carrying the swept configuration. The value survives the rest of the sweep unchanged.</t>
  </si>
  <si>
    <t>mock-data.json phase2.entry["/settings/record-retention"] — the seeded entry block for this screen</t>
  </si>
  <si>
    <t xml:space="preserve">Automated: FAILED.
Error: Sweep step 49 (Record Retention) rendered no heading at /settings/record-retention.
expect(locator).toBeVisible() failed
Locator: getByRole('heading').first()
Expected: visible
Timeout: 10000ms
Error: element(s) not found
Call log:
  - Sweep step 49 (Record Retention) rendered no heading at /settings/record-retention. with timeout 10000ms
  - waiting for getByRole('heading').first()</t>
  </si>
  <si>
    <t>Retention periods are a legal requirement under the DPDP Act 2023 and MRD rules. Deleting a record too early and keeping one too long are both violations. Sweep position matters: sections 2B-2I prove this screen in isolation with its own prerequisite satisfied, whereas this case proves it in dependency order, which is the only way to catch a screen that works solely because an earlier section left data behind.</t>
  </si>
  <si>
    <t>record_retention_policies where hospital_id = A → at least one row, matching what /settings/record-retention renders</t>
  </si>
  <si>
    <t>TC-P2L-050</t>
  </si>
  <si>
    <t>Sweep step 50 of 50 — Config Change Log is configured and holds</t>
  </si>
  <si>
    <t>1) Open /settings/change-log as the Hospital A admin 2) Confirm the screen renders its own heading rather than a denial or an empty state 3) Read the state the sweep has produced so far 4) Continue the sweep without reloading the session</t>
  </si>
  <si>
    <t>Config Change Log renders and reflects the tenant’s current state. It writes nothing, so nothing is asserted in the database beyond what earlier steps of the sweep stored.</t>
  </si>
  <si>
    <t>mock-data.json phase2.entry["/settings/change-log"] — the seeded entry block for this screen</t>
  </si>
  <si>
    <t>Read-only, and the sweep’s own audit trail. Every change made in this pass should be attributable to a named user afterwards, which is what NABH and DPDP both ask for. Sweep position matters: sections 2B-2I prove this screen in isolation with its own prerequisite satisfied, whereas this case proves it in dependency order, which is the only way to catch a screen that works solely because an earlier section left data behind.</t>
  </si>
  <si>
    <t>TC-P2L-051</t>
  </si>
  <si>
    <t>Every writing settings screen has left at least one row in its target table</t>
  </si>
  <si>
    <t>1) Complete the fifty-step sweep 2) For each writing screen count the Hospital A rows in its target table — select from departments, from wards, from service_master, from drug_master and from every other target 3) List any table that is still empty</t>
  </si>
  <si>
    <t>No writing screen has an empty target table. Every one of the forty-six writing screens has persisted something for Hospital A.</t>
  </si>
  <si>
    <t>src/lib/settingsCatalog.ts — the fifty screens and their target tables</t>
  </si>
  <si>
    <t>This is the check that would have caught all four write-nothing screens in a single run. A screen that toasts "saved" and stores nothing looks identical to a working one until someone reads the table, and this case reads all forty-six at once.</t>
  </si>
  <si>
    <t>One count per writing target table where hospital_id = A → every count is greater than zero</t>
  </si>
  <si>
    <t>TC-P2L-052</t>
  </si>
  <si>
    <t>The Settings hub shows no screen still sitting in its unconfigured empty state</t>
  </si>
  <si>
    <t>1) Complete the sweep 2) Open /settings 3) Read every card and any status the hub renders 4) Look for cards still marked unconfigured or not set up</t>
  </si>
  <si>
    <t>The hub renders all fifty-two cards and none is flagged as unconfigured. The tenant reads as commissioned from the hub alone.</t>
  </si>
  <si>
    <t>src/lib/settingsCatalog.ts — fifty routes across fifty-two cards, two of which are aliases</t>
  </si>
  <si>
    <t>The hub is the first screen a hospital administrator opens after go-live. If it still shows work outstanding after a complete sweep, either the sweep missed something or the hub is lying about the tenant’s state — and both are worth knowing before Phase 3.</t>
  </si>
  <si>
    <t>None — this asserts the rendered hub, which is exactly the surface the assertion is about.</t>
  </si>
  <si>
    <t>TC-P2L-053</t>
  </si>
  <si>
    <t>The full sweep produces no console error on any of the fifty screens</t>
  </si>
  <si>
    <t>1) Re-visit all fifty /settings/* routes with console capture on 2) Collect every console error and page error raised 3) List them by route</t>
  </si>
  <si>
    <t>Zero console errors across all fifty screens. Any error is attached to the tracker row with its route and verbatim text.</t>
  </si>
  <si>
    <t>mock-data.json phase2.entry — the full fifty-screen entry set</t>
  </si>
  <si>
    <t>A console error is how a silent failure announces itself when nothing on screen does. This product falls back rather than warning, so the console is frequently the only visible evidence that a save did not reach the database.</t>
  </si>
  <si>
    <t>None — console output is captured by the consoleErrors fixture and attached to the tracker row.</t>
  </si>
  <si>
    <t>TC-P2L-054</t>
  </si>
  <si>
    <t>Every swept value survives a full session restart</t>
  </si>
  <si>
    <t>1) Complete the sweep 2) Log out and clear session and local storage 3) Log back in as the Hospital A admin 4) Re-open /settings and each writing screen, then re-count every target table from departments through hospital_settings</t>
  </si>
  <si>
    <t>Every value is still present after the restart. Nothing was held only in React state or in browser storage.</t>
  </si>
  <si>
    <t>All four write-nothing screens looked correct until the page was reloaded, because the value lived in component state. A restart is the cheapest test that distinguishes a real save from a convincing one, and it is the one a hospital performs unintentionally every morning.</t>
  </si>
  <si>
    <t>Every writing target table where hospital_id = A → the swept rows are still present after re-authentication</t>
  </si>
  <si>
    <t>TC-P2L-055</t>
  </si>
  <si>
    <t>Phase 3 readiness gate — every SETTINGS_PREREQ_MATRIX must-have is satisfied</t>
  </si>
  <si>
    <t>1) Complete the sweep and sections 2A-2K 2) Re-check each prerequisite named in docs/qa/SETTINGS_PREREQ_MATRIX.md against the database 3) List any that is still unmet 4) Declare the phase gate</t>
  </si>
  <si>
    <t>Every prerequisite in the matrix is satisfied for Hospital A. The tenant is fully configured, so any failure from Phase 3 onward is a real defect and not a configuration gap.</t>
  </si>
  <si>
    <t>docs/qa/SETTINGS_PREREQ_MATRIX.md — the full prerequisite list, and the seeded Hospital A data behind it</t>
  </si>
  <si>
    <t>OPD, Lab, Radiology, Pharmacy, IPD, Billing, Insurance, AI</t>
  </si>
  <si>
    <t>This is the boundary the whole phase exists to draw. Without it a tester spends the first day of Phase 3 logging configuration gaps as product bugs, and the real defects are lost in that noise. With it, the next phase starts from a known-good tenant.</t>
  </si>
  <si>
    <t>A count per prerequisite table where hospital_id = A, plus the hospital row’s own configured columns → every one satisfied</t>
  </si>
  <si>
    <t>TC-P3A-001</t>
  </si>
  <si>
    <t>3A Registration</t>
  </si>
  <si>
    <t>Patient Registry screen loads and lists the seeded patients</t>
  </si>
  <si>
    <t>1) Log in as hospital_admin (Hospital A) 2) Open /patients 3) Wait for the table to load</t>
  </si>
  <si>
    <t>The Patient Registry table renders with a row per active seeded patient, header shows the total count badge, and no console errors are thrown.</t>
  </si>
  <si>
    <t>Tier 0 complete; qa:seed run</t>
  </si>
  <si>
    <t>If the registry does not load, every downstream module (OPD, Lab, Billing) has no patient to attach work to.</t>
  </si>
  <si>
    <t>e2e/phase-03-patient-records/P3A.registration.spec.ts</t>
  </si>
  <si>
    <t>TC-P3A-002</t>
  </si>
  <si>
    <t>Register New Patient opens an empty form</t>
  </si>
  <si>
    <t>1) Open /patients 2) Click "Register New Patient"</t>
  </si>
  <si>
    <t>A modal titled "Register New Patient" opens with Full Name, Phone and every other field blank, and the Register Patient button disabled (DPDP consent unticked).</t>
  </si>
  <si>
    <t>A form pre-filled from a previous session would silently attach the wrong details to a new UHID.</t>
  </si>
  <si>
    <t>TC-P3A-003</t>
  </si>
  <si>
    <t>Full-detail registration saves and issues a sequential UHID</t>
  </si>
  <si>
    <t>1) Open /patients 2) Click "Register New Patient" 3) Fill Full Name, Phone, DOB, Gender, Blood Group, Address, Allergies, Chronic Conditions, Insurance ID, Emergency Contact Name/Phone from phase3.registration.full 4) Tick the DPDP consent checkbox 5) Click "Register Patient"</t>
  </si>
  <si>
    <t>A success toast shows the new UHID; the patient appears in the registry with every entered field intact.</t>
  </si>
  <si>
    <t>phase3.registration.full — Kavya Prasad</t>
  </si>
  <si>
    <t>Tier 0 complete</t>
  </si>
  <si>
    <t>This is the golden-path registration every other module (OPD token, lab order, bill) depends on existing correctly.</t>
  </si>
  <si>
    <t>patients where hospital_id = A and full_name = 'Kavya Prasad' and phone = '9876555001' → uhid not null</t>
  </si>
  <si>
    <t>TC-P3A-004</t>
  </si>
  <si>
    <t>UHID follows the hospital's configured prefix and date format</t>
  </si>
  <si>
    <t>1) Note hospitals.uhid_prefix and uhid_date_format for Hospital A in Supabase 2) Register phase3.registration.full as in TC-P3A-003 3) Read the returned UHID Route: /patients</t>
  </si>
  <si>
    <t>The UHID matches `&lt;uhid_prefix&gt;-&lt;YYYYMMDD or YYYY or nothing per uhid_date_format&gt;-&lt;4-digit sequence&gt;`, generated by the next_seq RPC — never a hardcoded "UHID-" prefix.</t>
  </si>
  <si>
    <t>phase3.registration.full</t>
  </si>
  <si>
    <t>Hospital Profile UHID format configured (Phase 2)</t>
  </si>
  <si>
    <t>A hospital that customised its UHID prefix in Settings must see that prefix on every new registration, not a generic default that breaks their existing paper-record cross-reference.</t>
  </si>
  <si>
    <t>patients where hospital_id = A and full_name = 'Kavya Prasad' → uhid format</t>
  </si>
  <si>
    <t>TC-P3A-005</t>
  </si>
  <si>
    <t>Two same-day registrations receive consecutive UHID sequence numbers</t>
  </si>
  <si>
    <t>1) Register phase3.registration.full 2) Immediately register phase3.registration.sameDaySecond 3) Compare the two returned UHIDs Route: /patients</t>
  </si>
  <si>
    <t>The second UHID's 4-digit sequence is exactly one greater than the first's, proving the sequence is atomic (next_seq RPC) and not two clients racing a client-side counter.</t>
  </si>
  <si>
    <t>phase3.registration.full, phase3.registration.sameDaySecond</t>
  </si>
  <si>
    <t>Two patients issued the same UHID on a busy morning is a data-integrity incident — every subsequent record for both people merges into one chart.</t>
  </si>
  <si>
    <t>patients where hospital_id = A and full_name in ('Kavya Prasad','Meena Prasad') → uhid sequence consecutive</t>
  </si>
  <si>
    <t>TC-P3A-006</t>
  </si>
  <si>
    <t>DPDP consent text is shown before submission</t>
  </si>
  <si>
    <t>1) Open /patients 2) Click "Register New Patient" 3) Scroll to the bottom of the form</t>
  </si>
  <si>
    <t>A DPDP Act 2023 consent statement is displayed next to the checkbox, naming the hospital and the purpose of data collection (getDPDPConsentText()).</t>
  </si>
  <si>
    <t>Hospital Profile name configured</t>
  </si>
  <si>
    <t>Collecting PHI without a shown consent purpose violates the DPDP Act 2023 purpose-limitation requirement.</t>
  </si>
  <si>
    <t>TC-P3A-007</t>
  </si>
  <si>
    <t>Register Patient is disabled until DPDP consent is checked</t>
  </si>
  <si>
    <t>1) Open /patients 2) Click "Register New Patient" 3) Fill Full Name only, leave the DPDP checkbox unticked 4) Inspect the Register Patient button</t>
  </si>
  <si>
    <t>The Register Patient button stays disabled while the DPDP checkbox is unticked, so no patient can be saved without recorded consent.</t>
  </si>
  <si>
    <t>phase3.registration.full.fullName</t>
  </si>
  <si>
    <t>A patient saved without DPDP consent is a compliance breach that cannot be fixed retroactively — the button gate is the only enforcement point.</t>
  </si>
  <si>
    <t>patients where hospital_id = A and full_name = 'Kavya Prasad' → no row created while unticked</t>
  </si>
  <si>
    <t>TC-P3A-008</t>
  </si>
  <si>
    <t>A patient cannot be saved without a name</t>
  </si>
  <si>
    <t>1) Open "Register New Patient" 2) Leave Full Name blank, fill Phone only 3) Tick DPDP consent 4) Click Register Patient Route: /patients</t>
  </si>
  <si>
    <t>A "Name must be at least 2 characters" field error is shown and no patient row is created.</t>
  </si>
  <si>
    <t>An unnamed patient is unfindable at every later touch-point — OPD token, lab order, bill — none of which can be raised against a blank name.</t>
  </si>
  <si>
    <t>patients where hospital_id = A and full_name is null or empty → no new row</t>
  </si>
  <si>
    <t>TC-P3A-009</t>
  </si>
  <si>
    <t>A single-character name is rejected</t>
  </si>
  <si>
    <t>1) Open "Register New Patient" 2) Type "A" into Full Name 3) Tick DPDP consent 4) Click Register Patient Route: /patients</t>
  </si>
  <si>
    <t>The same "Name must be at least 2 characters" error blocks the save.</t>
  </si>
  <si>
    <t>phase3.registration.invalid.shortName</t>
  </si>
  <si>
    <t>A one-character name is almost always a data-entry slip that produces an unsearchable record.</t>
  </si>
  <si>
    <t>patients where hospital_id = A and full_name = 'A' → no row</t>
  </si>
  <si>
    <t>TC-P3A-010</t>
  </si>
  <si>
    <t>A phone number shorter than 10 digits is rejected</t>
  </si>
  <si>
    <t>1) Open "Register New Patient" 2) Fill Full Name 3) Type phase3.registration.invalid.shortPhone (6 digits) into Phone 4) Tick DPDP consent 5) Click Register Patient Route: /patients</t>
  </si>
  <si>
    <t>A "Phone must be exactly 10 digits" field error blocks the save.</t>
  </si>
  <si>
    <t>phase3.registration.invalid.shortPhone</t>
  </si>
  <si>
    <t>An unreachable phone number breaks the kiosk/portal OTP check-in, appointment reminders and outstanding-balance follow-up.</t>
  </si>
  <si>
    <t>TC-P3A-011</t>
  </si>
  <si>
    <t>A phone number longer than 10 digits is rejected</t>
  </si>
  <si>
    <t>1) Open "Register New Patient" 2) Fill Full Name 3) Type phase3.registration.invalid.longPhone (11 digits) into Phone 4) Tick DPDP consent 5) Click Register Patient Route: /patients</t>
  </si>
  <si>
    <t>The same "Phone must be exactly 10 digits" error blocks the save.</t>
  </si>
  <si>
    <t>phase3.registration.invalid.longPhone</t>
  </si>
  <si>
    <t>An 11-digit value stored as "phone" corrupts every SMS/WhatsApp integration that assumes a 10-digit Indian mobile number.</t>
  </si>
  <si>
    <t>TC-P3A-012</t>
  </si>
  <si>
    <t>Phone is optional — registration succeeds with it left blank</t>
  </si>
  <si>
    <t>1) Open "Register New Patient" 2) Fill Full Name only 3) Tick DPDP consent 4) Click Register Patient Route: /patients</t>
  </si>
  <si>
    <t>The patient saves successfully with phone stored as null — this is the path an MLC/unknown patient later becomes identifiable through.</t>
  </si>
  <si>
    <t>phase3.registration.invalid.shortName is NOT used here — use a fresh name, e.g. reuse phase3.registration.receptionistEntry.fullName</t>
  </si>
  <si>
    <t>Requiring a phone would make walk-in patients with no mobile (common for elderly rural patients) unregisterable.</t>
  </si>
  <si>
    <t>patients where hospital_id = A and full_name = 'Farida Sheikh' → phone is null</t>
  </si>
  <si>
    <t>TC-P3A-013</t>
  </si>
  <si>
    <t>A date of birth in the future is rejected</t>
  </si>
  <si>
    <t>1) Open "Register New Patient" 2) Fill Full Name 3) Set DOB to tomorrow's date 4) Tick DPDP consent 5) Click Register Patient Route: /patients</t>
  </si>
  <si>
    <t>A "Date of birth must be in the past" field error blocks the save.</t>
  </si>
  <si>
    <t>None (computed: today + 1 day)</t>
  </si>
  <si>
    <t xml:space="preserve">Automated: FAILED.
TimeoutError: page.goto: Timeout 30000ms exceeded.
Call log:
  - navigating to "http://localhost:8080/login", waiting until "load"</t>
  </si>
  <si>
    <t>Failed to load resource: net::ERR_NAME_NOT_RESOLVED</t>
  </si>
  <si>
    <t>A future DOB produces a negative age everywhere it is displayed and breaks paediatric drug-dosing calculations that key off age.</t>
  </si>
  <si>
    <t>TC-P3A-014</t>
  </si>
  <si>
    <t>A date of birth of exactly today is accepted</t>
  </si>
  <si>
    <t>1) Open "Register New Patient" 2) Fill Full Name 3) Set DOB to today's date 4) Tick DPDP consent 5) Click Register Patient Route: /patients</t>
  </si>
  <si>
    <t>The save succeeds — this is the exact boundary a same-day newborn registration relies on.</t>
  </si>
  <si>
    <t>None (computed: today)</t>
  </si>
  <si>
    <t xml:space="preserve">Automated: FAILED.
TimeoutError: page.waitForURL: Timeout 20000ms exceeded.
=========================== logs ===========================
waiting for navigation until "load"
============================================================</t>
  </si>
  <si>
    <t xml:space="preserve">Failed to load resource: net::ERR_NAME_NOT_RESOLVED
Failed to load resource: net::ERR_NAME_NOT_RESOLVED
TypeError: Failed to fetch
    at guardedFetch (http://localhost:8080/src/integrations/supabase/client.ts:22:9)
    at http://localhost:8080/node_modules/.vite/deps/@supabase_supabase-js.js?v=e6ce90e1:12801:39
    at _handleRequest (http://localhost:8080/node_modules/.vite/deps/@supabase_supabase-js.js?v=e6ce90e1:13067:18)
    at _request (http://localhost:8080/node_modules/.vite/deps/@supabase_supabase-js.js?v=e6ce90e1:13054:21)
    at SupabaseAuthClient.signInWithPassword (http://localhost
…(truncated)</t>
  </si>
  <si>
    <t>The newborn scenario (P3-S04) depends on DOB = today being a valid, non-rejected value.</t>
  </si>
  <si>
    <t>patients where hospital_id = A and dob = current date → row exists</t>
  </si>
  <si>
    <t>TC-P3A-015</t>
  </si>
  <si>
    <t>Age-only entry (no DOB) computes and stores a DOB</t>
  </si>
  <si>
    <t>1) Open "Register New Patient" 2) Fill Full Name and Age from phase3.registration.ageOnly, leave DOB blank 3) Tick DPDP consent 4) Click Register Patient Route: /patients</t>
  </si>
  <si>
    <t>The saved patient's dob column is populated as (today's year − entered age), so age-based screens (paediatric dosing, geriatric alerts) work even though DOB was never typed.</t>
  </si>
  <si>
    <t>phase3.registration.ageOnly — Gopal Naidu, age 58</t>
  </si>
  <si>
    <t>Front-desk staff frequently know a patient's age but not their exact birth date — the app must not silently leave dob null in that case.</t>
  </si>
  <si>
    <t>patients where hospital_id = A and full_name = 'Gopal Naidu' → dob is not null</t>
  </si>
  <si>
    <t>TC-P3A-016</t>
  </si>
  <si>
    <t>Selecting patient category CGHS reveals the Beneficiary No. field</t>
  </si>
  <si>
    <t>1) Open "Register New Patient" 2) Click the "CGHS" category chip Route: /patients</t>
  </si>
  <si>
    <t>A text field placeholder "CGHS Beneficiary No." appears beneath the category chips.</t>
  </si>
  <si>
    <t>phase3.registration.cghs.beneficiaryNo</t>
  </si>
  <si>
    <t>CGHS billing later needs the beneficiary number on the claim — if the field never appears, front desk has nowhere to capture it at registration time.</t>
  </si>
  <si>
    <t>TC-P3A-017</t>
  </si>
  <si>
    <t>Aadhaar ID is stored digits-only and masked on screen</t>
  </si>
  <si>
    <t>1) Open "Register New Patient" 2) Fill Full Name from phase3.registration.aadhaar 3) Type phase3.registration.aadhaar.aadhaar (with or without dashes) into Aadhaar ID 4) Tick DPDP consent 5) Save 6) Reopen the patient in edit mode Route: /patients</t>
  </si>
  <si>
    <t>The field displays formatted as XXXX-XXXX-1234 (last 4 digits only) on screen; the stored aadhaar_id column holds only the 12 raw digits, never the dashes.</t>
  </si>
  <si>
    <t>phase3.registration.aadhaar — Shalini Rao</t>
  </si>
  <si>
    <t>Aadhaar is one of the most sensitive identifiers under DPDP Act 2023 — masking on screen and clean digit storage are both required, not cosmetic.</t>
  </si>
  <si>
    <t>patients where hospital_id = A and full_name = 'Shalini Rao' → aadhaar_id = '234567890123' (digits only)</t>
  </si>
  <si>
    <t>TC-P3A-018</t>
  </si>
  <si>
    <t>Registration writes a patient_consents row with consent_type data_collection</t>
  </si>
  <si>
    <t>1) Register phase3.registration.full as in TC-P3A-003 2) In Supabase, query patient_consents for the new patient_id Route: /patients</t>
  </si>
  <si>
    <t>A patient_consents row exists with consent_type = "data_collection", consent_given = true, and a non-empty consent_text.</t>
  </si>
  <si>
    <t>The DPDP checkbox is only meaningful compliance evidence if it is actually written to an auditable table — a UI-only tick proves nothing to a regulator.</t>
  </si>
  <si>
    <t>patient_consents where patient_id = (new Kavya Prasad id) and consent_type = 'data_collection' → consent_given = true</t>
  </si>
  <si>
    <t>TC-P3A-019</t>
  </si>
  <si>
    <t>A receptionist can register a new patient</t>
  </si>
  <si>
    <t>1) Log out 2) Log in as receptionist (Hospital A) 3) Open /patients 4) Register phase3.registration.receptionistEntry, ticking DPDP consent</t>
  </si>
  <si>
    <t>The receptionist role can complete registration end to end — this is the primary role that performs it in a real hospital.</t>
  </si>
  <si>
    <t>phase3.registration.receptionistEntry — Farida Sheikh</t>
  </si>
  <si>
    <t>Roles &amp; Permissions: receptionist has register_patient action access</t>
  </si>
  <si>
    <t>If the front-desk role cannot register patients, the entire OPD queue stalls at the very first step of the day.</t>
  </si>
  <si>
    <t>patients where hospital_id = A and full_name = 'Farida Sheikh' → row exists</t>
  </si>
  <si>
    <t>TC-P3B-001</t>
  </si>
  <si>
    <t>3B Duplicate detection</t>
  </si>
  <si>
    <t>Registering a patient with a name and phone identical to an existing patient succeeds and creates a second row</t>
  </si>
  <si>
    <t>1) Register phase3.duplicate.probeName / probePhone once, ticking DPDP consent 2) Repeat the exact same registration a second time Route: /patients</t>
  </si>
  <si>
    <t>CURRENT APP BEHAVIOUR (a defect): the second registration saves without any warning, search prompt or block, producing two separate patients rows for the same person with two different UHIDs.</t>
  </si>
  <si>
    <t>phase3.duplicate.probeName, phase3.duplicate.probePhone</t>
  </si>
  <si>
    <t>A second UHID for the same person forks their clinical history in two — allergy flags, drug history and past diagnoses recorded under the first UHID are invisible on the second, which is a direct patient-safety risk.</t>
  </si>
  <si>
    <t>patients where hospital_id = A and full_name = 'Kiran Deshpande' and phone = '9876555010' → expect 2 rows (documents the gap; a fix would make this 1)</t>
  </si>
  <si>
    <t>e2e/phase-03-patient-records/P3B.duplicate.spec.ts</t>
  </si>
  <si>
    <t>TC-P3B-002</t>
  </si>
  <si>
    <t>No duplicate-warning element appears during or after the duplicate save</t>
  </si>
  <si>
    <t>1) Repeat TC-P3B-001 2) Watch the screen throughout both submissions for any modal, banner or toast mentioning an existing match Route: /patients</t>
  </si>
  <si>
    <t>No duplicate-warning UI is shown at any point — the second save proceeds identically to a first-time registration.</t>
  </si>
  <si>
    <t>Confirms the gap is a genuine missing feature, not a warning the tester simply didn't notice — this determines whether the fix is 'surface the existing warning' or 'build one'.</t>
  </si>
  <si>
    <t>patients where hospital_id = A and phone = phase3.duplicate.probePhone → the second save still created a row (see TC-P3B-001)</t>
  </si>
  <si>
    <t>TC-P3B-003</t>
  </si>
  <si>
    <t>The two duplicate rows carry two different UHIDs</t>
  </si>
  <si>
    <t>1) After TC-P3B-001, query both "Kiran Deshpande" rows in Supabase and compare their uhid values Query rows from patients.</t>
  </si>
  <si>
    <t>The two rows have different, independently-sequenced UHIDs — there is no shared identifier a later merge could key off automatically.</t>
  </si>
  <si>
    <t>phase3.duplicate.probeName</t>
  </si>
  <si>
    <t>Two different UHIDs for one person means every future bill, lab order or admission attaches to only one half of their history at random, depending on which UHID the desk happens to search up that day.</t>
  </si>
  <si>
    <t>patients where hospital_id = A and full_name = 'Kiran Deshpande' → 2 distinct uhid values</t>
  </si>
  <si>
    <t>TC-P3B-004</t>
  </si>
  <si>
    <t>A near-duplicate — same phone, differently-spaced/cased name — is also accepted without warning</t>
  </si>
  <si>
    <t>1) Register phase3.duplicate.probeName/probePhone once (if not already present from TC-P3B-001) 2) Register phase3.duplicate.nearDuplicateName with the SAME probePhone</t>
  </si>
  <si>
    <t>The near-duplicate ("kiran  deshpande" — different case, extra space) saves as a third distinct row on the same phone number with no warning, exactly like the exact-duplicate case.</t>
  </si>
  <si>
    <t>phase3.duplicate.nearDuplicateName, phase3.duplicate.probePhone</t>
  </si>
  <si>
    <t>Even a future exact-match de-dup fix would still miss this case — a case-insensitive whitespace-normalised match is the minimum bar, and this proves whether that bar is met.</t>
  </si>
  <si>
    <t>patients where hospital_id = A and phone = '9876555010' → count &gt;= 3</t>
  </si>
  <si>
    <t>TC-P3B-005</t>
  </si>
  <si>
    <t>The seeded duplicate pair PT-QA-0001 / PT-QA-0029 confirms the same gap independent of any single test run</t>
  </si>
  <si>
    <t>1) In Supabase, query patients where hospital_id = A and full_name = 'Ramesh Kumar' and phone = '9876500001' Query rows from patients.</t>
  </si>
  <si>
    <t>Both PT-QA-0001 and PT-QA-0029 exist as two separate rows with the same name and phone — the seed data itself documents the gap as a stable regression indicator, independent of anything this spec creates.</t>
  </si>
  <si>
    <t>PT-QA-0001, PT-QA-0029</t>
  </si>
  <si>
    <t>qa:seed run</t>
  </si>
  <si>
    <t>If a future fix makes this pair collapse to one row unexpectedly (or the seeder stops producing two), that is itself a signal the de-dup behaviour changed and the phase's cases need re-authoring.</t>
  </si>
  <si>
    <t>patients where hospital_id = A and full_name = 'Ramesh Kumar' and phone = '9876500001' → 2 rows, uhid in ('PT-QA-0001','PT-QA-0029')</t>
  </si>
  <si>
    <t>TC-P3C-001</t>
  </si>
  <si>
    <t>3C Emergency &amp; newborn</t>
  </si>
  <si>
    <t>Emergency Registration saves with only an arrival mode and triage category selected</t>
  </si>
  <si>
    <t>1) Log in as receptionist (Hospital A) 2) Open /emergency 3) Click "+ Register Emergency Patient" 4) Leave Name at its default "Unknown", leave Age/Complaint blank 5) Select Arrival Mode "Walk-in" 6) Select Triage "P3 - Delayed" 7) Click "Register &amp; Triage"</t>
  </si>
  <si>
    <t>The patient and its ED visit save successfully with name "Unknown" — this is the true minimum needed to begin emergency treatment.</t>
  </si>
  <si>
    <t>None (defaults)</t>
  </si>
  <si>
    <t>A trauma patient cannot wait for a full registration form before triage begins — treatment must be startable from arrival mode and triage alone.</t>
  </si>
  <si>
    <t>patients where hospital_id = A and full_name = 'Unknown' → row exists; ed_visits where patient_id = (that id) → triage_category = 'P3'</t>
  </si>
  <si>
    <t>e2e/phase-03-patient-records/P3C.emergency-newborn.spec.ts</t>
  </si>
  <si>
    <t>TC-P3C-002</t>
  </si>
  <si>
    <t>Patient Name defaults to "Unknown" and is not a required field</t>
  </si>
  <si>
    <t>1) Open the Emergency Registration modal 2) Inspect the Patient Name field before typing anything Route: /emergency</t>
  </si>
  <si>
    <t>The field is pre-filled with "Unknown" and the Register button is not blocked by an empty-name validation error.</t>
  </si>
  <si>
    <t>An unconscious road-accident victim with no ID must be registerable without anyone inventing a name.</t>
  </si>
  <si>
    <t>TC-P3C-003</t>
  </si>
  <si>
    <t>Emergency Registration has no DPDP consent control</t>
  </si>
  <si>
    <t>1) Open the Emergency Registration modal 2) Inspect the full form top to bottom Route: /emergency</t>
  </si>
  <si>
    <t>CURRENT APP BEHAVIOUR (a gap): unlike the main /patients registration form, no DPDP consent checkbox or notice is present anywhere in this modal.</t>
  </si>
  <si>
    <t>Every other registration path in the app captures DPDP consent — an emergency patient (once stabilised) still has the same DPDP Act 2023 rights, and this path currently records none.</t>
  </si>
  <si>
    <t>TC-P3C-004</t>
  </si>
  <si>
    <t>Submitting is blocked until a triage category is chosen, unless Brought Dead is selected</t>
  </si>
  <si>
    <t>1) Open Emergency Registration 2) Leave Arrival Mode at "Walk-in" default 3) Do not select any triage level 4) Inspect the Register &amp; Triage button Route: /emergency</t>
  </si>
  <si>
    <t>The button stays disabled ("Select triage category" toast on click) while Arrival Mode is not "Brought Dead" and no triage level is chosen.</t>
  </si>
  <si>
    <t>An ED visit with no triage category cannot be prioritised on the board — a patient could wait behind someone objectively less urgent.</t>
  </si>
  <si>
    <t>TC-P3C-005</t>
  </si>
  <si>
    <t>Selecting "Brought Dead" waives the triage requirement and records disposition expired</t>
  </si>
  <si>
    <t>1) Open Emergency Registration 2) Select Arrival Mode "Brought Dead" 3) Enter phase3.emergency.broughtDeadComplaint as the complaint 4) Click "Record Brought Dead" Route: /emergency</t>
  </si>
  <si>
    <t>The save succeeds with no triage category required; the created ed_visits row has disposition = "expired" and is_active = false.</t>
  </si>
  <si>
    <t>phase3.emergency.broughtDeadComplaint</t>
  </si>
  <si>
    <t>Mortuary</t>
  </si>
  <si>
    <t>Failed to load resource: the server responded with a status of 409 ()</t>
  </si>
  <si>
    <t>Forcing a triage selection for a patient already deceased on arrival would block the mortuary workflow behind a meaningless clinical decision.</t>
  </si>
  <si>
    <t>ed_visits where hospital_id = A and chief_complaint = 'Found unresponsive at home' → disposition = 'expired', is_active = false</t>
  </si>
  <si>
    <t>TC-P3C-006</t>
  </si>
  <si>
    <t>A "Brought Dead" registration routes the patient to the mortuary with a body number</t>
  </si>
  <si>
    <t>1) Complete TC-P3C-005 2) Open /mortuary and search for the same patient</t>
  </si>
  <si>
    <t>The mortuary module shows a new admission for this patient with a system-generated body number, created automatically by routeEdPatientToMortuary().</t>
  </si>
  <si>
    <t>Mortuary module enabled on plan</t>
  </si>
  <si>
    <t xml:space="preserve">Automated: FAILED.
Error: No mortuary admission was created for the brought-dead patient.
expect(received).toBeTruthy()
Received: undefined</t>
  </si>
  <si>
    <t>If the automatic mortuary routing silently fails, a deceased patient is left "active" in the ED queue indefinitely with no one aware a body needs to be received.</t>
  </si>
  <si>
    <t>mortuary_admissions (or equivalent) where patient_id = (brought-dead patient id) → body_number not null</t>
  </si>
  <si>
    <t>TC-P3C-007</t>
  </si>
  <si>
    <t>The phone/name search box finds and links an existing patient instead of creating a duplicate</t>
  </si>
  <si>
    <t>1) Open Emergency Registration 2) In the "Search by phone or name" box, type PT-QA-0002's phone (9876500002) 3) Click the matching result for Sunita Reddy Route: /emergency</t>
  </si>
  <si>
    <t>The form shows "✓ Linked to: Sunita Reddy (PT-QA-0002)" and the Patient Name field is populated from the existing record.</t>
  </si>
  <si>
    <t>PT-QA-0002 phone 9876500002</t>
  </si>
  <si>
    <t xml:space="preserve">Automated: FAILED.
TimeoutError: locator.click: Timeout 15000ms exceeded.
Call log:
  - waiting for getByText(/Sunita Reddy/i).first()</t>
  </si>
  <si>
    <t>This is the one registration surface in the app that DOES look up an existing patient before creating a new one — proving it works is the direct contrast to the gap in TC-P3B-001.</t>
  </si>
  <si>
    <t>TC-P3C-008</t>
  </si>
  <si>
    <t>Linking an existing patient via search does not create a new patients row</t>
  </si>
  <si>
    <t>1) Complete TC-P3C-007 (link to Sunita Reddy) 2) Select a triage level 3) Click Register &amp; Triage 4) Query patients for full_name = "Sunita Reddy" in Supabase Route: /emergency</t>
  </si>
  <si>
    <t>Exactly one patients row exists for Sunita Reddy (PT-QA-0002) — the ED visit attaches patient_id to the existing record, no new row is inserted.</t>
  </si>
  <si>
    <t>PT-QA-0002</t>
  </si>
  <si>
    <t>Confirms the linked path genuinely reuses the existing UHID rather than silently also inserting a duplicate underneath the link.</t>
  </si>
  <si>
    <t>patients where hospital_id = A and uhid = 'PT-QA-0002' → exactly 1 row; ed_visits where patient_id = (PT-QA-0002's id) → new row exists</t>
  </si>
  <si>
    <t>TC-P3C-009</t>
  </si>
  <si>
    <t>A new emergency patient uses the same UHID series as staff registration, not a separate scheme</t>
  </si>
  <si>
    <t>1) Complete TC-P3C-001 (Unknown patient, no link) 2) Read the created patient's uhid in Supabase Route: /emergency</t>
  </si>
  <si>
    <t>The UHID follows the hospital's standard &lt;uhid_prefix&gt;-&lt;date&gt;-&lt;seq&gt; format from the next_seq RPC — the same generatePatientUhid() used by /patients — NOT a separate scheme.</t>
  </si>
  <si>
    <t xml:space="preserve">Automated: FAILED.
Error: Expected a row in "patients" matching {"hospital_id":"ba149e39-1b3e-40bd-80b7-e1b2b02f1ff0","full_name":"Unknown"}, but found none. The UI may have reported success without writing.
expect(received).toBeTruthy()
Received: false</t>
  </si>
  <si>
    <t>This is the positive contrast to the kiosk's separate 'K'-prefixed series (TC-P3E-003) — Emergency Registration gets this right and the comparison shows it is achievable everywhere.</t>
  </si>
  <si>
    <t>patients where hospital_id = A and full_name = 'Unknown' → uhid matches hospitals.uhid_prefix format</t>
  </si>
  <si>
    <t>TC-P3C-010</t>
  </si>
  <si>
    <t>Medico-Legal Case checkbox links the ED visit for MLC follow-up</t>
  </si>
  <si>
    <t>1) Open Emergency Registration 2) Enter phase3.emergency.mlcName as the Patient Name and phase3.emergency.mlcComplaint as the complaint 3) Tick "Medico-Legal Case?" 4) Select a triage level 5) Click Register &amp; Triage Route: /emergency</t>
  </si>
  <si>
    <t>The ed_visits row saves with mlc = true, and (per the app) an MLC details modal opens automatically referencing this visit.</t>
  </si>
  <si>
    <t>phase3.emergency.mlcName, phase3.emergency.mlcComplaint</t>
  </si>
  <si>
    <t>MLC/Mortuary</t>
  </si>
  <si>
    <t>An assault or accident case flagged MLC has statutory police-reporting obligations — if the flag does not persist, the legal reporting step is silently skipped.</t>
  </si>
  <si>
    <t>ed_visits where hospital_id = A and chief_complaint = 'Assault injury, police case' → mlc = true</t>
  </si>
  <si>
    <t>TC-P3C-011</t>
  </si>
  <si>
    <t>Newborn registration — "B/O &lt;mother&gt;" is created as an ordinary new patient record</t>
  </si>
  <si>
    <t>1) Open /patients 2) Click "Register New Patient" 3) Enter phase3.newborn.fullName as Full Name 4) Set DOB to today, Gender male 5) Tick DPDP consent 6) Save</t>
  </si>
  <si>
    <t>The baby saves as a normal patients row with its own UHID — there is no dedicated newborn flow, so the name and mother-linkage are entirely manual conventions, not enforced by the app.</t>
  </si>
  <si>
    <t>phase3.newborn.fullName — "B/O Kavya Prasad"</t>
  </si>
  <si>
    <t>IPD (Phase 7)</t>
  </si>
  <si>
    <t>Confirms exactly what a newborn registration can and cannot rely on today: a correctly-shaped patient row, but zero system support for the naming convention or the mother link.</t>
  </si>
  <si>
    <t>patients where hospital_id = A and full_name = 'B/O Kavya Prasad' → row exists, dob = today, gender = 'male'</t>
  </si>
  <si>
    <t>TC-P3C-012</t>
  </si>
  <si>
    <t>The Neonatal Sheet has no field anywhere to set mother_patient_id</t>
  </si>
  <si>
    <t>1) (Code-level / manual review, per the note below) Open the Neonatal Sheet for an admitted baby patient from the IPD or OPD workspace 2) Inspect every field on the sheet</t>
  </si>
  <si>
    <t>neonatal_records.mother_patient_id exists in the schema but no control on the Neonatal Sheet reads or writes it — the mother link can only ever be set directly in the database.</t>
  </si>
  <si>
    <t>An IPD admission or OPD encounter for the baby (Phase 7 territory)</t>
  </si>
  <si>
    <t>A NABH assessor tracing a newborn record back to its mother via the system would find no link — it exists only if someone manually wrote it into the database, which QA cannot verify happens in practice.</t>
  </si>
  <si>
    <t>information_schema.columns where table_name = 'neonatal_records' and column_name = 'mother_patient_id' → column exists; no UI writes to it</t>
  </si>
  <si>
    <t>TC-P3C-013</t>
  </si>
  <si>
    <t>The newborn's DOB defaults to today and represents a 0-day-old</t>
  </si>
  <si>
    <t>1) Complete TC-P3C-011 2) Open the saved baby patient in the registry and read the displayed age Route: /patients</t>
  </si>
  <si>
    <t>The patient list shows the baby's age as "0y" (or equivalent same-day age), computed correctly from a DOB of today rather than throwing a negative or NaN age.</t>
  </si>
  <si>
    <t>phase3.newborn.fullName</t>
  </si>
  <si>
    <t>A broken age calculation for a 0-day-old would misfire every age-gated safety check (paediatric dosing, adult-only screens) for every newborn in the system.</t>
  </si>
  <si>
    <t>TC-P3D-001</t>
  </si>
  <si>
    <t>3D ABHA / ABDM</t>
  </si>
  <si>
    <t>The ABHA Verify button returns a sandbox format-valid result for a syntactically valid ABHA number</t>
  </si>
  <si>
    <t>1) Open "Register New Patient" 2) Type phase3.abha.sandboxValid (14 digits) into the ABHA ID field 3) Click Verify Route: /patients</t>
  </si>
  <si>
    <t>A "Format Valid (Sandbox)" amber badge appears — the abdm-abha-verify function falls back to sandbox_format_only mode when no live ABDM credentials are configured.</t>
  </si>
  <si>
    <t>phase3.abha.sandboxValid</t>
  </si>
  <si>
    <t>None (sandbox mode is the default without ABDM credentials configured)</t>
  </si>
  <si>
    <t>Most hospitals go live before their ABDM HIP credentials are approved — the sandbox fallback must give staff a usable signal rather than a hard error.</t>
  </si>
  <si>
    <t>e2e/phase-03-patient-records/P3D.abha.spec.ts</t>
  </si>
  <si>
    <t>TC-P3D-002</t>
  </si>
  <si>
    <t>An ABHA number of the wrong length is rejected as invalid</t>
  </si>
  <si>
    <t>1) Open "Register New Patient" 2) Type phase3.abha.tooShort (7 digits) into ABHA ID 3) Click Verify Route: /patients</t>
  </si>
  <si>
    <t>A red "Invalid ABHA" badge is shown and abhaVerified stays false.</t>
  </si>
  <si>
    <t>phase3.abha.tooShort</t>
  </si>
  <si>
    <t>Storing an obviously malformed ABHA number as "verified" would poison every later ABDM health-record-sharing attempt for this patient.</t>
  </si>
  <si>
    <t>TC-P3D-003</t>
  </si>
  <si>
    <t>A sandbox-verified ABHA number is stored with abha_verified true and a timestamp</t>
  </si>
  <si>
    <t>1) Register a new patient (reuse phase3.registration.full with a fresh name if already used) entering phase3.abha.sandboxValid as ABHA ID and clicking Verify before saving 2) Tick DPDP consent 3) Save Route: /patients</t>
  </si>
  <si>
    <t>The saved patients row has abha_id = the entered number, abha_verified = true, and abha_verified_at populated with a timestamp.</t>
  </si>
  <si>
    <t>phase3.registration.full, phase3.abha.sandboxValid</t>
  </si>
  <si>
    <t>ABDM health-record-sharing consent and eligibility both key off abha_verified — if it never gets set true, this patient can never use ABDM features even with a valid ABHA number.</t>
  </si>
  <si>
    <t>patients where hospital_id = A and abha_id = '12345678901234' → abha_verified = true, abha_verified_at not null</t>
  </si>
  <si>
    <t>TC-P3D-004</t>
  </si>
  <si>
    <t>abdm-abha-verify supports a connectivity ping without needing a patient</t>
  </si>
  <si>
    <t>1) As an authenticated hospital_admin session, call supabase.functions.invoke('abdm-abha-verify', { body: { mode: 'ping' } }) from the test</t>
  </si>
  <si>
    <t>The function returns a response without error, confirming the edge function is reachable independent of any specific ABHA number or patient context.</t>
  </si>
  <si>
    <t>A platform-level health check for the ABDM integration must exist separately from patient-specific verification, so an outage can be detected before a receptionist hits it mid-registration.</t>
  </si>
  <si>
    <t>TC-P3D-005</t>
  </si>
  <si>
    <t>FINDING: the ABHA verify+consent+link UI (verbal-consent checkbox gating the Link button) has no live entry point in the running app</t>
  </si>
  <si>
    <t>MANUAL/CODE-INSPECTION ONLY: 1) grep -r "editPatient=" src/ — confirms zero usages, so PatientRegistrationModal is never opened in edit mode by anything 2) Read PatientSummaryPage.tsx's ABHA tab — it mounts ABHASearchPanel only when patient.abha_id is already set (showing only Unlink), and mounts a DIFFERENT component (ABHARegistrationPanel) when abha_id is null File: src/components/patients/PatientRegistrationModal.tsx</t>
  </si>
  <si>
    <t>ABHASearchPanel.tsx supports a "type an ABHA number → Verify → tick verbal consent → Link" flow for a NOT-yet-linked patient, but no live page ever renders it in that state — the flow is unreachable through the running application.</t>
  </si>
  <si>
    <t xml:space="preserve">Automated: FAILED.
TimeoutError: locator.fill: Timeout 15000ms exceeded.
Call log:
  - waiting for locator('text=ABHA Linking &amp; Consent').locator('..').locator('..').getByPlaceholder(/14-digit abha number/i)</t>
  </si>
  <si>
    <t>A consent-gated linking flow that cannot actually be reached means front-desk staff have no in-app way to link an ABHA number to an existing patient with logged verbal consent at all — they would have to use the (also broken, per TC-P3D-009/010) Aadhaar/mobile-OTP creation wizard instead, or the link never happens.</t>
  </si>
  <si>
    <t>None — see TC-P3D-008 for the live-Playwright confirmation that neither reachable surface renders this panel</t>
  </si>
  <si>
    <t>TC-P3D-006</t>
  </si>
  <si>
    <t>FINDING: because the Link UI is unreachable (TC-P3D-005), no abdm_consent_logs "linking" row can ever be written through the live app for a fresh link</t>
  </si>
  <si>
    <t>MANUAL/CODE-INSPECTION ONLY: 1) Confirm (per TC-P3D-005) that ABHASearchPanel's Link button — the only code path that inserts an abdm_consent_logs row with consent_type "linking" and consent_given true — is never reachable for a not-yet-linked patient File: src/components/patients/ABHASearchPanel.tsx</t>
  </si>
  <si>
    <t>abdm_consent_logs never receives a fresh "linking, consent_given=true" row through the live UI — only the pre-seeded / directly-written case (see TC-P3D-007, which seeds abha_id via the service-role client to test Unlink) can exist in this table.</t>
  </si>
  <si>
    <t>The consent-log table exists specifically so a NABH/DPDP audit can prove verbal consent was obtained before ABDM sharing began — if no live path ever writes a fresh "linking" row, that audit trail can never actually be populated by real staff activity.</t>
  </si>
  <si>
    <t>None — see TC-P3D-005</t>
  </si>
  <si>
    <t>TC-P3D-007</t>
  </si>
  <si>
    <t>Unlinking a linked ABHA clears patients.abha_id and logs a consent_given=false row</t>
  </si>
  <si>
    <t>1) Seed patients.abha_id = phase3.abha.sandboxValid directly on PT-QA-0002 via the service-role client (bypassing the unreachable Link UI, per TC-P3D-005) 2) Open /patients/&lt;PT-QA-0002 id&gt;/summary 3) Click the ABHA tab 4) Click "Unlink", then "Yes, Unlink" Route: /patients</t>
  </si>
  <si>
    <t>patients.abha_id and abha_verified both clear to null/false, and a new abdm_consent_logs row is written with consent_given = false documenting the withdrawal.</t>
  </si>
  <si>
    <t>PT-QA-0002, phase3.abha.sandboxValid</t>
  </si>
  <si>
    <t xml:space="preserve">Failed to load resource: the server responded with a status of 400 ()
Failed to load resource: the server responded with a status of 400 ()
Failed to load resource: the server responded with a status of 400 ()
Failed to load resource: the server responded with a status of 400 ()</t>
  </si>
  <si>
    <t>A patient can withdraw ABDM sharing consent at any time under DPDP Act 2023 — the withdrawal itself must be as auditable as the original grant, regardless of how the original link was created.</t>
  </si>
  <si>
    <t>patients where uhid = 'PT-QA-0002' → abha_id is null; abdm_consent_logs where patient_id = (that id) and consent_given = false → newest row</t>
  </si>
  <si>
    <t>TC-P3D-008</t>
  </si>
  <si>
    <t>The ABHA verify+consent+link panel is reachable from neither the registration form nor the patient edit drawer</t>
  </si>
  <si>
    <t>1) Open /patients 2) Click "Register New Patient" — confirm the "ABHA Linking &amp; Consent" panel is absent (only the inline Verify button exists) 3) Close the form 4) Open PT-QA-0002 and click its pencil "Edit Patient" icon in the detail drawer 5) Confirm the same panel is absent there too Route: /patients</t>
  </si>
  <si>
    <t>Neither reachable edit/registration surface in the app renders the "ABHA Linking &amp; Consent" panel with its verbal-consent checkbox and consent history — confirming Finding #6 live, not just via grep.</t>
  </si>
  <si>
    <t xml:space="preserve">Automated: FAILED.
TimeoutError: locator.click: Timeout 15000ms exceeded.
Call log:
  - waiting for getByText(/Sunita Reddy/i).first()
    - locator resolved to &lt;td class="p-4 align-middle [&amp;:has([role=checkbox])]:pr-0 font-medium"&gt;Sunita Reddy&lt;/td&gt;
  - attempting click action
    2 × waiting for element to be visible, enabled and stable
      - element is visible, enabled and stable
      - scrolling into view if needed
      - done scrolling
      - &lt;div class="flex gap-4 items-end"&gt;…&lt;/div&gt; from &lt;div class="fixed inset-0 z-50 flex items-center justify-center bg-black/30"&gt;…&lt;/div&gt; subtree intercepts pointer events
    - retrying click action
    - waiting 20ms
    2 × waiting for element to be visible, enabled and stable
      - element is visible, enabled and stable
      - scrolling into view if needed
      - done scrolling
      - &lt;div class="flex gap-4 items-end"&gt;…&lt;/div&gt; from &lt;div class="fixed inset-0
…(truncated)</t>
  </si>
  <si>
    <t>Explains to future testers why an ABHA number entered at first registration is verified but has no abdm_consent_logs row (TC-P3D-003 vs TC-P3D-006) — the panel that would create one is unreachable everywhere, by design gap rather than by test coverage gap.</t>
  </si>
  <si>
    <t>patients where hospital_id = A → no new row (this case only inspects open forms, it never submits)</t>
  </si>
  <si>
    <t>TC-P3D-009</t>
  </si>
  <si>
    <t>Creating a new ABHA via Aadhaar OTP is not automatable</t>
  </si>
  <si>
    <t>MANUAL ONLY: 1) Open ABHA creation via Aadhaar for a patient with no existing ABHA 2) Enter a real Aadhaar number 3) Receive and enter the live Aadhaar OTP 4) Confirm ABHA address creation Route: /patients (ABHA panel)</t>
  </si>
  <si>
    <t>A new ABHA number and address are issued via NHA's live enrolByAadhaar/validateByAadhaar APIs and linked to the patient.</t>
  </si>
  <si>
    <t>None — requires a real Aadhaar number and live OTP, which cannot be scripted</t>
  </si>
  <si>
    <t>Live ABDM sandbox credentials configured</t>
  </si>
  <si>
    <t>Automating this would require a real Aadhaar-linked mobile to receive a live OTP — scripting it would test a mock, not the thing that actually breaks in production.</t>
  </si>
  <si>
    <t>patients where id = (test patient) → abha_id populated after manual run</t>
  </si>
  <si>
    <t>TC-P3D-010</t>
  </si>
  <si>
    <t>Creating a new ABHA via mobile OTP is not automatable</t>
  </si>
  <si>
    <t>MANUAL ONLY: 1) Open ABHA creation via mobile number for a patient with no existing ABHA 2) Enter a real mobile number 3) Receive and enter the live mobile OTP 4) Confirm ABHA address creation Route: /patients (ABHA panel)</t>
  </si>
  <si>
    <t>A new ABHA number and address are issued via NHA's live enrolByMobile/validateByMobile APIs and linked to the patient.</t>
  </si>
  <si>
    <t>None — requires a real mobile number and live OTP</t>
  </si>
  <si>
    <t>Same reasoning as TC-P3D-009 — a live OTP to a real phone cannot be scripted without testing a mock rather than the production path.</t>
  </si>
  <si>
    <t>TC-P3E-001</t>
  </si>
  <si>
    <t>3E Kiosk</t>
  </si>
  <si>
    <t>Kiosk landing loads for a valid hospital id</t>
  </si>
  <si>
    <t>1) Open /kiosk?h=Hospital A's id (Supabase: hospitals where name = 'Aarogya Multispecialty Hospital') in a fresh browser tab (no login required)</t>
  </si>
  <si>
    <t>The kiosk home screen renders with the hospital name in the header and options for existing/new patient check-in.</t>
  </si>
  <si>
    <t>The kiosk is unauthenticated self-service hardware in the lobby — if the landing screen fails to load, the device is useless all day with no staff alerted.</t>
  </si>
  <si>
    <t>Logged out (kiosk device)</t>
  </si>
  <si>
    <t>e2e/phase-03-patient-records/P3E.kiosk.spec.ts</t>
  </si>
  <si>
    <t>TC-P3E-002</t>
  </si>
  <si>
    <t>New Patient registration requires name, 10-digit phone, gender and department</t>
  </si>
  <si>
    <t>1) Open /kiosk/register?h=Hospital A's id (Supabase: hospitals where name = 'Aarogya Multispecialty Hospital') 2) Leave Full Name blank, fill nothing else 3) Tap Next</t>
  </si>
  <si>
    <t>An on-screen error ("Please fill all required fields" / "Name is required") blocks progress; the same happens if phone is under 10 digits or gender is unset, and department is unset on step 2.</t>
  </si>
  <si>
    <t>At least one active clinical department configured</t>
  </si>
  <si>
    <t>A kiosk registration missing a department cannot raise a valid OPD token — the patient would be stuck at the kiosk with no queue position.</t>
  </si>
  <si>
    <t>TC-P3E-003</t>
  </si>
  <si>
    <t>A kiosk-issued UHID does NOT follow the hospital's configured UHID prefix/format</t>
  </si>
  <si>
    <t>1) Open /kiosk/register?h=Hospital A's id (Supabase: hospitals where name = 'Aarogya Multispecialty Hospital') 2) Complete New Patient registration with phase3.kiosk.newPatient 3) Read the printed token's UHID</t>
  </si>
  <si>
    <t>CURRENT APP BEHAVIOUR (a defect): the UHID is `K&lt;8-digit timestamp&gt;` — it ignores hospitals.uhid_prefix/uhid_date_format entirely and does not use the next_seq RPC used by every other registration path.</t>
  </si>
  <si>
    <t>phase3.kiosk.newPatient</t>
  </si>
  <si>
    <t xml:space="preserve">Automated: FAILED.
TimeoutError: locator.click: Timeout 15000ms exceeded.
Call log:
  - waiting for getByRole('button', { name: 'General Medicine', exact: true })</t>
  </si>
  <si>
    <t>A UHID series that does not match the hospital's configured format is confusing on printed slips and — because it is a raw millisecond timestamp with no server-side atomic sequence — carries a theoretical collision risk under simultaneous kiosk submissions.</t>
  </si>
  <si>
    <t>patients where hospital_id = A and full_name = 'Suman Ghosh' → uhid starts with 'K', not with hospitals.uhid_prefix</t>
  </si>
  <si>
    <t>TC-P3E-004</t>
  </si>
  <si>
    <t>A kiosk new-patient registration creates a patients row and an opd_token in one flow</t>
  </si>
  <si>
    <t>1) Open /kiosk/register?h=Hospital A's id (Supabase: hospitals where name = 'Aarogya Multispecialty Hospital') 2) Complete registration with phase3.kiosk.newPatient, selecting any active department 3) Reach the token receipt screen</t>
  </si>
  <si>
    <t>A patients row and a matching opd_tokens row both exist, linked by patient_id, with the token visible for the patient to be called.</t>
  </si>
  <si>
    <t>At least one active clinical department</t>
  </si>
  <si>
    <t>If either half of this two-table write fails silently, the patient either has no queue position or a token pointing at nobody.</t>
  </si>
  <si>
    <t>patients where hospital_id = A and full_name = 'Suman Ghosh' → row exists; opd_tokens where patient_id = (that id) and visit_date = today → row exists</t>
  </si>
  <si>
    <t>TC-P3E-005</t>
  </si>
  <si>
    <t>Registering the same phone number twice via "New Patient" creates two separate patient rows</t>
  </si>
  <si>
    <t>1) Complete TC-P3E-004 2) Return to /kiosk?h=Hospital A's id (Supabase: hospitals where name = 'Aarogya Multispecialty Hospital') and register a New Patient again using the SAME phase3.kiosk.newPatient phone but a slightly different name</t>
  </si>
  <si>
    <t>CURRENT APP BEHAVIOUR (a defect): the second registration succeeds with no phone lookup or warning, creating a second patients row for the same phone number — unlike mode=existing, which does search first.</t>
  </si>
  <si>
    <t>phase3.kiosk.newPatient.phone</t>
  </si>
  <si>
    <t>A returning patient who taps "New Patient" by mistake — the natural choice for someone unfamiliar with the kiosk — silently forks their record exactly like the front-desk gap in Section 3B.</t>
  </si>
  <si>
    <t>patients where hospital_id = A and phone = '9876555020' → count = 2</t>
  </si>
  <si>
    <t>TC-P3E-006</t>
  </si>
  <si>
    <t>Existing-patient check-in DOES search by phone before showing any tokens</t>
  </si>
  <si>
    <t>1) Open /kiosk/checkin?h=Hospital A's id (Supabase: hospitals where name = 'Aarogya Multispecialty Hospital') 2) Enter PT-QA-0002's phone (9876500002) 3) Enter the on-screen simulation OTP 4) Observe the result</t>
  </si>
  <si>
    <t>The kiosk looks up patients by phone (is_active = true, ilike match) BEFORE showing anything — this is the positive contrast to New Patient mode's total absence of a lookup.</t>
  </si>
  <si>
    <t xml:space="preserve">Automated: FAILED.
Error: expect(locator).toBeVisible() failed
Locator: getByText(/your appointments today|no appointments today/i)
Expected: visible
Timeout: 15000ms
Error: element(s) not found
Call log:
  - Expect "toBeVisible" with timeout 15000ms
  - waiting for getByText(/your appointments today|no appointments today/i)</t>
  </si>
  <si>
    <t xml:space="preserve">Failed to load resource: the server responded with a status of 404 ()
Failed to load resource: the server responded with a status of 422 ()</t>
  </si>
  <si>
    <t>Confirms the existing-patient path was built correctly, which makes the New Patient path's missing lookup (TC-P3E-005) a genuine inconsistency rather than a deliberate design choice.</t>
  </si>
  <si>
    <t>TC-P3E-007</t>
  </si>
  <si>
    <t>Existing-patient check-in with an unregistered phone shows an explicit message rather than silently creating a patient</t>
  </si>
  <si>
    <t>1) Open /kiosk/checkin?h=Hospital A's id (Supabase: hospitals where name = 'Aarogya Multispecialty Hospital') 2) Enter a phone number with no matching patient (any unused 10-digit number) 3) Enter the on-screen simulation OTP</t>
  </si>
  <si>
    <t>"No patient registered with this number. Please use 'New Patient' instead." is shown, and no patients row is created for that phone.</t>
  </si>
  <si>
    <t>None (an unused 10-digit number)</t>
  </si>
  <si>
    <t>Failed to load resource: the server responded with a status of 422 ()</t>
  </si>
  <si>
    <t>Silently auto-creating a patient from an unrecognised phone at check-in would bypass every field the New Patient flow collects (gender, department).</t>
  </si>
  <si>
    <t>TC-P3E-008</t>
  </si>
  <si>
    <t>The kiosk simulation OTP banner displays a 6-digit code when SMS is not configured</t>
  </si>
  <si>
    <t>1) Open /kiosk/checkin?h=Hospital A's id (Supabase: hospitals where name = 'Aarogya Multispecialty Hospital') 2) Enter any 10-digit phone 3) Tap Send OTP</t>
  </si>
  <si>
    <t>A yellow "Kiosk Mode — OTP" banner shows a 6-digit code on screen, confirming Supabase Phone Auth is not configured for this QA project and the app has fallen back gracefully rather than hanging.</t>
  </si>
  <si>
    <t>Documents the current QA-environment behaviour so a tester doesn't mistake the visible OTP for a security bug specific to this build — it is the documented fallback in the component's own header comment.</t>
  </si>
  <si>
    <t>TC-P3E-009</t>
  </si>
  <si>
    <t>An incorrect OTP is rejected at the kiosk</t>
  </si>
  <si>
    <t>1) Open /kiosk/checkin?h=Hospital A's id (Supabase: hospitals where name = 'Aarogya Multispecialty Hospital') 2) Enter any 10-digit phone and tap Send OTP 3) Note the displayed simulation code 4) Enter phase3.kiosk.wrongOtp (000000) instead</t>
  </si>
  <si>
    <t>"Incorrect OTP. Please check and try again." is shown and the flow does not advance to the tokens screen.</t>
  </si>
  <si>
    <t>phase3.kiosk.wrongOtp</t>
  </si>
  <si>
    <t>Even in kiosk-simulation mode, the OTP comparison must actually gate access — an OTP screen that accepts any input defeats the purpose of the identity check entirely.</t>
  </si>
  <si>
    <t>TC-P3E-010</t>
  </si>
  <si>
    <t>The kiosk token receipt shows the correct department and token number after check-in</t>
  </si>
  <si>
    <t>1) Complete TC-P3E-004 (new-patient registration with a chosen department) 2) Read the token receipt screen Route: /kiosk/register</t>
  </si>
  <si>
    <t>The receipt shows the same department selected during registration and a token number matching the opd_tokens row created (generate_token_number RPC).</t>
  </si>
  <si>
    <t>A receipt showing the wrong department sends the patient to sit in the wrong doctor's waiting area.</t>
  </si>
  <si>
    <t>opd_tokens where patient_id = (Suman Ghosh's id) → department_id matches the one selected on screen</t>
  </si>
  <si>
    <t>TC-P3F-001</t>
  </si>
  <si>
    <t>3F Patient portal</t>
  </si>
  <si>
    <t>A single-match email lands directly on the portal dashboard</t>
  </si>
  <si>
    <t>1) In Supabase, set patients.email = phase3.portal.singleMatchEmail on PT-QA-0002 2) Mint a magic-link session for that email via the service-role admin.generateLink() and open it in the browser 3) Observe the landing page Route: /portal</t>
  </si>
  <si>
    <t>The session activates immediately and redirects to /portal/dashboard showing Sunita Reddy's (PT-QA-0002) name and UHID — no profile picker or create-profile screen appears for a single unambiguous match.</t>
  </si>
  <si>
    <t>phase3.portal.singleMatchEmail, PT-QA-0002</t>
  </si>
  <si>
    <t>Email OTP enabled in Supabase Auth (see header comment in PatientPortalLogin.tsx)</t>
  </si>
  <si>
    <t xml:space="preserve">Automated: FAILED.
Error: Login did not reach /portal/dashboard for an email matching exactly one active patient. If the session WAS established (loginToPortal did not throw), this is very likely the RLS gap this program flagged as a risk: an OTP session has no `users` row, so get_user_hospital_id() is NULL and every patients RLS policy silently excludes it — findPatients() sees 0 rows regardless of whether a match exists. Do not loosen this assertion; log/confirm BUG-P3-NNN instead (see PHASE_MAP.md).
expect(page).toHaveURL(expected) failed
Expected pattern: /\/portal\/dashboard/
Received string:  "http://localhost:8080/portal?h=ba149e39-1b3e-40bd-80b7-e1b2b02f1ff0#"
Timeout: 15000ms
Call log:
  - Login did not reach /portal/dashboard for an email matching exactly one active patient. If the session WAS established (loginToPortal did not throw), this is very likely the RLS gap this program flagged as a ris
…(truncated)</t>
  </si>
  <si>
    <t>This is the everyday path most patients take — if it breaks, the portal is unusable for the majority of logins, not just an edge case.</t>
  </si>
  <si>
    <t>Patient portal (own session)</t>
  </si>
  <si>
    <t>e2e/phase-03-patient-records/P3F.portal.spec.ts</t>
  </si>
  <si>
    <t>TC-P3F-002</t>
  </si>
  <si>
    <t>A portal session can see its own bills but not another patient's</t>
  </si>
  <si>
    <t>1) Complete TC-P3F-001 to log in as PT-QA-0002 2) Open /portal/bills 3) Separately, as the service-role client, query bills for a different Hospital A patient (e.g. PT-QA-0001) 4) Compare</t>
  </si>
  <si>
    <t>/portal/bills shows only PT-QA-0002's own bills. This test resolves the RLS question raised during code review: does an OTP-authenticated patient session (which has no row in the `users` table, so get_user_hospital_id() returns NULL) see its own data correctly, or does the same NULL-returning RLS policy silently return zero rows for everyone?</t>
  </si>
  <si>
    <t>PT-QA-0002 has at least one bill (seed data or Phase 8 fixture)</t>
  </si>
  <si>
    <t xml:space="preserve">Automated: FAILED.
Error: The portal is still showing the login/profile-selection screen — this negative check cannot mean anything about data isolation until login itself succeeds. If this is failing, it is very likely the same RLS gap TC-P3F-001 documents, not a bug in this specific case.
expect(locator).toHaveCount(expected) failed
Locator:  getByText(/create your profile|select your profile/i)
Expected: 0
Received: 1
Timeout:  15000ms
Call log:
  - The portal is still showing the login/profile-selection screen — this negative check cannot mean anything about data isolation until login itself succeeds. If this is failing, it is very likely the same RLS gap TC-P3F-001 documents, not a bug in this specific case. with timeout 15000ms
  - waiting for getByText(/create your profile|select your profile/i)
    18 × locator resolved to 1 element
       - unexpected value "1"</t>
  </si>
  <si>
    <t>Failed to load resource: the server responded with a status of 403 ()</t>
  </si>
  <si>
    <t>If the portal shows an empty bills page for a genuine patient session, that is a silent functional bug hiding behind what looks like 'no bills yet' — patients would believe the hospital lost their billing history.</t>
  </si>
  <si>
    <t>TC-P3F-003</t>
  </si>
  <si>
    <t>A portal session can see its own lab/radiology reports but not another patient's</t>
  </si>
  <si>
    <t>1) Log in to the portal as PT-QA-0002 2) Open /portal/reports</t>
  </si>
  <si>
    <t>The reports page loads and, if PT-QA-0002 has resulted lab orders, shows them; it never shows a report belonging to a different patient_id.</t>
  </si>
  <si>
    <t>A reports page that leaks another patient's results is a direct DPDP Act 2023 breach, not a cosmetic bug.</t>
  </si>
  <si>
    <t>TC-P3F-004</t>
  </si>
  <si>
    <t>A portal session shows only its own upcoming appointments</t>
  </si>
  <si>
    <t>1) Log in to the portal as PT-QA-0002 2) Open /portal/appointments</t>
  </si>
  <si>
    <t>Only appointments where patient_id equals the logged-in patient appear.</t>
  </si>
  <si>
    <t>Seeing another patient's upcoming appointment slot discloses their visit schedule, a privacy leak even without clinical detail.</t>
  </si>
  <si>
    <t>TC-P3F-005</t>
  </si>
  <si>
    <t>An email matching more than one patient record shows a profile picker</t>
  </si>
  <si>
    <t>1) In Supabase, set patients.email = phase3.portal.multiMatchEmail on BOTH PT-QA-0002 and PT-QA-0003 2) Mint and open a magic-link session for that email Route: /portal</t>
  </si>
  <si>
    <t>A "Select Your Profile" screen lists both matching patients (name, UHID, age, gender) instead of auto-logging into either one.</t>
  </si>
  <si>
    <t>phase3.portal.multiMatchEmail, PT-QA-0002, PT-QA-0003</t>
  </si>
  <si>
    <t xml:space="preserve">Automated: FAILED.
Error: Profile picker never appeared for an email matching 2 patients — see the file header note: likely the same RLS gap as TC-P3F-001, not a bug specific to this case.
expect(locator).toBeVisible() failed
Locator: getByText(/select your profile/i)
Expected: visible
Timeout: 15000ms
Error: element(s) not found
Call log:
  - Profile picker never appeared for an email matching 2 patients — see the file header note: likely the same RLS gap as TC-P3F-001, not a bug specific to this case. with timeout 15000ms
  - waiting for getByText(/select your profile/i)</t>
  </si>
  <si>
    <t>One shared family email covering a parent and child is common — silently picking the wrong profile would show one patient the other's medical records.</t>
  </si>
  <si>
    <t>TC-P3F-006</t>
  </si>
  <si>
    <t>Selecting a profile from the picker logs in as that specific patient only</t>
  </si>
  <si>
    <t>1) Complete TC-P3F-005 2) Click the PT-QA-0003 (Anitha Menon) card in the picker Route: /portal</t>
  </si>
  <si>
    <t>The portal activates PT-QA-0003 specifically — the dashboard shows Anitha Menon's name and UHID, not PT-QA-0002's.</t>
  </si>
  <si>
    <t>PT-QA-0003</t>
  </si>
  <si>
    <t xml:space="preserve">Automated: FAILED.
Error: expect(locator).toBeVisible() failed
Locator: getByText(/select your profile/i)
Expected: visible
Timeout: 15000ms
Error: element(s) not found
Call log:
  - Expect "toBeVisible" with timeout 15000ms
  - waiting for getByText(/select your profile/i)</t>
  </si>
  <si>
    <t>Confirms the picker's selection actually threads through to the activated session rather than defaulting to the first match regardless of the click.</t>
  </si>
  <si>
    <t>TC-P3F-007</t>
  </si>
  <si>
    <t>An email matching zero patient records shows the self-service Create Profile form</t>
  </si>
  <si>
    <t>1) Mint and open a magic-link session for phase3.portal.noMatchEmail (an email not on any patient record) Route: /portal</t>
  </si>
  <si>
    <t>"Create Your Profile" is shown with the logged-in email pre-filled and a Full Name field required to proceed.</t>
  </si>
  <si>
    <t>phase3.portal.noMatchEmail</t>
  </si>
  <si>
    <t>A genuinely new patient discovering the portal before ever visiting the hospital in person must have a path in — refusing them entirely would just push everyone back to the phone.</t>
  </si>
  <si>
    <t>patients where email = phase3.portal.noMatchEmail → no row exists yet (the profile has not been created, only the form is shown)</t>
  </si>
  <si>
    <t>TC-P3F-008</t>
  </si>
  <si>
    <t>Self-service profile creation issues a THIRD, distinct UHID series</t>
  </si>
  <si>
    <t>1) Complete TC-P3F-007 2) Fill Full Name, Gender, DOB, Mobile from phase3.portal.createProfile 3) Click "Create Profile &amp; Continue" 4) Read the new patient's uhid in Supabase Route: /portal</t>
  </si>
  <si>
    <t>CURRENT APP BEHAVIOUR (a defect): the UHID is `PAT-&lt;year&gt;-&lt;6 random base36 chars&gt;` (genUhid() in PatientPortalLogin.tsx) — a THIRD scheme, matching neither the staff registration series nor the kiosk's `K...` series.</t>
  </si>
  <si>
    <t>phase3.portal.createProfile, phase3.portal.noMatchEmail</t>
  </si>
  <si>
    <t xml:space="preserve">Automated: FAILED.
Error: No patient row was created by self-service profile creation.
expect(received).toBeTruthy()
Received: undefined</t>
  </si>
  <si>
    <t>Three unrelated UHID formats across three registration surfaces make it impossible for a hospital to reason about "is this a valid UHID" in a single regex anywhere in reporting, exports or integrations.</t>
  </si>
  <si>
    <t>patients where hospital_id = A and full_name = 'Divakar Reddy' → uhid matches /^PAT-\d{4}-[A-Z0-9]{6}$/</t>
  </si>
  <si>
    <t>TC-P3F-009</t>
  </si>
  <si>
    <t>A soft-deleted (is_active=false) patient cannot log into the patient portal</t>
  </si>
  <si>
    <t>1) In Supabase, set patients.is_active = false for PT-QA-0002 (revert after) 2) Set its email to phase3.portal.singleMatchEmail 3) Mint and open a magic-link session for that email Route: /portal</t>
  </si>
  <si>
    <t>The lookup finds zero matches (findPatients() filters is_active = true) and the portal shows Create Profile — it does NOT log into the deactivated record.</t>
  </si>
  <si>
    <t>PT-QA-0002, phase3.portal.singleMatchEmail</t>
  </si>
  <si>
    <t>A soft-deleted patient regaining portal access to their own (or a since-reused) record would defeat the entire purpose of the DPDP erasure toggle in Section 3H.</t>
  </si>
  <si>
    <t>patients where uhid = 'PT-QA-0002' → is_active = false throughout</t>
  </si>
  <si>
    <t>TC-P3F-010</t>
  </si>
  <si>
    <t>A Hospital B patient's portal session cannot see Hospital A data by guessing the URL</t>
  </si>
  <si>
    <t>1) Log in to the portal as PT-QA-0030 (Rohan Kulkarni, Hospital B) via its own hospital's portal URL 2) With that session active, edit the URL's ?h= query param to Hospital A's id and reload /portal/bills</t>
  </si>
  <si>
    <t>The session either stays scoped to Hospital B (blank/own data only) or is rejected outright — at no point does swapping the ?h= param expose any Hospital A patient or billing data.</t>
  </si>
  <si>
    <t xml:space="preserve">Automated: FAILED.
Error: expect(page).toHaveURL(expected) failed
Expected pattern: /\/portal\/dashboard/
Received string:  "http://localhost:8080/portal?h=ca106510-6eb0-4a41-ac47-e8a6815c9f9b#"
Timeout: 15000ms
Call log:
  - Expect "toHaveURL" with timeout 15000ms
    18 × unexpected value "http://localhost:8080/portal?h=ca106510-6eb0-4a41-ac47-e8a6815c9f9b#"</t>
  </si>
  <si>
    <t>The portal's hospital scoping comes from client-side sessionStorage and a URL query param, both of which a user fully controls — this is exactly the shape of parameter a determined patient could tamper with.</t>
  </si>
  <si>
    <t>Patient portal (own session, Hospital B)</t>
  </si>
  <si>
    <t>TC-P3G-001</t>
  </si>
  <si>
    <t>3G Edit &amp; audit trail</t>
  </si>
  <si>
    <t>Editing a patient's phone via the detail drawer persists the new value</t>
  </si>
  <si>
    <t>1) Open /patients 2) Click PT-QA-0002 (Sunita Reddy) to open the detail drawer 3) Click the pencil (Edit) icon 4) Change Phone to phase3.edit.newPhone 5) Click Save Changes</t>
  </si>
  <si>
    <t>A "Patient details updated" toast appears and the drawer now shows the new phone number after it re-fetches.</t>
  </si>
  <si>
    <t>PT-QA-0002, phase3.edit.newPhone</t>
  </si>
  <si>
    <t>A phone correction is the single most common patient-record edit in daily operation — it must actually reach the database, not just the toast.</t>
  </si>
  <si>
    <t>patients where uhid = 'PT-QA-0002' → phone = '9876599999'</t>
  </si>
  <si>
    <t>e2e/phase-03-patient-records/P3G.edit-audit.spec.ts</t>
  </si>
  <si>
    <t>TC-P3G-002</t>
  </si>
  <si>
    <t>Editing a patient's phone writes an audit_log row with old and new values</t>
  </si>
  <si>
    <t>1) Note the current phone value for PT-QA-0002 before editing 2) Complete TC-P3G-001 3) Query audit_log for table_name = patients, record_id = PT-QA-0002's id, ordered newest first Route: /patients</t>
  </si>
  <si>
    <t>The newest audit_log row has action = "UPDATE", old_values.phone = the previous number, and new_values.phone = "9876599999".</t>
  </si>
  <si>
    <t>This is the DPDP/NABH-required PHI change trail — without it, nobody can answer "who changed this patient's contact details and when" after the fact.</t>
  </si>
  <si>
    <t>audit_log where table_name = 'patients' and record_id = (PT-QA-0002 id) → newest row has new_values-&gt;&gt;'phone' = '9876599999'</t>
  </si>
  <si>
    <t>TC-P3G-003</t>
  </si>
  <si>
    <t>The audit_log row records the editing user's id</t>
  </si>
  <si>
    <t>1) Complete TC-P3G-001 while logged in as hospital_admin 2) Read the newest audit_log row's changed_by column Route: /patients</t>
  </si>
  <si>
    <t>changed_by equals the hospital_admin's own users.id (via auth.uid()), not null and not another user's id.</t>
  </si>
  <si>
    <t>An audit trail with no reliable "who" column cannot support an internal investigation or a NABH evidence request.</t>
  </si>
  <si>
    <t>audit_log where table_name = 'patients' and record_id = (PT-QA-0002 id) → newest row changed_by is not null</t>
  </si>
  <si>
    <t>TC-P3G-004</t>
  </si>
  <si>
    <t>Editing via the Register/Edit modal (not the drawer) also persists and audits the change</t>
  </si>
  <si>
    <t>1) Open PT-QA-0003 (Anitha Menon) via any screen that opens PatientRegistrationModal in edit mode 2) Change the Address field 3) Save Route: /patients</t>
  </si>
  <si>
    <t>The address updates in the database and a matching audit_log row is written — the same trigger fires regardless of which UI component performed the update.</t>
  </si>
  <si>
    <t>There are two separate edit surfaces in the app (drawer and modal) — this proves the DB-level audit trigger protects both, not just the one exercised in TC-P3G-001/002.</t>
  </si>
  <si>
    <t>audit_log where table_name = 'patients' and record_id = (PT-QA-0003 id) → newest row reflects the address change</t>
  </si>
  <si>
    <t>TC-P3G-005</t>
  </si>
  <si>
    <t>A no-op edit (Save with nothing changed) still writes an audit_log row</t>
  </si>
  <si>
    <t>1) Open PT-QA-0004's edit form 2) Change nothing 3) Click Save Changes Route: /patients</t>
  </si>
  <si>
    <t>The UPDATE still executes (Postgres fires row triggers on UPDATE even with identical values), so a new audit_log row appears with old_values equal to new_values.</t>
  </si>
  <si>
    <t>PT-QA-0004</t>
  </si>
  <si>
    <t xml:space="preserve">TypeError: Failed to fetch
    at guardedFetch (http://localhost:8080/src/integrations/supabase/client.ts:22:9)
    at http://localhost:8080/node_modules/.vite/deps/@supabase_supabase-js.js?v=e6ce90e1:12801:39
    at _handleRequest (http://localhost:8080/node_modules/.vite/deps/@supabase_supabase-js.js?v=e6ce90e1:13067:18)
    at _request (http://localhost:8080/node_modules/.vite/deps/@supabase_supabase-js.js?v=e6ce90e1:13054:21)
    at http://localhost:8080/node_modules/.vite/deps/@supabase_supabase-js.js?v=e6ce90e1:17802:18
    at SupabaseAuthClient._useSession (http://localhost:8080/node_mo
…(truncated)</t>
  </si>
  <si>
    <t>Documents that the audit trail cannot be used to infer 'a real change happened' on its own — a no-op save still produces a row, which matters for anyone reading the log later.</t>
  </si>
  <si>
    <t>audit_log where table_name = 'patients' and record_id = (PT-QA-0004 id) → a new row appears with old_values = new_values</t>
  </si>
  <si>
    <t>TC-P3G-006</t>
  </si>
  <si>
    <t>Phone edit rejects a value that is not exactly 10 digits</t>
  </si>
  <si>
    <t>1) Open PT-QA-0002's edit form 2) Change Phone to phase3.edit.invalidPhone (5 digits) 3) Click Save Changes Route: /patients</t>
  </si>
  <si>
    <t>"Phone must be exactly 10 digits" is shown and the save is blocked — the stored phone is unchanged.</t>
  </si>
  <si>
    <t>PT-QA-0002, phase3.edit.invalidPhone</t>
  </si>
  <si>
    <t>The same validation that protects registration must also protect edits — otherwise a malformed number can only get INTO the system via an edit, not registration, and still cause the same downstream SMS failures.</t>
  </si>
  <si>
    <t>patients where uhid = 'PT-QA-0002' → phone unchanged from before this test</t>
  </si>
  <si>
    <t>TC-P3G-007</t>
  </si>
  <si>
    <t>Full name cannot be cleared to empty on edit</t>
  </si>
  <si>
    <t>1) Open PT-QA-0002's edit form 2) Clear the Full Name field entirely 3) Click Save Changes Route: /patients</t>
  </si>
  <si>
    <t>"Patient name is required" is shown and the save is blocked.</t>
  </si>
  <si>
    <t>A blanked-out name on an existing, active patient with real history attached would be far more damaging than rejecting one at registration — every existing bill, order and chart entry becomes unattributed.</t>
  </si>
  <si>
    <t>patients where uhid = 'PT-QA-0002' → full_name still 'Sunita Reddy'</t>
  </si>
  <si>
    <t>TC-P3G-008</t>
  </si>
  <si>
    <t>A receptionist can edit patient demographic details</t>
  </si>
  <si>
    <t>1) Log in as receptionist (Hospital A) 2) Open PT-QA-0005 and edit the Address field 3) Save Route: /patients</t>
  </si>
  <si>
    <t>The edit succeeds — the receptionist role is the one that routinely corrects contact details at the front desk.</t>
  </si>
  <si>
    <t>PT-QA-0005</t>
  </si>
  <si>
    <t>Roles &amp; Permissions: receptionist has edit access on patients</t>
  </si>
  <si>
    <t>If only hospital_admin can fix a mistyped address, every correction queues up behind an administrator who is rarely at the front desk.</t>
  </si>
  <si>
    <t>patients where uhid = 'PT-QA-0005' → address reflects the edit</t>
  </si>
  <si>
    <t>TC-P3G-009</t>
  </si>
  <si>
    <t>FHIR R4 export downloads a bundle containing the current patient details</t>
  </si>
  <si>
    <t>1) Open PT-QA-0002's detail drawer 2) Click "Export FHIR R4" Route: /patients</t>
  </si>
  <si>
    <t>A JSON file downloads containing a FHIR bundle with a Patient resource matching PT-QA-0002's current name and identifiers, plus Encounter/Condition resources.</t>
  </si>
  <si>
    <t>This export is the mechanism by which a patient's record leaves this hospital for ABDM health-record sharing — if it silently fails or contains stale data, the receiving facility gets a wrong picture.</t>
  </si>
  <si>
    <t>TC-P3H-001</t>
  </si>
  <si>
    <t>3H Soft-delete / erasure</t>
  </si>
  <si>
    <t>Deleting a patient sets is_active=false rather than removing the row</t>
  </si>
  <si>
    <t>1) Register a disposable test patient (reuse phase3.registration.receptionistEntry with a fresh phone if already used) with no admissions or bills 2) Open its detail drawer 3) Click the trash icon 4) Confirm "Delete Patient" in the dialog Route: /patients</t>
  </si>
  <si>
    <t>A "Patient removed from active records" toast appears; the patients row still exists in the database with is_active = false — it is never actually deleted.</t>
  </si>
  <si>
    <t>phase3.registration.receptionistEntry</t>
  </si>
  <si>
    <t>This is the whole premise DPDP-erasure testing rests on — every other case in this section only makes sense if delete really is soft.</t>
  </si>
  <si>
    <t>patients where full_name = 'Farida Sheikh' → row still exists, is_active = false</t>
  </si>
  <si>
    <t>e2e/phase-03-patient-records/P3H.soft-delete.spec.ts</t>
  </si>
  <si>
    <t>TC-P3H-002</t>
  </si>
  <si>
    <t>A soft-deleted patient is excluded from the default patient list</t>
  </si>
  <si>
    <t>1) Complete TC-P3H-001 2) Open /patients with "Show Inactive" left OFF</t>
  </si>
  <si>
    <t>The deleted patient does not appear anywhere in the list or the total-count badge.</t>
  </si>
  <si>
    <t>None (uses the patient from TC-P3H-001)</t>
  </si>
  <si>
    <t>A deactivated patient still showing in the daily working list would let staff keep booking appointments against a record the hospital believes it removed.</t>
  </si>
  <si>
    <t>TC-P3H-003</t>
  </si>
  <si>
    <t>A soft-deleted patient reappears when "Show Inactive" is toggled on</t>
  </si>
  <si>
    <t>1) With the patient from TC-P3H-001 still deleted, open /patients 2) Click "Show Inactive"</t>
  </si>
  <si>
    <t>The patient reappears in the list, greyed out, with an "Inactive" badge next to the name.</t>
  </si>
  <si>
    <t>Historical/audit access to a deactivated record must remain possible — DPDP soft-delete is about hiding from routine work, not making the record unfindable to authorised staff.</t>
  </si>
  <si>
    <t>TC-P3H-004</t>
  </si>
  <si>
    <t>A soft-deleted patient is excluded from name/phone/UHID search by default</t>
  </si>
  <si>
    <t>1) With "Show Inactive" OFF, search /patients for the deleted patient's exact name or UHID</t>
  </si>
  <si>
    <t>No results are returned — search respects the same is_active filter as the base list.</t>
  </si>
  <si>
    <t>DPDP erasure explicitly requires exclusion from "all searches" — a search box that bypasses the list filter would undermine the whole feature.</t>
  </si>
  <si>
    <t>TC-P3H-005</t>
  </si>
  <si>
    <t>Delete is blocked for a patient with an active (non-discharged) admission</t>
  </si>
  <si>
    <t>1) Identify a Hospital A patient with an admissions row where status != "discharged" (or create one if Phase 7 fixtures exist) 2) Attempt to delete that patient Route: /patients</t>
  </si>
  <si>
    <t>"Cannot delete patient with active admissions. Please discharge first." is shown in the confirmation dialog and is_active stays true.</t>
  </si>
  <si>
    <t>A patient with an active admission (Phase 7 fixture, or skip with a named reason if none exists yet)</t>
  </si>
  <si>
    <t>Soft-deleting a currently-admitted patient would strand every nursing/billing screen that is actively working their stay.</t>
  </si>
  <si>
    <t>admissions where patient_id = (that patient) and status != discharged → still exists; patients.is_active still true</t>
  </si>
  <si>
    <t>TC-P3H-006</t>
  </si>
  <si>
    <t>Delete is blocked for a patient with an unpaid bill</t>
  </si>
  <si>
    <t>1) Identify a Hospital A patient with a bills row where payment_status is not in (paid, cancelled, or a refund status) 2) Attempt to delete that patient Route: /patients</t>
  </si>
  <si>
    <t>"Cannot delete patient with unpaid bills. Please settle bills first." is shown and is_active stays true.</t>
  </si>
  <si>
    <t>A patient with an unpaid bill (Phase 8 fixture, or skip with a named reason if none exists yet)</t>
  </si>
  <si>
    <t>Deactivating a patient who still owes money would make that receivable invisible on every collections and ageing report.</t>
  </si>
  <si>
    <t>bills where patient_id = (that patient) and payment_status not in (paid,cancelled,...) → still exists; patients.is_active still true</t>
  </si>
  <si>
    <t>TC-P3H-007</t>
  </si>
  <si>
    <t>Delete is allowed for a patient whose only bills are paid or cancelled</t>
  </si>
  <si>
    <t>1) Use the disposable test patient from TC-P3H-001, which has zero bills (vacuously satisfies "no unpaid bills") 2) Confirm the delete succeeds (already proven) 3) As a positive control, note no "unpaid bills" error appeared Route: /patients</t>
  </si>
  <si>
    <t>Delete completes without the unpaid-bills guard firing, confirming the guard is scoped to genuinely unpaid bills and does not block a clean record.</t>
  </si>
  <si>
    <t>Without this contrast case, TC-P3H-006 alone can't distinguish 'the guard correctly blocks unpaid bills' from 'the guard blocks every delete, unpaid or not.'</t>
  </si>
  <si>
    <t>patients where full_name = phase3.registration.receptionistEntry.fullName → is_active = false, confirming TC-P3H-001's delete went through uncontested</t>
  </si>
  <si>
    <t>TC-P3H-008</t>
  </si>
  <si>
    <t>The delete confirmation dialog names the specific patient before proceeding</t>
  </si>
  <si>
    <t>1) Open any patient's detail drawer 2) Click the trash icon Route: /patients</t>
  </si>
  <si>
    <t>The confirmation dialog title reads "Delete &lt;that patient's full name&gt;?" — not a generic "Delete this patient?" with no name.</t>
  </si>
  <si>
    <t>PT-QA-0006</t>
  </si>
  <si>
    <t>A generic confirmation on a list where staff click quickly between rows is how the wrong patient gets deactivated by mistake.</t>
  </si>
  <si>
    <t>patients where uhid = 'PT-QA-0006' → is_active still true (the dialog was cancelled, not confirmed)</t>
  </si>
  <si>
    <t>TC-P3H-009</t>
  </si>
  <si>
    <t>A soft-deleted patient cannot log into the patient portal</t>
  </si>
  <si>
    <t>1) With the patient from TC-P3H-001 deactivated, set its email to a test address and attempt a portal login for that email Route: /portal</t>
  </si>
  <si>
    <t>findPatients() filters is_active = true, so the lookup returns zero matches and the portal shows Create Profile rather than logging into the deactivated record — same assertion as TC-P3F-009, re-run from the erasure angle.</t>
  </si>
  <si>
    <t>Portal</t>
  </si>
  <si>
    <t>A DPDP erasure that still permits the person to authenticate into their own hidden record is not erasure in any meaningful sense.</t>
  </si>
  <si>
    <t>TC-P3H-010</t>
  </si>
  <si>
    <t>Reactivating a soft-deleted patient is not offered anywhere in the Patients UI</t>
  </si>
  <si>
    <t>1) With the patient from TC-P3H-001 deactivated and visible via "Show Inactive", inspect every button/action available on that row and in its detail drawer</t>
  </si>
  <si>
    <t>CURRENT APP BEHAVIOUR (a gap): unlike Departments (which offer both Deactivate and Activate), the Patients screens offer no Reactivate/Undo control anywhere — is_active can only ever be flipped false from the UI, never back to true.</t>
  </si>
  <si>
    <t>A patient deactivated by mistake (or whose erasure request is later withdrawn) has no UI path back to active status — someone must edit the database directly, which is inconsistent with how every other soft-delete in this app works.</t>
  </si>
  <si>
    <t>TC-P3H-011</t>
  </si>
  <si>
    <t>No true per-patient DPDP erasure exists — the erasure-request table has no patient_id column</t>
  </si>
  <si>
    <t>1) In Supabase, inspect the columns of data_erasure_requests Query columns from data_erasure_requests.</t>
  </si>
  <si>
    <t>The table has hospital_id, requested_by, reason, status, reviewed_by, reviewed_at, admin_notes — no patient_id column anywhere. The only "erasure" mechanism reachable from the Patients screens is the is_active soft-delete toggle; a genuine per-patient PHI-erasure request can only be filed at the whole-hospital level from Settings → Backup, reviewed manually by the platform team.</t>
  </si>
  <si>
    <t>A hospital telling a patient "we have erased your data" under a DPDP request today can only truthfully mean "we hid your record from search," not that anything was actually erased — this needs to be understood before go-live, not discovered during a real DPDP complaint.</t>
  </si>
  <si>
    <t>information_schema.columns where table_name = 'data_erasure_requests' → no column named patient_id</t>
  </si>
  <si>
    <t>TC-P3I-001</t>
  </si>
  <si>
    <t>3I Documents</t>
  </si>
  <si>
    <t>Uploading a supported image document succeeds and creates a patient_documents row</t>
  </si>
  <si>
    <t>1) Open PT-QA-0002's detail drawer 2) Scroll to Documents 3) Click the upload zone and choose a small PNG (e.g. phase3.documents.sampleFileName, generated in-test) 4) Click "Upload &amp; Analyse" Route: /patients</t>
  </si>
  <si>
    <t>"Document uploaded successfully" toast appears and the document is listed with its type badge and upload date.</t>
  </si>
  <si>
    <t>phase3.documents.sampleFileName</t>
  </si>
  <si>
    <t xml:space="preserve">Automated: FAILED.
Error: Expected a row in "patient_documents" matching {"patient_id":"fef460b0-8df9-4834-b25f-bf472caa080b","document_name":"aadhaar-sample-qa.png"}, but found none. The UI may have reported success without writing.
expect(received).toBeTruthy()
Received: false</t>
  </si>
  <si>
    <t>Scanned Aadhaar cards and insurance documents are the paperless-registration promise of this screen — if the upload silently fails, staff fall back to physical photocopies.</t>
  </si>
  <si>
    <t>patient_documents where patient_id = (PT-QA-0002 id) and document_name like '%aadhaar-sample-qa%' → row exists</t>
  </si>
  <si>
    <t>e2e/phase-03-patient-records/P3I.documents.spec.ts</t>
  </si>
  <si>
    <t>TC-P3I-002</t>
  </si>
  <si>
    <t>The uploaded file is stored under a hospital_id/patient_id-scoped path</t>
  </si>
  <si>
    <t>1) Complete TC-P3I-001 2) In Supabase Storage, open the patient-documents bucket and locate the uploaded object Route: /patients</t>
  </si>
  <si>
    <t>The object's path is `&lt;hospital_id&gt;/&lt;patient_id&gt;/&lt;timestamp&gt;_&lt;filename&gt;` — never a flat filename with no tenant/patient prefix.</t>
  </si>
  <si>
    <t>The bucket's own RLS policy keys off the first path segment being the caller's hospital_id — a document stored under the wrong path shape would be invisible (or worse, visible to the wrong tenant) regardless of the patient_documents row being correct.</t>
  </si>
  <si>
    <t>patient_documents where patient_id = (PT-QA-0002 id) → file_url starts with the Hospital A id</t>
  </si>
  <si>
    <t>TC-P3I-003</t>
  </si>
  <si>
    <t>A file larger than 15MB is rejected client-side before upload</t>
  </si>
  <si>
    <t>1) Open PT-QA-0002's Documents section 2) Select a file over 15MB (generated in-test as a 16MB buffer) Route: /patients</t>
  </si>
  <si>
    <t>"File too large — Maximum 15MB allowed" toast appears and no upload request is sent.</t>
  </si>
  <si>
    <t>None (16MB buffer generated at runtime)</t>
  </si>
  <si>
    <t>An oversized upload that is only rejected server-side would waste bandwidth and time on the exact slow hospital networks this limit is meant to protect.</t>
  </si>
  <si>
    <t>patient_documents where patient_id = (PT-QA-0002 id) → count unchanged from before this test</t>
  </si>
  <si>
    <t>TC-P3I-004</t>
  </si>
  <si>
    <t>The file picker only offers the supported document types</t>
  </si>
  <si>
    <t>1) Open PT-QA-0002's Documents section 2) Click the upload zone and inspect the native file-picker's `accept` filter Route: /patients</t>
  </si>
  <si>
    <t>The input accepts only image/jpeg, image/png, image/webp, image/gif, application/pdf, .docx, .doc, text/plain, .csv — an unsupported type (e.g. .exe) is filtered out by the OS picker.</t>
  </si>
  <si>
    <t>Confirms the accepted-type allowlist actually reaches the DOM input, not just the code that reads it after selection.</t>
  </si>
  <si>
    <t>TC-P3I-005</t>
  </si>
  <si>
    <t>A document's signed view URL only opens for staff of the correct hospital</t>
  </si>
  <si>
    <t>1) Complete TC-P3I-001 as Hospital A 2) Copy the resolved signed URL used by the "View document" eye icon 3) As the service-role/anon client authenticated as a Hospital B user, attempt to fetch the same storage path directly</t>
  </si>
  <si>
    <t>The Hospital B session is refused by storage RLS ((storage.foldername(name))[1] = get_user_hospital_id()) — it cannot read a Hospital A patient's document even with the exact path.</t>
  </si>
  <si>
    <t>Storage/RLS</t>
  </si>
  <si>
    <t>This bucket was flipped from public to private after a real defect (20261010000010) where any hospital could read any other hospital's uploaded documents — this case locks that fix as a regression guard.</t>
  </si>
  <si>
    <t>TC-P3I-006</t>
  </si>
  <si>
    <t>Deleting a document removes both the storage object and the patient_documents row</t>
  </si>
  <si>
    <t>1) Complete TC-P3I-001 2) Click the trash icon on the uploaded document 3) Confirm the browser delete prompt Route: /patients</t>
  </si>
  <si>
    <t>"Document deleted" toast appears; the patient_documents row is gone AND the storage object at its path is gone.</t>
  </si>
  <si>
    <t>Deleting only the database row while leaving the file in storage would silently accumulate orphaned PHI documents forever, with no record pointing at them for a future DPDP audit to find.</t>
  </si>
  <si>
    <t>patient_documents where patient_id = (PT-QA-0002 id) and document_name like '%aadhaar-sample-qa%' → no row</t>
  </si>
  <si>
    <t>TC-P3I-007</t>
  </si>
  <si>
    <t>A failed patient_documents insert cleans up the already-uploaded storage object</t>
  </si>
  <si>
    <t>MANUAL ONLY: 1) Force a patient_documents insert failure after a successful storage upload (e.g. temporarily revoke insert grant, or use a document_type value a DB trigger rejects) 2) Attempt an upload 3) Check both the storage bucket and the table for the orphan Route: /patients</t>
  </si>
  <si>
    <t>The storage object uploaded just before the failed insert is removed by the component's cleanup path (storage.remove()), leaving no orphaned file.</t>
  </si>
  <si>
    <t>None — requires deliberately breaking the insert, not reproducible through normal UI actions</t>
  </si>
  <si>
    <t>A way to force the insert to fail (schema/permission change, reverted after)</t>
  </si>
  <si>
    <t>An orphaned file with no database pointer is invisible PHI sitting in storage indefinitely — this is the one failure path worth proving even though it cannot be triggered through ordinary use.</t>
  </si>
  <si>
    <t>TC-P3I-008</t>
  </si>
  <si>
    <t>Hospital B staff cannot open a document belonging to a Hospital A patient through the app UI</t>
  </si>
  <si>
    <t>1) Complete TC-P3I-001 as Hospital A 2) Log in as hospital_admin (Hospital B) 3) Attempt to reach the same patient's document via the UI (there is no cross-tenant patient to select from, so this proves the document never appears in any Hospital B screen) Route: /patients</t>
  </si>
  <si>
    <t>The document is not reachable from any Hospital B screen — there is no patient record to click through to, and RLS blocks direct access regardless (see TC-P3I-005).</t>
  </si>
  <si>
    <t xml:space="preserve">Failed to load resource: the server responded with a status of 404 ()
Failed to load resource: the server responded with a status of 404 ()
Failed to load resource: the server responded with a status of 404 ()</t>
  </si>
  <si>
    <t>Confirms the UI-level isolation matches the storage-level isolation proven in TC-P3I-005 — both layers must independently hold.</t>
  </si>
  <si>
    <t>TC-P3J-001</t>
  </si>
  <si>
    <t>3J Cross-tenant</t>
  </si>
  <si>
    <t>Pasting a Hospital B patient's UUID into /patients/:id/summary as Hospital A staff returns no data</t>
  </si>
  <si>
    <t>1) Note PT-QA-0030's patient id (Hospital B) from Supabase 2) Log in as hospital_admin (Hospital A) 3) Navigate directly to /patients/&lt;PT-QA-0030's id&gt;/summary</t>
  </si>
  <si>
    <t>The page shows no patient data (blank/error state) — PatientSummaryPage's query has no hospital_id filter, so this is a pure RLS test: the "Users can view own hospital patients" policy must return zero rows for a foreign patient id.</t>
  </si>
  <si>
    <t>This route fetches by id alone with NO hospital_id filter in the query — if RLS is ever weakened, this is the exact page that would leak a Hospital B patient's full clinical summary to Hospital A staff.</t>
  </si>
  <si>
    <t>e2e/phase-03-patient-records/P3J.cross-tenant.spec.ts</t>
  </si>
  <si>
    <t>TC-P3J-002</t>
  </si>
  <si>
    <t>A raw REST/RLS query for the patients table as a Hospital A session returns zero Hospital B rows</t>
  </si>
  <si>
    <t>1) Sign in as MOCK.hospitals.A.adminEmail against the anon Supabase client 2) Query the patients table with no hospital_id filter, limit 1000 3) Filter the results for hospital_id = Hospital B's id Query rows from patients.</t>
  </si>
  <si>
    <t>Zero rows with Hospital B's hospital_id come back — RLS enforces isolation independent of any UI filtering.</t>
  </si>
  <si>
    <t>This is the single most direct proof that patient isolation is enforced at the database layer, not just hidden by list-page filtering that a direct API call would bypass.</t>
  </si>
  <si>
    <t>expectNoCrossTenantRows(patients, Hospital A admin, Hospital B id) → 0 leaked rows</t>
  </si>
  <si>
    <t>TC-P3J-003</t>
  </si>
  <si>
    <t>The /patients?id=&lt;uuid&gt; deep link ignores a foreign hospital's patient id</t>
  </si>
  <si>
    <t>1) Log in as hospital_admin (Hospital A) 2) Navigate to /patients?id=&lt;PT-QA-0030's id (Hospital B)&gt;</t>
  </si>
  <si>
    <t>The deep-link handler's own query (.eq("id", patientId).eq("hospital_id", hospitalId)) finds no match, so no drawer opens and the ?id= param is cleared silently — this is the positive contrast to TC-P3J-001's route, which has no such filter.</t>
  </si>
  <si>
    <t>Confirms the list page's deep-link path was built with the hospital_id filter that the /summary route is missing — useful evidence for whoever fixes TC-P3J-001, showing the correct pattern already exists elsewhere in the same codebase.</t>
  </si>
  <si>
    <t>TC-P3J-004</t>
  </si>
  <si>
    <t>Hospital A's patient list search never surfaces a Hospital B patient by name or phone</t>
  </si>
  <si>
    <t>1) Log in as hospital_admin (Hospital A) 2) Search /patients for "Rohan Kulkarni" (PT-QA-0030's name) and separately for its phone 9876500030</t>
  </si>
  <si>
    <t>No results are returned for either search — the query is scoped .eq("hospital_id", hospitalId) before the search filter is applied.</t>
  </si>
  <si>
    <t>A search box that returns a foreign-tenant name would disclose that a specific person is a patient at another hospital — a privacy leak even without opening the record.</t>
  </si>
  <si>
    <t>TC-P3J-005</t>
  </si>
  <si>
    <t>A Hospital A doctor cannot open Hospital B's PatientSummaryPage via direct navigation</t>
  </si>
  <si>
    <t>1) Log in as doctor (Hospital A) 2) Navigate directly to /patients/&lt;PT-QA-0030's id&gt;/summary</t>
  </si>
  <si>
    <t>Same as TC-P3J-001 but from a clinical (non-admin) role — no patient data renders, confirming the RLS protection is role-independent, not something only enforced for admins.</t>
  </si>
  <si>
    <t>A clinician role often has the broadest read access to clinical data across a hospital — if any role were going to slip through a cross-tenant gap, it would be this one.</t>
  </si>
  <si>
    <t>TC-P4A-001</t>
  </si>
  <si>
    <t>4A Queue &amp; Tokens</t>
  </si>
  <si>
    <t>OPD queue screen loads with no console errors</t>
  </si>
  <si>
    <t>1) Log in as hospital_admin (Hospital A) 2) Open /opd 3) Wait for the queue panel to render 4) Open DevTools (F12) → Console</t>
  </si>
  <si>
    <t>The OPD Queue panel, Call Next Patient and Register Walk-in all render, and the console shows no red errors other than favicon/ResizeObserver noise.</t>
  </si>
  <si>
    <t>Tier 0 complete; departments, staff and service_master consultation rows configured (SETTINGS_PREREQ_MATRIX OPD row)</t>
  </si>
  <si>
    <t>If the OPD queue does not load, the busiest module in the hospital is unusable and every patient of the day has to be handled on paper.</t>
  </si>
  <si>
    <t>e2e/phase-04-opd-journey/P4A.queue-token.spec.ts</t>
  </si>
  <si>
    <t>TC-P4A-002</t>
  </si>
  <si>
    <t>Register Walk-in action is offered to a hospital_admin</t>
  </si>
  <si>
    <t>1) Open /opd 2) Look at the footer of the OPD Queue panel</t>
  </si>
  <si>
    <t>A "+ Register Walk-in" button is visible and enabled.</t>
  </si>
  <si>
    <t>Roles &amp; Permissions: opd → register_walkin granted to hospital_admin</t>
  </si>
  <si>
    <t>Registering a walk-in is the first action of every OPD day; without the control the queue can never be populated.</t>
  </si>
  <si>
    <t>TC-P4A-003</t>
  </si>
  <si>
    <t>The walk-in modal opens with an empty details form</t>
  </si>
  <si>
    <t>1) Open /opd 2) Click "+ Register Walk-in" 3) Inspect the Search Patient box and the Full Name field</t>
  </si>
  <si>
    <t>The modal opens on the details step with the patient search box visible and Full Name blank.</t>
  </si>
  <si>
    <t>A form still holding the previous patient's details would attach the wrong name to a new token and a new bill.</t>
  </si>
  <si>
    <t>TC-P4A-004</t>
  </si>
  <si>
    <t>Department dropdown is populated from the departments master</t>
  </si>
  <si>
    <t>1) Open /opd 2) Click "+ Register Walk-in" 3) Open the Department dropdown</t>
  </si>
  <si>
    <t>The dropdown lists the configured departments and includes General Medicine — it is not empty and does not show only "Select...".</t>
  </si>
  <si>
    <t>Master data — Hospital A → Departments</t>
  </si>
  <si>
    <t>SETTINGS_PREREQ_MATRIX states that with no departments no OPD token can be created at all — this case separates that configuration gap from a code defect.</t>
  </si>
  <si>
    <t>departments where hospital_id = A → at least one active row, including General Medicine</t>
  </si>
  <si>
    <t>TC-P4A-005</t>
  </si>
  <si>
    <t>Choosing a department filters the Doctor dropdown to that department</t>
  </si>
  <si>
    <t>1) Open /opd 2) Click "+ Register Walk-in" 3) Select Department "General Medicine" 4) Open the Doctor dropdown</t>
  </si>
  <si>
    <t>The Doctor list contains Suresh Menon, the General Medicine consultant.</t>
  </si>
  <si>
    <t>Master data — Hospital A → Doctors &amp; consultation fees</t>
  </si>
  <si>
    <t>The desk must be able to book the patient with the doctor they are actually seeing, or the token lands in the wrong queue and prices at the wrong rate.</t>
  </si>
  <si>
    <t>users where hospital_id = A and role = doctor and department = General Medicine → Dr. Suresh Menon exists</t>
  </si>
  <si>
    <t>TC-P4A-006</t>
  </si>
  <si>
    <t>A doctor from another department is not offered once a department is chosen</t>
  </si>
  <si>
    <t>1) Open /opd 2) Click "+ Register Walk-in" 3) Select Department "General Medicine" 4) Read every option in the Doctor dropdown</t>
  </si>
  <si>
    <t>Kavitha Rao (Obstetrics &amp; Gynaecology) does NOT appear in the list.</t>
  </si>
  <si>
    <t>A token raised against the wrong specialty bills the wrong consultation fee and puts the patient in a queue the doctor is not running.</t>
  </si>
  <si>
    <t>TC-P4A-007</t>
  </si>
  <si>
    <t>The token to be issued is previewed before payment is taken</t>
  </si>
  <si>
    <t>1) Open /opd 2) Click "+ Register Walk-in" 3) Search PT-QA-0001 4) Select Department General Medicine and Doctor Suresh Menon 5) Read the token preview panel</t>
  </si>
  <si>
    <t>A panel reads "Token &lt;number&gt; will be assigned" with a non-blank number, before the payment step.</t>
  </si>
  <si>
    <t>PT-QA-0001 Ramesh Kumar</t>
  </si>
  <si>
    <t>The desk tells the patient their number before taking money; without a preview the patient is charged before anyone knows what they are queueing for.</t>
  </si>
  <si>
    <t>TC-P4A-008</t>
  </si>
  <si>
    <t>A walk-in for an existing patient writes an opd_tokens row</t>
  </si>
  <si>
    <t>1) Open /opd 2) Click "+ Register Walk-in" 3) Search PT-QA-0001 4) Department General Medicine, Doctor Suresh Menon 5) Proceed to Payment 6) Pay and issue the token</t>
  </si>
  <si>
    <t>An opd_tokens row exists for PT-QA-0001 with status = waiting and visit_date = today.</t>
  </si>
  <si>
    <t xml:space="preserve">[pageerror] supabase.from(...).insert(...).catch is not a function
Failed to load resource: the server responded with a status of 400 ()
Failed to load resource: the server responded with a status of 404 ()</t>
  </si>
  <si>
    <t>The receipt on screen is not the record. Every later step of the phase — consultation, orders, bill — hangs off this row, so if it is missing nothing downstream can exist.</t>
  </si>
  <si>
    <t>opd_tokens where hospital_id = A and patient_id = (PT-QA-0001) and visit_date = today → status = waiting</t>
  </si>
  <si>
    <t>TC-P4A-009</t>
  </si>
  <si>
    <t>The issued token number is non-blank and carries the queue prefix</t>
  </si>
  <si>
    <t>1) Register a walk-in for PT-QA-0001 with Dr. Suresh Menon at /opd 2) Read token_number and token_prefix from opd_tokens</t>
  </si>
  <si>
    <t>token_number is non-empty and contains token_prefix.</t>
  </si>
  <si>
    <t>A blank token number leaves the display board and the queue with nothing to call, so the patient is never seen even though they are registered and have paid.</t>
  </si>
  <si>
    <t>opd_tokens where hospital_id = A and patient_id = (PT-QA-0001) → token_number not null and contains token_prefix</t>
  </si>
  <si>
    <t>TC-P4A-010</t>
  </si>
  <si>
    <t>Two walk-ins registered moments apart receive different token numbers</t>
  </si>
  <si>
    <t>1) Open /opd 2) Register a walk-in for PT-QA-0001 with Dr. Suresh Menon 3) Immediately register a second walk-in for PT-QA-0003 with the same doctor 4) Compare the two token_number values</t>
  </si>
  <si>
    <t>The two tokens carry different numbers, proving the atomic generate_token_number RPC ran rather than the client-side preview being reused.</t>
  </si>
  <si>
    <t>PT-QA-0001 Ramesh Kumar, PT-QA-0003 Anitha Menon</t>
  </si>
  <si>
    <t xml:space="preserve">[pageerror] supabase.from(...).insert(...).catch is not a function
Failed to load resource: the server responded with a status of 400 ()
Failed to load resource: the server responded with a status of 404 ()
[pageerror] supabase.from(...).insert(...).catch is not a function
Failed to load resource: the server responded with a status of 400 ()
Failed to load resource: the server responded with a status of 404 ()</t>
  </si>
  <si>
    <t>Two patients answering to the same token on a busy morning is a queue collision: one is seen twice and the other is never called, and both bills attach to whichever token the desk picks.</t>
  </si>
  <si>
    <t>opd_tokens where hospital_id = A and visit_date = today → the two rows have distinct token_number values</t>
  </si>
  <si>
    <t>TC-P4A-011</t>
  </si>
  <si>
    <t>A brand-new patient registered at the OPD desk is saved and issued a token</t>
  </si>
  <si>
    <t>1) Open /opd 2) Click "+ Register Walk-in" 3) Enter the new patient from phase4.walkIn (name, age, address, allergies) 4) Department General Medicine, Doctor Suresh Menon 5) Tick DPDP consent 6) Proceed to Payment and issue the token</t>
  </si>
  <si>
    <t>A patients row exists with a non-null UHID, and an opd_tokens row exists for that patient.</t>
  </si>
  <si>
    <t>phase4.walkIn — Ramanjaneyulu Gadde</t>
  </si>
  <si>
    <t>Patients, Billing</t>
  </si>
  <si>
    <t xml:space="preserve">[pageerror] supabase.from(...).insert(...).catch is not a function
Failed to load resource: the server responded with a status of 400 ()
Failed to load resource: the server responded with a status of 400 ()
Failed to load resource: the server responded with a status of 404 ()</t>
  </si>
  <si>
    <t>Most Indian OPD patients register at the counter for the first time on the day they attend, so registration-plus-token in one flow is the primary path, not an edge case.</t>
  </si>
  <si>
    <t>patients where hospital_id = A and full_name = 'Ramanjaneyulu Gadde' → uhid not null; opd_tokens where patient_id = that id → row exists</t>
  </si>
  <si>
    <t>TC-P4A-012</t>
  </si>
  <si>
    <t>A new patient cannot be registered at OPD without DPDP consent</t>
  </si>
  <si>
    <t>1) Open /opd 2) Click "+ Register Walk-in" 3) Enter Full Name from phase4.walkIn 4) Select Department and Doctor 5) Leave the DPDP consent checkbox unticked 6) Click "Proceed to Payment"</t>
  </si>
  <si>
    <t>A "DPDP consent required" message is shown, the flow stays on the details step, and NO patients row is created.</t>
  </si>
  <si>
    <t>A patient record created without recorded consent is a DPDP Act 2023 breach that cannot be fixed retroactively — the checkbox gate is the only enforcement point on this surface.</t>
  </si>
  <si>
    <t>patients where hospital_id = A and full_name = 'Ramanjaneyulu Gadde' → 0 rows</t>
  </si>
  <si>
    <t>TC-P4A-013</t>
  </si>
  <si>
    <t>A walk-in with no patient name is refused</t>
  </si>
  <si>
    <t>1) Open /opd 2) Click "+ Register Walk-in" 3) Leave Full Name blank 4) Select Department General Medicine and Doctor Suresh Menon 5) Click "Proceed to Payment"</t>
  </si>
  <si>
    <t>A "Patient name is required" message blocks the step and no token is created.</t>
  </si>
  <si>
    <t>phase4.invalid.noName</t>
  </si>
  <si>
    <t>An unnamed patient is unfindable at every later touch point — token, lab order, prescription and bill all key on the name the desk typed.</t>
  </si>
  <si>
    <t>opd_tokens where hospital_id = A and visit_date = today → no new row with a blank patient name</t>
  </si>
  <si>
    <t>TC-P4A-014</t>
  </si>
  <si>
    <t>A walk-in with no department is refused</t>
  </si>
  <si>
    <t>1) Open /opd 2) Click "+ Register Walk-in" 3) Enter a Full Name 4) Leave Department unselected 5) Click "Proceed to Payment"</t>
  </si>
  <si>
    <t>A "Department is required" message blocks the step and no token is created.</t>
  </si>
  <si>
    <t>A token with no department belongs to no queue and prices against no rate card, so it is invisible to the doctor and mis-billed at the same time.</t>
  </si>
  <si>
    <t>opd_tokens where hospital_id = A and department_id is null and visit_date = today → 0 rows</t>
  </si>
  <si>
    <t>TC-P4A-015</t>
  </si>
  <si>
    <t>A walk-in with no doctor is refused</t>
  </si>
  <si>
    <t>1) Open /opd 2) Click "+ Register Walk-in" 3) Enter a Full Name 4) Select Department General Medicine 5) Leave Doctor unselected 6) Click "Proceed to Payment"</t>
  </si>
  <si>
    <t>A "Doctor is required" message blocks the step and no token is created.</t>
  </si>
  <si>
    <t>With no doctor the fee lookup has no doctor tier to read and drops through to the department, global and then the hardcoded ₹500 — the visit is silently under-billed.</t>
  </si>
  <si>
    <t>opd_tokens where hospital_id = A and doctor_id is null and visit_date = today → 0 rows</t>
  </si>
  <si>
    <t>TC-P4A-016</t>
  </si>
  <si>
    <t>Priority urgent is persisted on the token</t>
  </si>
  <si>
    <t>1) Open /opd 2) Click "+ Register Walk-in" 3) Search PT-QA-0001 4) Department General Medicine, Doctor Suresh Menon 5) Set Priority to Urgent 6) Pay and issue the token</t>
  </si>
  <si>
    <t>opd_tokens.priority = 'urgent' for the new row.</t>
  </si>
  <si>
    <t>An urgent patient sorted as routine waits behind the entire morning queue, which in an Indian OPD can be three hours.</t>
  </si>
  <si>
    <t>opd_tokens where hospital_id = A and patient_id = (PT-QA-0001) and visit_date = today → priority = urgent</t>
  </si>
  <si>
    <t>TC-P4A-017</t>
  </si>
  <si>
    <t>Priority emergency is persisted on the token</t>
  </si>
  <si>
    <t>1) Open /opd 2) Click "+ Register Walk-in" 3) Search PT-QA-0001 4) Department General Medicine, Doctor Suresh Menon 5) Set Priority to Emergency 6) Pay and issue the token</t>
  </si>
  <si>
    <t>opd_tokens.priority = 'emergency' for the new row.</t>
  </si>
  <si>
    <t>Emergency</t>
  </si>
  <si>
    <t xml:space="preserve">Automated: FAILED.
Error: expect(received).toBe(expected) // Object.is equality
Expected: "emergency"
Received: "normal"</t>
  </si>
  <si>
    <t>Emergency is the top of the triage order; if the highest priority value does not persist, the queue cannot express urgency at all and triage is decorative.</t>
  </si>
  <si>
    <t>opd_tokens where hospital_id = A and patient_id = (PT-QA-0001) and visit_date = today → priority = emergency</t>
  </si>
  <si>
    <t>TC-P4A-018</t>
  </si>
  <si>
    <t>Visit type Emergency is persisted as visit_type</t>
  </si>
  <si>
    <t>1) Open /opd 2) Click "+ Register Walk-in" 3) Search PT-QA-0001 4) Department General Medicine, Doctor Suresh Menon 5) Set Visit Type to Emergency 6) Pay and issue the token</t>
  </si>
  <si>
    <t>opd_tokens.visit_type = 'emergency'.</t>
  </si>
  <si>
    <t>service_master consultation rows with fee, follow_up_fee, validity_days and emergency_fee for each doctor (Settings → Services)</t>
  </si>
  <si>
    <t>The emergency consultation rate is charged off this field; without it the higher fee cannot be justified to a patient or an auditor who queries the bill.</t>
  </si>
  <si>
    <t>opd_tokens where hospital_id = A and patient_id = (PT-QA-0001) and visit_date = today → visit_type = emergency</t>
  </si>
  <si>
    <t>TC-P4A-019</t>
  </si>
  <si>
    <t>Visit purpose Follow-Up is persisted as visit_purpose</t>
  </si>
  <si>
    <t>1) Open /opd 2) Click "+ Register Walk-in" 3) Search PT-QA-0001 4) Department General Medicine, Doctor Suresh Menon 5) Set Visit Purpose to Follow-Up 6) Pay and issue the token</t>
  </si>
  <si>
    <t>opd_tokens.visit_purpose = 'follow_up'.</t>
  </si>
  <si>
    <t>Follow-up pricing and the revisit-discount rules both read this field, so a lost value turns a free review into a full-fee consultation.</t>
  </si>
  <si>
    <t>opd_tokens where hospital_id = A and patient_id = (PT-QA-0001) and visit_date = today → visit_purpose = follow_up</t>
  </si>
  <si>
    <t>TC-P4A-020</t>
  </si>
  <si>
    <t>Payer type defaults to cash and is persisted on the token</t>
  </si>
  <si>
    <t>1) Open /opd 2) Click "+ Register Walk-in" 3) Search PT-QA-0001 4) Department General Medicine, Doctor Suresh Menon 5) Leave Payer Type at its default 6) Pay and issue the token</t>
  </si>
  <si>
    <t>opd_tokens.payer_type = 'cash'.</t>
  </si>
  <si>
    <t>Billing, Insurance</t>
  </si>
  <si>
    <t xml:space="preserve">Failed to load resource: the server responded with a status of 400 ()
[pageerror] supabase.from(...).insert(...).catch is not a function
Failed to load resource: the server responded with a status of 404 ()</t>
  </si>
  <si>
    <t>The payer captured at the first visit is what the pre-auth team reads if the patient is later admitted; a lost value means the cashless request starts from nothing.</t>
  </si>
  <si>
    <t>opd_tokens where hospital_id = A and patient_id = (PT-QA-0001) and visit_date = today → payer_type = cash</t>
  </si>
  <si>
    <t>TC-P4A-021</t>
  </si>
  <si>
    <t>Ticking Medico-Legal Case persists is_mlc and shows the 24-hour police notice</t>
  </si>
  <si>
    <t>1) Open /opd 2) Click "+ Register Walk-in" 3) Search PT-QA-0032 4) Department General Medicine, Doctor Suresh Menon 5) Tick "Medico-Legal Case (MLC)" and enter the police station 6) Pay and issue the token</t>
  </si>
  <si>
    <t>A red notice reading "MLC — Inform police within 24 hours" is displayed, and opd_tokens.is_mlc = true.</t>
  </si>
  <si>
    <t>phase4.mlc — PT-QA-0032 Arun Prakash, Banjara Hills Police Station</t>
  </si>
  <si>
    <t>MRD, Emergency</t>
  </si>
  <si>
    <t>An MLC not flagged at registration is not reported to the police, and the hospital has committed a statutory offence before the patient has left the building.</t>
  </si>
  <si>
    <t>opd_tokens where hospital_id = A and patient_id = (PT-QA-0032) and visit_date = today → is_mlc = true</t>
  </si>
  <si>
    <t>TC-P4A-022</t>
  </si>
  <si>
    <t>A newly issued token appears in the queue immediately</t>
  </si>
  <si>
    <t>1) Open /opd 2) Register a walk-in for PT-QA-0001 with Dr. Suresh Menon 3) Close the receipt 4) Read the OPD Queue panel</t>
  </si>
  <si>
    <t>Ramesh Kumar is listed in the queue without a manual page refresh.</t>
  </si>
  <si>
    <t>A token that is created but not shown leaves the doctor with nobody to call while the patient sits outside believing they are in the queue.</t>
  </si>
  <si>
    <t>opd_tokens where hospital_id = A and patient_id = (PT-QA-0001) and visit_date = today → row exists and is rendered</t>
  </si>
  <si>
    <t>TC-P4A-023</t>
  </si>
  <si>
    <t>The queue search finds a waiting patient by UHID</t>
  </si>
  <si>
    <t>1) Open /opd 2) Register a walk-in for PT-QA-0001 3) Type PT-QA-0001 into the queue search box</t>
  </si>
  <si>
    <t>The queue narrows to Ramesh Kumar.</t>
  </si>
  <si>
    <t>On a 200-patient morning the desk finds a patient by searching, not by scrolling; without search the queue panel is unusable after the first hour.</t>
  </si>
  <si>
    <t>TC-P4A-024</t>
  </si>
  <si>
    <t>A queue search that matches nothing shows an empty state</t>
  </si>
  <si>
    <t>1) Open /opd 2) Type ZZZ-NO-SUCH-PATIENT-9999 into the queue search box 3) Read the queue panel</t>
  </si>
  <si>
    <t>An empty-state message such as "No patients in queue" is shown instead of the unfiltered list.</t>
  </si>
  <si>
    <t>If a no-match search silently shows everything, the desk cannot tell a missing patient from a broken filter and re-registers someone who is already in the queue.</t>
  </si>
  <si>
    <t>TC-P4A-025</t>
  </si>
  <si>
    <t>A receptionist can register a walk-in end to end</t>
  </si>
  <si>
    <t>1) Log out 2) Log in as receptionist (Hospital A) 3) Open /opd 4) Register a walk-in for PT-QA-0001 with Dr. Suresh Menon 5) Pay and issue the token</t>
  </si>
  <si>
    <t>The token is issued and an opd_tokens row exists for PT-QA-0001.</t>
  </si>
  <si>
    <t>Roles &amp; Permissions: opd → register_walkin granted to receptionist</t>
  </si>
  <si>
    <t>The receptionist is the role that performs this all day; if the gate blocks them the entire OPD day stalls at its first step regardless of what admins can do.</t>
  </si>
  <si>
    <t>opd_tokens where hospital_id = A and patient_id = (PT-QA-0001) and visit_date = today → row exists</t>
  </si>
  <si>
    <t>TC-P4A-026</t>
  </si>
  <si>
    <t>A nurse is not offered the Register Walk-in action</t>
  </si>
  <si>
    <t>1) Log out 2) Log in as nurse (Hospital A) 3) Open /opd 4) Look for the "+ Register Walk-in" button</t>
  </si>
  <si>
    <t>The Register Walk-in control is absent for the nurse role.</t>
  </si>
  <si>
    <t>Roles &amp; Permissions: opd → register_walkin NOT granted to nurse</t>
  </si>
  <si>
    <t>Token creation carries a cash-collection step, so this role gate is a financial control as well as a workflow one — a role that cannot handle money must not open the payment screen.</t>
  </si>
  <si>
    <t>TC-P4B-001</t>
  </si>
  <si>
    <t>4B Fee Engine &amp; Revisit</t>
  </si>
  <si>
    <t>A new consultation is priced at the doctor's own configured rate</t>
  </si>
  <si>
    <t>1) Open /opd 2) Click "+ Register Walk-in" 3) Search PT-QA-0001 4) Department General Medicine, Doctor Suresh Menon, Visit Type New 5) Click "Proceed to Payment" 6) Read the Consultation Fee panel</t>
  </si>
  <si>
    <t>The payment step displays ₹500 — Dr. Suresh Menon's configured consultation fee.</t>
  </si>
  <si>
    <t>PT-QA-0001; Doctors &amp; consultation fees — Dr. Suresh Menon ₹500</t>
  </si>
  <si>
    <t>The consultation fee is the single most frequently charged amount in the hospital; a wrong figure here repeats on every patient of every day until someone reconciles the month.</t>
  </si>
  <si>
    <t>service_master where hospital_id = A and item_type = consultation and doctor_id = (Dr. Suresh Menon) → fee = 500</t>
  </si>
  <si>
    <t>e2e/phase-04-opd-journey/P4B.fee-engine.spec.ts</t>
  </si>
  <si>
    <t>TC-P4B-002</t>
  </si>
  <si>
    <t>The rate-source badge names the doctor tier, not the hardcoded default</t>
  </si>
  <si>
    <t>1) Open /opd 2) Register-walk-in flow for PT-QA-0001 with Dr. Suresh Menon, Visit Type New 3) Click "Proceed to Payment" 4) Read the badge beside the Consultation Fee label</t>
  </si>
  <si>
    <t>The badge reads "Doctor rate" — not "Default rate".</t>
  </si>
  <si>
    <t>PT-QA-0001; Doctors &amp; consultation fees — Dr. Suresh Menon</t>
  </si>
  <si>
    <t>"Default rate" is the only on-screen signal that every rate lookup missed and the hardcoded ₹500 is being charged; a hospital that never learns to read this badge under-bills silently forever.</t>
  </si>
  <si>
    <t>service_master where hospital_id = A and item_type = consultation and doctor_id = (Dr. Suresh Menon) and is_active = true → 1 row</t>
  </si>
  <si>
    <t>TC-P4B-003</t>
  </si>
  <si>
    <t>A second doctor with a different configured rate prices differently</t>
  </si>
  <si>
    <t>1) Open /opd 2) Register-walk-in flow for PT-QA-0001 with Department Obstetrics &amp; Gynaecology, Doctor Kavitha Rao, Visit Type New 3) Click "Proceed to Payment" 4) Read the fee</t>
  </si>
  <si>
    <t>The fee displayed is ₹700, Dr. Kavitha Rao's configured rate.</t>
  </si>
  <si>
    <t>PT-QA-0001; Doctors &amp; consultation fees — Dr. Kavitha Rao ₹700</t>
  </si>
  <si>
    <t xml:space="preserve">Automated: FAILED.
Error: No option matching "Dr. Kavitha Rao" under the label "Doctor" on /opd. Available: Select.... If the list is empty this is a PREREQUISITE gap (see SETTINGS_PREREQ_MATRIX.md), not a locator bug.</t>
  </si>
  <si>
    <t>Proves the rate is genuinely resolved per doctor rather than a single hospital-wide constant that happens to match the first doctor tested.</t>
  </si>
  <si>
    <t>service_master where hospital_id = A and item_type = consultation and doctor_id = (Dr. Kavitha Rao) → fee = 700</t>
  </si>
  <si>
    <t>TC-P4B-004</t>
  </si>
  <si>
    <t>A specialist consultation prices at the specialist rate</t>
  </si>
  <si>
    <t>1) Open /opd 2) Register-walk-in flow for PT-QA-0001 with Department General Surgery, Doctor Arjun Nair, Visit Type New 3) Click "Proceed to Payment" 4) Read the fee</t>
  </si>
  <si>
    <t>The fee displayed is ₹800, Dr. Arjun Nair's configured specialist rate.</t>
  </si>
  <si>
    <t>PT-QA-0001; Doctors &amp; consultation fees — Dr. Arjun Nair ₹800</t>
  </si>
  <si>
    <t>A specialist billed at the general rate leaks ₹300 on every consultation, which on a modest surgical OPD is several lakh rupees a year with no error message anywhere.</t>
  </si>
  <si>
    <t>service_master where hospital_id = A and item_type = consultation and doctor_id = (Dr. Arjun Nair) → fee = 800</t>
  </si>
  <si>
    <t>TC-P4B-005</t>
  </si>
  <si>
    <t>With no doctor-level rate the department rate is used</t>
  </si>
  <si>
    <t>1) In Supabase, temporarily set service_master.is_active = false for the Dr. Suresh Menon consultation row 2) Open /opd 3) Register-walk-in flow for PT-QA-0001 with General Medicine / Dr. Suresh Menon 4) Click "Proceed to Payment" 5) Read the fee and the badge 6) Restore is_active = true</t>
  </si>
  <si>
    <t>The badge reads "Dept rate" and the fee equals the department-level consultation rate.</t>
  </si>
  <si>
    <t>PT-QA-0001; Services &amp; rates — General Consultation ₹500</t>
  </si>
  <si>
    <t>The doctor → department → global → ₹500 precedence chain is only trustworthy if each tier is actually reached; a fallback that is never provoked is a fallback that has never been tested.</t>
  </si>
  <si>
    <t>service_master where hospital_id = A and item_type = consultation and doctor_id is null and department_id = (General Medicine) → fee</t>
  </si>
  <si>
    <t>TC-P4B-006</t>
  </si>
  <si>
    <t>With no doctor and no department rate the global rate is used</t>
  </si>
  <si>
    <t>1) In Supabase, temporarily deactivate both the doctor-level and department-level consultation rows in service_master 2) Open /opd 3) Register-walk-in flow for PT-QA-0001 with General Medicine / Dr. Suresh Menon 4) Read the fee and badge on the payment step 5) Restore both rows</t>
  </si>
  <si>
    <t>The badge reads "Global rate" and the fee equals the hospital-wide consultation rate.</t>
  </si>
  <si>
    <t>The global tier is the last configured line of defence before the hardcoded fallback, so it has to be proven to fire rather than assumed.</t>
  </si>
  <si>
    <t>service_master where hospital_id = A and item_type = consultation and doctor_id is null and department_id is null → fee</t>
  </si>
  <si>
    <t>TC-P4B-007</t>
  </si>
  <si>
    <t>With no rate configured at any tier ₹500 is charged silently</t>
  </si>
  <si>
    <t>1) In Supabase, temporarily deactivate the doctor, department and global consultation rows in service_master 2) Open /opd 3) Register-walk-in flow for PT-QA-0001 with General Medicine / Dr. Suresh Menon 4) Read the fee and badge 5) Restore all three rows</t>
  </si>
  <si>
    <t>The fee displayed is exactly ₹500 and the badge reads "Default rate" — no toast, banner or error is shown anywhere.</t>
  </si>
  <si>
    <t>None — this case deliberately removes the prerequisite</t>
  </si>
  <si>
    <t>SETTINGS_PREREQ_MATRIX warns that this app bills a hardcoded ₹500 with no warning; this case pins down exactly how invisible that failure is, so testers stop reporting it as a code bug and start reporting it as configuration.</t>
  </si>
  <si>
    <t>service_master where hospital_id = A and item_type = consultation and is_active = true → 0 rows during the test</t>
  </si>
  <si>
    <t>TC-P4B-008</t>
  </si>
  <si>
    <t>A follow-up inside the validity window is charged the follow-up rate</t>
  </si>
  <si>
    <t>1) Seed a completed opd_tokens row for PT-QA-0001 with Dr. Suresh Menon dated 5 days ago 2) Open /opd 3) Register-walk-in flow for PT-QA-0001 with General Medicine / Dr. Suresh Menon 4) Click "Proceed to Payment" 5) Read the fee</t>
  </si>
  <si>
    <t>The fee displayed is ₹0 — Dr. Suresh Menon's configured free follow-up rate inside the 7-day window.</t>
  </si>
  <si>
    <t>PT-QA-0001; phase4.followUp.withinWindowDays = 5; Dr. Suresh Menon follow-up ₹0 / validity 7d</t>
  </si>
  <si>
    <t>The hospital told this patient the review was free; charging them anyway is the single most common complaint an Indian OPD front desk receives and it is entirely avoidable.</t>
  </si>
  <si>
    <t>service_master where hospital_id = A and doctor_id = (Dr. Suresh Menon) and item_type = consultation → follow_up_fee = 0 and validity_days = 7</t>
  </si>
  <si>
    <t>TC-P4B-009</t>
  </si>
  <si>
    <t>The badge names the follow-up rate and its window length</t>
  </si>
  <si>
    <t>1) Seed a completed visit for PT-QA-0001 with Dr. Suresh Menon 5 days ago 2) Open /opd 3) Register-walk-in flow for the same patient and doctor 4) Read the badge on the payment step</t>
  </si>
  <si>
    <t>The badge reads "Follow-up rate (within 7d)".</t>
  </si>
  <si>
    <t>PT-QA-0001; Dr. Suresh Menon validity 7 days</t>
  </si>
  <si>
    <t>The desk has to be able to explain to the patient why they are paying nothing today, and the window length is the explanation.</t>
  </si>
  <si>
    <t>service_master where hospital_id = A and doctor_id = (Dr. Suresh Menon) → validity_days = 7</t>
  </si>
  <si>
    <t>TC-P4B-010</t>
  </si>
  <si>
    <t>A return on exactly the last day of the window is still a follow-up</t>
  </si>
  <si>
    <t>1) Seed a completed visit for PT-QA-0001 with Dr. Suresh Menon dated exactly 7 days ago 2) Open /opd 3) Register-walk-in flow for the same patient and doctor 4) Read the fee on the payment step</t>
  </si>
  <si>
    <t>The fee is ₹0 — day 7 of a 7-day window is inclusive (daysSince &lt;= validityDays).</t>
  </si>
  <si>
    <t>PT-QA-0001; phase4.followUp.boundaryDays = 7</t>
  </si>
  <si>
    <t>An off-by-one on the inclusive boundary charges a patient full fee on the exact day the doctor told them to come back, which is the worst possible day to get it wrong.</t>
  </si>
  <si>
    <t>TC-P4B-011</t>
  </si>
  <si>
    <t>A return one day after the window is a fresh consultation at full fee</t>
  </si>
  <si>
    <t>1) Seed a completed visit for PT-QA-0001 with Dr. Suresh Menon dated 8 days ago 2) Open /opd 3) Register-walk-in flow for the same patient and doctor 4) Read the fee</t>
  </si>
  <si>
    <t>The fee is ₹500 — the full consultation rate.</t>
  </si>
  <si>
    <t>PT-QA-0001; phase4.followUp.justOutsideWindowDays = 8</t>
  </si>
  <si>
    <t>If the window has no upper edge every returning patient is free forever and the OPD earns nothing on reviews, which is a quiet and total collapse of follow-up revenue.</t>
  </si>
  <si>
    <t>service_master where hospital_id = A and doctor_id = (Dr. Suresh Menon) → fee = 500 and validity_days = 7</t>
  </si>
  <si>
    <t>TC-P4B-012</t>
  </si>
  <si>
    <t>A return well outside the window is charged the full fee</t>
  </si>
  <si>
    <t>1) Seed a completed visit for PT-QA-0001 with Dr. Suresh Menon dated 12 days ago 2) Open /opd 3) Register-walk-in flow for the same patient and doctor 4) Read the fee</t>
  </si>
  <si>
    <t>The fee is ₹500.</t>
  </si>
  <si>
    <t>PT-QA-0001; phase4.followUp.outsideWindowDays = 12</t>
  </si>
  <si>
    <t>Confirms the day-8 boundary result is the rule taking effect rather than a coincidence at the edge of the window.</t>
  </si>
  <si>
    <t>service_master where hospital_id = A and doctor_id = (Dr. Suresh Menon) → fee = 500</t>
  </si>
  <si>
    <t>TC-P4B-013</t>
  </si>
  <si>
    <t>A configured free follow-up bills ₹0 rather than falling back to the base fee</t>
  </si>
  <si>
    <t>1) Confirm Dr. Suresh Menon's follow_up_fee is 0 in service_master 2) Seed a completed visit for PT-QA-0001 with that doctor 5 days ago 3) Open /opd 4) Register-walk-in flow for the same patient and doctor 5) Read the fee</t>
  </si>
  <si>
    <t>The fee is exactly ₹0, not ₹500.</t>
  </si>
  <si>
    <t>PT-QA-0001; Dr. Suresh Menon follow-up ₹0</t>
  </si>
  <si>
    <t>The qualifying test is deliberately "followUpFee !== null" and not "&gt; 0"; if it regresses to a truthiness check every hospital offering free reviews starts charging for them overnight.</t>
  </si>
  <si>
    <t>service_master where hospital_id = A and doctor_id = (Dr. Suresh Menon) → follow_up_fee = 0 (not null)</t>
  </si>
  <si>
    <t>TC-P4B-014</t>
  </si>
  <si>
    <t>A paid follow-up rate is charged where the doctor configures one</t>
  </si>
  <si>
    <t>1) Seed a completed visit for PT-QA-0001 with Dr. Kavitha Rao dated 3 days ago 2) Open /opd 3) Register-walk-in flow for the same patient with Obstetrics &amp; Gynaecology / Dr. Kavitha Rao 4) Read the fee</t>
  </si>
  <si>
    <t>The fee is ₹300 — Dr. Kavitha Rao's configured follow-up rate.</t>
  </si>
  <si>
    <t>PT-QA-0001; Dr. Kavitha Rao follow-up ₹300 / validity 10d</t>
  </si>
  <si>
    <t>Proves a non-zero follow-up rate is honoured as configured rather than being treated as either free or full price.</t>
  </si>
  <si>
    <t>service_master where hospital_id = A and doctor_id = (Dr. Kavitha Rao) → follow_up_fee = 300</t>
  </si>
  <si>
    <t>TC-P4B-015</t>
  </si>
  <si>
    <t>A doctor with a longer validity window honours that longer window</t>
  </si>
  <si>
    <t>1) Seed a completed visit for PT-QA-0001 with Dr. Kavitha Rao dated exactly 10 days ago 2) Open /opd 3) Register-walk-in flow for the same patient and doctor 4) Read the fee</t>
  </si>
  <si>
    <t>The fee is ₹300 — day 10 is inside Dr. Kavitha Rao's 10-day window.</t>
  </si>
  <si>
    <t>PT-QA-0001; Dr. Kavitha Rao validity 10 days</t>
  </si>
  <si>
    <t>The window must come from each doctor's own validity_days; a single hard-coded 7-day rule would short-change every consultant who offers a longer review period.</t>
  </si>
  <si>
    <t>service_master where hospital_id = A and doctor_id = (Dr. Kavitha Rao) → validity_days = 10</t>
  </si>
  <si>
    <t>TC-P4B-016</t>
  </si>
  <si>
    <t>A doctor's window does not extend past its own last day</t>
  </si>
  <si>
    <t>1) Seed a completed visit for PT-QA-0001 with Dr. Kavitha Rao dated 11 days ago 2) Open /opd 3) Register-walk-in flow for the same patient and doctor 4) Read the fee</t>
  </si>
  <si>
    <t>The fee is ₹700 — the full consultation rate.</t>
  </si>
  <si>
    <t>Confirms the longer window closes as well as opens, so a generous review policy does not become an unlimited one.</t>
  </si>
  <si>
    <t>service_master where hospital_id = A and doctor_id = (Dr. Kavitha Rao) → fee = 700 and validity_days = 10</t>
  </si>
  <si>
    <t>TC-P4B-017</t>
  </si>
  <si>
    <t>A visit marked Follow-up with no prior visit on record gets the follow-up rate</t>
  </si>
  <si>
    <t>1) Ensure PT-QA-0001 has no prior opd_tokens row for Dr. Suresh Menon 2) Open /opd 3) Register-walk-in flow for PT-QA-0001 with General Medicine / Dr. Suresh Menon and Visit Type Follow-up 4) Read the fee</t>
  </si>
  <si>
    <t>The fee is ₹0 — with no history the validity window cannot be evaluated and the desk's judgement stands.</t>
  </si>
  <si>
    <t>Patients whose first visit was on paper, or at another branch, would otherwise be charged twice for one episode purely because the software has no record of the first consultation.</t>
  </si>
  <si>
    <t>opd_tokens where hospital_id = A and patient_id = (PT-QA-0001) and doctor_id = (Dr. Suresh Menon) and visit_date &lt; today → 0 rows</t>
  </si>
  <si>
    <t>TC-P4B-018</t>
  </si>
  <si>
    <t>A prior visit outside the window is full fee even when marked Follow-up</t>
  </si>
  <si>
    <t>1) Seed a completed visit for PT-QA-0001 with Dr. Suresh Menon dated 12 days ago 2) Open /opd 3) Register-walk-in flow for the same patient and doctor with Visit Type Follow-up 4) Read the fee</t>
  </si>
  <si>
    <t>The fee is ₹500 — the tick does not override an expired window.</t>
  </si>
  <si>
    <t>If ticking a box can zero the fee regardless of history, the follow-up policy is unenforceable and free consultations can be handed out at the counter at will.</t>
  </si>
  <si>
    <t>TC-P4B-019</t>
  </si>
  <si>
    <t>A prior visit with a different doctor does not trigger the follow-up rate</t>
  </si>
  <si>
    <t>1) Seed a completed visit for PT-QA-0001 with Dr. Arjun Nair dated 2 days ago 2) Open /opd 3) Register-walk-in flow for PT-QA-0001 with General Medicine / Dr. Suresh Menon and Visit Type New 4) Read the fee</t>
  </si>
  <si>
    <t>The fee is ₹500 — the recent visit belongs to a different consultant and confers no entitlement.</t>
  </si>
  <si>
    <t>PT-QA-0001; Dr. Arjun Nair and Dr. Suresh Menon</t>
  </si>
  <si>
    <t>The follow-up entitlement belongs to the doctor who asked the patient back, not to the hospital; otherwise seeing any consultant makes the next one free.</t>
  </si>
  <si>
    <t>opd_tokens where hospital_id = A and patient_id = (PT-QA-0001) and doctor_id = (Dr. Arjun Nair) and visit_date &lt; today → 1 row</t>
  </si>
  <si>
    <t>TC-P4B-020</t>
  </si>
  <si>
    <t>An emergency visit is charged the emergency rate</t>
  </si>
  <si>
    <t>1) Open /opd 2) Register-walk-in flow for PT-QA-0001 with General Medicine / Dr. Suresh Menon and Visit Type Emergency 3) Read the fee and badge</t>
  </si>
  <si>
    <t>The badge reads "Emergency rate" and the fee is ₹800.</t>
  </si>
  <si>
    <t>PT-QA-0001; Dr. Suresh Menon emergency ₹800</t>
  </si>
  <si>
    <t>Billing, Emergency</t>
  </si>
  <si>
    <t>An after-hours emergency attendance costs the hospital more to provide; if it bills at the routine rate the OPD subsidises emergency work without anyone noticing.</t>
  </si>
  <si>
    <t>service_master where hospital_id = A and doctor_id = (Dr. Suresh Menon) → emergency_fee = 800</t>
  </si>
  <si>
    <t>TC-P4B-021</t>
  </si>
  <si>
    <t>Emergency pricing takes precedence over an otherwise-qualifying follow-up</t>
  </si>
  <si>
    <t>1) Seed a completed visit for PT-QA-0001 with Dr. Suresh Menon dated 2 days ago 2) Open /opd 3) Register-walk-in flow for the same patient and doctor with Visit Type Emergency 4) Read the fee</t>
  </si>
  <si>
    <t>The fee is ₹800, the emergency rate — not the ₹0 follow-up rate the 2-day-old visit would otherwise earn.</t>
  </si>
  <si>
    <t>PT-QA-0001; Dr. Suresh Menon emergency ₹800 / follow-up ₹0</t>
  </si>
  <si>
    <t>A patient who deteriorates two days after a routine visit is the commonest emergency presentation there is; billing that attendance as a free review is both wrong and unrecoverable.</t>
  </si>
  <si>
    <t>service_master where hospital_id = A and doctor_id = (Dr. Suresh Menon) → emergency_fee = 800 and follow_up_fee = 0</t>
  </si>
  <si>
    <t>TC-P4B-022</t>
  </si>
  <si>
    <t>The consultation fee cannot be edited at the front desk</t>
  </si>
  <si>
    <t>1) Open /opd 2) Register-walk-in flow for PT-QA-0001 with Dr. Suresh Menon 3) Click "Proceed to Payment" 4) Attempt to click into and retype the Consultation Fee value</t>
  </si>
  <si>
    <t>The fee is rendered as read-only text, not an input, and cannot be typed into.</t>
  </si>
  <si>
    <t>A desk that can retype the amount can collect ₹500 and record ₹100; the read-only control is the only thing standing between the cash drawer and the ledger.</t>
  </si>
  <si>
    <t>TC-P4B-023</t>
  </si>
  <si>
    <t>The fee shown at the desk is the amount that lands on the bill</t>
  </si>
  <si>
    <t>1) Open /opd 2) Register-walk-in flow for PT-QA-0001 with Dr. Suresh Menon 3) Note the fee shown on the payment step 4) Pay and issue the token 5) Read bills.total_amount for today's OPD bill</t>
  </si>
  <si>
    <t>bills.total_amount equals the figure displayed on the payment step (₹500).</t>
  </si>
  <si>
    <t>PT-QA-0001; Dr. Suresh Menon ₹500</t>
  </si>
  <si>
    <t xml:space="preserve">Automated: FAILED.
Error: Could not find a control for the label "Consultation Fee (₹)" on /opd.
This is a FRAMEWORK failure, not a product defect — the label text here no longer matches what the page renders. Fix the label text in this file's caller; do not log it as a bug against the app (docs/qa/README.md).</t>
  </si>
  <si>
    <t>If the displayed figure and the stored bill disagree, the receipt in the patient's hand contradicts the hospital ledger and neither can be trusted at reconciliation.</t>
  </si>
  <si>
    <t>bills where hospital_id = A and patient_id = (PT-QA-0001) and bill_type = opd and bill_date = today → total_amount = 500</t>
  </si>
  <si>
    <t>TC-P4B-024</t>
  </si>
  <si>
    <t>Paying at the desk writes a bill_payments row and a consultation line item</t>
  </si>
  <si>
    <t>1) Open /opd 2) Register-walk-in flow for PT-QA-0001 with Dr. Suresh Menon 3) Pay in cash and issue the token 4) Read bill_payments and bill_line_items for the new bill</t>
  </si>
  <si>
    <t>A bill_payments row exists for ₹500 and bill_line_items contains one row with item_type = consultation.</t>
  </si>
  <si>
    <t>Cash collected with no payment row makes the day-closure reconciliation short by exactly that amount, and the cashier is the one who has to explain the difference.</t>
  </si>
  <si>
    <t>bill_payments where bill_id = (today's OPD bill for PT-QA-0001) → amount = 500; bill_line_items where bill_id = same and item_type = consultation → 1 row</t>
  </si>
  <si>
    <t>TC-P4C-001</t>
  </si>
  <si>
    <t>4C Appointments &amp; Slots</t>
  </si>
  <si>
    <t>The scheduling screen loads the slot board for the selected day</t>
  </si>
  <si>
    <t>1) Log in as hospital_admin (Hospital A) 2) Open /schedule 3) Wait for the board to render 4) Check the console for red errors</t>
  </si>
  <si>
    <t>The slot board renders for today with no console errors.</t>
  </si>
  <si>
    <t>doctor_schedules / doctor_slots generated for today (Settings → Doctor Schedules)</t>
  </si>
  <si>
    <t>Pre-booked patients are the growing share of an Indian OPD; a scheduling board that does not load pushes every booking back to the telephone and a paper diary.</t>
  </si>
  <si>
    <t>e2e/phase-04-opd-journey/P4C.appointments-slots.spec.ts</t>
  </si>
  <si>
    <t>TC-P4C-002</t>
  </si>
  <si>
    <t>With no slots generated the board says so and names the screen that fixes it</t>
  </si>
  <si>
    <t>1) Delete all doctor_slots rows for Dr. Suresh Menon for today 2) Open /schedule 3) Select Dr. Suresh Menon 4) Read the empty state</t>
  </si>
  <si>
    <t>A message reads "No slots for this date" and names Settings → Doctor Schedules with the Generate Slots action.</t>
  </si>
  <si>
    <t>Without a named next step the tester logs "scheduling is broken" as a bug; with it they configure the schedule and move on, which is the difference between a wasted day and five minutes.</t>
  </si>
  <si>
    <t>doctor_slots where hospital_id = A and doctor_id = (Dr. Suresh Menon) and slot_date = today → 0 rows</t>
  </si>
  <si>
    <t>TC-P4C-003</t>
  </si>
  <si>
    <t>Booking an open slot creates an appointments row for that slot time</t>
  </si>
  <si>
    <t>1) Create a doctor_slots row for Dr. Suresh Menon at 16:00 today 2) Open /schedule 3) Click the 16:00 slot 4) Search PT-QA-0003 5) Click "Book Appointment"</t>
  </si>
  <si>
    <t>An appointments row exists for PT-QA-0003 with slot_time = 16:00 and status = scheduled.</t>
  </si>
  <si>
    <t>PT-QA-0003 Anitha Menon; slot 16:00</t>
  </si>
  <si>
    <t xml:space="preserve">Automated: FAILED.
TimeoutError: locator.waitFor: Timeout 12000ms exceeded.
Call log:
  - waiting for getByText('4:00 PM').first() to be visible</t>
  </si>
  <si>
    <t>A patient promised a 4pm slot that the hospital has no record of arrives to find the doctor fully booked, which is the fastest way to lose an appointment-led OPD.</t>
  </si>
  <si>
    <t>appointments where hospital_id = A and patient_id = (PT-QA-0003) and appointment_date = today → slot_time = 16:00:00</t>
  </si>
  <si>
    <t>TC-P4C-004</t>
  </si>
  <si>
    <t>A booked appointment is linked to the slot it consumed</t>
  </si>
  <si>
    <t>1) Create a 16:00 slot for Dr. Suresh Menon today 2) Open /schedule 3) Book PT-QA-0003 into the 16:00 slot 4) Read appointments.slot_id</t>
  </si>
  <si>
    <t>appointments.slot_id equals the id of the doctor_slots row that was clicked.</t>
  </si>
  <si>
    <t>Without the link nothing ties a booking back to its slot, so the board can keep showing a free slot that has already been sold to somebody.</t>
  </si>
  <si>
    <t>appointments where hospital_id = A and patient_id = (PT-QA-0003) and appointment_date = today → slot_id = the seeded doctor_slots.id</t>
  </si>
  <si>
    <t>TC-P4C-005</t>
  </si>
  <si>
    <t>Booking a slot increments its booked_count</t>
  </si>
  <si>
    <t>1) Create a 16:00 slot for Dr. Suresh Menon today with booked_count 0 2) Open /schedule 3) Book PT-QA-0003 into it 4) Read doctor_slots.booked_count</t>
  </si>
  <si>
    <t>booked_count = 1.</t>
  </si>
  <si>
    <t>booked_count is what the board reads to grey out a taken slot; if it stays at zero the same slot is offered to every caller for the rest of the day.</t>
  </si>
  <si>
    <t>doctor_slots where id = (the 16:00 slot) → booked_count = 1</t>
  </si>
  <si>
    <t>TC-P4C-006</t>
  </si>
  <si>
    <t>The same slot cannot be sold to a second patient</t>
  </si>
  <si>
    <t>1) Create a 16:00 slot for Dr. Suresh Menon today 2) Open /schedule 3) Book PT-QA-0003 into the 16:00 slot 4) Attempt to book PT-QA-0001 into the same 16:00 slot</t>
  </si>
  <si>
    <t>The second booking does not succeed — no appointments row exists for PT-QA-0001 at 16:00.</t>
  </si>
  <si>
    <t>PT-QA-0003 Anitha Menon, PT-QA-0001 Ramesh Kumar; slot 16:00</t>
  </si>
  <si>
    <t>Two patients told to arrive at the same time means one is turned away at the desk after travelling in, and the hospital has no way to decide which of them has the better claim.</t>
  </si>
  <si>
    <t>appointments where hospital_id = A and doctor_id = (Dr. Suresh Menon) and appointment_date = today and slot_time = 16:00:00 → exactly 1 row</t>
  </si>
  <si>
    <t>TC-P4C-007</t>
  </si>
  <si>
    <t>The double-booking refusal is a message, not a raw database error</t>
  </si>
  <si>
    <t>1) Create a 16:00 slot for Dr. Suresh Menon today 2) Open /schedule 3) Book PT-QA-0003 into it 4) Attempt to book PT-QA-0001 into the same slot 5) Read the message shown</t>
  </si>
  <si>
    <t>No Postgres text such as "duplicate key value", "violates unique constraint" or "23505" is displayed to the user.</t>
  </si>
  <si>
    <t>PT-QA-0003 Anitha Menon, PT-QA-0001 Ramesh Kumar</t>
  </si>
  <si>
    <t>A raw constraint name leaks the schema to a receptionist and tells them nothing about what to do next, so they retry the same action until somebody escalates it.</t>
  </si>
  <si>
    <t>TC-P4C-008</t>
  </si>
  <si>
    <t>The same patient cannot hold two appointments with one doctor on one day</t>
  </si>
  <si>
    <t>1) Create 16:00 and 16:15 slots for Dr. Suresh Menon today 2) Open /schedule 3) Book PT-QA-0003 into 16:00 4) Attempt to book PT-QA-0003 into 16:15 as well</t>
  </si>
  <si>
    <t>An "Already booked" message is shown and the second appointment is not created.</t>
  </si>
  <si>
    <t>PT-QA-0003 Anitha Menon; slots 16:00 and 16:15</t>
  </si>
  <si>
    <t>One of the two will be a no-show that blocks a slot a genuinely waiting patient could have used, and no-show rate is the metric appointment-led OPDs are judged on.</t>
  </si>
  <si>
    <t>appointments where hospital_id = A and patient_id = (PT-QA-0003) and doctor_id = (Dr. Suresh Menon) and appointment_date = today → exactly 1 row</t>
  </si>
  <si>
    <t>TC-P4C-009</t>
  </si>
  <si>
    <t>Checking an appointment in issues a token linked to that appointment</t>
  </si>
  <si>
    <t>1) Create a 16:00 slot for Dr. Suresh Menon today 2) Open /schedule 3) Book PT-QA-0003 into it 4) Click Check-in on the appointment 5) Complete the payment step and issue the token 6) Read opd_tokens.appointment_id</t>
  </si>
  <si>
    <t>An opd_tokens row exists for PT-QA-0003 today with a non-null appointment_id.</t>
  </si>
  <si>
    <t>Without the link a pre-booked patient is indistinguishable from a walk-in, so the slot they reserved buys them nothing when they actually arrive.</t>
  </si>
  <si>
    <t>opd_tokens where hospital_id = A and patient_id = (PT-QA-0003) and visit_date = today → appointment_id is not null</t>
  </si>
  <si>
    <t>TC-P4C-010</t>
  </si>
  <si>
    <t>A checked-in appointment leaves the actionable queue</t>
  </si>
  <si>
    <t>1) Create a 16:00 slot for Dr. Suresh Menon today 2) Book PT-QA-0003 into it at /schedule 3) Check the appointment in and issue the token 4) Read appointments.status</t>
  </si>
  <si>
    <t>appointments.status is no longer 'scheduled'.</t>
  </si>
  <si>
    <t>An appointment that stays on the arrivals list after check-in makes the desk keep calling a patient who is already with the doctor.</t>
  </si>
  <si>
    <t>appointments where hospital_id = A and patient_id = (PT-QA-0003) and appointment_date = today → status != scheduled</t>
  </si>
  <si>
    <t>TC-P4C-011</t>
  </si>
  <si>
    <t>A blocked slot is not offered for booking</t>
  </si>
  <si>
    <t>1) Create a 16:30 slot for Dr. Suresh Menon today with is_blocked = true and block_reason "Theatre list" 2) Open /schedule 3) Attempt to click the 16:30 slot</t>
  </si>
  <si>
    <t>The blocked slot does not open the booking modal.</t>
  </si>
  <si>
    <t>Slot 16:30 blocked — Theatre list</t>
  </si>
  <si>
    <t>A slot blocked for an operating list that is still bookable double-commits the surgeon and leaves the patient waiting through a theatre session.</t>
  </si>
  <si>
    <t>doctor_slots where id = (the 16:30 slot) → is_blocked = true and booked_count = 0</t>
  </si>
  <si>
    <t>TC-P4C-012</t>
  </si>
  <si>
    <t>A slot already at its patient limit is not offered again</t>
  </si>
  <si>
    <t>1) Create a 16:00 slot for Dr. Suresh Menon today with max_patients = 1 2) Set its booked_count to 1 3) Open /schedule 4) Attempt to click the 16:00 slot</t>
  </si>
  <si>
    <t>The full slot does not open the booking modal.</t>
  </si>
  <si>
    <t>Slot 16:00, max_patients 1, booked_count 1</t>
  </si>
  <si>
    <t>The booked_count &gt;= max_patients comparison is the only thing preventing over-subscription on multi-patient slots, so the exact boundary has to hold.</t>
  </si>
  <si>
    <t>doctor_slots where id = (the 16:00 slot) → booked_count = 1 and max_patients = 1</t>
  </si>
  <si>
    <t>TC-P4C-013</t>
  </si>
  <si>
    <t>booked_count is incremented by a read-then-write with no atomic guard</t>
  </si>
  <si>
    <t>1) Inspect the slot increment in src/components/opd/WalkInModal.tsx around line 735 2) Confirm it selects booked_count, adds one and writes it back inside a try/catch that only warns</t>
  </si>
  <si>
    <t>The non-atomic read-modify-write is still present, confirming booked_count is a display counter and the appointments_unique_slot constraint is the real protection.</t>
  </si>
  <si>
    <t>Two receptionists booking a multi-patient slot in the same second both read the same value and write the same increment, so the counter under-reports and the board offers a slot that is full.</t>
  </si>
  <si>
    <t>TC-P4C-014</t>
  </si>
  <si>
    <t>A single-patient slot is protected by the database, not only by the UI</t>
  </si>
  <si>
    <t>1) Create a 16:00 slot for Dr. Suresh Menon today 2) Insert an appointments row directly for PT-QA-0003 at 16:00, bypassing the UI 3) Insert a second row for PT-QA-0001 at the same doctor, date and slot_time 4) Select every row from appointments for that doctor and slot_time</t>
  </si>
  <si>
    <t>The second direct insert is rejected by the appointments_unique_slot constraint.</t>
  </si>
  <si>
    <t>A UI-only check can always be raced by two people clicking at once; the unique constraint is what actually makes a double-booking impossible rather than merely unlikely.</t>
  </si>
  <si>
    <t>appointments where hospital_id = A and doctor_id = (Dr. Suresh Menon) and appointment_date = today and slot_time = 16:00:00 → exactly 1 row after both inserts</t>
  </si>
  <si>
    <t>TC-P4C-015</t>
  </si>
  <si>
    <t>An appointment records the fee agreed at booking time</t>
  </si>
  <si>
    <t>1) Create a 16:00 slot for Dr. Suresh Menon today 2) Open /schedule 3) Book PT-QA-0003 into it 4) Read appointments.consultation_fee</t>
  </si>
  <si>
    <t>consultation_fee is greater than zero and matches the doctor's configured rate.</t>
  </si>
  <si>
    <t>PT-QA-0003 Anitha Menon; Dr. Suresh Menon ₹500</t>
  </si>
  <si>
    <t>doctor_schedules / doctor_slots generated for today (Settings → Doctor Schedules); service_master consultation rows with fee, follow_up_fee, validity_days and emergency_fee for each doctor (Settings → Services)</t>
  </si>
  <si>
    <t>A patient quoted a price on the telephone and charged a different one at the desk is an argument the hospital always loses, and the booking record is the only evidence of what was said.</t>
  </si>
  <si>
    <t>appointments where hospital_id = A and patient_id = (PT-QA-0003) and appointment_date = today → consultation_fee &gt; 0</t>
  </si>
  <si>
    <t>TC-P4C-016</t>
  </si>
  <si>
    <t>A cancelled appointment is excluded from the day's board</t>
  </si>
  <si>
    <t>1) Create a 16:00 slot for Dr. Suresh Menon today 2) Book PT-QA-0003 into it at /schedule 3) Set that appointments row's status to cancelled 4) Reload /schedule</t>
  </si>
  <si>
    <t>Anitha Menon no longer appears on the board.</t>
  </si>
  <si>
    <t xml:space="preserve">Automated: FAILED.
TimeoutError: locator.selectOption: Timeout 15000ms exceeded.
Call log:
  - waiting for locator('label').filter({ hasText: /^\s*Department\s*\*?\s*$/i }).first().locator('..').locator('input:not([type="hidden"]), textarea, select, [role="combobox"], [role="switch"]').first()
    - locator resolved to &lt;select disabled class="w-full h-10 px-2 border border-slate-200 rounded-lg text-sm mt-1 outline-none disabled:bg-slate-100 disabled:text-slate-500"&gt;…&lt;/select&gt;
  - attempting select option action
    2 × waiting for element to be visible and enabled
      - element is not enabled
    - retrying select option action
    - waiting 20ms
    2 × waiting for element to be visible and enabled
      - element is not enabled
    - retrying select option action
      - waiting 100ms
    23 × waiting for element to be visible and enabled
       - element is not enabled
     - retrying select option ac
…(truncated)</t>
  </si>
  <si>
    <t>A cancelled booking still shown on the board makes the doctor believe the slot is taken, so it is sold to nobody and the capacity is wasted.</t>
  </si>
  <si>
    <t>appointments where hospital_id = A and patient_id = (PT-QA-0003) and appointment_date = today → status = cancelled</t>
  </si>
  <si>
    <t>TC-P4C-017</t>
  </si>
  <si>
    <t>Cancelling an appointment does not release the slot back to booked_count</t>
  </si>
  <si>
    <t>1) Create a 16:00 slot for Dr. Suresh Menon today 2) Book PT-QA-0003 into it at /schedule 3) Set that appointment's status to cancelled 4) Read doctor_slots.booked_count</t>
  </si>
  <si>
    <t>CURRENT APP BEHAVIOUR (a documented gap): booked_count remains 1 because nothing decrements it on cancellation.</t>
  </si>
  <si>
    <t xml:space="preserve">Automated: FAILED.
TimeoutError: locator.selectOption: Timeout 15000ms exceeded.
Call log:
  - waiting for locator('label').filter({ hasText: /^\s*Department\s*\*?\s*$/i }).first().locator('..').locator('input:not([type="hidden"]), textarea, select, [role="combobox"], [role="switch"]').first()
    - locator resolved to &lt;select disabled class="w-full h-10 px-2 border border-slate-200 rounded-lg text-sm mt-1 outline-none disabled:bg-slate-100 disabled:text-slate-500"&gt;…&lt;/select&gt;
  - attempting select option action
    2 × waiting for element to be visible and enabled
      - element is not enabled
    - retrying select option action
    - waiting 20ms
    2 × waiting for element to be visible and enabled
      - element is not enabled
    - retrying select option action
      - waiting 100ms
    29 × waiting for element to be visible and enabled
       - element is not enabled
     - retrying select option ac
…(truncated)</t>
  </si>
  <si>
    <t>A slot that never frees up after a cancellation is capacity the hospital has paid a consultant for and can no longer sell, and it accumulates across every cancelled booking.</t>
  </si>
  <si>
    <t>doctor_slots where id = (the 16:00 slot) → booked_count = 1 after the cancellation</t>
  </si>
  <si>
    <t>TC-P4C-018</t>
  </si>
  <si>
    <t>A receptionist can book an appointment into an open slot</t>
  </si>
  <si>
    <t>1) Create a 16:00 slot for Dr. Suresh Menon today 2) Log out 3) Log in as receptionist (Hospital A) 4) Open /schedule 5) Click the 16:00 slot and book PT-QA-0003</t>
  </si>
  <si>
    <t>An appointments row is created for PT-QA-0003 by the receptionist.</t>
  </si>
  <si>
    <t>Roles &amp; Permissions: scheduling access granted to receptionist; doctor_schedules / doctor_slots generated for today (Settings → Doctor Schedules)</t>
  </si>
  <si>
    <t xml:space="preserve">Automated: FAILED.
Error: No option matching "General Medicine" under the label "Department" on /opd. Available: . If the list is empty this is a PREREQUISITE gap (see SETTINGS_PREREQ_MATRIX.md), not a locator bug.</t>
  </si>
  <si>
    <t>The receptionist takes every appointment call, so if the gate blocks them the scheduling module has no user at all in a real hospital.</t>
  </si>
  <si>
    <t>appointments where hospital_id = A and patient_id = (PT-QA-0003) and appointment_date = today → row exists</t>
  </si>
  <si>
    <t>TC-P4D-001</t>
  </si>
  <si>
    <t>4D Payer Variations</t>
  </si>
  <si>
    <t>The Payer Type dropdown offers every payer class the hospital bills</t>
  </si>
  <si>
    <t>1) Open /opd 2) Click "+ Register Walk-in" 3) Open the Payer Type dropdown 4) Read every option</t>
  </si>
  <si>
    <t>The list includes cash, credit, corporate, TPA/Insurance, PMJAY/Ayushman, CGHS, ESI, State Scheme and Other.</t>
  </si>
  <si>
    <t>Master data — Hospital A → Payers &amp; TPAs</t>
  </si>
  <si>
    <t>payer_masters configured in Settings → Payer Masters (self, TPA, govt, corporate)</t>
  </si>
  <si>
    <t>A payer class that cannot be selected at registration can never be claimed against later, so that revenue is written off by default before anyone has looked at it.</t>
  </si>
  <si>
    <t>payer_masters where hospital_id = A → rows covering self, tpa, govt and corporate types</t>
  </si>
  <si>
    <t>e2e/phase-04-opd-journey/P4D.payer-variations.spec.ts</t>
  </si>
  <si>
    <t>TC-P4D-002</t>
  </si>
  <si>
    <t>A cash walk-in records payer_type cash on the token</t>
  </si>
  <si>
    <t>1) Open /opd 2) Register-walk-in flow for PT-QA-0001 with Dr. Suresh Menon and Payer Type Cash 3) Issue the token 4) Read opd_tokens.payer_type</t>
  </si>
  <si>
    <t>payer_type = 'cash'.</t>
  </si>
  <si>
    <t>Cash is the baseline every other payer path is compared against; if the default does not persist correctly none of the variations can be trusted either.</t>
  </si>
  <si>
    <t>TC-P4D-003</t>
  </si>
  <si>
    <t>Selecting TPA reveals the payer list so an insurer can be named</t>
  </si>
  <si>
    <t>1) Open /opd 2) Click "+ Register Walk-in" 3) Search PT-QA-0004 4) Set Payer Type to TPA / Insurance 5) Look for the second dropdown beside it</t>
  </si>
  <si>
    <t>A "Select payer…" dropdown appears listing the configured TPAs.</t>
  </si>
  <si>
    <t>PT-QA-0004 Vinod Agarwal; Payers — Star Health Insurance</t>
  </si>
  <si>
    <t>"TPA" with no named insurer cannot be claimed against anybody, so the visit is recorded as insured and billed to nobody.</t>
  </si>
  <si>
    <t>payer_masters where hospital_id = A and payer_type = tpa → at least one row</t>
  </si>
  <si>
    <t>TC-P4D-004</t>
  </si>
  <si>
    <t>A TPA patient's insurer is stored as payer_id on the token</t>
  </si>
  <si>
    <t>1) Open /opd 2) Register-walk-in flow for PT-QA-0004 with Dr. Suresh Menon 3) Set Payer Type TPA / Insurance and Payer Star Health Insurance 4) Issue the token 5) Read opd_tokens.payer_type and payer_id</t>
  </si>
  <si>
    <t>payer_type = 'tpa' and payer_id is not null.</t>
  </si>
  <si>
    <t>PT-QA-0004 Vinod Agarwal; Star Health Insurance</t>
  </si>
  <si>
    <t>Insurance, IPD</t>
  </si>
  <si>
    <t>When this patient is admitted next week the pre-auth team reads this record; without it the cashless request starts from scratch and the admission is delayed at the counter.</t>
  </si>
  <si>
    <t>opd_tokens where hospital_id = A and patient_id = (PT-QA-0004) and visit_date = today → payer_type = tpa and payer_id is not null</t>
  </si>
  <si>
    <t>TC-P4D-005</t>
  </si>
  <si>
    <t>A TPA outpatient consultation still raises a payable bill</t>
  </si>
  <si>
    <t>1) Open /opd 2) Register-walk-in flow for PT-QA-0004 with Dr. Suresh Menon, Payer Type TPA / Insurance, Payer Star Health Insurance 3) Issue the token 4) Read bills.total_amount for today</t>
  </si>
  <si>
    <t>An OPD bill exists with total_amount greater than zero.</t>
  </si>
  <si>
    <t>Outpatient consultation is not covered by most Indian health policies, so zeroing the fee because the patient carries insurance hands away the money on every insured walk-in.</t>
  </si>
  <si>
    <t>bills where hospital_id = A and patient_id = (PT-QA-0004) and bill_type = opd and bill_date = today → total_amount &gt; 0</t>
  </si>
  <si>
    <t>TC-P4D-006</t>
  </si>
  <si>
    <t>An insurer that is not on the payer master cannot be chosen</t>
  </si>
  <si>
    <t>1) Open /opd 2) Click "+ Register Walk-in" 3) Search PT-QA-0004 4) Set Payer Type to TPA / Insurance 5) Read every option in the payer dropdown</t>
  </si>
  <si>
    <t>The list contains the seeded TPAs including Star Health Insurance, and contains no blank option.</t>
  </si>
  <si>
    <t>PT-QA-0004 Vinod Agarwal; Payers &amp; TPAs</t>
  </si>
  <si>
    <t>A bill attributed to an unnamed or free-text payer is unclaimable, and an empty list means the payer master was never configured rather than that the patient has no insurer.</t>
  </si>
  <si>
    <t>payer_masters where hospital_id = A and payer_type = tpa → Star Health Insurance exists</t>
  </si>
  <si>
    <t>TC-P4D-007</t>
  </si>
  <si>
    <t>A PMJAY beneficiary's token records the scheme as the payer</t>
  </si>
  <si>
    <t>1) Open /opd 2) Register-walk-in flow for PT-QA-0005 with Dr. Suresh Menon 3) Set Payer Type PMJAY / Ayushman and Payer PMJAY / Ayushman Bharat 4) Issue the token 5) Read opd_tokens.payer_type</t>
  </si>
  <si>
    <t>payer_type = 'pmjay'.</t>
  </si>
  <si>
    <t>PT-QA-0005 Lakshmi Devi; PMJAY / Ayushman Bharat</t>
  </si>
  <si>
    <t>PMJAY, Billing</t>
  </si>
  <si>
    <t>An Ayushman beneficiary recorded as an ordinary payer receives an invoice for care they are entitled to free, and the hospital loses the scheme claim as well.</t>
  </si>
  <si>
    <t>opd_tokens where hospital_id = A and patient_id = (PT-QA-0005) and visit_date = today → payer_type = pmjay</t>
  </si>
  <si>
    <t>TC-P4D-008</t>
  </si>
  <si>
    <t>A PMJAY consultation produces a bill that can be reconciled against the scheme</t>
  </si>
  <si>
    <t>1) Open /opd 2) Register-walk-in flow for PT-QA-0005 with Dr. Suresh Menon and Payer Type PMJAY / Ayushman 3) Issue the token 4) Read the bills row for today</t>
  </si>
  <si>
    <t>An OPD bill exists for PT-QA-0005 with an id a claim can be attached to.</t>
  </si>
  <si>
    <t>PT-QA-0005 Lakshmi Devi</t>
  </si>
  <si>
    <t>PMJAY reimbursement is claimed per bill; a scheme patient with no bill row is a consultation the hospital delivered and can never be paid for.</t>
  </si>
  <si>
    <t>bills where hospital_id = A and patient_id = (PT-QA-0005) and bill_type = opd and bill_date = today → 1 row</t>
  </si>
  <si>
    <t>TC-P4D-009</t>
  </si>
  <si>
    <t>The CGHS referral lookup can actually run on this database</t>
  </si>
  <si>
    <t>1) In Supabase, select patient_id from cghs_echs_beneficiaries 2) Confirm the column exists and the query does not error</t>
  </si>
  <si>
    <t>cghs_echs_beneficiaries.patient_id exists, so BillEditor.handleFinalize's referral lookup can run.</t>
  </si>
  <si>
    <t>REGRESSION LOCK (BUG-P4-005, fixed by migration 20261013000018): the column was added by a guarded ALTER that ran before the table existed, so on a fresh database it was never created, the referral lookup errored, and the block fired for every CGHS patient including those holding a valid referral letter.</t>
  </si>
  <si>
    <t>select patient_id from cghs_echs_beneficiaries limit 1 → succeeds without a column-does-not-exist error</t>
  </si>
  <si>
    <t>TC-P4D-010</t>
  </si>
  <si>
    <t>A CGHS patient can be registered with the scheme as the payer</t>
  </si>
  <si>
    <t>1) Set PT-QA-0006's patient_category to cghs 2) Open /opd 3) Register-walk-in flow for PT-QA-0006 with Dr. Suresh Menon 4) Set Payer Type CGHS and Payer CGHS 5) Issue the token</t>
  </si>
  <si>
    <t>opd_tokens.payer_type = 'cghs' for the new token.</t>
  </si>
  <si>
    <t>PT-QA-0006 R. Subramanian (has referral letter)</t>
  </si>
  <si>
    <t>CGHS pensioners are a large and predictable share of any Indian hospital's OPD; if the scheme cannot be recorded at registration none of the downstream claim logic is ever reached.</t>
  </si>
  <si>
    <t>opd_tokens where hospital_id = A and patient_id = (PT-QA-0006) and visit_date = today → payer_type = cghs</t>
  </si>
  <si>
    <t>TC-P4D-011</t>
  </si>
  <si>
    <t>A CGHS patient with a referral has the referral_date on record</t>
  </si>
  <si>
    <t>1) Create a beneficiary row for PT-QA-0006 with cghs_id CGHS-QA-0006-11, today's referral_date and the referring wellness centre 2) Select that row back from cghs_echs_beneficiaries</t>
  </si>
  <si>
    <t>The row exists with a non-null referral_date and the referral hospital name.</t>
  </si>
  <si>
    <t>PT-QA-0006 R. Subramanian; phase4.payer.referralHospital</t>
  </si>
  <si>
    <t>An undated referral is not a referral as far as the CGHS payer is concerned, so the date is the whole substance of the record rather than a detail.</t>
  </si>
  <si>
    <t>cghs_echs_beneficiaries where hospital_id = A and cghs_id = 'CGHS-QA-0006-11' → referral_date is not null</t>
  </si>
  <si>
    <t>TC-P4D-012</t>
  </si>
  <si>
    <t>A CGHS bill with a referral finalises normally</t>
  </si>
  <si>
    <t>1) Set PT-QA-0006 patient_category to cghs and record a referral with today's date 2) Open /opd and register a walk-in for PT-QA-0006 with Dr. Suresh Menon as CGHS 3) Open /billing 4) Select the patient's OPD bill 5) Click "Finalise Bill"</t>
  </si>
  <si>
    <t>No "CGHS / ECHS Referral Missing" message appears and bills.bill_status becomes 'final'.</t>
  </si>
  <si>
    <t>A guard that blocks the legitimate case as well as the illegitimate one stops government billing entirely, and the desk works around it by re-registering the patient as cash — which loses the claim.</t>
  </si>
  <si>
    <t>bills where hospital_id = A and patient_id = (PT-QA-0006) and bill_type = opd and bill_date = today → bill_status = final</t>
  </si>
  <si>
    <t>TC-P4D-013</t>
  </si>
  <si>
    <t>A CGHS bill without a referral is hard-blocked at finalisation</t>
  </si>
  <si>
    <t>1) Set PT-QA-0007 patient_category to cghs and remove any cghs_echs_beneficiaries row for them 2) Open /opd and register a walk-in for PT-QA-0007 with Dr. Suresh Menon as CGHS 3) Open /billing 4) Select the bill 5) Click "Finalise Bill"</t>
  </si>
  <si>
    <t>The bill does NOT reach 'final' status.</t>
  </si>
  <si>
    <t>PT-QA-0007 K. Venkatesan (NO referral letter)</t>
  </si>
  <si>
    <t>A CGHS claim raised without a referral is rejected by the payer and the hospital carries the whole amount, so refusing to create the problem is deliberate behaviour and must be proven to fire.</t>
  </si>
  <si>
    <t>bills where hospital_id = A and patient_id = (PT-QA-0007) and bill_type = opd and bill_date = today → bill_status != final</t>
  </si>
  <si>
    <t>TC-P4D-014</t>
  </si>
  <si>
    <t>The CGHS block explains what is missing and where to fix it</t>
  </si>
  <si>
    <t>1) Set PT-QA-0007 patient_category to cghs with no referral on file 2) Register a CGHS walk-in for them at /opd 3) Open /billing, select the bill and click "Finalise Bill" 4) Read the message</t>
  </si>
  <si>
    <t>A message titled "CGHS / ECHS Referral Missing" is shown and names Insurance → CGHS / ECHS as the place to add the referral.</t>
  </si>
  <si>
    <t>PT-QA-0007 K. Venkatesan</t>
  </si>
  <si>
    <t xml:space="preserve">Automated: FAILED.
TimeoutError: locator.click: Timeout 15000ms exceeded.
Call log:
  - waiting for getByRole('button', { name: /finalise bill|finalize bill/i })</t>
  </si>
  <si>
    <t>A blocked action the user cannot diagnose gets worked around rather than fixed, usually by re-registering the patient as a cash case, which loses the government claim entirely.</t>
  </si>
  <si>
    <t>TC-P4D-015</t>
  </si>
  <si>
    <t>Adding the referral clears the block on the same bill</t>
  </si>
  <si>
    <t>1) Register a CGHS walk-in for PT-QA-0007 with no referral and confirm finalisation is blocked at /billing 2) Create a cghs_echs_beneficiaries row for PT-QA-0007 with today's referral_date 3) Reopen the bill at /billing 4) Click "Finalise Bill"</t>
  </si>
  <si>
    <t>The bill now finalises and bills.bill_status = 'final'.</t>
  </si>
  <si>
    <t>PT-QA-0007 K. Venkatesan; phase4.payer.referralBeneficiaryNo</t>
  </si>
  <si>
    <t xml:space="preserve">[pageerror] supabase.from(...).insert(...).catch is not a function
Failed to load resource: the server responded with a status of 400 ()
Failed to load resource: the server responded with a status of 404 ()
`DialogContent` requires a `DialogTitle` for the component to be accessible for screen reader users.
If you want to hide the `DialogTitle`, you can wrap it with our VisuallyHidden component.
For more information, see https://radix-ui.com/primitives/docs/components/dialog</t>
  </si>
  <si>
    <t>A block that cannot be cleared traps the bill permanently and forces a manual write-off, so the recovery path matters as much as the block itself.</t>
  </si>
  <si>
    <t>bills where hospital_id = A and patient_id = (PT-QA-0007) and bill_type = opd and bill_date = today → bill_status = final after the referral is added</t>
  </si>
  <si>
    <t>TC-P4D-016</t>
  </si>
  <si>
    <t>A referral row with a null referral_date does not satisfy the block</t>
  </si>
  <si>
    <t>1) Create a cghs_echs_beneficiaries row for PT-QA-0007 with referral_date left null 2) Register a CGHS walk-in for PT-QA-0007 at /opd 3) Open /billing, select the bill and click "Finalise Bill"</t>
  </si>
  <si>
    <t>The bill is still blocked and does not reach 'final' status.</t>
  </si>
  <si>
    <t>PT-QA-0007 K. Venkatesan; referral row with null referral_date</t>
  </si>
  <si>
    <t xml:space="preserve">Failed to load resource: the server responded with a status of 400 ()
[pageerror] supabase.from(...).insert(...).catch is not a function
Failed to load resource: the server responded with a status of 404 ()
`DialogContent` requires a `DialogTitle` for the component to be accessible for screen reader users.
If you want to hide the `DialogTitle`, you can wrap it with our VisuallyHidden component.
For more information, see https://radix-ui.com/primitives/docs/components/dialog</t>
  </si>
  <si>
    <t>The lookup filters on referral_date being not null precisely so a half-filled beneficiary record cannot unlock the claim; a blank row must not count as evidence of a referral letter.</t>
  </si>
  <si>
    <t>bills where hospital_id = A and patient_id = (PT-QA-0007) and bill_date = today → bill_status != final; cghs_echs_beneficiaries where cghs_id = phase4.payer.referralBeneficiaryNo → referral_date is null</t>
  </si>
  <si>
    <t>TC-P4D-017</t>
  </si>
  <si>
    <t>An ECHS patient is subject to the same referral block as CGHS</t>
  </si>
  <si>
    <t>1) Set PT-QA-0007 patient_category to echs and remove any beneficiary row 2) Register a walk-in for them at /opd with Payer ECHS 3) Open /billing, select the bill and click "Finalise Bill"</t>
  </si>
  <si>
    <t>The bill does not reach 'final' status.</t>
  </si>
  <si>
    <t>PT-QA-0007 K. Venkatesan; ECHS payer</t>
  </si>
  <si>
    <t>ECHS is checked by the same branch as CGHS, so if only one of the two is actually covered then half the ex-servicemen claims are raised with no referral backing them.</t>
  </si>
  <si>
    <t>bills where hospital_id = A and patient_id = (PT-QA-0007) and bill_date = today → bill_status != final; patients where id = (PT-QA-0007) → patient_category = echs</t>
  </si>
  <si>
    <t>TC-P4D-018</t>
  </si>
  <si>
    <t>A cash patient is never subjected to the CGHS referral block</t>
  </si>
  <si>
    <t>1) Set PT-QA-0001 patient_category to general 2) Register a cash walk-in for PT-QA-0001 at /opd with Dr. Suresh Menon 3) Open /billing, select the bill and click "Finalise Bill"</t>
  </si>
  <si>
    <t>No CGHS message appears and bills.bill_status = 'final'.</t>
  </si>
  <si>
    <t>A guard that fires on the wrong patients stops the busiest queue in the hospital, and a false block is as damaging as a missing one because staff learn to distrust the message.</t>
  </si>
  <si>
    <t>bills where hospital_id = A and patient_id = (PT-QA-0001) and bill_type = opd and bill_date = today → bill_status = final</t>
  </si>
  <si>
    <t>TC-P4D-019</t>
  </si>
  <si>
    <t>Changing the payer type resets a previously chosen insurer</t>
  </si>
  <si>
    <t>1) Open /opd 2) Click "+ Register Walk-in" 3) Search PT-QA-0004 4) Set Payer Type TPA / Insurance and select Star Health Insurance 5) Change Payer Type to CGHS 6) Read the payer dropdown value</t>
  </si>
  <si>
    <t>The insurer selection is cleared rather than carried over to the new payer class.</t>
  </si>
  <si>
    <t>PT-QA-0004 Vinod Agarwal; Star Health Insurance then CGHS</t>
  </si>
  <si>
    <t>A bill claimed against a private insurer under a government scheme code is rejected by both, and the mismatch is invisible on screen once the token is issued.</t>
  </si>
  <si>
    <t>TC-P4D-020</t>
  </si>
  <si>
    <t>The payer chosen at OPD survives onto the token the bill hangs off</t>
  </si>
  <si>
    <t>1) Open /opd 2) Register-walk-in flow for PT-QA-0004 with Payer Type TPA / Insurance and Star Health Insurance 3) Issue the token 4) Read opd_tokens.payer_type and the matching bills row</t>
  </si>
  <si>
    <t>opd_tokens.payer_type = 'tpa' and a bill exists for the same patient today.</t>
  </si>
  <si>
    <t>Billing, Insurance, IPD</t>
  </si>
  <si>
    <t>This is the record the pre-auth team reads at admission, so it has to survive the whole registration-to-bill path and not just appear on the screen where it was chosen.</t>
  </si>
  <si>
    <t>opd_tokens where hospital_id = A and patient_id = (PT-QA-0004) and visit_date = today → payer_type = tpa; bills where patient_id = same and bill_date = today → 1 row</t>
  </si>
  <si>
    <t>TC-P4D-021</t>
  </si>
  <si>
    <t>A corporate-panel patient records the corporate payer class</t>
  </si>
  <si>
    <t>1) Open /opd 2) Register-walk-in flow for PT-QA-0021 with Dr. Suresh Menon 3) Set Payer Type Corporate and Payer Infosys Corporate Panel 4) Issue the token 5) Read opd_tokens.payer_type</t>
  </si>
  <si>
    <t>payer_type = 'corporate'.</t>
  </si>
  <si>
    <t>PT-QA-0021 Sarita Joshi; Infosys Corporate Panel</t>
  </si>
  <si>
    <t>Billing, CRM</t>
  </si>
  <si>
    <t>Corporate visits are invoiced to the employer in a monthly batch; a visit recorded under the wrong class is simply left out of that invoice and never billed to anyone.</t>
  </si>
  <si>
    <t>opd_tokens where hospital_id = A and patient_id = (PT-QA-0021) and visit_date = today → payer_type = corporate</t>
  </si>
  <si>
    <t>TC-P4D-022</t>
  </si>
  <si>
    <t>A billing executive can finalise an ordinary cash OPD bill</t>
  </si>
  <si>
    <t>1) Register a cash walk-in for PT-QA-0001 at /opd 2) Log out 3) Log in as billing_executive (Hospital A) 4) Open /billing 5) Select the bill and click "Finalise Bill"</t>
  </si>
  <si>
    <t>The bill reaches 'final' status under the billing executive login.</t>
  </si>
  <si>
    <t>Roles &amp; Permissions: billing → finalise granted to billing_executive</t>
  </si>
  <si>
    <t>The billing executive closes bills all day; if the gate blocks them the day cannot be closed and the GST invoice series is left with open bills at month end.</t>
  </si>
  <si>
    <t>TC-P4E-001</t>
  </si>
  <si>
    <t>4E Consultation Workspace</t>
  </si>
  <si>
    <t>Selecting a token opens the consultation workspace for that patient</t>
  </si>
  <si>
    <t>1) Register a walk-in for PT-QA-0001 at /opd 2) Click the patient's row in the OPD Queue 3) Read the workspace header</t>
  </si>
  <si>
    <t>The workspace opens showing Ramesh Kumar's name.</t>
  </si>
  <si>
    <t>If the queue and the workspace do not agree on which patient is selected, the doctor documents one patient's consultation against another's record.</t>
  </si>
  <si>
    <t>e2e/phase-04-opd-journey/P4E.consultation-workspace.spec.ts</t>
  </si>
  <si>
    <t>TC-P4E-002</t>
  </si>
  <si>
    <t>A waiting token offers the Start Consultation action</t>
  </si>
  <si>
    <t>1) Register a walk-in for PT-QA-0001 at /opd 2) Select the token in the queue 3) Look at the workspace header</t>
  </si>
  <si>
    <t>A "▶ Start Consultation" button is visible.</t>
  </si>
  <si>
    <t>Starting the consultation is what stamps the door-to-doctor time and moves the patient off the calling board; with no control the queue never advances.</t>
  </si>
  <si>
    <t>TC-P4E-003</t>
  </si>
  <si>
    <t>Starting the consultation moves the token to in_consultation</t>
  </si>
  <si>
    <t>1) Register a walk-in for PT-QA-0001 at /opd 2) Select the token 3) Click "▶ Start Consultation" 4) Read opd_tokens.status</t>
  </si>
  <si>
    <t>status = 'in_consultation'.</t>
  </si>
  <si>
    <t>A token stuck at waiting keeps the display board calling a patient who is already in the room, and the waiting-time metric never stops counting for them.</t>
  </si>
  <si>
    <t>opd_tokens where hospital_id = A and patient_id = (PT-QA-0001) and visit_date = today → status = in_consultation</t>
  </si>
  <si>
    <t>TC-P4E-004</t>
  </si>
  <si>
    <t>Starting the consultation stamps consultation_start_at</t>
  </si>
  <si>
    <t>1) Register a walk-in for PT-QA-0001 at /opd 2) Start the consultation 3) Read opd_tokens.consultation_start_at</t>
  </si>
  <si>
    <t>consultation_start_at holds a timestamp.</t>
  </si>
  <si>
    <t>Door-to-doctor time is a NABH-reported measure computed from this timestamp; with it null the hospital is reporting a number derived from nothing.</t>
  </si>
  <si>
    <t>opd_tokens where hospital_id = A and patient_id = (PT-QA-0001) and visit_date = today → consultation_start_at is not null</t>
  </si>
  <si>
    <t>TC-P4E-005</t>
  </si>
  <si>
    <t>Every clinical tab is present in the workspace</t>
  </si>
  <si>
    <t>1) Register a walk-in for PT-QA-0001 at /opd 2) Start the consultation 3) Read the tab strip</t>
  </si>
  <si>
    <t>Complaint, Vitals, Examination, Rx &amp; Orders, Plan &amp; Advice and History tabs are all present.</t>
  </si>
  <si>
    <t>Anything the doctor cannot reach inside the workspace gets written on paper instead, and the electronic record is incomplete from the first day of go-live.</t>
  </si>
  <si>
    <t>TC-P4E-006</t>
  </si>
  <si>
    <t>The chief complaint is saved to the encounter</t>
  </si>
  <si>
    <t>1) Register a walk-in for PT-QA-0001 at /opd and start the consultation 2) Open the Complaint tab 3) Enter the chief complaint and history from phase4.consultation 4) Click "✓ Complete"</t>
  </si>
  <si>
    <t>opd_encounters.chief_complaint holds the text that was typed.</t>
  </si>
  <si>
    <t>phase4.consultation — Dry cough and low-grade fever for 7 days</t>
  </si>
  <si>
    <t xml:space="preserve">Failed to load resource: the server responded with a status of 400 ()
[pageerror] supabase.from(...).insert(...).catch is not a function
Failed to load resource: the server responded with a status of 404 ()
Failed to load resource: the server responded with a status of 403 ()</t>
  </si>
  <si>
    <t>A visit record with no reason for attendance cannot be coded, cannot be claimed and fails a NABH file review, and it is the first thing the next clinician reads.</t>
  </si>
  <si>
    <t>opd_encounters where hospital_id = A and patient_id = (PT-QA-0001) → chief_complaint contains the entered text</t>
  </si>
  <si>
    <t>TC-P4E-007</t>
  </si>
  <si>
    <t>The history of present illness is saved to the encounter</t>
  </si>
  <si>
    <t>1) Start a consultation for PT-QA-0001 at /opd 2) Enter the chief complaint and the history of present illness from phase4.consultation 3) Complete the consultation</t>
  </si>
  <si>
    <t>opd_encounters.history_of_present_illness is populated.</t>
  </si>
  <si>
    <t>phase4.consultation.historyOfPresentIllness</t>
  </si>
  <si>
    <t>The HPI is the narrative that tells the next clinician why the patient came in, and re-taking it wastes the one resource a busy OPD has least of.</t>
  </si>
  <si>
    <t>opd_encounters where hospital_id = A and patient_id = (PT-QA-0001) → history_of_present_illness is not null</t>
  </si>
  <si>
    <t>TC-P4E-008</t>
  </si>
  <si>
    <t>A consultation completed with no chief complaint is recorded as such</t>
  </si>
  <si>
    <t>1) Register a walk-in for PT-QA-0001 at /opd and start the consultation 2) Enter nothing in the Complaint tab 3) Click "✓ Complete" 4) Read opd_encounters.chief_complaint</t>
  </si>
  <si>
    <t>CURRENT APP BEHAVIOUR: the encounter finalises with an empty chief_complaint — there is no required-field gate.</t>
  </si>
  <si>
    <t>An encounter with no documented reason for attendance is unbillable to any payer and indefensible at a medico-legal review, so the gap needs to be recorded rather than assumed absent.</t>
  </si>
  <si>
    <t>opd_encounters where hospital_id = A and patient_id = (PT-QA-0001) → chief_complaint is empty or null</t>
  </si>
  <si>
    <t>TC-P4E-009</t>
  </si>
  <si>
    <t>Normal vitals are saved into the encounter vitals JSON</t>
  </si>
  <si>
    <t>1) Start a consultation for PT-QA-0001 at /opd 2) Open the Vitals tab 3) Enter BP 128/84, pulse 82, temperature 98.6, SpO2 98 4) Complete the consultation</t>
  </si>
  <si>
    <t>opd_encounters.vitals holds bp_systolic 128 and spo2 98.</t>
  </si>
  <si>
    <t>Values used across many tests — Standard vitals BP 128/84, Pulse 82, Temp 98.6°F, SpO₂ 98%</t>
  </si>
  <si>
    <t>Nursing, Analytics</t>
  </si>
  <si>
    <t>Every downstream score — NEWS2, sepsis screening, paediatric dosing — reads this JSON, so unsaved vitals silently disable all of them at once.</t>
  </si>
  <si>
    <t>opd_encounters where hospital_id = A and patient_id = (PT-QA-0001) → vitals-&gt;&gt;bp_systolic = 128 and vitals-&gt;&gt;spo2 = 98</t>
  </si>
  <si>
    <t>TC-P4E-010</t>
  </si>
  <si>
    <t>A systolic BP above the alert threshold is flagged on screen</t>
  </si>
  <si>
    <t>1) Start a consultation for PT-QA-0001 at /opd 2) Open the Vitals tab 3) Enter systolic 190 and diastolic 110 4) Look at the Blood Pressure card border</t>
  </si>
  <si>
    <t>The BP card renders with the red alert border (systolic above 180).</t>
  </si>
  <si>
    <t>BP 190/110</t>
  </si>
  <si>
    <t>A hypertensive emergency that reads like an ordinary number is missed in a 200-patient OPD, and the visual alert is the only thing that makes it stand out.</t>
  </si>
  <si>
    <t>TC-P4E-011</t>
  </si>
  <si>
    <t>SpO2 below 95 is flagged as a red alert</t>
  </si>
  <si>
    <t>1) Start a consultation for PT-QA-0001 at /opd 2) Open the Vitals tab 3) Enter SpO2 89 4) Look at the SpO2 card border</t>
  </si>
  <si>
    <t>The SpO2 card renders with the red alert border.</t>
  </si>
  <si>
    <t>Values used across many tests — Abnormal vitals (sepsis) SpO₂ 89%</t>
  </si>
  <si>
    <t>Hypoxia is the most time-critical abnormal vital an OPD nurse will record, and an unflagged 89% reads as just another number on a busy screen.</t>
  </si>
  <si>
    <t>TC-P4E-012</t>
  </si>
  <si>
    <t>SpO2 of exactly 95 is not treated as the red hypoxia band</t>
  </si>
  <si>
    <t>1) Start a consultation for PT-QA-0001 at /opd 2) Open the Vitals tab 3) Enter SpO2 95 4) Check whether any card carries the red alert border</t>
  </si>
  <si>
    <t>No red border is shown — the rule is "below 95 is red, 95 to 97 amber".</t>
  </si>
  <si>
    <t>SpO2 95</t>
  </si>
  <si>
    <t xml:space="preserve">Automated: FAILED.
Test timeout of 90000ms exceeded.</t>
  </si>
  <si>
    <t xml:space="preserve">Failed to load resource: the server responded with a status of 403 ()
Failed to load resource: the server responded with a status of 400 ()
Failed to load resource: the server responded with a status of 401 ()</t>
  </si>
  <si>
    <t>An off-by-one here turns a borderline-normal reading into an emergency on every second patient, and alert fatigue is a documented clinical harm in its own right.</t>
  </si>
  <si>
    <t>TC-P4E-013</t>
  </si>
  <si>
    <t>A temperature above 100.4°F is flagged</t>
  </si>
  <si>
    <t>1) Start a consultation for PT-QA-0001 at /opd 2) Open the Vitals tab 3) Enter temperature 103.2 4) Look at the Temperature card border</t>
  </si>
  <si>
    <t>The Temperature card carries an amber or red alert border.</t>
  </si>
  <si>
    <t>Values used across many tests — Abnormal vitals (sepsis) Temp 103.2°F</t>
  </si>
  <si>
    <t>Pyrexia above 100.4°F is the threshold that triggers fever-panel investigation in most Indian protocols, so an unflagged reading delays the workup.</t>
  </si>
  <si>
    <t>TC-P4E-014</t>
  </si>
  <si>
    <t>BMI is computed and categorised from weight and height</t>
  </si>
  <si>
    <t>1) Start a consultation for PT-QA-0001 at /opd 2) Open the Vitals tab 3) Enter weight 70 and height 170 4) Read the BMI panel</t>
  </si>
  <si>
    <t>BMI shows 24.2 with the category "Normal".</t>
  </si>
  <si>
    <t>Weight 70 kg, Height 170 cm</t>
  </si>
  <si>
    <t>Dietetics</t>
  </si>
  <si>
    <t>Weight-based dosing and nutrition screening both begin from BMI, and a wrong figure propagates into every calculation that follows it.</t>
  </si>
  <si>
    <t>TC-P4E-015</t>
  </si>
  <si>
    <t>Weight with no height produces no BMI rather than a wrong one</t>
  </si>
  <si>
    <t>1) Start a consultation for PT-QA-0001 at /opd 2) Open the Vitals tab 3) Enter weight 70 and leave height blank 4) Look for the BMI panel</t>
  </si>
  <si>
    <t>No BMI panel is rendered.</t>
  </si>
  <si>
    <t>Weight 70 kg, no height</t>
  </si>
  <si>
    <t>A divide-by-zero result presented as a clinical number is worse than showing nothing, because a clinician has no way to tell it apart from a real measurement.</t>
  </si>
  <si>
    <t>TC-P4E-016</t>
  </si>
  <si>
    <t>Examination findings are saved to the encounter</t>
  </si>
  <si>
    <t>1) Start a consultation for PT-QA-0001 at /opd 2) Open the Examination tab 3) Enter the examination text from phase4.consultation 4) Complete the consultation</t>
  </si>
  <si>
    <t>opd_encounters.examination_notes is populated.</t>
  </si>
  <si>
    <t>phase4.consultation.examination</t>
  </si>
  <si>
    <t xml:space="preserve">[pageerror] supabase.from(...).insert(...).catch is not a function
Failed to load resource: the server responded with a status of 400 ()
Failed to load resource: the server responded with a status of 404 ()
Failed to load resource: the server responded with a status of 403 ()</t>
  </si>
  <si>
    <t>The examination note is the one part of the record that evidences the doctor physically examined the patient, which is exactly what a medico-legal review asks to see.</t>
  </si>
  <si>
    <t>opd_encounters where hospital_id = A and patient_id = (PT-QA-0001) → examination_notes is not null</t>
  </si>
  <si>
    <t>TC-P4E-017</t>
  </si>
  <si>
    <t>A diagnosis added in the Examination tab is stored on the encounter</t>
  </si>
  <si>
    <t>1) Start a consultation for PT-QA-0001 at /opd 2) Open the Examination tab 3) Type the diagnosis from phase4.consultation into "Diagnosis / impression..." 4) Click "Add Diagnosis" 5) Complete the consultation</t>
  </si>
  <si>
    <t>opd_encounters.diagnosis is populated.</t>
  </si>
  <si>
    <t>phase4.consultation.diagnosis — Acute upper respiratory tract infection</t>
  </si>
  <si>
    <t>MRD, Billing, HMIS</t>
  </si>
  <si>
    <t xml:space="preserve">[pageerror] supabase.from(...).insert(...).catch is not a function
Failed to load resource: the server responded with a status of 400 ()
Failed to load resource: the server responded with a status of 404 ()
Warning: Cannot update a component (`%s`) while rendering a different component (`%s`). To locate the bad setState() call inside `%s`, follow the stack trace as described in https://reactjs.org/link/setstate-in-render%s ConsultationWorkspace DiagnosisPanel DiagnosisPanel
    at DiagnosisPanel (http://localhost:8080/src/components/opd/DiagnosisPanel.tsx:38:27)
    at div
    at ExaminationTa
…(truncated)</t>
  </si>
  <si>
    <t>Coding, the insurance claim, the discharge summary and the disease register all read the diagnosis field, so a lost value disables the whole downstream chain at once.</t>
  </si>
  <si>
    <t>opd_encounters where hospital_id = A and patient_id = (PT-QA-0001) → diagnosis is not null</t>
  </si>
  <si>
    <t>TC-P4E-018</t>
  </si>
  <si>
    <t>An ICD-10 code entered with the diagnosis is stored alongside it</t>
  </si>
  <si>
    <t>1) Start a consultation for PT-QA-0001 at /opd 2) Open the Examination tab 3) Enter the diagnosis and ICD-10 code J06.9 4) Click "Add Diagnosis" 5) Complete the consultation</t>
  </si>
  <si>
    <t>opd_encounters.icd10_code is populated.</t>
  </si>
  <si>
    <t>phase4.consultation.icd10Code — J06.9</t>
  </si>
  <si>
    <t>HMIS, PMJAY, MRD</t>
  </si>
  <si>
    <t xml:space="preserve">Failed to load resource: the server responded with a status of 400 ()
[pageerror] supabase.from(...).insert(...).catch is not a function
Failed to load resource: the server responded with a status of 404 ()
Warning: Cannot update a component (`%s`) while rendering a different component (`%s`). To locate the bad setState() call inside `%s`, follow the stack trace as described in https://reactjs.org/link/setstate-in-render%s ConsultationWorkspace DiagnosisPanel DiagnosisPanel
    at DiagnosisPanel (http://localhost:8080/src/components/opd/DiagnosisPanel.tsx:38:27)
    at div
    at ExaminationTa
…(truncated)</t>
  </si>
  <si>
    <t>Government reporting through IHIP/HMIS, PMJAY package matching and the hospital's own morbidity statistics are all keyed on the ICD code rather than the free-text diagnosis.</t>
  </si>
  <si>
    <t>opd_encounters where hospital_id = A and patient_id = (PT-QA-0001) → icd10_code is not null</t>
  </si>
  <si>
    <t>TC-P4E-019</t>
  </si>
  <si>
    <t>Completing the consultation stamps consultation_end_at and closes the token</t>
  </si>
  <si>
    <t>1) Start a consultation for PT-QA-0001 at /opd 2) Enter a chief complaint 3) Click "✓ Complete" 4) Read opd_tokens.status and consultation_end_at</t>
  </si>
  <si>
    <t>status = 'completed' and consultation_end_at holds a timestamp.</t>
  </si>
  <si>
    <t>phase4.consultation.chiefComplaint</t>
  </si>
  <si>
    <t>Without an end timestamp the consultation duration the hospital reports is unbounded, and the token stays in the queue blocking the next patient from being called.</t>
  </si>
  <si>
    <t>opd_tokens where hospital_id = A and patient_id = (PT-QA-0001) and visit_date = today → status = completed and consultation_end_at is not null</t>
  </si>
  <si>
    <t>TC-P4E-020</t>
  </si>
  <si>
    <t>Completing the consultation creates the MRD medical_records row</t>
  </si>
  <si>
    <t>1) Start and complete a consultation for PT-QA-0001 at /opd 2) Read the opd_encounters row 3) Read medical_records for that visit_id</t>
  </si>
  <si>
    <t>A medical_records row exists with record_type = opd for the encounter.</t>
  </si>
  <si>
    <t>The MRD index entry is how the physical and electronic file is later retrieved, tracked and retained to policy; without it the visit exists clinically but not administratively.</t>
  </si>
  <si>
    <t>medical_records where hospital_id = A and patient_id = (PT-QA-0001) and visit_id = (the encounter id) → 1 row</t>
  </si>
  <si>
    <t>TC-P4E-021</t>
  </si>
  <si>
    <t>An ordinary OPD record is retained for three years, not the MLC ten</t>
  </si>
  <si>
    <t>1) Start and complete a non-MLC consultation for PT-QA-0001 at /opd 2) Read medical_records.destroy_after for that visit 3) Compare it with today's date</t>
  </si>
  <si>
    <t>destroy_after is approximately three years from today.</t>
  </si>
  <si>
    <t>A non-MLC record is retained for 3 years and an MLC for 10; getting them the wrong way round either destroys medico-legal evidence seven years early or holds ordinary PHI far beyond its stated purpose.</t>
  </si>
  <si>
    <t>medical_records where hospital_id = A and patient_id = (PT-QA-0001) and visit_id = (the encounter id) → destroy_after is about 3 years ahead</t>
  </si>
  <si>
    <t>TC-P4E-022</t>
  </si>
  <si>
    <t>Completing the consultation queues an icd_codings row for the coders</t>
  </si>
  <si>
    <t>1) Start and complete a consultation for PT-QA-0001 at /opd 2) Read icd_codings for that encounter</t>
  </si>
  <si>
    <t>An icd_codings row exists with visit_type = opd and status = pending.</t>
  </si>
  <si>
    <t>MRD, HMIS</t>
  </si>
  <si>
    <t xml:space="preserve">Failed to load resource: the server responded with a status of 404 ()
Failed to load resource: the server responded with a status of 404 ()
Failed to load resource: the server responded with a status of 404 ()
Failed to load resource: the server responded with a status of 404 ()
[pageerror] supabase.from(...).insert(...).catch is not a function
Failed to load resource: the server responded with a status of 400 ()
Failed to load resource: the server responded with a status of 404 ()
Failed to load resource: the server responded with a status of 404 ()
Failed to load resource: the server respond
…(truncated)</t>
  </si>
  <si>
    <t>The coding team works from this queue; a visit that never reaches it is absent from every statutory return the hospital files that month.</t>
  </si>
  <si>
    <t>icd_codings where hospital_id = A and visit_id = (the encounter id) → status = pending</t>
  </si>
  <si>
    <t>TC-P4E-023</t>
  </si>
  <si>
    <t>A completed consultation can be reopened for the patient who returns with reports</t>
  </si>
  <si>
    <t>1) Complete a consultation for PT-QA-0001 at /opd 2) Reselect the token in the queue 3) Click "↻ Resume Consultation" 4) Read opd_tokens.status</t>
  </si>
  <si>
    <t>The Resume Consultation control is offered and the token returns to in_consultation.</t>
  </si>
  <si>
    <t>The patient who comes back the same afternoon with a lab report is the whole point of the OPD-to-lab loop; without a resume path they must be registered and charged all over again.</t>
  </si>
  <si>
    <t>opd_tokens where hospital_id = A and patient_id = (PT-QA-0001) and visit_date = today → status = in_consultation after resuming</t>
  </si>
  <si>
    <t>TC-P4E-024</t>
  </si>
  <si>
    <t>A paediatric patient's weight is recorded for weight-based dosing</t>
  </si>
  <si>
    <t>1) Register a walk-in for PT-QA-0009 at /opd and start the consultation 2) Open the Vitals tab 3) Enter weight 7.2 4) Complete the consultation</t>
  </si>
  <si>
    <t>opd_encounters.vitals holds weight_kg = 7.2.</t>
  </si>
  <si>
    <t>PT-QA-0009 Baby Aarav Sharma, 7.2 kg</t>
  </si>
  <si>
    <t>Every paediatric dose in India is calculated in mg/kg, so an 8-month-old documented with no weight means the prescription is either guessed or copied from an adult regimen.</t>
  </si>
  <si>
    <t>opd_encounters where hospital_id = A and patient_id = (PT-QA-0009) → vitals-&gt;&gt;weight_kg = 7.2</t>
  </si>
  <si>
    <t>TC-P4F-001</t>
  </si>
  <si>
    <t>4F Drug Safety &amp; Prescribing</t>
  </si>
  <si>
    <t>The Route dropdown is populated from the configured drug_routes</t>
  </si>
  <si>
    <t>1) Log in as doctor (Hospital A) 2) Open /opd and start a consultation for PT-QA-0001 3) Open the Rx &amp; Orders tab 4) Click "Add Drug" 5) Open the Route dropdown</t>
  </si>
  <si>
    <t>The Route dropdown lists options and is not empty.</t>
  </si>
  <si>
    <t>Master data — Config values → drug_routes</t>
  </si>
  <si>
    <t>drug_master rows plus hospital_config_values for drug_routes and drug_frequencies (Settings → Drugs, Settings → Configurable Dropdowns)</t>
  </si>
  <si>
    <t>SETTINGS_PREREQ_MATRIX calls an empty route dropdown "the most common false OPD is broken report"; this case separates the configuration gap from a code defect in one step.</t>
  </si>
  <si>
    <t>hospital_config_values where hospital_id = A and category = drug_routes → at least one row</t>
  </si>
  <si>
    <t>e2e/phase-04-opd-journey/P4F.drug-safety.spec.ts</t>
  </si>
  <si>
    <t>TC-P4F-002</t>
  </si>
  <si>
    <t>Every configured route value is offered, not a sample</t>
  </si>
  <si>
    <t>1) Start a consultation for PT-QA-0001 at /opd 2) Open the Rx &amp; Orders tab and click "Add Drug" 3) Read every option in the Route dropdown 4) Compare with the configured drug_routes list</t>
  </si>
  <si>
    <t>All nine configured routes appear — Oral, IV, IM, SC, Topical, Inhalation, Rectal, Sublingual and Ophthalmic.</t>
  </si>
  <si>
    <t>Master data — Config values → drug_routes (9 values)</t>
  </si>
  <si>
    <t>A route the doctor cannot pick gets approximated to the nearest one offered, and an intravenous drug prescribed as oral is a dosing error rather than a cosmetic mismatch.</t>
  </si>
  <si>
    <t>hospital_config_values where hospital_id = A and category = drug_routes → 9 rows matching the dropdown</t>
  </si>
  <si>
    <t>TC-P4F-003</t>
  </si>
  <si>
    <t>The Frequency dropdown is populated from the configured drug_frequencies</t>
  </si>
  <si>
    <t>1) Start a consultation for PT-QA-0001 at /opd 2) Open the Rx &amp; Orders tab and click "Add Drug" 3) Open the Frequency dropdown</t>
  </si>
  <si>
    <t>The Frequency dropdown lists options and is not empty.</t>
  </si>
  <si>
    <t>Master data — Config values → drug_frequencies</t>
  </si>
  <si>
    <t>Quantity is computed from frequency, so an empty frequency list breaks the dispensed count as well as the prescription instruction.</t>
  </si>
  <si>
    <t>hospital_config_values where hospital_id = A and category = drug_frequencies → at least one row</t>
  </si>
  <si>
    <t>TC-P4F-004</t>
  </si>
  <si>
    <t>Every configured frequency value is offered, not a sample</t>
  </si>
  <si>
    <t>1) Start a consultation for PT-QA-0001 at /opd 2) Open the Rx &amp; Orders tab and click "Add Drug" 3) Read every option in the Frequency dropdown</t>
  </si>
  <si>
    <t>All nine configured frequencies appear — OD, BD, TDS, QID, HS, SOS, STAT, Q6H and Q8H.</t>
  </si>
  <si>
    <t>Master data — Config values → drug_frequencies (9 values)</t>
  </si>
  <si>
    <t>A missing frequency silently produces the wrong dispensed quantity as well as an unclear instruction, and STAT in particular has no safe substitute.</t>
  </si>
  <si>
    <t>hospital_config_values where hospital_id = A and category = drug_frequencies → 9 rows matching the dropdown</t>
  </si>
  <si>
    <t>TC-P4F-005</t>
  </si>
  <si>
    <t>Drug search returns matches from the drug master</t>
  </si>
  <si>
    <t>1) Start a consultation for PT-QA-0001 at /opd 2) Open the Rx &amp; Orders tab and click "Add Drug" 3) Type "Dolo" into the drug search box 4) Read the suggestions</t>
  </si>
  <si>
    <t>Dolo 650 is offered as a suggestion from drug_master.</t>
  </si>
  <si>
    <t>Master data — Drug master → Dolo 650 (Paracetamol)</t>
  </si>
  <si>
    <t>When search returns nothing doctors type free text, and free text can be matched by neither the safety check nor the pharmacy stock lookup.</t>
  </si>
  <si>
    <t>drug_master where hospital_id = A and brand_name = 'Dolo 650' → 1 active row</t>
  </si>
  <si>
    <t>TC-P4F-006</t>
  </si>
  <si>
    <t>A drug that is not in the master returns no suggestion</t>
  </si>
  <si>
    <t>1) Start a consultation for PT-QA-0001 at /opd 2) Open the Rx &amp; Orders tab and click "Add Drug" 3) Type the unknown drug name from phase4.prescription.unknownDrug 4) Read the suggestions</t>
  </si>
  <si>
    <t>No suggestion is offered for a drug absent from drug_master.</t>
  </si>
  <si>
    <t>phase4.prescription.unknownDrug — Zzzmycin 999</t>
  </si>
  <si>
    <t>If suggestions include drugs the hospital does not stock, the doctor prescribes something the pharmacy cannot dispense and the patient is sent away to buy it outside.</t>
  </si>
  <si>
    <t>drug_master where hospital_id = A and brand_name = 'Zzzmycin 999' → 0 rows</t>
  </si>
  <si>
    <t>TC-P4F-007</t>
  </si>
  <si>
    <t>A drug with no safety issue is added with no alert</t>
  </si>
  <si>
    <t>1) Start a consultation for PT-QA-0001 (no recorded allergies) at /opd 2) Open the Rx &amp; Orders tab 3) Add Dolo 650, 1 tablet, TDS, 5 days 4) Watch for a safety modal</t>
  </si>
  <si>
    <t>The drug is added to the prescription with no safety modal shown.</t>
  </si>
  <si>
    <t>phase4.prescription.primary — Dolo 650</t>
  </si>
  <si>
    <t>Alerts that fire on harmless prescriptions are how doctors learn to click through the ones that matter, and alert fatigue is a documented patient-safety harm.</t>
  </si>
  <si>
    <t>TC-P4F-008</t>
  </si>
  <si>
    <t>The prescription is written to the prescriptions table on completion</t>
  </si>
  <si>
    <t>1) Start a consultation for PT-QA-0001 at /opd 2) Add Dolo 650, 1 tablet, TDS, 5 days in the Rx &amp; Orders tab 3) Click "✓ Complete" 4) Read the prescriptions row</t>
  </si>
  <si>
    <t>A prescriptions row exists whose drugs JSON contains Dolo 650.</t>
  </si>
  <si>
    <t xml:space="preserve">[pageerror] supabase.from(...).insert(...).catch is not a function
Failed to load resource: the server responded with a status of 400 ()
Failed to load resource: the server responded with a status of 404 ()
Failed to load resource: the server responded with a status of 404 ()
Failed to load resource: the server responded with a status of 404 ()
Failed to load resource: the server responded with a status of 403 ()</t>
  </si>
  <si>
    <t>The patient walks to the pharmacy counter expecting the prescription to be there; if it was never stored they are sent back to the doctor to have it written again.</t>
  </si>
  <si>
    <t>prescriptions where hospital_id = A and patient_id = (PT-QA-0001) → drugs contains Dolo 650</t>
  </si>
  <si>
    <t>TC-P4F-009</t>
  </si>
  <si>
    <t>Quantity is auto-calculated from dose, frequency and duration</t>
  </si>
  <si>
    <t>1) Start a consultation for PT-QA-0001 at /opd 2) Open the Rx &amp; Orders tab and click "Add Drug" 3) Search Dolo 650 4) Enter dose 1, frequency TDS, days 5 5) Read the Quantity box</t>
  </si>
  <si>
    <t>Quantity is calculated as 15 (1 × 3 per day × 5 days).</t>
  </si>
  <si>
    <t>phase4.prescription.primary — Dolo 650, 1 tablet, TDS, 5 days</t>
  </si>
  <si>
    <t>An under-calculated quantity sends the patient home with too few tablets to finish the course, which for an antibiotic is how resistance is created one prescription at a time.</t>
  </si>
  <si>
    <t>TC-P4F-010</t>
  </si>
  <si>
    <t>A once-daily drug computes one unit per day, not three</t>
  </si>
  <si>
    <t>1) Start a consultation for PT-QA-0001 at /opd 2) Open the Rx &amp; Orders tab and click "Add Drug" 3) Search Pan 40 4) Enter dose 1, frequency OD, days 5 5) Read the Quantity box</t>
  </si>
  <si>
    <t>Quantity is calculated as 5.</t>
  </si>
  <si>
    <t>phase4.prescription.secondary — Pan 40, 1 tablet, OD, 5 days</t>
  </si>
  <si>
    <t>Confirms the per-day multiplier is read from the chosen frequency rather than defaulting to a fixed number, which would over-dispense every once-daily drug.</t>
  </si>
  <si>
    <t>TC-P4F-011</t>
  </si>
  <si>
    <t>The quantity remains editable so the doctor can override the calculation</t>
  </si>
  <si>
    <t>1) Start a consultation for PT-QA-0001 at /opd 2) Open the Rx &amp; Orders tab and click "Add Drug" 3) Search Dolo 650 4) Type 7 into the Quantity box 5) Read the value back</t>
  </si>
  <si>
    <t>The Quantity box accepts and retains the value 7.</t>
  </si>
  <si>
    <t>Half-strip dispensing and part supplies are routine in an Indian pharmacy, so a locked quantity forces the pharmacist to work around the system rather than record what was actually given.</t>
  </si>
  <si>
    <t>TC-P4F-012</t>
  </si>
  <si>
    <t>An NDPS drug shows the dual-verification warning at prescribing time</t>
  </si>
  <si>
    <t>1) Start a consultation for PT-QA-0001 at /opd 2) Open the Rx &amp; Orders tab and click "Add Drug" 3) Search and select Morphine Sulphate 4) Read the panel beneath the form</t>
  </si>
  <si>
    <t>A warning reads "NDPS Drug — Dual verification required before dispensing".</t>
  </si>
  <si>
    <t>Master data — Drug master → Morphine Sulphate (NDPS)</t>
  </si>
  <si>
    <t>A prescriber with no on-screen signal that a drug carries a statutory register and a two-signature rule will write it like any other, and the pharmacy discovers the problem at the counter.</t>
  </si>
  <si>
    <t>drug_master where hospital_id = A and brand_name = 'Morphine Sulphate' → is_ndps = true</t>
  </si>
  <si>
    <t>TC-P4F-013</t>
  </si>
  <si>
    <t>A prescribed NDPS drug is badged on the prescription line</t>
  </si>
  <si>
    <t>1) Start a consultation for PT-QA-0001 at /opd 2) Add Morphine Sulphate, 10 mg, SOS, 3 days in the Rx &amp; Orders tab 3) Read the prescription line</t>
  </si>
  <si>
    <t>The line carries an NDPS badge.</t>
  </si>
  <si>
    <t>phase4.prescription.ndps — Morphine Sulphate 10 mg SOS</t>
  </si>
  <si>
    <t>The pharmacist reads the prescription line, not the entry form, so the badge is the only visual cue they get before dispensing a controlled drug.</t>
  </si>
  <si>
    <t>TC-P4F-014</t>
  </si>
  <si>
    <t>An allergic patient's allergies are surfaced in the Rx tab</t>
  </si>
  <si>
    <t>1) Start a consultation for PT-QA-0011 at /opd 2) Open the Rx &amp; Orders tab 3) Read the allergy banner at the top</t>
  </si>
  <si>
    <t>A banner displays the recorded Penicillin allergy.</t>
  </si>
  <si>
    <t>PT-QA-0011 Fatima Begum — ALLERGY: Penicillin</t>
  </si>
  <si>
    <t>The banner is the doctor's last human-readable warning before the software's, and a doctor who never sees the allergy has no chance to catch what the check misses.</t>
  </si>
  <si>
    <t>patients where hospital_id = A and uhid = 'PT-QA-0011' → allergies contains Penicillin</t>
  </si>
  <si>
    <t>TC-P4F-015</t>
  </si>
  <si>
    <t>The cross-reactivity reference data this check depends on exists</t>
  </si>
  <si>
    <t>1) In Supabase, select allergen and cross_reacts from drug_allergy_cross_reactivity where allergen matches penicillin</t>
  </si>
  <si>
    <t>A penicillin row exists whose cross_reacts array includes amoxicillin.</t>
  </si>
  <si>
    <t>None — reference data ships in migration 20260327071615</t>
  </si>
  <si>
    <t>Without this reference row the allergy check can only ever catch an exact name match, so every cross-reactive drug passes silently and the feature gives false assurance.</t>
  </si>
  <si>
    <t>drug_allergy_cross_reactivity where allergen ilike '%penicillin%' → cross_reacts contains amoxicillin</t>
  </si>
  <si>
    <t>TC-P4F-016</t>
  </si>
  <si>
    <t>Prescribing the generic cross-reactive drug blocks with a contraindication</t>
  </si>
  <si>
    <t>1) Start a consultation for PT-QA-0011 (Penicillin allergy) at /opd 2) Open the Rx &amp; Orders tab and click "Add Drug" 3) Enter Amoxicillin, 500 mg, 5 days 4) Click "Add to Prescription"</t>
  </si>
  <si>
    <t>A contraindication alert is raised before the drug is added, naming the conflict.</t>
  </si>
  <si>
    <t>PT-QA-0011 Fatima Begum; drug Amoxicillin (generic)</t>
  </si>
  <si>
    <t xml:space="preserve">Automated: FAILED.
Error: Amoxicillin was added to a PENICILLIN-ALLERGIC patient with no alert at all. This is the exact case the cross-reactivity table exists for, and anaphylaxis is the failure mode.
expect(received).toBeTruthy()
Received: false</t>
  </si>
  <si>
    <t>This is the exact case the cross-reactivity table exists for, and anaphylaxis in a busy OPD with no resuscitation trolley at hand is the failure mode being prevented.</t>
  </si>
  <si>
    <t>TC-P4F-017</t>
  </si>
  <si>
    <t>The contraindication names the allergy and the drug that conflicts</t>
  </si>
  <si>
    <t>1) Start a consultation for PT-QA-0011 at /opd 2) Attempt to add Amoxicillin in the Rx &amp; Orders tab 3) Read the alert text</t>
  </si>
  <si>
    <t>The alert names Penicillin as the allergy it fired on.</t>
  </si>
  <si>
    <t>PT-QA-0011 Fatima Begum; drug Amoxicillin</t>
  </si>
  <si>
    <t>An alert that says only "contraindicated" gives the doctor nothing to weigh a clinical decision against, so it is either ignored or it stops treatment that should have gone ahead.</t>
  </si>
  <si>
    <t>TC-P4F-018</t>
  </si>
  <si>
    <t>The override requires a written clinical justification</t>
  </si>
  <si>
    <t>1) Start a consultation for PT-QA-0011 at /opd 2) Attempt to add Amoxicillin and trigger the contraindication 3) Click "Override with clinical justification..." 4) Leave the reason blank 5) Inspect the "Override and Add Drug" button</t>
  </si>
  <si>
    <t>The override submit button stays disabled while the reason is blank.</t>
  </si>
  <si>
    <t xml:space="preserve">Automated: FAILED.
TimeoutError: locator.click: Timeout 15000ms exceeded.
Call log:
  - waiting for getByRole('button', { name: /override with clinical justification/i }).first()</t>
  </si>
  <si>
    <t>An unexplained override is legally indistinguishable from not having checked at all, and the reason field is the only place the clinical rationale is ever captured.</t>
  </si>
  <si>
    <t>TC-P4F-019</t>
  </si>
  <si>
    <t>The override also requires an explicit acknowledgement</t>
  </si>
  <si>
    <t>1) Start a consultation for PT-QA-0011 at /opd 2) Trigger the contraindication on Amoxicillin 3) Click "Override with clinical justification..." 4) Enter the reason from phase4.drugSafety but leave the acknowledgement unticked 5) Inspect the submit button</t>
  </si>
  <si>
    <t>The override submit button remains disabled until the acknowledgement is ticked.</t>
  </si>
  <si>
    <t>phase4.drugSafety.overrideReason</t>
  </si>
  <si>
    <t>The acknowledgement is the deliberate second action that stops a reflex click-through, which is what a single-field override always becomes after the first week.</t>
  </si>
  <si>
    <t>TC-P4F-020</t>
  </si>
  <si>
    <t>An allergy override is recorded against the patient it was made for</t>
  </si>
  <si>
    <t>1) Start a consultation for PT-QA-0011 at /opd 2) Trigger the contraindication on Amoxicillin 3) Override with the reason from phase4.drugSafety and tick the acknowledgement 4) Read the newest clinical_alerts row with alert_type drug_override</t>
  </si>
  <si>
    <t>The clinical_alerts row carries patient_id equal to PT-QA-0011's id.</t>
  </si>
  <si>
    <t>PT-QA-0011 Fatima Begum; phase4.drugSafety.overrideReason</t>
  </si>
  <si>
    <t>REGRESSION LOCK for BUG-P4-001..005 batch (BUG-P4-004, fixed): the override used to be written with patient_id NULL, so the promise the modal makes to the prescriber was false and no chart review could ever surface a deliberate contraindication.</t>
  </si>
  <si>
    <t>clinical_alerts where hospital_id = A and alert_type = 'drug_override' order by created_at desc limit 1 → patient_id = (PT-QA-0011)</t>
  </si>
  <si>
    <t>TC-P4F-021</t>
  </si>
  <si>
    <t>An allergy override records who overrode it</t>
  </si>
  <si>
    <t>1) Start a consultation for PT-QA-0011 at /opd 2) Trigger the contraindication on Amoxicillin and override it with a written reason 3) Read the newest clinical_alerts row with alert_type drug_override 4) Look for any column identifying the prescriber</t>
  </si>
  <si>
    <t>The row identifies the prescriber who made the override.</t>
  </si>
  <si>
    <t>REGRESSION LOCK (BUG-P4-004, fixed): clinical_alerts had no column naming the decision-maker at all, and scenario P4-S11 requires a reason AND the prescriber identity — an anonymous override cannot be defended at a medico-legal review.</t>
  </si>
  <si>
    <t>clinical_alerts where hospital_id = A and alert_type = 'drug_override' order by created_at desc limit 1 → a prescriber identity column is populated</t>
  </si>
  <si>
    <t>TC-P4F-022</t>
  </si>
  <si>
    <t>Prescribing the brand name of a cross-reactive drug also blocks</t>
  </si>
  <si>
    <t>1) Start a consultation for PT-QA-0011 (Penicillin allergy) at /opd 2) Open the Rx &amp; Orders tab and click "Add Drug" 3) Search and select Mox 500 (brand name for Amoxicillin) 4) Enter 500 mg for 5 days and click "Add to Prescription"</t>
  </si>
  <si>
    <t>A contraindication alert is raised, exactly as it is for the generic name.</t>
  </si>
  <si>
    <t>PT-QA-0011 Fatima Begum; phase4.drugSafety.crossReactiveDrug — Mox 500</t>
  </si>
  <si>
    <t xml:space="preserve">Automated: FAILED.
Error: REGRESSION LOCK (BUG-P4-001, fixed): "Mox 500" is Amoxicillin under its Indian brand name and it was added to a PENICILLIN-ALLERGIC patient with NO alert. resolveAliases() in src/lib/drugSafetyCheck.ts must resolve the brand to its generic via drug_master before matching the cross-reactivity table, which is keyed on generics. Check that the drug is seeded with its generic_name — a formulary row with a blank generic_name silently reopens this hole for that drug alone.
expect(received).toBeTruthy()
Received: false</t>
  </si>
  <si>
    <t>REGRESSION LOCK (BUG-P4-001, fixed): the check normalised only the strength so "Mox 500" became "mox" and never matched a cross-reactivity table keyed on generics, which left the allergy guard silent on the brand-name prescribing that is the Indian norm.</t>
  </si>
  <si>
    <t>drug_master where hospital_id = A and brand_name = 'Mox 500' → generic_name = Amoxicillin</t>
  </si>
  <si>
    <t>TC-P4F-023</t>
  </si>
  <si>
    <t>A combination brand containing the allergen also blocks</t>
  </si>
  <si>
    <t>1) Start a consultation for PT-QA-0011 at /opd 2) Open the Rx &amp; Orders tab and click "Add Drug" 3) Search and select Augmentin 625 (Amoxicillin + Clavulanate) 4) Enter 1 tablet for 5 days and click "Add to Prescription"</t>
  </si>
  <si>
    <t>A contraindication alert is raised — co-amoxiclav is listed in the penicillin cross_reacts array.</t>
  </si>
  <si>
    <t>PT-QA-0011 Fatima Begum; phase4.drugSafety.crossReactiveCombination — Augmentin 625</t>
  </si>
  <si>
    <t xml:space="preserve">Automated: FAILED.
Error: REGRESSION LOCK (BUG-P4-001, fixed — the combination half): "Augmentin 625" is Amoxicillin + Clavulanate, and co-amoxiclav is listed in the penicillin cross_reacts array. splitGenerics() must break a combination generic on "+" so EACH constituent is checked — a combination whose second component is the allergen must block just as loudly as a single-molecule brand.
expect(received).toBeTruthy()
Received: false</t>
  </si>
  <si>
    <t xml:space="preserve">[pageerror] supabase.from(...).insert(...).catch is not a function
Failed to load resource: the server responded with a status of 400 ()
Failed to load resource: the server responded with a status of 404 ()
Failed to load resource: the server responded with a status of 409 ()</t>
  </si>
  <si>
    <t>REGRESSION LOCK (BUG-P4-001, fixed): co-amoxiclav is listed as cross-reactive with penicillin, so a combination brand must be split into its constituents and each one checked separately.</t>
  </si>
  <si>
    <t>drug_master where hospital_id = A and brand_name = 'Augmentin 625' → generic_name contains Amoxicillin</t>
  </si>
  <si>
    <t>TC-P4F-024</t>
  </si>
  <si>
    <t>A genuinely safe alternative is added without an alert</t>
  </si>
  <si>
    <t>1) Start a consultation for PT-QA-0011 at /opd 2) Open the Rx &amp; Orders tab 3) Add Zifi 200 (Cefixime), 200 mg, 5 days 4) Watch for a safety modal</t>
  </si>
  <si>
    <t>The drug is added with no contraindication alert.</t>
  </si>
  <si>
    <t>PT-QA-0011 Fatima Begum; phase4.drugSafety.safeAlternative — Zifi 200</t>
  </si>
  <si>
    <t>If the check warns the doctor off a drug the reference data does not flag, the alert becomes noise and the genuinely dangerous warnings are dismissed with it.</t>
  </si>
  <si>
    <t>TC-P4F-025</t>
  </si>
  <si>
    <t>Adding a drug that interacts with one already prescribed raises an alert</t>
  </si>
  <si>
    <t>1) Start a consultation for PT-QA-0010 (74, on six medicines) at /opd 2) Open the Rx &amp; Orders tab 3) Add Telma 40, 40 mg, 30 days 4) Add Lasix 40, 40 mg, 30 days 5) Watch for a safety modal</t>
  </si>
  <si>
    <t>An interaction alert is raised when the second drug is added.</t>
  </si>
  <si>
    <t>PT-QA-0010 Krishnamurthy Iyer; phase4.drugSafety.interactionProbePair — Telma 40 + Lasix 40</t>
  </si>
  <si>
    <t xml:space="preserve">Automated: FAILED.
Error: Adding Lasix 40 on top of Telma 40 raised no interaction alert on a 74-year-old already on six medicines. Polypharmacy in the elderly is where interactions actually hurt people, and it is the one place the check must not be silent.
expect(received).toBeTruthy()
Received: false</t>
  </si>
  <si>
    <t>Polypharmacy in the elderly is where drug interactions actually cause harm, and this is the one place the check must not stay silent.</t>
  </si>
  <si>
    <t>TC-P4F-026</t>
  </si>
  <si>
    <t>An interaction alert names both drugs rather than warning generically</t>
  </si>
  <si>
    <t>1) Start a consultation for PT-QA-0010 at /opd 2) Add Telma 40 then Lasix 40 in the Rx &amp; Orders tab 3) Read the alert text in full</t>
  </si>
  <si>
    <t>The alert carries a clinical effect, mechanism or severity — not a bare "interaction detected".</t>
  </si>
  <si>
    <t>PT-QA-0010 Krishnamurthy Iyer; Telma 40 + Lasix 40</t>
  </si>
  <si>
    <t xml:space="preserve">Automated: FAILED.
Error: The interaction alert carried no clinical effect, mechanism or severity — only a generic warning. Dr. Ramesh's rule applies: more alerts is not better. An alert the doctor cannot act on trains them to dismiss the next one, which is a patient-safety harm in itself.
expect(received).toBeTruthy()
Received: false</t>
  </si>
  <si>
    <t xml:space="preserve">Failed to load resource: the server responded with a status of 400 ()
[pageerror] supabase.from(...).insert(...).catch is not a function
Failed to load resource: the server responded with a status of 404 ()
Failed to load resource: the server responded with a status of 404 ()
Failed to load resource: the server responded with a status of 404 ()</t>
  </si>
  <si>
    <t>Dr. Ramesh's rule applies — more alerts is not better; an alert the doctor cannot act on trains them to dismiss the next one, which is itself a patient-safety harm.</t>
  </si>
  <si>
    <t>TC-P4G-001</t>
  </si>
  <si>
    <t>4G Orders — Lab &amp; Radiology</t>
  </si>
  <si>
    <t>Lab test chips are rendered from the lab test master</t>
  </si>
  <si>
    <t>1) Log in as doctor (Hospital A) 2) Open /opd and start a consultation for PT-QA-0001 3) Open the Rx &amp; Orders tab 4) Read the lab test chips</t>
  </si>
  <si>
    <t>Complete Blood Count appears as a selectable chip.</t>
  </si>
  <si>
    <t>Master data — Lab test master → Complete Blood Count</t>
  </si>
  <si>
    <t>lab_test_master and radiology_study_master rows configured with fee, sample type and modality (Settings → Lab Tests, Settings → Radiology)</t>
  </si>
  <si>
    <t>SETTINGS_PREREQ_MATRIX warns that empty lab chips leave the doctor typing free text, and free text is silently dropped from the order — so an empty catalogue costs both the test and the fee.</t>
  </si>
  <si>
    <t>lab_test_master where hospital_id = A and is_active = true → Complete Blood Count exists</t>
  </si>
  <si>
    <t>e2e/phase-04-opd-journey/P4G.orders-lab-radiology.spec.ts</t>
  </si>
  <si>
    <t>TC-P4G-002</t>
  </si>
  <si>
    <t>Radiology study chips are rendered from the radiology study master</t>
  </si>
  <si>
    <t>1) Start a consultation for PT-QA-0001 at /opd 2) Open the Rx &amp; Orders tab 3) Read the radiology study chips</t>
  </si>
  <si>
    <t>Chest X-Ray PA View appears as a selectable chip.</t>
  </si>
  <si>
    <t>Master data — Radiology → Chest X-Ray PA View</t>
  </si>
  <si>
    <t>The same prerequisite failure as the lab chips, and radiology orders carry higher fees so the revenue impact of an empty catalogue is larger.</t>
  </si>
  <si>
    <t>radiology_study_master where hospital_id = A and is_active = true → Chest X-Ray PA View exists</t>
  </si>
  <si>
    <t>TC-P4G-003</t>
  </si>
  <si>
    <t>Selecting a lab test moves it into the Selected list</t>
  </si>
  <si>
    <t>1) Start a consultation for PT-QA-0001 at /opd 2) Open the Rx &amp; Orders tab 3) Click the Complete Blood Count chip 4) Read the Selected panel</t>
  </si>
  <si>
    <t>A "Selected (1)" panel lists Complete Blood Count.</t>
  </si>
  <si>
    <t>phase4.orders.labTests — Complete Blood Count</t>
  </si>
  <si>
    <t>The doctor has to be able to see what they have actually ordered before finishing the consultation, or they order the same test twice or none at all.</t>
  </si>
  <si>
    <t>TC-P4G-004</t>
  </si>
  <si>
    <t>Completing the consultation creates a real lab_orders row</t>
  </si>
  <si>
    <t>1) Start a consultation for PT-QA-0001 at /opd 2) Select Complete Blood Count in the Rx &amp; Orders tab 3) Click "✓ Complete" 4) Read lab_orders for the patient</t>
  </si>
  <si>
    <t>A lab_orders row exists for PT-QA-0001.</t>
  </si>
  <si>
    <t xml:space="preserve">Failed to load resource: the server responded with a status of 400 ()
[pageerror] supabase.from(...).insert(...).catch is not a function
Failed to load resource: the server responded with a status of 404 ()
Failed to load resource: the server responded with a status of 404 ()
recalculate_bill_totals RPC failed, client fallback applied: Could not find the function public.recalculate_bill_totals(p_bill_id) in the schema cache
[pageerror] supabase.from(...).insert(...).catch is not a function
Failed to load resource: the server responded with a status of 403 ()</t>
  </si>
  <si>
    <t>The patient walks to the phlebotomy counter expecting to be bled; if no order exists the lab has no idea they are coming and the sample is never taken.</t>
  </si>
  <si>
    <t>lab_orders where hospital_id = A and patient_id = (PT-QA-0001) → at least 1 row</t>
  </si>
  <si>
    <t>TC-P4G-005</t>
  </si>
  <si>
    <t>The lab order carries a line item for the test that was ordered</t>
  </si>
  <si>
    <t>1) Start a consultation for PT-QA-0001 at /opd 2) Select Complete Blood Count and complete the consultation 3) Read lab_order_items for the new lab order</t>
  </si>
  <si>
    <t>At least one lab_order_items row exists against the order.</t>
  </si>
  <si>
    <t>A header with no items is a ghost order the lab can see but cannot act on, because nothing in it says which test to actually run.</t>
  </si>
  <si>
    <t>lab_order_items where lab_order_id = (the new lab_orders id) → at least 1 row</t>
  </si>
  <si>
    <t>TC-P4G-006</t>
  </si>
  <si>
    <t>The lab order is linked back to the OPD encounter that raised it</t>
  </si>
  <si>
    <t>1) Start a consultation for PT-QA-0001 at /opd 2) Select Complete Blood Count and complete the consultation 3) Compare lab_orders.encounter_id with the opd_encounters row</t>
  </si>
  <si>
    <t>lab_orders.encounter_id equals the encounter id.</t>
  </si>
  <si>
    <t>With no encounter link the result comes back attached to nothing and never appears in the chart the doctor reviews before the patient leaves.</t>
  </si>
  <si>
    <t>lab_orders where hospital_id = A and patient_id = (PT-QA-0001) → encounter_id = the opd_encounters id</t>
  </si>
  <si>
    <t>TC-P4G-007</t>
  </si>
  <si>
    <t>An ordered test shows the BILLED &amp; ORDERED confirmation in the Rx tab</t>
  </si>
  <si>
    <t>1) Start a consultation for PT-QA-0001 at /opd 2) Select Complete Blood Count and complete the consultation 3) Reopen the token and the Rx &amp; Orders tab 4) Read the chip beside the selected test</t>
  </si>
  <si>
    <t>The chip displays "BILLED &amp; ORDERED".</t>
  </si>
  <si>
    <t xml:space="preserve">[pageerror] supabase.from(...).insert(...).catch is not a function
Failed to load resource: the server responded with a status of 400 ()
Failed to load resource: the server responded with a status of 404 ()
Failed to load resource: the server responded with a status of 404 ()
recalculate_bill_totals RPC failed, client fallback applied: Could not find the function public.recalculate_bill_totals(p_bill_id) in the schema cache
[pageerror] supabase.from(...).insert(...).catch is not a function
Failed to load resource: the server responded with a status of 403 ()</t>
  </si>
  <si>
    <t>That badge is the doctor's only visual proof the handoff to the lab actually happened; without it they cannot tell a real order from a note they made to themselves.</t>
  </si>
  <si>
    <t>lab_orders where hospital_id = A and patient_id = (PT-QA-0001) → 1 row (the chip reflects it)</t>
  </si>
  <si>
    <t>TC-P4G-008</t>
  </si>
  <si>
    <t>Two different tests ordered together each produce an order item</t>
  </si>
  <si>
    <t>1) Start a consultation for PT-QA-0001 at /opd 2) Select Complete Blood Count and Fasting Blood Sugar in the Rx &amp; Orders tab 3) Complete the consultation 4) Count the lab_order_items rows</t>
  </si>
  <si>
    <t>At least two lab_order_items rows exist across the patient's lab orders.</t>
  </si>
  <si>
    <t>phase4.orders.labTests — Complete Blood Count, Fasting Blood Sugar</t>
  </si>
  <si>
    <t xml:space="preserve">Failed to load resource: the server responded with a status of 400 ()
[pageerror] supabase.from(...).insert(...).catch is not a function
Failed to load resource: the server responded with a status of 404 ()
Failed to load resource: the server responded with a status of 404 ()
Failed to load resource: the server responded with a status of 404 ()
Failed to load resource: the server responded with a status of 404 ()
recalculate_bill_totals RPC failed, client fallback applied: Could not find the function public.recalculate_bill_totals(p_bill_id) in the schema cache
[pageerror] supabase.from(...).i
…(truncated)</t>
  </si>
  <si>
    <t>A missing second test is both an investigation the patient never receives and a fee the hospital never collects, with no error shown to anyone.</t>
  </si>
  <si>
    <t>lab_order_items joined to lab_orders where patient_id = (PT-QA-0001) → count &gt;= 2</t>
  </si>
  <si>
    <t>TC-P4G-009</t>
  </si>
  <si>
    <t>A test name not in the catalogue is silently dropped from the order</t>
  </si>
  <si>
    <t>1) Start a consultation for PT-QA-0001 at /opd 2) In the Rx &amp; Orders tab type the misspelled test name from phase4.orders.offCatalogueTest and add it 3) Complete the consultation 4) Count the lab_order_items rows</t>
  </si>
  <si>
    <t>CURRENT APP BEHAVIOUR: no lab_order_items row is created for the misspelled test.</t>
  </si>
  <si>
    <t>phase4.orders.offCatalogueTest — Compleet Blood Kount</t>
  </si>
  <si>
    <t>SETTINGS_PREREQ_MATRIX documents that an unmatched test is dropped with only an amber banner, so the doctor believes it is ordered, the lab never sees it, and the hospital never bills it.</t>
  </si>
  <si>
    <t>lab_order_items joined to lab_orders where patient_id = (PT-QA-0001) → 0 rows for the misspelled name</t>
  </si>
  <si>
    <t>TC-P4G-010</t>
  </si>
  <si>
    <t>The only warning for a dropped test is an amber banner</t>
  </si>
  <si>
    <t>1) Start a consultation for PT-QA-0001 at /opd 2) Add the misspelled test from phase4.orders.offCatalogueTest and complete the consultation 3) Reopen the token and the Rx &amp; Orders tab 4) Look for any warning about tests not found</t>
  </si>
  <si>
    <t>An amber "prescribed tests not found" banner is shown — there is no toast, no block and no error.</t>
  </si>
  <si>
    <t>If even the amber banner does not appear there is no signal anywhere, on screen or in the database, that an investigation the doctor ordered was thrown away.</t>
  </si>
  <si>
    <t>TC-P4G-011</t>
  </si>
  <si>
    <t>A catalogue test typed in lower case still matches</t>
  </si>
  <si>
    <t>1) Start a consultation for PT-QA-0001 at /opd 2) In the Rx &amp; Orders tab enter "complete blood count" in lower case and add it 3) Complete the consultation 4) Count the lab_order_items rows</t>
  </si>
  <si>
    <t>At least one lab_order_items row is created — the match is case-insensitive.</t>
  </si>
  <si>
    <t>phase4.orders.labTests — Complete Blood Count (lower case)</t>
  </si>
  <si>
    <t>If the match becomes case-sensitive, ordinary typing habits start losing orders silently and the failure looks identical to a missing catalogue entry.</t>
  </si>
  <si>
    <t>lab_order_items joined to lab_orders where patient_id = (PT-QA-0001) → at least 1 row</t>
  </si>
  <si>
    <t>TC-P4G-012</t>
  </si>
  <si>
    <t>Ordering the same test twice in one encounter does not duplicate it</t>
  </si>
  <si>
    <t>1) Start a consultation for PT-QA-0001 at /opd 2) Order Complete Blood Count and complete the consultation 3) Resume the consultation 4) Order Complete Blood Count again and complete 5) Count the lab_order_items rows</t>
  </si>
  <si>
    <t>Exactly one lab_order_items row exists for the test.</t>
  </si>
  <si>
    <t xml:space="preserve">[pageerror] supabase.from(...).insert(...).catch is not a function
Failed to load resource: the server responded with a status of 400 ()
Failed to load resource: the server responded with a status of 404 ()
Failed to load resource: the server responded with a status of 404 ()
recalculate_bill_totals RPC failed, client fallback applied: Could not find the function public.recalculate_bill_totals(p_bill_id) in the schema cache
[pageerror] supabase.from(...).insert(...).catch is not a function
Failed to load resource: the server responded with a status of 403 ()
Failed to load resource: the server
…(truncated)</t>
  </si>
  <si>
    <t>A duplicated order means the patient is bled twice and charged twice for one investigation, and the second sample also occupies analyser capacity the lab does not have.</t>
  </si>
  <si>
    <t>lab_order_items joined to lab_orders where patient_id = (PT-QA-0001) → exactly 1 row for Complete Blood Count</t>
  </si>
  <si>
    <t>TC-P4G-013</t>
  </si>
  <si>
    <t>A sample with a barcode is created alongside the lab order</t>
  </si>
  <si>
    <t>1) Start a consultation for PT-QA-0001 at /opd 2) Order Complete Blood Count and complete the consultation 3) Read lab_samples for the new lab order</t>
  </si>
  <si>
    <t>A lab_samples row exists with a barcode.</t>
  </si>
  <si>
    <t>Without a barcode the phlebotomist has nothing to print, so the tube that reaches the analyser cannot be tied back to this patient and the result may be reported against the wrong person.</t>
  </si>
  <si>
    <t>lab_samples where lab_order_id = (the new lab_orders id) → barcode is not null</t>
  </si>
  <si>
    <t>TC-P4G-014</t>
  </si>
  <si>
    <t>The lab order records the clinical indication the doctor gave</t>
  </si>
  <si>
    <t>1) Start a consultation for PT-QA-0001 at /opd 2) Order Complete Blood Count and complete the consultation 3) Read lab_orders.clinical_notes</t>
  </si>
  <si>
    <t>The lab_orders row carries a clinical_notes field for the indication.</t>
  </si>
  <si>
    <t>phase4.orders.clinicalIndication — Rule out infective aetiology</t>
  </si>
  <si>
    <t>A pathologist reporting a borderline value with no clinical context cannot interpret it, so the indication is what turns a number into a usable result.</t>
  </si>
  <si>
    <t>lab_orders where hospital_id = A and patient_id = (PT-QA-0001) → clinical_notes column present</t>
  </si>
  <si>
    <t>TC-P4G-015</t>
  </si>
  <si>
    <t>A radiology study ordered in OPD creates a radiology_orders row</t>
  </si>
  <si>
    <t>1) Start a consultation for PT-QA-0001 at /opd 2) Select Chest X-Ray PA View in the Rx &amp; Orders tab 3) Complete the consultation 4) Read radiology_orders for the patient</t>
  </si>
  <si>
    <t>A radiology_orders row exists and is linked to the encounter.</t>
  </si>
  <si>
    <t>phase4.orders.plainStudy — Chest X-Ray PA View</t>
  </si>
  <si>
    <t>The radiology worklist is built from these rows; an order that never arrives means the patient waits outside the X-ray room for a scan nobody has been asked to perform.</t>
  </si>
  <si>
    <t>radiology_orders where hospital_id = A and patient_id = (PT-QA-0001) → encounter_id is not null</t>
  </si>
  <si>
    <t>TC-P4G-016</t>
  </si>
  <si>
    <t>An obstetric ultrasound ordered in OPD creates a PCPNDT Form F</t>
  </si>
  <si>
    <t>1) Start a consultation for PT-QA-0012 (22 weeks pregnant) at /opd 2) Select "USG Obstetric (Level II)" in the Rx &amp; Orders tab 3) Complete the consultation 4) Read pcpndt_form_f for the new radiology order</t>
  </si>
  <si>
    <t>A pcpndt_form_f row exists against the radiology order.</t>
  </si>
  <si>
    <t>PT-QA-0012 Deepa Nair; phase4.orders.obstetricStudy — USG Obstetric (Level II)</t>
  </si>
  <si>
    <t>Radiology, HMIS</t>
  </si>
  <si>
    <t>REGRESSION LOCK (BUG-P4-002, fixed): Form F existed in only one call site and the OPD consultation path did not call it, so the commonest way to order an obstetric scan generated none at all — under the PCPNDT Act that is a criminal exposure, not a reporting gap.</t>
  </si>
  <si>
    <t>pcpndt_form_f where order_id = (the new radiology_orders id) → at least 1 row</t>
  </si>
  <si>
    <t>TC-P4G-017</t>
  </si>
  <si>
    <t>An obstetric ultrasound order is flagged is_pcpndt</t>
  </si>
  <si>
    <t>1) Start a consultation for PT-QA-0012 at /opd 2) Order "USG Obstetric (Level II)" and complete the consultation 3) Read radiology_orders.is_pcpndt</t>
  </si>
  <si>
    <t>is_pcpndt = true on the new radiology order.</t>
  </si>
  <si>
    <t>PT-QA-0012 Deepa Nair; phase4.orders.obstetricStudy</t>
  </si>
  <si>
    <t>REGRESSION LOCK (BUG-P4-002, fixed): without the is_pcpndt flag the register cannot find the scan retrospectively either, so a shortfall cannot be reconciled before an inspection finds it.</t>
  </si>
  <si>
    <t>radiology_orders where hospital_id = A and patient_id = (PT-QA-0012) → is_pcpndt = true</t>
  </si>
  <si>
    <t>TC-P4G-018</t>
  </si>
  <si>
    <t>An obstetric study whose name omits the word obstetric still creates a Form F</t>
  </si>
  <si>
    <t>1) Start a consultation for PT-QA-0012 at /opd 2) Select "USG Pregnancy Profile" in the Rx &amp; Orders tab 3) Complete the consultation 4) Read pcpndt_form_f for the new radiology order</t>
  </si>
  <si>
    <t>A pcpndt_form_f row exists even though the study name does not contain the word "obstetric".</t>
  </si>
  <si>
    <t>PT-QA-0012 Deepa Nair; phase4.orders.obstetricStudyVariant — USG Pregnancy Profile</t>
  </si>
  <si>
    <t>REGRESSION LOCK (BUG-P4-003, fixed): the trigger was a substring match on "obstetric", so a hospital naming its studies differently got no Form F even on the path that had one — a statutory trigger must key on a study-master flag, not on a free-text label.</t>
  </si>
  <si>
    <t>pcpndt_form_f where order_id = (the radiology_orders id for USG Pregnancy Profile) → at least 1 row</t>
  </si>
  <si>
    <t>TC-P4G-019</t>
  </si>
  <si>
    <t>A non-obstetric ultrasound must not create a Form F</t>
  </si>
  <si>
    <t>1) Start a consultation for PT-QA-0001 at /opd 2) Select "USG Abdomen &amp; Pelvis" in the Rx &amp; Orders tab 3) Complete the consultation 4) Read pcpndt_form_f for the new radiology order</t>
  </si>
  <si>
    <t>No pcpndt_form_f row exists for the abdominal ultrasound.</t>
  </si>
  <si>
    <t>phase4.orders.nonObstetricStudy — USG Abdomen &amp; Pelvis</t>
  </si>
  <si>
    <t>A register padded with non-obstetric scans is unusable at inspection and invites the scrutiny the hospital is trying to avoid, so false positives are their own problem.</t>
  </si>
  <si>
    <t>pcpndt_form_f where order_id = (the radiology_orders id for USG Abdomen &amp; Pelvis) → 0 rows</t>
  </si>
  <si>
    <t>TC-P4G-020</t>
  </si>
  <si>
    <t>An off-catalogue radiology study is ordered anyway, unlike a lab test</t>
  </si>
  <si>
    <t>1) Start a consultation for PT-QA-0001 at /opd 2) Enter an unknown study name in the radiology box and add it 3) Complete the consultation 4) Read radiology_orders for the patient</t>
  </si>
  <si>
    <t>CURRENT APP BEHAVIOUR: a radiology_orders row IS created with a fallback modality, unlike the lab path which drops the unmatched test.</t>
  </si>
  <si>
    <t>Unknown study "Zzz Imaging Study 999"</t>
  </si>
  <si>
    <t xml:space="preserve">Automated: FAILED.
TimeoutError: locator.click: Timeout 15000ms exceeded.
Call log:
  - waiting for getByRole('button', { name: '+' }).last()
    - locator resolved to &lt;button class="text-xs bg-muted px-2 rounded hover:bg-muted/80"&gt;+&lt;/button&gt;
  - attempting click action
    2 × waiting for element to be visible, enabled and stable
      - element is visible, enabled and stable
      - scrolling into view if needed
      - done scrolling
      - &lt;svg width="24" height="24" fill="none" stroke-width="2" viewBox="0 0 24 24" stroke="currentColor" stroke-linecap="round" stroke-linejoin="round" xmlns="http://www.w3.org/2000/svg" class="lucide lucide-mic h-3 w-3 text-white"&gt;…&lt;/svg&gt; from &lt;button type="button" tabindex="-1" title="Dictate in English" aria-label="Dictate in English" class="flex items-center justify-center rounded-full shadow-md transition-colors bg-[#1A2F5A] hover:bg-[#152647]"&gt;…&lt;/button&gt; subtree int
…(truncated)</t>
  </si>
  <si>
    <t>The two sibling sync functions handle the same failure in opposite directions, so a doctor cannot form one mental model of what happens to a mistyped investigation.</t>
  </si>
  <si>
    <t>radiology_orders where hospital_id = A and patient_id = (PT-QA-0001) → at least 1 row for the unknown study</t>
  </si>
  <si>
    <t>TC-P4G-021</t>
  </si>
  <si>
    <t>A lab order raised in OPD carries a billing status for charging</t>
  </si>
  <si>
    <t>1) Start a consultation for PT-QA-0001 at /opd 2) Order Complete Blood Count and complete the consultation 3) Read lab_orders.billing_status</t>
  </si>
  <si>
    <t>billing_status is populated (unbilled on creation).</t>
  </si>
  <si>
    <t>Billing, Lab</t>
  </si>
  <si>
    <t>Unbilled investigations are the largest single source of OPD revenue leakage, and without a status nothing tells the billing module whether this test has been charged.</t>
  </si>
  <si>
    <t>lab_orders where hospital_id = A and patient_id = (PT-QA-0001) → billing_status is not null</t>
  </si>
  <si>
    <t>TC-P4G-022</t>
  </si>
  <si>
    <t>A lab technician can see the order the OPD doctor raised</t>
  </si>
  <si>
    <t>1) As the doctor, order Complete Blood Count for PT-QA-0001 at /opd and complete the consultation 2) Log out 3) Log in as lab_technician (Hospital A) 4) Open /lab 5) Look for the patient in the pending list</t>
  </si>
  <si>
    <t>Ramesh Kumar appears in the lab worklist.</t>
  </si>
  <si>
    <t>PT-QA-0001 Ramesh Kumar; Complete Blood Count</t>
  </si>
  <si>
    <t>The cross-module handoff is the whole point of this phase; an order nobody in the lab can see is a piece of paper the patient has to carry across the hospital themselves.</t>
  </si>
  <si>
    <t>lab_orders where hospital_id = A and patient_id = (PT-QA-0001) → row exists and is visible to the lab role</t>
  </si>
  <si>
    <t>TC-P4H-001</t>
  </si>
  <si>
    <t>4H Billing &amp; Discounts</t>
  </si>
  <si>
    <t>Completing a consultation produces a bill with a consultation line</t>
  </si>
  <si>
    <t>1) Register a walk-in for PT-QA-0001 at /opd with Dr. Suresh Menon 2) Start and complete the consultation 3) Read bills and bill_line_items for today</t>
  </si>
  <si>
    <t>An OPD bill exists with at least one bill_line_items row of item_type consultation.</t>
  </si>
  <si>
    <t>PT-QA-0001 Ramesh Kumar; Dr. Suresh Menon ₹500</t>
  </si>
  <si>
    <t>service_master consultation rows configured; discount_approval_rules set in Settings → Approvals</t>
  </si>
  <si>
    <t>Completing the consultation is the authoritative charge-creation point; if the line is missing the doctor saw the patient and the hospital charged for nothing.</t>
  </si>
  <si>
    <t>bill_line_items where bill_id = (today's OPD bill for PT-QA-0001) and item_type = consultation → at least 1 row</t>
  </si>
  <si>
    <t>e2e/phase-04-opd-journey/P4H.billing-discounts-payments.spec.ts</t>
  </si>
  <si>
    <t>TC-P4H-002</t>
  </si>
  <si>
    <t>The consultation line is priced at the doctor's configured fee</t>
  </si>
  <si>
    <t>1) Register a walk-in for PT-QA-0001 with Dr. Suresh Menon at /opd 2) Complete the consultation 3) Read the consultation line item amount</t>
  </si>
  <si>
    <t>The consultation line total_amount is ₹500.</t>
  </si>
  <si>
    <t>A ₹500 default silently replacing the hospital's own rate card is exactly the leak the prerequisite matrix warns about, and the line item is where it becomes visible.</t>
  </si>
  <si>
    <t>bill_line_items where bill_id = (today's OPD bill for PT-QA-0001) and item_type = consultation → total_amount = 500</t>
  </si>
  <si>
    <t>TC-P4H-003</t>
  </si>
  <si>
    <t>The encounter is stamped as billed so the charge cannot be raised again</t>
  </si>
  <si>
    <t>1) Register a walk-in for PT-QA-0001 at /opd and complete the consultation 2) Read opd_encounters.consultation_billed</t>
  </si>
  <si>
    <t>consultation_billed = true.</t>
  </si>
  <si>
    <t>This flag is the idempotency guard; without it every reopen of the consultation adds another consultation charge to the same visit.</t>
  </si>
  <si>
    <t>opd_encounters where hospital_id = A and patient_id = (PT-QA-0001) → consultation_billed = true</t>
  </si>
  <si>
    <t>TC-P4H-004</t>
  </si>
  <si>
    <t>Completing the same consultation twice adds only one consultation line</t>
  </si>
  <si>
    <t>1) Register a walk-in for PT-QA-0001 at /opd and complete the consultation 2) Reselect the token and click "↻ Resume Consultation" 3) Click "✓ Complete" again 4) Count the consultation line items on the bill</t>
  </si>
  <si>
    <t>Exactly one bill_line_items row with item_type consultation exists.</t>
  </si>
  <si>
    <t xml:space="preserve">[pageerror] supabase.from(...).insert(...).catch is not a function
Failed to load resource: the server responded with a status of 400 ()
Failed to load resource: the server responded with a status of 404 ()
Failed to load resource: the server responded with a status of 403 ()
Failed to load resource: the server responded with a status of 404 ()
Failed to load resource: the server responded with a status of 404 ()
Failed to load resource: the server responded with a status of 403 ()</t>
  </si>
  <si>
    <t>A patient charged twice for one consultation is the most common billing complaint an Indian OPD receives, and it is guarded three separate ways precisely because it keeps recurring.</t>
  </si>
  <si>
    <t>bill_line_items where bill_id = (today's OPD bill for PT-QA-0001) and item_type = consultation → exactly 1 row</t>
  </si>
  <si>
    <t>TC-P4H-005</t>
  </si>
  <si>
    <t>Re-completing does not inflate the bill total</t>
  </si>
  <si>
    <t>1) Register a walk-in for PT-QA-0001 at /opd and complete the consultation 2) Note bills.total_amount 3) Resume and complete the consultation again 4) Read bills.total_amount again</t>
  </si>
  <si>
    <t>The total is unchanged.</t>
  </si>
  <si>
    <t xml:space="preserve">Automated: FAILED.
TypeError: Cannot read properties of undefined (reading 'total_amount')</t>
  </si>
  <si>
    <t>A total that grows each time a consultation is reopened means the amount the patient pays depends on how many times the doctor clicked, which is indefensible at the counter.</t>
  </si>
  <si>
    <t>bills where hospital_id = A and patient_id = (PT-QA-0001) and bill_type = opd and bill_date = today → total_amount unchanged after the second completion</t>
  </si>
  <si>
    <t>TC-P4H-006</t>
  </si>
  <si>
    <t>The bill is linked to the encounter that generated it</t>
  </si>
  <si>
    <t>1) Register a walk-in for PT-QA-0001 at /opd and complete the consultation 2) Compare bills.encounter_id with the opd_encounters id</t>
  </si>
  <si>
    <t>bills.encounter_id equals the encounter id.</t>
  </si>
  <si>
    <t>Nothing connects the money to the clinical episode without this link, so no audit can show what the patient was actually charged for.</t>
  </si>
  <si>
    <t>bills where hospital_id = A and patient_id = (PT-QA-0001) and bill_date = today → encounter_id = the opd_encounters id</t>
  </si>
  <si>
    <t>TC-P4H-007</t>
  </si>
  <si>
    <t>The bill number is minted by the database, not by the client</t>
  </si>
  <si>
    <t>1) Register a walk-in for PT-QA-0001 at /opd and complete the consultation 2) Read bills.bill_number</t>
  </si>
  <si>
    <t>bill_number is populated.</t>
  </si>
  <si>
    <t>The BEFORE INSERT trigger mints the number inside the transaction so a failed insert rolls the counter back; a gap in the bill series is the first thing a GST audit asks about.</t>
  </si>
  <si>
    <t>bills where hospital_id = A and patient_id = (PT-QA-0001) and bill_date = today → bill_number is not null</t>
  </si>
  <si>
    <t>TC-P4H-008</t>
  </si>
  <si>
    <t>Two bills raised the same day carry different bill numbers</t>
  </si>
  <si>
    <t>1) Register a walk-in for PT-QA-0001 at /opd and complete the consultation 2) Register a walk-in for PT-QA-0003 and complete that consultation 3) Compare the two bill_number values</t>
  </si>
  <si>
    <t>The two bills carry different numbers.</t>
  </si>
  <si>
    <t xml:space="preserve">Failed to load resource: the server responded with a status of 400 ()
[pageerror] supabase.from(...).insert(...).catch is not a function
Failed to load resource: the server responded with a status of 404 ()
Failed to load resource: the server responded with a status of 403 ()
[pageerror] supabase.from(...).insert(...).catch is not a function
Failed to load resource: the server responded with a status of 400 ()
Failed to load resource: the server responded with a status of 404 ()</t>
  </si>
  <si>
    <t>Duplicate invoice numbers invalidate the GST return for the whole month, and the error is only discovered when the return is filed weeks later.</t>
  </si>
  <si>
    <t>bills where hospital_id = A and bill_type = opd and bill_date = today → the two rows have distinct bill_number values</t>
  </si>
  <si>
    <t>TC-P4H-009</t>
  </si>
  <si>
    <t>Paying the full fee at the desk leaves no balance</t>
  </si>
  <si>
    <t>1) Register a walk-in for PT-QA-0001 at /opd with Dr. Suresh Menon 2) Pay the full ₹500 in cash and issue the token 3) Read bills.balance_due</t>
  </si>
  <si>
    <t>balance_due = 0.</t>
  </si>
  <si>
    <t>A patient who paid in full and is still chased through pending collections loses confidence in the hospital's billing, and the desk cannot prove otherwise.</t>
  </si>
  <si>
    <t>bills where hospital_id = A and patient_id = (PT-QA-0001) and bill_type = opd and bill_date = today → balance_due = 0</t>
  </si>
  <si>
    <t>TC-P4H-010</t>
  </si>
  <si>
    <t>A cash payment at the desk records the payment mode</t>
  </si>
  <si>
    <t>1) Register a walk-in for PT-QA-0001 at /opd 2) Choose Cash on the payment step and issue the token 3) Read bill_payments for the new bill</t>
  </si>
  <si>
    <t>A bill_payments row exists with a cash payment mode.</t>
  </si>
  <si>
    <t>PT-QA-0001; phase4.money.paymentModeCash</t>
  </si>
  <si>
    <t>Day-closure reconciliation splits cash from digital collections, and a payment with no mode lands in neither total so the cashier's drawer never balances.</t>
  </si>
  <si>
    <t>bill_payments where bill_id = (today's OPD bill for PT-QA-0001) → payment_mode = cash</t>
  </si>
  <si>
    <t>TC-P4H-011</t>
  </si>
  <si>
    <t>A UPI payment records the transaction reference</t>
  </si>
  <si>
    <t>1) Register a walk-in for PT-QA-0001 at /opd 2) Choose UPI on the payment step and enter the reference from phase4.money 3) Issue the token 4) Read the bill_payments row</t>
  </si>
  <si>
    <t>The payment row carries the UPI reference QA-UPI-P4-000117.</t>
  </si>
  <si>
    <t>phase4.money.upiReference — QA-UPI-P4-000117</t>
  </si>
  <si>
    <t>A disputed digital payment cannot be traced back to the gateway without the reference, and UPI is now the majority payment method at an Indian hospital counter.</t>
  </si>
  <si>
    <t>bill_payments where bill_id = (today's OPD bill for PT-QA-0001) → the row contains QA-UPI-P4-000117</t>
  </si>
  <si>
    <t>TC-P4H-012</t>
  </si>
  <si>
    <t>A partly-paid bill keeps the outstanding balance</t>
  </si>
  <si>
    <t>1) Register a walk-in for PT-QA-0013 at /opd and complete the consultation 2) Record a ₹300 payment against the ₹500 bill 3) Compare the bill total with the sum of payments</t>
  </si>
  <si>
    <t>The bill total minus the payments received is greater than zero.</t>
  </si>
  <si>
    <t>PT-QA-0013 Ganesh Pawar; phase4.money.partialPaymentAmount = 300</t>
  </si>
  <si>
    <t xml:space="preserve">Automated: FAILED.
Error: ₹800 was collected against a ₹500 bill and the arithmetic does not leave a balance. A part-paid patient treated as settled is money the hospital never chases.
expect(received).toBeGreaterThan(expected)
Expected: &gt; 0
Received:   -300</t>
  </si>
  <si>
    <t xml:space="preserve">[pageerror] supabase.from(...).insert(...).catch is not a function
Failed to load resource: the server responded with a status of 400 ()
Failed to load resource: the server responded with a status of 404 ()
TypeError: Failed to fetch
    at guardedFetch (http://localhost:8080/src/integrations/supabase/client.ts:22:9)
    at http://localhost:8080/node_modules/.vite/deps/@supabase_supabase-js.js?v=e6ce90e1:12801:39
    at _handleRequest (http://localhost:8080/node_modules/.vite/deps/@supabase_supabase-js.js?v=e6ce90e1:13067:18)
    at _request (http://localhost:8080/node_modules/.vite/deps/@supa
…(truncated)</t>
  </si>
  <si>
    <t>A part-paid patient treated as settled is money the hospital never chases, and in an OPD taking part payments all day the shortfall compounds quickly.</t>
  </si>
  <si>
    <t>bill_payments where bill_id = (today's OPD bill for PT-QA-0013) → sum(amount) = 300 against a bill total of 500</t>
  </si>
  <si>
    <t>TC-P4H-013</t>
  </si>
  <si>
    <t>A partly-paid bill is not marked as fully paid</t>
  </si>
  <si>
    <t>1) Register a walk-in for PT-QA-0013 at /opd and complete the consultation 2) Record a ₹300 payment against the ₹500 bill 3) Read bills.payment_status</t>
  </si>
  <si>
    <t>payment_status is not 'paid'.</t>
  </si>
  <si>
    <t>PT-QA-0013 Ganesh Pawar; ₹300 of ₹500</t>
  </si>
  <si>
    <t xml:space="preserve">Automated: FAILED.
Error: A bill with an outstanding balance is flagged as paid. It disappears from pending collections and the shortfall is never recovered.
expect(received).not.toBe(expected) // Object.is equality
Expected: not "paid"</t>
  </si>
  <si>
    <t>A bill with an outstanding balance flagged as paid disappears from pending collections, and the shortfall is never recovered because nobody knows it exists.</t>
  </si>
  <si>
    <t>bills where hospital_id = A and patient_id = (PT-QA-0013) and bill_type = opd and bill_date = today → payment_status != paid</t>
  </si>
  <si>
    <t>TC-P4H-014</t>
  </si>
  <si>
    <t>An unpaid OPD bill is visible on the billing screen for follow-up</t>
  </si>
  <si>
    <t>1) Register a walk-in for PT-QA-0013 at /opd and complete the consultation 2) Open /billing 3) Look for the patient in the bill list</t>
  </si>
  <si>
    <t>Ganesh Pawar's open bill appears on /billing.</t>
  </si>
  <si>
    <t>PT-QA-0013 Ganesh Pawar</t>
  </si>
  <si>
    <t xml:space="preserve">Failed to load resource: the server responded with a status of 400 ()
[pageerror] supabase.from(...).insert(...).catch is not a function
Failed to load resource: the server responded with a status of 404 ()
Failed to load resource: the server responded with a status of 403 ()
`DialogContent` requires a `DialogTitle` for the component to be accessible for screen reader users.
If you want to hide the `DialogTitle`, you can wrap it with our VisuallyHidden component.
For more information, see https://radix-ui.com/primitives/docs/components/dialog</t>
  </si>
  <si>
    <t>Nobody can collect what nobody can see, so a patient with an open balance who is absent from the billing screen is a write-off by omission.</t>
  </si>
  <si>
    <t>bills where hospital_id = A and patient_id = (PT-QA-0013) and bill_type = opd and bill_date = today → 1 row, listed on /billing</t>
  </si>
  <si>
    <t>TC-P4H-015</t>
  </si>
  <si>
    <t>The discount approval thresholds are configured for this tenant</t>
  </si>
  <si>
    <t>1) In Supabase, select value from hospital_settings where key = discount_approval_rules and hospital_id = A</t>
  </si>
  <si>
    <t>A discount_approval_rules row exists with t1, t2 and t3 thresholds and approver role sets.</t>
  </si>
  <si>
    <t>Master data — Discount approval rules</t>
  </si>
  <si>
    <t>Without the row the discount tab silently falls back to its own built-in defaults, so the hospital's actual approval policy is not enforced and nobody is told it is being ignored.</t>
  </si>
  <si>
    <t>hospital_settings where hospital_id = A and key = 'discount_approval_rules' → 1 row with t1_amount, t1_pct, t2_amount, t2_pct, t2_roles, t3_roles</t>
  </si>
  <si>
    <t>TC-P4H-016</t>
  </si>
  <si>
    <t>A discount inside the free tier is applied without approval</t>
  </si>
  <si>
    <t>1) Register a walk-in for PT-QA-0014 at /opd and complete the consultation 2) Open /billing and select the bill 3) Open the Discount tab 4) Enter a percentage one point below the configured free threshold with the reason from phase4.money 5) Submit</t>
  </si>
  <si>
    <t>The discount is applied directly, the bill status does not become pending_approval, and discount_amount is greater than zero.</t>
  </si>
  <si>
    <t>PT-QA-0014 Mohan Rao; phase4.money.discountReason</t>
  </si>
  <si>
    <t>Every small goodwill rounding-off at the counter would otherwise need a manager, and a queue that stops for a ₹20 concession is a queue nobody will use as designed.</t>
  </si>
  <si>
    <t>bills where hospital_id = A and patient_id = (PT-QA-0014) and bill_date = today → discount_amount &gt; 0 and bill_status != pending_approval</t>
  </si>
  <si>
    <t>TC-P4H-017</t>
  </si>
  <si>
    <t>A free-tier discount is still written to the approvals log for audit</t>
  </si>
  <si>
    <t>1) Apply a below-threshold discount to PT-QA-0014's OPD bill at /billing 2) Read bill_discount_approvals for that bill</t>
  </si>
  <si>
    <t>An approvals row exists with status = approved.</t>
  </si>
  <si>
    <t>Discounts that leave no trace are how counter fraud goes unnoticed for months, so even an auto-approved concession has to be recorded with its reason and its author.</t>
  </si>
  <si>
    <t>bill_discount_approvals where bill_id = (today's OPD bill for PT-QA-0014) → status = approved</t>
  </si>
  <si>
    <t>TC-P4H-018</t>
  </si>
  <si>
    <t>A discount at exactly the free-tier percentage still needs no approval</t>
  </si>
  <si>
    <t>1) Register a walk-in for PT-QA-0014 at /opd and complete the consultation 2) Open /billing and the Discount tab 3) Enter exactly the configured t1 percentage with a reason 4) Submit</t>
  </si>
  <si>
    <t>The bill status does not become pending_approval — the threshold value itself is inside the free tier.</t>
  </si>
  <si>
    <t>PT-QA-0014 Mohan Rao; discount at exactly the t1 percentage</t>
  </si>
  <si>
    <t>The comparison is "percentage less than or equal to the threshold", so an off-by-one sends the most common discount in the hospital to a manager every single time.</t>
  </si>
  <si>
    <t>bills where hospital_id = A and patient_id = (PT-QA-0014) and bill_date = today → bill_status != pending_approval</t>
  </si>
  <si>
    <t>TC-P4H-019</t>
  </si>
  <si>
    <t>One point above the free tier requires approval</t>
  </si>
  <si>
    <t>1) Register a walk-in for PT-QA-0014 at /opd and complete the consultation 2) Open /billing and the Discount tab 3) Enter one percentage point above the configured t1 threshold with a reason 4) Submit</t>
  </si>
  <si>
    <t>bills.bill_status becomes 'pending_approval'.</t>
  </si>
  <si>
    <t>PT-QA-0014 Mohan Rao; discount one point above t1</t>
  </si>
  <si>
    <t xml:space="preserve">[pageerror] supabase.from(...).insert(...).catch is not a function
Failed to load resource: the server responded with a status of 400 ()
Failed to load resource: the server responded with a status of 404 ()
Failed to load resource: the server responded with a status of 403 ()
`DialogContent` requires a `DialogTitle` for the component to be accessible for screen reader users.
If you want to hide the `DialogTitle`, you can wrap it with our VisuallyHidden component.
For more information, see https://radix-ui.com/primitives/docs/components/dialog</t>
  </si>
  <si>
    <t>If the threshold does not bite one point above itself it does not bite at all, and any amount can then be discounted at the counter without a second signature.</t>
  </si>
  <si>
    <t>bills where hospital_id = A and patient_id = (PT-QA-0014) and bill_date = today → bill_status = pending_approval</t>
  </si>
  <si>
    <t>TC-P4H-020</t>
  </si>
  <si>
    <t>An above-threshold discount creates a pending approval request</t>
  </si>
  <si>
    <t>1) Submit an above-threshold discount on PT-QA-0014's OPD bill at /billing 2) Read bill_discount_approvals for that bill</t>
  </si>
  <si>
    <t>An approvals row exists with status = pending.</t>
  </si>
  <si>
    <t>Without a request row the approver has nothing to act on, so the bill sits blocked and the patient waits at the counter for a decision nobody has been asked to make.</t>
  </si>
  <si>
    <t>bill_discount_approvals where bill_id = (today's OPD bill for PT-QA-0014) → status = pending</t>
  </si>
  <si>
    <t>TC-P4H-021</t>
  </si>
  <si>
    <t>The discount is not applied to the bill while approval is pending</t>
  </si>
  <si>
    <t>1) Submit an above-threshold discount on PT-QA-0014's OPD bill at /billing 2) Read bills.discount_amount before any approval</t>
  </si>
  <si>
    <t>discount_amount remains 0 while the request is pending.</t>
  </si>
  <si>
    <t>PT-QA-0014 Mohan Rao; above-threshold discount</t>
  </si>
  <si>
    <t>If the money comes off before anyone approves it, the approval step is recording a decision that has already been taken and cannot be reversed at the counter.</t>
  </si>
  <si>
    <t>bills where hospital_id = A and patient_id = (PT-QA-0014) and bill_date = today → discount_amount = 0 while the approval is pending</t>
  </si>
  <si>
    <t>TC-P4H-022</t>
  </si>
  <si>
    <t>The approval row freezes the roles allowed to approve it</t>
  </si>
  <si>
    <t>1) Submit an above-threshold discount on PT-QA-0014's OPD bill at /billing 2) Read bill_discount_approvals.required_approver_roles</t>
  </si>
  <si>
    <t>required_approver_roles holds a non-empty role set.</t>
  </si>
  <si>
    <t>PT-QA-0014 Mohan Rao; Discount approval rules</t>
  </si>
  <si>
    <t>With no recorded role set anyone could approve the request, which makes the whole threshold decorative and removes the second signature it exists to require.</t>
  </si>
  <si>
    <t>bill_discount_approvals where bill_id = (today's OPD bill for PT-QA-0014) → required_approver_roles is a non-empty array</t>
  </si>
  <si>
    <t>TC-P4H-023</t>
  </si>
  <si>
    <t>A discount above the second tier escalates to the higher approver set</t>
  </si>
  <si>
    <t>1) Register a walk-in for PT-QA-0014 at /opd and complete the consultation 2) Open /billing and the Discount tab 3) Enter a percentage above the configured t2 threshold with a reason 4) Submit 5) Read required_approver_roles</t>
  </si>
  <si>
    <t>required_approver_roles equals the configured t3 role set rather than the t2 one.</t>
  </si>
  <si>
    <t>PT-QA-0014 Mohan Rao; discount above the t2 threshold</t>
  </si>
  <si>
    <t>The whole point of tiering is that a 50% write-off is not signed off by the same person as a 10% one, so a collapsed escalation removes the control at exactly the amounts that matter.</t>
  </si>
  <si>
    <t>bill_discount_approvals where bill_id = (today's OPD bill for PT-QA-0014) → required_approver_roles = the configured t3_roles</t>
  </si>
  <si>
    <t>TC-P4H-024</t>
  </si>
  <si>
    <t>Changing the rules later does not alter an approval already in flight</t>
  </si>
  <si>
    <t>1) Submit an above-threshold discount on PT-QA-0014's OPD bill at /billing and note required_approver_roles 2) Change the t2_roles value in hospital_settings.discount_approval_rules 3) Re-read the same approvals row 4) Restore the original setting</t>
  </si>
  <si>
    <t>required_approver_roles on the existing row is unchanged.</t>
  </si>
  <si>
    <t>PT-QA-0014 Mohan Rao; Discount approval rules edited mid-flight</t>
  </si>
  <si>
    <t>The roles are frozen onto the row at creation for exactly this reason — otherwise a pending request can be unlocked simply by editing the settings page, which defeats the approval entirely.</t>
  </si>
  <si>
    <t>bill_discount_approvals where bill_id = (today's OPD bill for PT-QA-0014) → required_approver_roles unchanged after the settings edit</t>
  </si>
  <si>
    <t>TC-P4H-025</t>
  </si>
  <si>
    <t>A discount with no reason is refused</t>
  </si>
  <si>
    <t>1) Register a walk-in for PT-QA-0014 at /opd and complete the consultation 2) Open /billing and the Discount tab 3) Enter 10% and leave the reason blank 4) Submit</t>
  </si>
  <si>
    <t>An "Enter discount amount and reason" message blocks the submission.</t>
  </si>
  <si>
    <t>PT-QA-0014 Mohan Rao; 10% with no reason</t>
  </si>
  <si>
    <t xml:space="preserve">Automated: FAILED.
TimeoutError: locator.fill: Timeout 15000ms exceeded.
Call log:
  - waiting for getByPlaceholder(/e\.g\. 5$|e\.g\. 500/).first()</t>
  </si>
  <si>
    <t>An unexplained write-off cannot be defended to an auditor and is indistinguishable from a staff member pocketing the difference at the counter.</t>
  </si>
  <si>
    <t>bill_discount_approvals where bill_id = (today's OPD bill for PT-QA-0014) → no row created without a reason</t>
  </si>
  <si>
    <t>TC-P4H-026</t>
  </si>
  <si>
    <t>A discount larger than the bill is refused</t>
  </si>
  <si>
    <t>1) Register a walk-in for PT-QA-0014 at /opd and complete the consultation 2) Open /billing and the Discount tab 3) Enter 150% with a reason 4) Submit 5) Read bills.total_amount</t>
  </si>
  <si>
    <t>The bill total does not go negative.</t>
  </si>
  <si>
    <t>PT-QA-0014 Mohan Rao; 150% discount</t>
  </si>
  <si>
    <t>A negative total means the hospital owes the patient money for a consultation they received, and the accounting entry that follows it cannot be reconciled.</t>
  </si>
  <si>
    <t>bills where hospital_id = A and patient_id = (PT-QA-0014) and bill_date = today → total_amount &gt;= 0</t>
  </si>
  <si>
    <t>TC-P4H-027</t>
  </si>
  <si>
    <t>A zero discount is refused</t>
  </si>
  <si>
    <t>1) Register a walk-in for PT-QA-0014 at /opd and complete the consultation 2) Open /billing and the Discount tab 3) Enter 0 with a reason 4) Submit</t>
  </si>
  <si>
    <t>A "greater than zero" message blocks the submission.</t>
  </si>
  <si>
    <t>PT-QA-0014 Mohan Rao; 0% discount</t>
  </si>
  <si>
    <t>Zero-value approvals fill the audit log with rows that record nothing, which makes the log harder to read at exactly the moment somebody is looking for a real one.</t>
  </si>
  <si>
    <t>bill_discount_approvals where bill_id = (today's OPD bill for PT-QA-0014) → no zero-value row created</t>
  </si>
  <si>
    <t>TC-P4H-028</t>
  </si>
  <si>
    <t>A bill awaiting discount approval cannot be finalised</t>
  </si>
  <si>
    <t>1) Submit an above-threshold discount on PT-QA-0014's OPD bill at /billing 2) Attempt to click "Finalise Bill" 3) Read bills.bill_status</t>
  </si>
  <si>
    <t>The bill remains at 'pending_approval'.</t>
  </si>
  <si>
    <t>If a bill can be finalised while its discount is still awaiting sign-off, the approval is meaningless because the money has already left the building.</t>
  </si>
  <si>
    <t>TC-P4I-001</t>
  </si>
  <si>
    <t>4I Downstream Hops</t>
  </si>
  <si>
    <t>The Admit action is available during a consultation</t>
  </si>
  <si>
    <t>1) Log in as doctor (Hospital A) 2) Register a walk-in for PT-QA-0001 at /opd and start the consultation 3) Look for the Admit control in the action bar</t>
  </si>
  <si>
    <t>An "Admit" button is visible.</t>
  </si>
  <si>
    <t>wards and beds configured with rate_per_day (Settings → Wards)</t>
  </si>
  <si>
    <t>A doctor who decides mid-consultation that the patient needs admission would otherwise have to send them back to the front desk to be registered a second time.</t>
  </si>
  <si>
    <t>e2e/phase-04-opd-journey/P4I.downstream-hops.spec.ts</t>
  </si>
  <si>
    <t>TC-P4I-002</t>
  </si>
  <si>
    <t>Opening Admit from the workspace pre-selects the consultation's patient</t>
  </si>
  <si>
    <t>1) Start a consultation for PT-QA-0001 at /opd 2) Click "Admit" 3) Read the modal</t>
  </si>
  <si>
    <t>The admission modal opens without asking which patient to admit.</t>
  </si>
  <si>
    <t>Losing the patient context forces the doctor to search for the person sitting in front of them, which is how the wrong patient gets admitted on a busy afternoon.</t>
  </si>
  <si>
    <t>TC-P4I-003</t>
  </si>
  <si>
    <t>The admission form requires an admitting doctor</t>
  </si>
  <si>
    <t>1) Start a consultation for PT-QA-0001 at /opd 2) Click "Admit" 3) Look for the Admitting Doctor field</t>
  </si>
  <si>
    <t>An "Admitting Doctor" field is present and marked required.</t>
  </si>
  <si>
    <t>An inpatient with no named consultant has nobody accountable for their care and no one to bill daily visits against, so the ward round is unassigned from day one.</t>
  </si>
  <si>
    <t>TC-P4I-004</t>
  </si>
  <si>
    <t>The admission form requires a bed to be selected</t>
  </si>
  <si>
    <t>1) Start a consultation for PT-QA-0001 at /opd 2) Click "Admit" 3) Look for the Select Bed field</t>
  </si>
  <si>
    <t>A "Select Bed" field is present and marked required.</t>
  </si>
  <si>
    <t>PT-QA-0001 Ramesh Kumar; Master data — Wards &amp; beds</t>
  </si>
  <si>
    <t>An admission with no bed cannot be found by nursing, carries no room rate and does not appear on the bed map, so the patient is admitted and invisible at the same time.</t>
  </si>
  <si>
    <t>beds where hospital_id = A and status = available → at least 1 row</t>
  </si>
  <si>
    <t>TC-P4I-005</t>
  </si>
  <si>
    <t>OPD orders do not carry over into the admission</t>
  </si>
  <si>
    <t>1) Start a consultation for PT-QA-0001 at /opd 2) Order Complete Blood Count in the Rx &amp; Orders tab 3) Complete the consultation 4) Admit the patient 5) Read lab_orders filtered by the new admission_id</t>
  </si>
  <si>
    <t>CURRENT APP BEHAVIOUR, documented in JOURNEY_SCENARIOS P4-S15: no lab_orders row carries the new admission_id.</t>
  </si>
  <si>
    <t>IPD, Lab</t>
  </si>
  <si>
    <t>Whether orders should follow the patient into the admission is a clinical decision for Priya and Dr. Ramesh; this case records what happens today so that any change is visible rather than silent.</t>
  </si>
  <si>
    <t>lab_orders where hospital_id = A and patient_id = (PT-QA-0001) and admission_id = (the new admission) → 0 rows</t>
  </si>
  <si>
    <t>TC-P4I-006</t>
  </si>
  <si>
    <t>OPD vitals are saved on the encounter even though they do not carry over</t>
  </si>
  <si>
    <t>1) Start a consultation for PT-QA-0001 at /opd 2) Enter BP 128/84 in the Vitals tab 3) Complete the consultation 4) Read opd_encounters.vitals</t>
  </si>
  <si>
    <t>The encounter holds bp_systolic 128, confirming the vitals exist to be carried over or not.</t>
  </si>
  <si>
    <t>PT-QA-0001; Standard vitals BP 128/84</t>
  </si>
  <si>
    <t>If the vitals were never saved on the encounter the question of whether they carry into the admission cannot be answered either way, so this case establishes the baseline first.</t>
  </si>
  <si>
    <t>opd_encounters where hospital_id = A and patient_id = (PT-QA-0001) → vitals-&gt;&gt;bp_systolic = 128</t>
  </si>
  <si>
    <t>TC-P4I-007</t>
  </si>
  <si>
    <t>An admission created from OPD is linked to the patient</t>
  </si>
  <si>
    <t>1) Start a consultation for PT-QA-0001 at /opd 2) Click "Admit" 3) Choose an admitting doctor and an available bed 4) Confirm the admission 5) Read the admissions row</t>
  </si>
  <si>
    <t>An admissions row exists with patient_id equal to PT-QA-0001.</t>
  </si>
  <si>
    <t>The admission is the record every inpatient charge, nursing task and discharge summary hangs off, so an admission attached to nobody is an entire stay with no owner.</t>
  </si>
  <si>
    <t>admissions where hospital_id = A and patient_id = (PT-QA-0001) → at least 1 row</t>
  </si>
  <si>
    <t>TC-P4I-008</t>
  </si>
  <si>
    <t>The encounter can express whether the visit ended in an admission</t>
  </si>
  <si>
    <t>1) Start and complete a consultation for PT-QA-0001 at /opd 2) Read the is_admitted column on the opd_encounters row</t>
  </si>
  <si>
    <t>opd_encounters carries an is_admitted column.</t>
  </si>
  <si>
    <t>IPD, Analytics</t>
  </si>
  <si>
    <t>OPD-to-IPD conversion rate is the single most watched metric in a private hospital, and it cannot be computed if nothing distinguishes a consultation that ended in admission.</t>
  </si>
  <si>
    <t>opd_encounters where hospital_id = A and patient_id = (PT-QA-0001) → is_admitted column present</t>
  </si>
  <si>
    <t>TC-P4I-009</t>
  </si>
  <si>
    <t>The Refer Physio action is offered in the workspace</t>
  </si>
  <si>
    <t>1) Start a consultation for PT-QA-0036 at /opd 2) Look for the Refer Physio control in the action bar</t>
  </si>
  <si>
    <t>A "Refer Physio" button is visible.</t>
  </si>
  <si>
    <t>PT-QA-0036 Geetha Krishnan (physiotherapy post-fracture)</t>
  </si>
  <si>
    <t>Physio</t>
  </si>
  <si>
    <t>Without a referral control the referral is made verbally, the physio department has no work queue, and nobody can tell whether the patient ever attended.</t>
  </si>
  <si>
    <t>TC-P4I-010</t>
  </si>
  <si>
    <t>Referring to physiotherapy creates a physio_referrals row</t>
  </si>
  <si>
    <t>1) Start a consultation for PT-QA-0036 at /opd 2) Click "Refer Physio" 3) Read physio_referrals for the patient</t>
  </si>
  <si>
    <t>A physio_referrals row exists for PT-QA-0036.</t>
  </si>
  <si>
    <t>PT-QA-0036 Geetha Krishnan</t>
  </si>
  <si>
    <t>A referral that reports success and writes nothing means the patient is told to attend physiotherapy and the department never hears about them.</t>
  </si>
  <si>
    <t>physio_referrals where hospital_id = A and patient_id = (PT-QA-0036) → at least 1 row</t>
  </si>
  <si>
    <t>TC-P4I-011</t>
  </si>
  <si>
    <t>The physio referral carries a diagnosis for the therapist to work from</t>
  </si>
  <si>
    <t>1) Start a consultation for PT-QA-0036 at /opd 2) Click "Refer Physio" 3) Read physio_referrals.diagnosis</t>
  </si>
  <si>
    <t>The diagnosis field is populated from the encounter's diagnosis or chief complaint.</t>
  </si>
  <si>
    <t>PT-QA-0036 Geetha Krishnan; phase4.referral.physioDiagnosis</t>
  </si>
  <si>
    <t>A physiotherapist receiving a patient with no indication has to re-take the whole history before treating anything, which wastes the appointment the patient waited for.</t>
  </si>
  <si>
    <t>physio_referrals where hospital_id = A and patient_id = (PT-QA-0036) → diagnosis is not null</t>
  </si>
  <si>
    <t>TC-P4I-012</t>
  </si>
  <si>
    <t>The physio referral is linked back to the OPD encounter</t>
  </si>
  <si>
    <t>1) Start a consultation for PT-QA-0036 at /opd 2) Click "Refer Physio" 3) Read physio_referrals.opd_encounter_id</t>
  </si>
  <si>
    <t>opd_encounter_id is populated.</t>
  </si>
  <si>
    <t>Physio, MRD</t>
  </si>
  <si>
    <t>Without the link the therapist cannot open the consultation that generated the referral, and the episode of care is split into two records that never meet.</t>
  </si>
  <si>
    <t>physio_referrals where hospital_id = A and patient_id = (PT-QA-0036) → opd_encounter_id is not null</t>
  </si>
  <si>
    <t>TC-P4I-013</t>
  </si>
  <si>
    <t>The referral names the doctor who made it</t>
  </si>
  <si>
    <t>1) Start a consultation for PT-QA-0036 at /opd 2) Click "Refer Physio" 3) Read physio_referrals.referred_by</t>
  </si>
  <si>
    <t>referred_by is populated with the referring doctor's id.</t>
  </si>
  <si>
    <t>The therapist has nobody to query about the treatment goal without it, and the referring consultant never receives feedback on whether the referral helped.</t>
  </si>
  <si>
    <t>physio_referrals where hospital_id = A and patient_id = (PT-QA-0036) → referred_by is not null</t>
  </si>
  <si>
    <t>TC-P4I-014</t>
  </si>
  <si>
    <t>A referral letter can be raised from the consultation</t>
  </si>
  <si>
    <t>1) Start a consultation for PT-QA-0001 at /opd 2) Click "Refer" in the workspace header 3) Read the modal that opens</t>
  </si>
  <si>
    <t>A referral letter modal opens.</t>
  </si>
  <si>
    <t>phase4.referral.referralLetterNote</t>
  </si>
  <si>
    <t>A patient sent to an outside specialist with no written summary is the single most common complaint referring consultants make about hospital IT.</t>
  </si>
  <si>
    <t>TC-P4I-015</t>
  </si>
  <si>
    <t>A prescription raised in OPD is stored for the pharmacy to read</t>
  </si>
  <si>
    <t>1) Start a consultation for PT-QA-0001 at /opd 2) Add Dolo 650, 1 tablet, 5 days in the Rx &amp; Orders tab 3) Complete the consultation 4) Read the prescriptions row</t>
  </si>
  <si>
    <t>drug_master rows plus drug_batches with expiry dates (Settings → Drugs)</t>
  </si>
  <si>
    <t xml:space="preserve">Failed to load resource: the server responded with a status of 400 ()
[pageerror] supabase.from(...).insert(...).catch is not a function
Failed to load resource: the server responded with a status of 404 ()
Failed to load resource: the server responded with a status of 404 ()
Failed to load resource: the server responded with a status of 404 ()
Failed to load resource: the server responded with a status of 403 ()</t>
  </si>
  <si>
    <t>The pharmacy counter dispenses against this record; if it was never written the patient is sent back across the hospital to have the prescription written a second time.</t>
  </si>
  <si>
    <t>TC-P4I-016</t>
  </si>
  <si>
    <t>The prescription records the quantity the pharmacy must dispense</t>
  </si>
  <si>
    <t>1) Start a consultation for PT-QA-0001 at /opd 2) Add Dolo 650 with dose, duration and quantity 15 3) Complete the consultation 4) Read the drugs JSON on the prescriptions row</t>
  </si>
  <si>
    <t>The stored drug entry carries a quantity field.</t>
  </si>
  <si>
    <t>phase4.prescription.primary — Dolo 650, quantity 15</t>
  </si>
  <si>
    <t>Without a quantity the pharmacist recalculates dose by frequency by days at the counter, and that recalculation is where part-course dispensing errors are introduced.</t>
  </si>
  <si>
    <t>prescriptions where hospital_id = A and patient_id = (PT-QA-0001) → drugs JSON contains a quantity value</t>
  </si>
  <si>
    <t>TC-P4I-017</t>
  </si>
  <si>
    <t>A pharmacist can open the pharmacy module and see the OPD prescription</t>
  </si>
  <si>
    <t>1) As the doctor, prescribe Dolo 650 for PT-QA-0001 at /opd and complete the consultation 2) Log out 3) Log in as pharmacist (Hospital A) 4) Open /pharmacy 5) Look for the patient</t>
  </si>
  <si>
    <t>Ramesh Kumar appears in the pharmacy queue.</t>
  </si>
  <si>
    <t>PT-QA-0001 Ramesh Kumar; Dolo 650</t>
  </si>
  <si>
    <t xml:space="preserve">Failed to load resource: the server responded with a status of 400 ()
[pageerror] supabase.from(...).insert(...).catch is not a function
Failed to load resource: the server responded with a status of 404 ()
Failed to load resource: the server responded with a status of 409 ()
Failed to load resource: the server responded with a status of 403 ()</t>
  </si>
  <si>
    <t>If the pharmacist cannot see the prescription the doctor just wrote, the patient carries a paper slip to the counter and the electronic prescription is decorative.</t>
  </si>
  <si>
    <t>prescriptions where hospital_id = A and patient_id = (PT-QA-0001) → row exists and is visible to the pharmacist role</t>
  </si>
  <si>
    <t>TC-P4I-018</t>
  </si>
  <si>
    <t>The drug batches the pharmacy will dispense from carry expiry dates</t>
  </si>
  <si>
    <t>1) In Supabase, select expiry_date, quantity_available and status from drug_batches for Hospital A</t>
  </si>
  <si>
    <t>Batches exist and every one carries an expiry_date.</t>
  </si>
  <si>
    <t>Master data — Drug batches</t>
  </si>
  <si>
    <t>FEFO cannot order batches it cannot date, and an undated batch can never be blocked as expired, so dispensing safety collapses to whatever the pharmacist happens to notice.</t>
  </si>
  <si>
    <t>drug_batches where hospital_id = A → at least 1 row and expiry_date is not null on every row</t>
  </si>
  <si>
    <t>TC-P4I-019</t>
  </si>
  <si>
    <t>Stock includes an expired batch so the dispensing block can be proven</t>
  </si>
  <si>
    <t>1) In Supabase, select id and expiry_date from drug_batches for Hospital A where expiry_date is earlier than today</t>
  </si>
  <si>
    <t>At least one expired batch exists in the seeded stock.</t>
  </si>
  <si>
    <t>Master data — Drug batches (includes 1 expired and 1 quarantined)</t>
  </si>
  <si>
    <t>The seeder creates an expired batch on purpose so the refuse-to-dispense path can be exercised; without it Phase 6 can only ever prove the happy case works.</t>
  </si>
  <si>
    <t>drug_batches where hospital_id = A and expiry_date &lt; current_date → at least 1 row</t>
  </si>
  <si>
    <t>TC-P4I-020</t>
  </si>
  <si>
    <t>A nurse is not offered the Admit action</t>
  </si>
  <si>
    <t>1) Register a walk-in for PT-QA-0001 at /opd 2) Log out 3) Log in as nurse (Hospital A) 4) Open /opd and select the token 5) Look for the Admit control</t>
  </si>
  <si>
    <t>The Admit control is absent for the nurse role.</t>
  </si>
  <si>
    <t>Roles &amp; Permissions: opd → admit_patient NOT granted to nurse</t>
  </si>
  <si>
    <t xml:space="preserve">[pageerror] supabase.from(...).insert(...).catch is not a function
Failed to load resource: the server responded with a status of 400 ()
Failed to load resource: the server responded with a status of 404 ()
Warning: Encountered two children with the same key, `%s`. Keys should be unique so that components maintain their identity across updates. Non-unique keys may cause children to be duplicated and/or omitted — the behavior is unsupported and could change in a future version.%s Nephrology Ward
    at div
    at div
    at BedOccupancy (http://localhost:8080/src/components/dashboard/BedOccupan
…(truncated)</t>
  </si>
  <si>
    <t>Admission commits a bed, opens an IPD bill and starts a daily room charge, so it is a consultant decision and the permission gate is what enforces that.</t>
  </si>
  <si>
    <t>TC-P4J-001</t>
  </si>
  <si>
    <t>4J Telemedicine &amp; Voice Scribe</t>
  </si>
  <si>
    <t>The telemedicine screen loads for a doctor</t>
  </si>
  <si>
    <t>1) Log in as doctor (Hospital A) 2) Open /telemedicine 3) Wait for the page to render 4) Check the console for red errors</t>
  </si>
  <si>
    <t>The telemedicine screen renders with no console errors other than media-permission noise.</t>
  </si>
  <si>
    <t>Telemedicine module enabled on the plan (Settings → Plan) and teleconsult_sessions readable</t>
  </si>
  <si>
    <t>Teleconsultation is a chargeable service under the Telemedicine Practice Guidelines 2020, so a module that will not load is revenue the hospital has licensed and cannot deliver.</t>
  </si>
  <si>
    <t>e2e/phase-04-opd-journey/P4J.telemedicine-voice-scribe.spec.ts</t>
  </si>
  <si>
    <t>TC-P4J-002</t>
  </si>
  <si>
    <t>A teleconsult token is distinguishable from a physical walk-in</t>
  </si>
  <si>
    <t>1) Register a walk-in for PT-QA-0001 at /opd 2) Read the visit_mode column on the opd_tokens row</t>
  </si>
  <si>
    <t>opd_tokens carries a visit_mode column that can hold teleconsult.</t>
  </si>
  <si>
    <t>A remote consultation indistinguishable from a physical attendance breaks both the Telemedicine Practice Guidelines record and the fee the visit should carry.</t>
  </si>
  <si>
    <t>opd_tokens where hospital_id = A and patient_id = (PT-QA-0001) and visit_date = today → visit_mode column present</t>
  </si>
  <si>
    <t>TC-P4J-003</t>
  </si>
  <si>
    <t>A teleconsult token offers a Start or Join action in the queue</t>
  </si>
  <si>
    <t>1) Register a walk-in for PT-QA-0001 at /opd 2) Set that token's visit_mode to teleconsult 3) Reload /opd 4) Read the token row in the queue</t>
  </si>
  <si>
    <t>A "Start Teleconsult" or "Join Teleconsult" action is offered on the token.</t>
  </si>
  <si>
    <t>PT-QA-0001 Ramesh Kumar; visit_mode teleconsult</t>
  </si>
  <si>
    <t xml:space="preserve">[pageerror] supabase.from(...).insert(...).catch is not a function
Failed to load resource: the server responded with a status of 400 ()
Failed to load resource: the server responded with a status of 404 ()
Warning: validateDOMNesting(...): %s cannot appear as a descendant of &lt;%s&gt;.%s &lt;button&gt; button
    at button
    at button
    at div
    at div
    at TokenQueue (http://localhost:8080/src/components/opd/TokenQueue.tsx:126:23)
    at div
    at CollapsiblePanel (http://localhost:8080/src/components/layout/CollapsiblePanel.tsx:27:29)
    at div
    at OPDPage (http://localhost:8080/src/pages
…(truncated)</t>
  </si>
  <si>
    <t>Without a way to start the call from the queue the doctor has to find the patient in a separate module, and the queue is misrepresenting what is next.</t>
  </si>
  <si>
    <t>opd_tokens where hospital_id = A and patient_id = (PT-QA-0001) and visit_date = today → visit_mode = teleconsult</t>
  </si>
  <si>
    <t>TC-P4J-004</t>
  </si>
  <si>
    <t>A teleconsult session record exists for audit</t>
  </si>
  <si>
    <t>1) Open /telemedicine 2) In Supabase, select id from teleconsult_sessions for Hospital A</t>
  </si>
  <si>
    <t>teleconsult_sessions is readable without error.</t>
  </si>
  <si>
    <t>The Telemedicine Practice Guidelines 2020 require the practitioner to be able to produce evidence a remote consultation took place, and the session record is that evidence.</t>
  </si>
  <si>
    <t>teleconsult_sessions where hospital_id = A → query succeeds</t>
  </si>
  <si>
    <t>TC-P4J-005</t>
  </si>
  <si>
    <t>Telemedicine consent language is shown before a remote consultation</t>
  </si>
  <si>
    <t>1) Open /telemedicine 2) Read the screen for any consent or Telemedicine Practice Guidelines wording</t>
  </si>
  <si>
    <t>Consent language is present somewhere on the telemedicine screen.</t>
  </si>
  <si>
    <t>phase4.teleconsult.consentNote</t>
  </si>
  <si>
    <t>A doctor-initiated video call needs recorded consent under the 2020 guidelines, and a hospital cannot prove consent it never displayed to the patient.</t>
  </si>
  <si>
    <t>TC-P4J-006</t>
  </si>
  <si>
    <t>A prescription issued over video is stored like any other</t>
  </si>
  <si>
    <t>1) Register a walk-in for PT-QA-0001 at /opd and start the consultation 2) Enter the teleconsult chief complaint from phase4.teleconsult 3) Add Dolo 650 in the Rx &amp; Orders tab 4) Complete the consultation 5) Read the prescriptions row</t>
  </si>
  <si>
    <t>A prescriptions row exists for the patient.</t>
  </si>
  <si>
    <t>phase4.teleconsult.chiefComplaint; phase4.prescription.primary</t>
  </si>
  <si>
    <t xml:space="preserve">Warning: validateDOMNesting(...): %s cannot appear as a descendant of &lt;%s&gt;.%s &lt;button&gt; button
    at button
    at button
    at div
    at div
    at TokenQueue (http://localhost:8080/src/components/opd/TokenQueue.tsx:126:23)
    at div
    at CollapsiblePanel (http://localhost:8080/src/components/layout/CollapsiblePanel.tsx:27:29)
    at div
    at OPDPage (http://localhost:8080/src/pages/opd/OPDPage.tsx:17:30)
    at ModuleErrorBoundary (http://localhost:8080/src/components/auth/ModuleErrorBoundary.tsx:4:1)
    at SM (http://localhost:8080/src/App.tsx:440:15)
    at MG (http://localhost:808
…(truncated)</t>
  </si>
  <si>
    <t>A digital prescription the system has no copy of cannot be honoured at a pharmacy or defended if the prescribing decision is later challenged.</t>
  </si>
  <si>
    <t>prescriptions where hospital_id = A and patient_id = (PT-QA-0001) → at least 1 row</t>
  </si>
  <si>
    <t>TC-P4J-007</t>
  </si>
  <si>
    <t>A teleconsultation is billed rather than given away</t>
  </si>
  <si>
    <t>1) Register a walk-in for PT-QA-0001 at /opd 2) Read the bills row raised for the visit</t>
  </si>
  <si>
    <t>An OPD bill exists for the consultation.</t>
  </si>
  <si>
    <t>Teleconsultation is chargeable under the guidelines, and hospitals that cannot bill it simply stop offering it, which removes access for the patients who need it most.</t>
  </si>
  <si>
    <t>bills where hospital_id = A and patient_id = (PT-QA-0001) and bill_type = opd and bill_date = today → at least 1 row</t>
  </si>
  <si>
    <t>TC-P4J-008</t>
  </si>
  <si>
    <t>A live video teleconsultation is completed end to end with a real patient</t>
  </si>
  <si>
    <t>1) Open /telemedicine on two devices with camera and microphone permissions granted 2) Start a teleconsult session as the doctor 3) Join as the patient 4) Complete the consultation and issue a prescription</t>
  </si>
  <si>
    <t>The video connects both ways, the consultation completes and a prescription is issued.</t>
  </si>
  <si>
    <t>phase4.teleconsult — PT-QA-0001 Ramesh Kumar</t>
  </si>
  <si>
    <t>MANUAL-ONLY: a fake media stream proves the plumbing but not the consultation, and a video call that connects in a test harness and fails on a real hospital network is the failure that actually matters.</t>
  </si>
  <si>
    <t>teleconsult_sessions where hospital_id = A → the session row records start and end times</t>
  </si>
  <si>
    <t>TC-P4J-009</t>
  </si>
  <si>
    <t>The Voice Scribe is available inside the OPD consultation workspace</t>
  </si>
  <si>
    <t>1) Register a walk-in for PT-QA-0001 at /opd and start the consultation 2) Look for a scribe, dictation, record or microphone control</t>
  </si>
  <si>
    <t>A Voice Scribe or dictation control is reachable from the workspace.</t>
  </si>
  <si>
    <t>The entire premise of the Voice Scribe scenario is the doctor dictating instead of typing, and without an entry point in the workspace the feature has no user.</t>
  </si>
  <si>
    <t>TC-P4J-010</t>
  </si>
  <si>
    <t>The Audio Rescue safety net exists in the scribe implementation</t>
  </si>
  <si>
    <t>1) Inspect src/components/voice/VoiceScribePanel.tsx 2) Confirm the rescueState background re-transcription is still wired in</t>
  </si>
  <si>
    <t>The Audio Rescue state machine is present in the scribe panel.</t>
  </si>
  <si>
    <t>Audio Rescue is the second-pass re-transcription that separates a usable note from a guessed drug name, so its removal would silently downgrade every dictated prescription.</t>
  </si>
  <si>
    <t>TC-P4J-011</t>
  </si>
  <si>
    <t>A dictated consultation populates the clinical fields correctly</t>
  </si>
  <si>
    <t>1) Start a consultation for PT-QA-0001 at /opd 2) Start the Voice Scribe 3) Dictate a complete consultation covering complaint, examination, diagnosis and prescription 4) Stop and review each tab</t>
  </si>
  <si>
    <t>Each dictated section lands in its own field rather than all of it in the complaint box.</t>
  </si>
  <si>
    <t>phase4.consultation — full dictated consultation</t>
  </si>
  <si>
    <t>MANUAL-ONLY: a script cannot speak, so automating it would report PASS while asserting nothing — and a whole consultation collapsed into the complaint field is unusable to the next clinician.</t>
  </si>
  <si>
    <t>opd_encounters where hospital_id = A and patient_id = (PT-QA-0001) → chief_complaint, examination_notes and diagnosis each populated separately</t>
  </si>
  <si>
    <t>TC-P4J-012</t>
  </si>
  <si>
    <t>Indian drug names are transcribed correctly in dictation</t>
  </si>
  <si>
    <t>1) Start a consultation for PT-QA-0001 at /opd 2) Start the Voice Scribe 3) Dictate Pantoprazole, Telmisartan and Metformin in an Indian accent 4) Review the drug names in the Rx &amp; Orders tab</t>
  </si>
  <si>
    <t>Each drug resolves to its drug_master entry rather than a phonetic approximation.</t>
  </si>
  <si>
    <t>Master data — Drug master → Pan 40, Telma 40, Metformin 500</t>
  </si>
  <si>
    <t>MANUAL-ONLY: needs real speech. A drug name transcribed wrong is a prescribing error rather than a typo, and it reaches the pharmacy counter with nothing flagging it.</t>
  </si>
  <si>
    <t>prescriptions where hospital_id = A and patient_id = (PT-QA-0001) → drugs JSON contains the correctly spelled drug names</t>
  </si>
  <si>
    <t>TC-P4J-013</t>
  </si>
  <si>
    <t>A doubtful dose is caught rather than silently transcribed</t>
  </si>
  <si>
    <t>1) Start a consultation for PT-QA-0001 at /opd 2) Start the Voice Scribe with background OPD noise 3) Dictate a dose where "fifteen" and "fifty" sound alike 4) Review the transcribed dose and any confidence flag</t>
  </si>
  <si>
    <t>The scribe flags low confidence on the dose or Audio Rescue re-transcribes it, rather than committing a guess.</t>
  </si>
  <si>
    <t>Dictated dose "fifteen" against background noise</t>
  </si>
  <si>
    <t>MANUAL-ONLY: needs a human speaking. A 50 mg dose recorded as 15 mg, or the reverse, is the single highest-consequence failure this feature can produce and it looks identical to a correct transcription.</t>
  </si>
  <si>
    <t>prescriptions where hospital_id = A and patient_id = (PT-QA-0001) → the dose in the drugs JSON matches what was dictated</t>
  </si>
  <si>
    <t>TC-P4J-014</t>
  </si>
  <si>
    <t>Mixed Hindi and English dictation produces a usable note</t>
  </si>
  <si>
    <t>1) Start a consultation for PT-QA-0001 at /opd 2) Start the Voice Scribe 3) Dictate a consultation with clinical terms in English inside Hindi sentences 4) Read the resulting note</t>
  </si>
  <si>
    <t>The note is coherent and clinically usable rather than a transliterated mixture.</t>
  </si>
  <si>
    <t>Mixed Hindi/English dictated consultation</t>
  </si>
  <si>
    <t>MANUAL-ONLY: needs real bilingual speech. This is how most of the country actually consults, so it is the normal case rather than an edge case, and a scribe that only handles pure English is unusable in a real Indian OPD.</t>
  </si>
  <si>
    <t>opd_encounters where hospital_id = A and patient_id = (PT-QA-0001) → chief_complaint holds a readable note</t>
  </si>
  <si>
    <t>TC-P4K-001</t>
  </si>
  <si>
    <t>4K Edge Cases</t>
  </si>
  <si>
    <t>A second token can be issued for the same patient on the same day</t>
  </si>
  <si>
    <t>1) Open /opd 2) Register a walk-in for PT-QA-0001 with Dr. Suresh Menon 3) Register a second walk-in for PT-QA-0001 with Dr. Arjun Nair 4) Count today's tokens for the patient</t>
  </si>
  <si>
    <t>Two opd_tokens rows exist for PT-QA-0001 today.</t>
  </si>
  <si>
    <t>PT-QA-0001; phase4.sameDay — Dr. Suresh Menon then Dr. Arjun Nair</t>
  </si>
  <si>
    <t xml:space="preserve">[pageerror] supabase.from(...).insert(...).catch is not a function
Failed to load resource: the server responded with a status of 400 ()
Failed to load resource: the server responded with a status of 404 ()
Failed to load resource: the server responded with a status of 400 ()
[pageerror] supabase.from(...).insert(...).catch is not a function
Failed to load resource: the server responded with a status of 404 ()</t>
  </si>
  <si>
    <t>Being sent from the physician to the orthopaedic surgeon the same afternoon is routine, and blocking it forces the desk to register a duplicate patient record instead.</t>
  </si>
  <si>
    <t>opd_tokens where hospital_id = A and patient_id = (PT-QA-0001) and visit_date = today → 2 rows</t>
  </si>
  <si>
    <t>e2e/phase-04-opd-journey/P4K.edge-cases.spec.ts</t>
  </si>
  <si>
    <t>TC-P4K-002</t>
  </si>
  <si>
    <t>The desk is warned before creating a second same-day token</t>
  </si>
  <si>
    <t>1) Register a walk-in for PT-QA-0001 with Dr. Suresh Menon at /opd 2) Start a second walk-in for the same patient with Dr. Arjun Nair 3) Click "Proceed to Payment" 4) Read the dialog</t>
  </si>
  <si>
    <t>A dialog reads "Patient already in queue today" before the second token is issued.</t>
  </si>
  <si>
    <t>PT-QA-0001; phase4.sameDay</t>
  </si>
  <si>
    <t>Most second tokens are the desk not realising the patient was already registered, and each one creates a duplicate consultation bill the patient has to argue their way out of.</t>
  </si>
  <si>
    <t>opd_tokens where hospital_id = A and patient_id = (PT-QA-0001) and visit_date = today → 1 row at the moment the warning appears</t>
  </si>
  <si>
    <t>TC-P4K-003</t>
  </si>
  <si>
    <t>The same-day warning explains the billing consequence and can be overridden</t>
  </si>
  <si>
    <t>1) Register a walk-in for PT-QA-0001 with Dr. Suresh Menon at /opd 2) Start a second walk-in for the same patient with Dr. Arjun Nair 3) Click "Proceed to Payment" 4) Read the warning text and the buttons offered</t>
  </si>
  <si>
    <t>The warning names the second consultation bill and offers a "Register Anyway" action.</t>
  </si>
  <si>
    <t>"Are you sure?" with no stated consequence is dismissed reflexively, and a warning with no override blocks the genuine second-doctor case outright.</t>
  </si>
  <si>
    <t>TC-P4K-004</t>
  </si>
  <si>
    <t>Two same-day consultations produce two separate bills</t>
  </si>
  <si>
    <t>1) Register and complete a consultation for PT-QA-0001 with Dr. Suresh Menon at /opd 2) Register and complete a second consultation for the same patient with Dr. Arjun Nair 3) Count today's OPD bills for the patient</t>
  </si>
  <si>
    <t>Two bills rows exist for PT-QA-0001 today.</t>
  </si>
  <si>
    <t>PT-QA-0001; phase4.sameDay — Dr. Suresh Menon and Dr. Arjun Nair</t>
  </si>
  <si>
    <t xml:space="preserve">[pageerror] supabase.from(...).insert(...).catch is not a function
Failed to load resource: the server responded with a status of 400 ()
Failed to load resource: the server responded with a status of 404 ()
Failed to load resource: the server responded with a status of 403 ()
[pageerror] supabase.from(...).insert(...).catch is not a function
Failed to load resource: the server responded with a status of 400 ()
Failed to load resource: the server responded with a status of 404 ()</t>
  </si>
  <si>
    <t>Each consultant's fee has to be attributable to that consultant, and a merged bill cannot be split for the doctor revenue share that most Indian hospitals pay monthly.</t>
  </si>
  <si>
    <t>bills where hospital_id = A and patient_id = (PT-QA-0001) and bill_type = opd and bill_date = today → 2 rows</t>
  </si>
  <si>
    <t>TC-P4K-005</t>
  </si>
  <si>
    <t>Each bill is linked to its own encounter, not to the other one</t>
  </si>
  <si>
    <t>1) Complete two consultations for PT-QA-0001 with two different doctors on the same day at /opd 2) Read encounter_id on both bills 3) Compare them with the two opd_encounters ids</t>
  </si>
  <si>
    <t>The two bills point at two different encounters, matching the two consultations.</t>
  </si>
  <si>
    <t xml:space="preserve">Failed to load resource: the server responded with a status of 400 ()
[pageerror] supabase.from(...).insert(...).catch is not a function
Failed to load resource: the server responded with a status of 404 ()
Failed to load resource: the server responded with a status of 403 ()
Failed to load resource: the server responded with a status of 400 ()
[pageerror] supabase.from(...).insert(...).catch is not a function
Failed to load resource: the server responded with a status of 404 ()</t>
  </si>
  <si>
    <t>The bill link is backfilled by finding the most recent unlinked OPD bill today, guarded by an encounter_id IS NULL filter — if that guard is removed the afternoon consultation steals the morning's bill and both charges land on one visit.</t>
  </si>
  <si>
    <t>bills where hospital_id = A and patient_id = (PT-QA-0001) and bill_date = today → 2 distinct encounter_id values matching the 2 opd_encounters rows</t>
  </si>
  <si>
    <t>TC-P4K-006</t>
  </si>
  <si>
    <t>Each bill carries exactly one consultation line at its own doctor's rate</t>
  </si>
  <si>
    <t>1) Complete two consultations for PT-QA-0001 with Dr. Suresh Menon and Dr. Arjun Nair on the same day at /opd 2) Read the consultation line items on both bills</t>
  </si>
  <si>
    <t>Each bill carries exactly one consultation line, and the two amounts are ₹500 and ₹800.</t>
  </si>
  <si>
    <t>PT-QA-0001; Dr. Suresh Menon ₹500, Dr. Arjun Nair ₹800</t>
  </si>
  <si>
    <t xml:space="preserve">[pageerror] supabase.from(...).insert(...).catch is not a function
Failed to load resource: the server responded with a status of 400 ()
Failed to load resource: the server responded with a status of 404 ()
Failed to load resource: the server responded with a status of 403 ()
Failed to load resource: the server responded with a status of 400 ()
[pageerror] supabase.from(...).insert(...).catch is not a function
Failed to load resource: the server responded with a status of 404 ()</t>
  </si>
  <si>
    <t>If both bills carry the same figure one consultant is being paid at the other's rate, and the revenue-share statement they receive at month end will be wrong in both directions.</t>
  </si>
  <si>
    <t>bill_line_items where item_type = consultation and bill_id in (the two OPD bills for PT-QA-0001 today) → 2 rows with total_amount 500 and 800</t>
  </si>
  <si>
    <t>TC-P4K-007</t>
  </si>
  <si>
    <t>The two same-day tokens carry different token numbers</t>
  </si>
  <si>
    <t>1) Register two walk-ins for PT-QA-0001 with two different doctors at /opd 2) Compare the two token_number values</t>
  </si>
  <si>
    <t>The two tokens carry different numbers.</t>
  </si>
  <si>
    <t xml:space="preserve">Failed to load resource: the server responded with a status of 400 ()
[pageerror] supabase.from(...).insert(...).catch is not a function
Failed to load resource: the server responded with a status of 404 ()
[pageerror] supabase.from(...).insert(...).catch is not a function
Failed to load resource: the server responded with a status of 400 ()
Failed to load resource: the server responded with a status of 404 ()</t>
  </si>
  <si>
    <t>Identical numbers mean the display board cannot call one without calling the other, and the patient does not know which consultation they are being summoned for.</t>
  </si>
  <si>
    <t>opd_tokens where hospital_id = A and patient_id = (PT-QA-0001) and visit_date = today → 2 distinct token_number values</t>
  </si>
  <si>
    <t>TC-P4K-008</t>
  </si>
  <si>
    <t>Each same-day token records its own doctor</t>
  </si>
  <si>
    <t>1) Register two walk-ins for PT-QA-0001 with Dr. Suresh Menon and Dr. Arjun Nair at /opd 2) Compare the two doctor_id values</t>
  </si>
  <si>
    <t>The two tokens carry different doctor_id values.</t>
  </si>
  <si>
    <t>If both tokens name the same doctor, one consultant never sees the patient in their queue and the referral between departments silently fails.</t>
  </si>
  <si>
    <t>opd_tokens where hospital_id = A and patient_id = (PT-QA-0001) and visit_date = today → 2 distinct doctor_id values</t>
  </si>
  <si>
    <t>TC-P4K-009</t>
  </si>
  <si>
    <t>An assault injury can be registered as a medico-legal case at OPD</t>
  </si>
  <si>
    <t>opd_tokens.is_mlc = true for the new token.</t>
  </si>
  <si>
    <t>An assault case registered as an ordinary consultation is not reported to the police, and the hospital has committed a statutory offence before the patient has left the building.</t>
  </si>
  <si>
    <t>TC-P4K-010</t>
  </si>
  <si>
    <t>An MLC record is retained for ten years, not three</t>
  </si>
  <si>
    <t>1) Register PT-QA-0032 as an MLC walk-in at /opd 2) Start and complete the consultation with the assault complaint 3) Read medical_records.destroy_after for the encounter</t>
  </si>
  <si>
    <t>destroy_after is approximately ten years from today.</t>
  </si>
  <si>
    <t>phase4.mlc — PT-QA-0032 Arun Prakash</t>
  </si>
  <si>
    <t>A medico-legal file destroyed at three years instead of ten is evidence gone long before the case reaches court, and the hospital cannot produce what it has already shredded.</t>
  </si>
  <si>
    <t>medical_records where hospital_id = A and patient_id = (PT-QA-0032) and visit_id = (the encounter id) → destroy_after is about 10 years ahead</t>
  </si>
  <si>
    <t>TC-P4K-011</t>
  </si>
  <si>
    <t>The OPD desk warns when a new registration matches an existing patient</t>
  </si>
  <si>
    <t>1) Open /opd 2) Click "+ Register Walk-in" 3) Enter Ramesh Kumar and the phone number already on PT-QA-0001 as a NEW patient 4) Select Department and Doctor 5) Click "Proceed to Payment"</t>
  </si>
  <si>
    <t>A "Possible Duplicate Patient" dialog is shown before the record is created.</t>
  </si>
  <si>
    <t>PT-QA-0001 Ramesh Kumar (re-entered as a new patient)</t>
  </si>
  <si>
    <t xml:space="preserve">Automated: FAILED.
Error: The OPD desk created a second record for an existing patient with no warning. Note that this surface DOES have de-dup while /patients registration has none (Phase 3 Finding #1) — two registration screens in one product behaving differently is itself the defect.
expect(locator).toBeVisible() failed
Locator: getByText(/possible duplicate patient/i)
Expected: visible
Timeout: 20000ms
Error: element(s) not found
Call log:
  - The OPD desk created a second record for an existing patient with no warning. Note that this surface DOES have de-dup while /patients registration has none (Phase 3 Finding #1) — two registration screens in one product behaving differently is itself the defect. with timeout 20000ms
  - waiting for getByText(/possible duplicate patient/i)</t>
  </si>
  <si>
    <t>A second UHID for one person forks their clinical history in two, so allergy flags and drug history recorded under the first are invisible on the second — and this surface has de-dup while the main patient registration screen does not.</t>
  </si>
  <si>
    <t>patients where hospital_id = A and full_name = 'Ramesh Kumar' → no additional row created while the warning is showing</t>
  </si>
  <si>
    <t>TC-P4K-012</t>
  </si>
  <si>
    <t>The duplicate warning offers the existing record rather than only a way past it</t>
  </si>
  <si>
    <t>1) Trigger the duplicate warning at /opd by re-entering PT-QA-0001's name and phone as a new patient 2) Read the buttons offered on the dialog</t>
  </si>
  <si>
    <t>A "Use Existing Patient" action is offered alongside "Create New Anyway".</t>
  </si>
  <si>
    <t xml:space="preserve">Automated: FAILED.
Error: The duplicate warning has no "use the existing record" action, so the only way forward is to create the duplicate. A warning without a correct path is a speed bump, not a control.
expect(locator).toBeVisible() failed
Locator: getByRole('button', { name: /use existing patient/i })
Expected: visible
Timeout: 20000ms
Error: element(s) not found
Call log:
  - The duplicate warning has no "use the existing record" action, so the only way forward is to create the duplicate. A warning without a correct path is a speed bump, not a control. with timeout 20000ms
  - waiting for getByRole('button', { name: /use existing patient/i })</t>
  </si>
  <si>
    <t>A warning with no correct path forward is a speed bump rather than a control, because the only way to finish the task is to create the duplicate anyway.</t>
  </si>
  <si>
    <t>TC-P4K-013</t>
  </si>
  <si>
    <t>The duplicate warning shows the UHID of the record it matched</t>
  </si>
  <si>
    <t>1) Trigger the duplicate warning at /opd by re-entering PT-QA-0001's name and phone as a new patient 2) Read the matched-record panel on the dialog</t>
  </si>
  <si>
    <t>The dialog displays PT-QA-0001 as the matched record.</t>
  </si>
  <si>
    <t xml:space="preserve">Automated: FAILED.
Error: The warning does not identify WHICH record it matched. The receptionist cannot tell a genuine namesake from the same person, so they click through either way.
expect(locator).toBeVisible() failed
Locator: getByText(/PT-QA-0001/i).first()
Expected: visible
Timeout: 20000ms
Error: element(s) not found
Call log:
  - The warning does not identify WHICH record it matched. The receptionist cannot tell a genuine namesake from the same person, so they click through either way. with timeout 20000ms
  - waiting for getByText(/PT-QA-0001/i).first()</t>
  </si>
  <si>
    <t>Without the UHID the receptionist cannot tell a genuine namesake from the same person returning, so they click through either way and the warning achieves nothing.</t>
  </si>
  <si>
    <t>TC-P4K-014</t>
  </si>
  <si>
    <t>Choosing the existing record does not create a second patient</t>
  </si>
  <si>
    <t>1) Count the patients rows named Ramesh Kumar for Hospital A 2) Trigger the duplicate warning at /opd 3) Click "Use Existing Patient" 4) Count the rows again</t>
  </si>
  <si>
    <t>The count is unchanged — no new patients row is created.</t>
  </si>
  <si>
    <t xml:space="preserve">Automated: FAILED.
TimeoutError: locator.click: Timeout 15000ms exceeded.
Call log:
  - waiting for getByRole('button', { name: /use existing patient/i })</t>
  </si>
  <si>
    <t>The one action that resolves the duplicate correctly must not do the opposite of what it says, or the de-dup control actively creates the problem it exists to prevent.</t>
  </si>
  <si>
    <t>patients where hospital_id = A and full_name = 'Ramesh Kumar' → row count unchanged after choosing Use Existing Patient</t>
  </si>
  <si>
    <t>TC-P4K-015</t>
  </si>
  <si>
    <t>A waiting token can be marked as a no-show</t>
  </si>
  <si>
    <t>1) Register a walk-in for PT-QA-0001 at /opd 2) Select the token in the queue 3) Use the no-show control 4) Read opd_tokens.status</t>
  </si>
  <si>
    <t>status = 'no_show'.</t>
  </si>
  <si>
    <t>A queue that cannot express "the patient left" keeps calling an empty chair, and the day's average waiting time is permanently distorted by tokens nobody ever attended.</t>
  </si>
  <si>
    <t>opd_tokens where hospital_id = A and patient_id = (PT-QA-0001) and visit_date = today → status = no_show</t>
  </si>
  <si>
    <t>TC-P4K-016</t>
  </si>
  <si>
    <t>An abandoned token holds a recognised queue state</t>
  </si>
  <si>
    <t>1) Register a walk-in for PT-QA-0001 at /opd 2) Read opd_tokens.status for the new token</t>
  </si>
  <si>
    <t>status is one of waiting, called, no_show or cancelled.</t>
  </si>
  <si>
    <t>An unrecognised status leaves the token in limbo where the queue cannot show it and no report can count it, so the visit exists in the database and nowhere else.</t>
  </si>
  <si>
    <t>opd_tokens where hospital_id = A and patient_id = (PT-QA-0001) and visit_date = today → status in (waiting, called, no_show, cancelled)</t>
  </si>
  <si>
    <t>TC-P4K-017</t>
  </si>
  <si>
    <t>A no-show token leaves no orphan consultation encounter</t>
  </si>
  <si>
    <t>1) Register a walk-in for PT-QA-0001 at /opd 2) Set the token status to no_show without starting the consultation 3) Read opd_encounters for the patient</t>
  </si>
  <si>
    <t>No opd_encounters row exists for the no-show visit.</t>
  </si>
  <si>
    <t>A consultation record for a patient who never came in is counted in the doctor's workload, coded for statistics and — worst of all — read later as evidence the patient was seen.</t>
  </si>
  <si>
    <t>opd_encounters where hospital_id = A and patient_id = (PT-QA-0001) and visit_date = today → 0 rows</t>
  </si>
  <si>
    <t>TC-P4K-018</t>
  </si>
  <si>
    <t>A cancelled token cannot be started as a consultation</t>
  </si>
  <si>
    <t>1) Register a walk-in for PT-QA-0001 at /opd 2) Set the token status to cancelled 3) Reload /opd and select the token 4) Look for the Start Consultation control</t>
  </si>
  <si>
    <t>The Start Consultation control is not offered for a cancelled token.</t>
  </si>
  <si>
    <t>A cancelled visit that can still be resumed produces a consultation record, and a consultation charge, for a patient who was never seen by anybody.</t>
  </si>
  <si>
    <t>opd_tokens where hospital_id = A and patient_id = (PT-QA-0001) and visit_date = today → status = cancelled</t>
  </si>
  <si>
    <t>TC-P4K-019</t>
  </si>
  <si>
    <t>A token created yesterday does not appear in today's queue</t>
  </si>
  <si>
    <t>1) Seed an opd_tokens row for PT-QA-0001 dated yesterday with status waiting 2) Open /opd for today 3) Look for the patient in the queue</t>
  </si>
  <si>
    <t>Yesterday's token is not shown in today's queue.</t>
  </si>
  <si>
    <t>PT-QA-0001 Ramesh Kumar; token dated yesterday</t>
  </si>
  <si>
    <t>Yesterday's unfinished tokens accumulating on today's board makes the queue unusable within a week, and the doctor loses the ability to see who is actually waiting now.</t>
  </si>
  <si>
    <t>opd_tokens where hospital_id = A and patient_id = (PT-QA-0001) and visit_date = yesterday → status = waiting and not rendered on today's queue</t>
  </si>
  <si>
    <t>TC-P4K-020</t>
  </si>
  <si>
    <t>A token always creates a bill so the balance is not lost</t>
  </si>
  <si>
    <t>1) Register a walk-in for PT-QA-0001 at /opd 2) Read the bills rows for the patient today</t>
  </si>
  <si>
    <t>An OPD bill exists for the visit whether or not payment was collected at the desk.</t>
  </si>
  <si>
    <t>The charge has to exist somewhere regardless of whether the patient paid at the counter, or the consultation becomes free by accident and nothing records that it should not have been.</t>
  </si>
  <si>
    <t>TC-P4L-001</t>
  </si>
  <si>
    <t>4L RBAC &amp; Isolation</t>
  </si>
  <si>
    <t>A doctor can open the OPD module</t>
  </si>
  <si>
    <t>1) Log in as doctor (Hospital A) 2) Open /opd 3) Confirm the queue panel renders</t>
  </si>
  <si>
    <t>The OPD queue is visible to the doctor role.</t>
  </si>
  <si>
    <t>Roles &amp; Permissions configured per Phase 1 section 1F action gates</t>
  </si>
  <si>
    <t>The doctor is the role the module exists for, so a gate that locks them out makes the whole OPD build unusable regardless of what any other role can do.</t>
  </si>
  <si>
    <t>e2e/phase-04-opd-journey/P4L.rbac-isolation.spec.ts</t>
  </si>
  <si>
    <t>TC-P4L-002</t>
  </si>
  <si>
    <t>A receptionist can open the OPD module</t>
  </si>
  <si>
    <t>1) Log in as receptionist (Hospital A) 2) Open /opd 3) Confirm the queue panel renders</t>
  </si>
  <si>
    <t>The OPD queue is visible to the receptionist role.</t>
  </si>
  <si>
    <t>The front desk populates the queue, so if they cannot reach the module no patient enters it and the doctor has an empty list all morning.</t>
  </si>
  <si>
    <t>TC-P4L-003</t>
  </si>
  <si>
    <t>A nurse can open the OPD module to record vitals</t>
  </si>
  <si>
    <t>1) Log in as nurse (Hospital A) 2) Open /opd 3) Confirm the queue panel renders</t>
  </si>
  <si>
    <t>The OPD queue is visible to the nurse role.</t>
  </si>
  <si>
    <t>Nursing</t>
  </si>
  <si>
    <t xml:space="preserve">Automated: FAILED.
Error: A nurse cannot reach /opd. Vitals are taken by nursing before the doctor sees the patient; locking them out pushes vitals back onto paper.
expect(received).toBeTruthy()
Received: false</t>
  </si>
  <si>
    <t>Vitals are taken by nursing before the doctor sees the patient, so locking nurses out of OPD pushes vitals back onto paper and out of the electronic record.</t>
  </si>
  <si>
    <t>TC-P4L-004</t>
  </si>
  <si>
    <t>A doctor's queue shows only their own patients</t>
  </si>
  <si>
    <t>1) As hospital_admin, register a walk-in for PT-QA-0001 with Dr. Arjun Nair at /opd 2) Log out 3) Log in as doctor (Dr. Suresh Menon, Hospital A) 4) Open /opd 5) Look for the patient in the queue</t>
  </si>
  <si>
    <t>The token belonging to Dr. Arjun Nair does not appear in Dr. Suresh Menon's queue.</t>
  </si>
  <si>
    <t>PT-QA-0001 Ramesh Kumar; token raised for Dr. Arjun Nair</t>
  </si>
  <si>
    <t>The queue is filtered on the logged-in doctor id; if the filter is removed every consultant sees the whole hospital's OPD and cannot find their own patients in it.</t>
  </si>
  <si>
    <t>opd_tokens where hospital_id = A and patient_id = (PT-QA-0001) and visit_date = today → doctor_id = Dr. Arjun Nair, not the logged-in doctor</t>
  </si>
  <si>
    <t>TC-P4L-005</t>
  </si>
  <si>
    <t>A doctor does see the tokens raised for them</t>
  </si>
  <si>
    <t>1) As hospital_admin, register a walk-in for PT-QA-0001 with Dr. Suresh Menon at /opd 2) Log out 3) Log in as doctor (Dr. Suresh Menon, Hospital A) 4) Open /opd</t>
  </si>
  <si>
    <t>Ramesh Kumar appears in the doctor's queue.</t>
  </si>
  <si>
    <t>PT-QA-0001 Ramesh Kumar; token raised for Dr. Suresh Menon</t>
  </si>
  <si>
    <t>A filter that excludes the tokens it is supposed to include is worse than no filter, because the doctor sees an empty queue while patients wait outside believing they are booked.</t>
  </si>
  <si>
    <t>opd_tokens where hospital_id = A and patient_id = (PT-QA-0001) and visit_date = today → doctor_id = the logged-in doctor</t>
  </si>
  <si>
    <t>TC-P4L-006</t>
  </si>
  <si>
    <t>A nurse is not offered the Complete action that raises the consultation charge</t>
  </si>
  <si>
    <t>1) As hospital_admin, register a walk-in for PT-QA-0001 and start the consultation at /opd 2) Log out 3) Log in as nurse (Hospital A) 4) Open /opd and select the token 5) Look for the Complete control</t>
  </si>
  <si>
    <t>The "✓ Complete" control is absent for the nurse role.</t>
  </si>
  <si>
    <t>Roles &amp; Permissions: opd → complete_and_bill NOT granted to nurse</t>
  </si>
  <si>
    <t>Completing is what creates the consultation charge, so this gate is a money control as much as a clinical one and a nurse closing consultations bills patients without a doctor.</t>
  </si>
  <si>
    <t>TC-P4L-007</t>
  </si>
  <si>
    <t>A nurse is not offered the Admit action in the OPD workspace</t>
  </si>
  <si>
    <t>1) As hospital_admin, register a walk-in for PT-QA-0001 at /opd 2) Log out 3) Log in as nurse (Hospital A) 4) Open /opd and select the token 5) Look for the Admit control</t>
  </si>
  <si>
    <t xml:space="preserve">Failed to load resource: the server responded with a status of 400 ()
[pageerror] supabase.from(...).insert(...).catch is not a function
Failed to load resource: the server responded with a status of 404 ()
Warning: Encountered two children with the same key, `%s`. Keys should be unique so that components maintain their identity across updates. Non-unique keys may cause children to be duplicated and/or omitted — the behavior is unsupported and could change in a future version.%s Nephrology Ward
    at div
    at div
    at BedOccupancy (http://localhost:8080/src/components/dashboard/BedOccupan
…(truncated)</t>
  </si>
  <si>
    <t>Admission commits a bed and opens an IPD bill on a consultant's behalf, which is a decision a nurse is not authorised to take on their own.</t>
  </si>
  <si>
    <t>TC-P4L-008</t>
  </si>
  <si>
    <t>A receptionist is not offered the Complete action</t>
  </si>
  <si>
    <t>1) As hospital_admin, register a walk-in for PT-QA-0001 and start the consultation at /opd 2) Log out 3) Log in as receptionist (Hospital A) 4) Open /opd and select the token 5) Look for the Complete control</t>
  </si>
  <si>
    <t>The "✓ Complete" control is absent for the receptionist role.</t>
  </si>
  <si>
    <t>Roles &amp; Permissions: opd → complete_and_bill NOT granted to receptionist</t>
  </si>
  <si>
    <t xml:space="preserve">Automated: FAILED.
Error: The front desk can close a consultation the doctor has not finished, stamping a clinical episode as complete and billing it.
expect(received).toBe(expected) // Object.is equality
Expected: 0
Received: 1</t>
  </si>
  <si>
    <t>The front desk closing a consultation the doctor has not finished stamps a clinical episode as complete and bills it, with no clinician having signed anything.</t>
  </si>
  <si>
    <t>TC-P4L-009</t>
  </si>
  <si>
    <t>A lab technician cannot reach the OPD consultation module</t>
  </si>
  <si>
    <t>1) Log in as lab_technician (Hospital A) 2) Navigate to /opd 3) Observe whether the consultation workspace is delivered</t>
  </si>
  <si>
    <t>The route is blocked by a redirect, a permission message or a plan gate.</t>
  </si>
  <si>
    <t>A lab technician needs the order, not the consultation — reading every patient's complaint, diagnosis and prescription exceeds the purpose their access was granted for.</t>
  </si>
  <si>
    <t>TC-P4L-010</t>
  </si>
  <si>
    <t>An accountant cannot reach the OPD consultation module</t>
  </si>
  <si>
    <t>1) Log in as accountant (Hospital A) 2) Navigate to /opd 3) Observe whether the consultation workspace is delivered</t>
  </si>
  <si>
    <t>Under the DPDP Act 2023 purpose-limitation rule finance has no lawful basis to read a diagnosis; they need the amount, not the illness that produced it.</t>
  </si>
  <si>
    <t>TC-P4L-011</t>
  </si>
  <si>
    <t>Hospital A cannot read Hospital B's OPD tokens</t>
  </si>
  <si>
    <t>1) Sign in through the anon client as the Hospital A doctor 2) Select every row from opd_tokens with no hospital filter 3) Look for any row whose hospital_id is Hospital B</t>
  </si>
  <si>
    <t>No Hospital B rows are returned, or the query is refused outright by RLS.</t>
  </si>
  <si>
    <t>Hospital A doctor login; Hospital B tenant</t>
  </si>
  <si>
    <t>Both QA hospitals seeded</t>
  </si>
  <si>
    <t>One hospital reading another's patient queue is the single most serious failure mode in a multi-tenant HMS, and filtering client-side would prove nothing about what the database will hand over.</t>
  </si>
  <si>
    <t>Select every row from opd_tokens as the Hospital A doctor → 0 rows with hospital_id = Hospital B</t>
  </si>
  <si>
    <t>TC-P4L-012</t>
  </si>
  <si>
    <t>Hospital A cannot read Hospital B's consultation encounters</t>
  </si>
  <si>
    <t>1) Sign in through the anon client as the Hospital A doctor 2) Select every row from opd_encounters with no hospital filter 3) Look for any row whose hospital_id is Hospital B</t>
  </si>
  <si>
    <t>Encounters hold the complaint, examination and diagnosis, so a leak here exposes the most sensitive clinical narrative the system stores about another hospital's patients.</t>
  </si>
  <si>
    <t>Select every row from opd_encounters as the Hospital A doctor → 0 rows with hospital_id = Hospital B</t>
  </si>
  <si>
    <t>TC-P4L-013</t>
  </si>
  <si>
    <t>Hospital A cannot read Hospital B's prescriptions</t>
  </si>
  <si>
    <t>1) Sign in through the anon client as the Hospital A doctor 2) Select every row from prescriptions with no hospital filter 3) Look for any row whose hospital_id is Hospital B</t>
  </si>
  <si>
    <t>A prescription list reveals another hospital's patients' conditions by inference, and controlled-drug prescribing in particular is information no competitor should ever hold.</t>
  </si>
  <si>
    <t>Select every row from prescriptions as the Hospital A doctor → 0 rows with hospital_id = Hospital B</t>
  </si>
  <si>
    <t>TC-P4L-014</t>
  </si>
  <si>
    <t>Hospital A cannot read Hospital B's OPD bills</t>
  </si>
  <si>
    <t>1) Sign in through the anon client as the Hospital A billing executive 2) Select every row from bills with no hospital filter 3) Look for any row whose hospital_id is Hospital B</t>
  </si>
  <si>
    <t>Hospital A billing_executive login; Hospital B tenant</t>
  </si>
  <si>
    <t>Bills expose another hospital's pricing and daily revenue, which is commercially sensitive quite apart from the patient-privacy breach it also represents.</t>
  </si>
  <si>
    <t>Select every row from bills as the Hospital A billing executive → 0 rows with hospital_id = Hospital B</t>
  </si>
  <si>
    <t>TC-P4L-015</t>
  </si>
  <si>
    <t>A Hospital A user cannot open a Hospital B patient by pasting the UUID</t>
  </si>
  <si>
    <t>1) Read the id of PT-QA-0030 from patients for Hospital B 2) Log in as doctor (Hospital A) 3) Navigate to /patients/&lt;that id&gt;/summary 4) Look for the patient's name on screen</t>
  </si>
  <si>
    <t>The Hospital B patient's name is not displayed.</t>
  </si>
  <si>
    <t>PT-QA-0030 Rohan Kulkarni (HOSPITAL B ONLY)</t>
  </si>
  <si>
    <t>The patient summary page has no hospital_id filter of its own and relies entirely on RLS, so if RLS is not holding there is no second line of defence anywhere in the request path.</t>
  </si>
  <si>
    <t>patients where hospital_id = Hospital B and uhid = 'PT-QA-0030' → the row exists but must not render for a Hospital A login</t>
  </si>
  <si>
    <t>TC-P4L-016</t>
  </si>
  <si>
    <t>A Hospital B doctor sees none of Hospital A's OPD queue</t>
  </si>
  <si>
    <t>1) As hospital_admin (Hospital A), register a walk-in for PT-QA-0001 at /opd 2) Log in as doctor (Hospital B) 3) Open /opd 4) Look for the Hospital A patient in the queue</t>
  </si>
  <si>
    <t>Ramesh Kumar does not appear in the Hospital B queue.</t>
  </si>
  <si>
    <t>PT-QA-0001 Ramesh Kumar (Hospital A); Hospital B doctor login</t>
  </si>
  <si>
    <t xml:space="preserve">[pageerror] supabase.from(...).insert(...).catch is not a function
Failed to load resource: the server responded with a status of 400 ()
Failed to load resource: the server responded with a status of 404 ()
Failed to load resource: the server responded with a status of 400 ()</t>
  </si>
  <si>
    <t>This is the end-to-end proof of tenant isolation through the real UI rather than through a direct query, which is the only version of the test a hospital board will accept.</t>
  </si>
  <si>
    <t>doctor (Hospital B)</t>
  </si>
  <si>
    <t>opd_tokens where hospital_id = A and patient_id = (PT-QA-0001) and visit_date = today → not visible to a Hospital B login</t>
  </si>
  <si>
    <t>TC-P5A-001</t>
  </si>
  <si>
    <t>5A Outpatient Lab</t>
  </si>
  <si>
    <t>Cash OPD lab: consultation to the doctor's chart, with the money on the bill</t>
  </si>
  <si>
    <t>1) [setup] Provision the case patient and repair any missing lab masters 2) [doctor] Log in and open /opd 3) [doctor] Register the walk-in by UHID and issue a token 4) [verify] Read opd_tokens and confirm the token belongs to this patient 5) [doctor] Open the token and start the consultation 6) [doctor] NEGATIVE: complete the consultation with an empty chief complaint 7) [doctor] Record the chief complaint 8) [doctor] Prescribe Haemoglobin in the Rx &amp; Orders tab 9) [doctor] Complete the consultation 10) [verify] BOUNDARY: Read lab_orders and confirm the consultation raised NO order yet 11) [lab_technician] Log in and open /lab -&gt; Pending from OPD 12) [lab_technician] Open Create Order and confirm patient and test arrived preselected 13) [lab_technician] Proceed to payment and price every unpriced test 14) [lab_technician] Take the cash and create the order 15) [lab_technician] Read the receipt and close the wizard 16) [verify] Read lab_orders: one billed order at status ordered 17) [verify] BOUNDARY: accession_number matches ACC-YYYYMMDD-NNNN 18) [verify] Read lab_order_items and lab_samples: items exist, sample is pending 19) [verify] Read bills: a final, paid lab bill with a non-zero total 20) [verify] BOUNDARY: exactly one bill_line_items row carries the lab dedupe key 21) [lab_technician] Open /lab -&gt; Collection -&gt; To Collect 22) [lab_technician] NEGATIVE: Confirm &amp; Collect stays disabled until identity is attested 23) [lab_technician] Tick the two-identifier check and collect the sample 24) [verify] Read lab_samples: collected, with collected_at and collected_by 25) [verify] Read lab_orders: the order moved to sample_collected 26) [lab_technician] Receive the sample into the laboratory 27) [lab_technician] Start processing on the bench 28) [verify] Read lab_samples and lab_orders: received_at stamped, order in_process 29) [lab_technician] Open the order in the worklist result workspace 30) [lab_technician] BOUNDARY: enter Haemoglobin 14.5 and confirm it flags N, not H 31) [verify] Read lab_order_items: the typed value persisted on blur 32) [lab_technician] Release the report 33) [verify] Read lab_orders: the order advanced to completed or pending_validation 34) [verify] Read clinical_alerts: a result-ready alert names the ordering doctor 35) [doctor] Log back in and open the patient on /opd 36) [doctor] Open the Reports tab and read the released Haemoglobin 37) [verify] Read lab_orders: billing_status is billed, so nothing leaks unbilled 38) [verify] BOUNDARY: still exactly one dedupe-keyed charge line after release</t>
  </si>
  <si>
    <t>The journey completes all 38 stages. 2 negative condition(s) are refused as described in the steps and 5 boundary value(s) behave exactly as stated. Verify in Supabase: lab_orders where patient_id = the case patient -&gt; 1 row, status ordered then sample_collected then completed, accession_number matching ACC-YYYYMMDD-NNNN; lab_samples -&gt; collected_at and collected_by set; bills where bill_type = lab -&gt; bill_status final, payment_status paid; bill_line_items where source_dedupe_key = lab:&lt;item id&gt; -&gt; exactly 1</t>
  </si>
  <si>
    <t>Phase 5 additions (mock-data.json phase5 block). Own patient PT-QA-5A001-&lt;run&gt; "Girish Reddy 5A001-&lt;run&gt;" (71M), created by the run and never deleted. Nothing is seeded — every stage goes through the browser.</t>
  </si>
  <si>
    <t>OPD, Lab, Billing</t>
  </si>
  <si>
    <t>Tier 0 complete; lab_test_master active with fees, reference AND critical ranges; lab_test_groups with members; radiology modalities + studies with requires_form_f; pcpndt_settings; hospital_settings.ipd_ancillary_payment</t>
  </si>
  <si>
    <t xml:space="preserve">Automated: FAILED at S15/38 · lab_technician · Read the receipt and close the wizard. 37 of 38 stages passed.
Error: No bill number was shown after payment, so the patient leaves the counter with nothing that ties what they paid to the test they paid for.
expect(received).toBeTruthy()
Received: ""
1 soft assertion(s) also failed:
  · Error: No bill number was shown after payment, so the patient leaves the counter with nothing that ties what they paid to the test they paid for.</t>
  </si>
  <si>
    <t>This is the journey a hospital actually buys. Every other case in the phase starts in the middle of it with a seeded order, which proves each stage works but never proves the stages hand off to each other — the only thing that matters on go-live day. It crosses four modules and three people in one sitting, so a broken hand-off has exactly one place to show up.</t>
  </si>
  <si>
    <t>doctor (Hospital A) then lab_technician (Hospital A) then doctor (Hospital A)</t>
  </si>
  <si>
    <t>lab_orders where patient_id = the case patient -&gt; 1 row, status ordered then sample_collected then completed, accession_number matching ACC-YYYYMMDD-NNNN; lab_samples -&gt; collected_at and collected_by set; bills where bill_type = lab -&gt; bill_status final, payment_status paid; bill_line_items where source_dedupe_key = lab:&lt;item id&gt; -&gt; exactly 1</t>
  </si>
  <si>
    <t>e2e/phase-05-lab-radiology/P5A.outpatient-lab.spec.ts</t>
  </si>
  <si>
    <t>37/38</t>
  </si>
  <si>
    <t>TC-P5A-002</t>
  </si>
  <si>
    <t>Panel ordering: the group price wins, and the members ride on it</t>
  </si>
  <si>
    <t>1) [setup] Provision the case patient and confirm the panel has members 2) [verify] Read lab_test_groups and lab_test_group_items: the panel is complete 3) [doctor] Log in and open /opd 4) [doctor] Register the walk-in and start a consultation 5) [doctor] Prescribe all three Fever Panel members 6) [doctor] Complete the consultation 7) [lab_technician] Open /lab -&gt; Pending from OPD and create the order 8) [lab_technician] Confirm all three members arrived preselected 9) [lab_technician] Proceed to payment and read the quoted total 10) [lab_technician] BOUNDARY: the quote is the group fee, not the member sum 11) [lab_technician] Take the cash and create the order 12) [verify] BOUNDARY: Read bills: the header total equals the group fee 13) [verify] NEGATIVE: no bill_line_items row is written at a zero rate 14) [verify] NEGATIVE: no line carries the placeholder description "Lab: Test" 15) [verify] BOUNDARY: the sum of the line items equals the bill header 16) [lab_technician] Open /lab -&gt; Collection and draw the panel sample 17) [lab_technician] Receive and process the sample 18) [lab_technician] Open the order and enter a result for every member 19) [verify] Read lab_order_items: all three members carry values 20) [lab_technician] Release the panel report 21) [verify] Read lab_orders: the panel completed as one order 22) [lab_technician] Order a single panel member on a second order 23) [lab_technician] BOUNDARY: one of three members is billed the individual fee 24) [verify] BOUNDARY: Read bills: the partial order did not take the group price</t>
  </si>
  <si>
    <t>The journey completes all 24 stages. 2 negative condition(s) are refused as described in the steps and 5 boundary value(s) behave exactly as stated. Verify in Supabase: bills where bill_type = lab -&gt; total_amount equals the group fee, not the member sum; bill_line_items for that bill -&gt; no row with unit_rate = 0 or description "Lab: Test", and the sum of line totals equals the bill header</t>
  </si>
  <si>
    <t>Phase 5 additions (mock-data.json phase5 block). Own patient PT-QA-5A002-&lt;run&gt; "Aruna Verma 5A002-&lt;run&gt;" (54F), created by the run and never deleted. Nothing is seeded — every stage goes through the browser.</t>
  </si>
  <si>
    <t xml:space="preserve">Automated: FAILED at S12/24 · verify · Read bills: the header total equals the group fee. 19 of 24 stages passed.
Error: The bill header totals ₹200. It must be the ₹1500 group price, not ₹1980.
expect(received).toBe(expected) // Object.is equality
Expected: 1500
Received: 200
5 soft assertion(s) also failed:
  · Error: The bill header totals ₹200. It must be the ₹1500 group price, not ₹1980.
  · Error: FINDING L2. Group rates are keyed by group_id but the bill-line loop looks them up by test_id, so every group-covered test is written at unit_rate 0 while the header still carries the panel fee. The bill does not add up, and nobody notices until reconciliation.
  · Error: FINDING L2. A charge line reads "Lab: Test" — the placeholder written when the rate lookup misses. A patient handed this bill cannot tell what they paid for.
  · Error: The line items sum to ₹0 but the bill header says ₹200. A bill that does not add up is a bill a patient will dispute and a hospital cannot defend.
  · Error: The panel did not complete as one order.</t>
  </si>
  <si>
    <t>A panel exists so a hospital can discount a bundle. Group rates are keyed by group_id while the bill-line loop looks them up by test_id, so every group-covered test can be written at a zero rate with the placeholder description "Lab: Test" while the bill header still carries the panel fee. The bill then does not add up, and nobody notices until reconciliation.</t>
  </si>
  <si>
    <t>doctor (Hospital A) then lab_technician (Hospital A)</t>
  </si>
  <si>
    <t>bills where bill_type = lab -&gt; total_amount equals the group fee, not the member sum; bill_line_items for that bill -&gt; no row with unit_rate = 0 or description "Lab: Test", and the sum of line totals equals the bill header</t>
  </si>
  <si>
    <t>19/24</t>
  </si>
  <si>
    <t>TC-P5A-003</t>
  </si>
  <si>
    <t>Direct desk order: the New Lab Order modal end to end, and every way it refuses</t>
  </si>
  <si>
    <t>1) [setup] Provision the case patient and repair any missing lab masters 2) [lab_technician] Log in and open /lab -&gt; Worklist 3) [lab_technician] Open the New Lab Order modal 4) [lab_technician] NEGATIVE: Proceed is disabled with no patient and no tests 5) [lab_technician] Search the patient by UHID and select them 6) [lab_technician] NEGATIVE: Proceed is still disabled with a patient but no tests 7) [lab_technician] NEGATIVE: search an off-catalogue misspelling and find nothing to add 8) [lab_technician] Choose the referring doctor from the dropdown 9) [lab_technician] Set priority to Routine, then Urgent, then STAT 10) [lab_technician] Confirm the STAT banner warns the lab must be told verbally 11) [lab_technician] Add a test from the catalogue search 12) [lab_technician] Remove the test again with its chip, then re-add it 13) [lab_technician] Fill the clinical notes / indication 14) [lab_technician] Proceed to payment 15) [lab_technician] Read the subtotal, GST and total payable rows 16) [lab_technician] BOUNDARY: Go Back to the order step and confirm the selection survived 17) [lab_technician] Proceed to payment again and choose UPI 18) [lab_technician] Fill the UPI reference and take the payment 19) [lab_technician] Read the receipt: bill number, patient, tests, amount paid 20) [lab_technician] Close the wizard with Done 21) [verify] Read lab_orders: exactly one STAT order at status ordered 22) [verify] Read clinical_alerts: a stat_lab_order alert was raised 23) [verify] Read bills and bill_payments: the UPI reference was recorded 24) [verify] BOUNDARY: exactly one dedupe-keyed charge line, not two</t>
  </si>
  <si>
    <t>The journey completes all 24 stages. 3 negative condition(s) are refused as described in the steps and 2 boundary value(s) behave exactly as stated. Verify in Supabase: lab_orders where patient_id = the case patient -&gt; exactly 1 row after the valid submission and no rows after each refused attempt; bills where bill_type = lab -&gt; 1 final paid bill</t>
  </si>
  <si>
    <t>Phase 5 additions (mock-data.json phase5 block). Own patient PT-QA-5A003-&lt;run&gt; "Pradeep Nair 5A003-&lt;run&gt;" (37M), created by the run and never deleted. Nothing is seeded — every stage goes through the browser.</t>
  </si>
  <si>
    <t xml:space="preserve">Automated: FAILED at S15/24 · lab_technician · Read the subtotal, GST and total payable rows. 17 of 19 stages passed.
Error: The payment step does not show /Subtotal/i. A counter that cannot show a patient what they are paying for invites a dispute at the till.
expect(locator).toBeVisible() failed
Locator: getByText(/Subtotal/i).first()
Expected: visible
Timeout: 20000ms
Error: element(s) not found
Call log:
  - The payment step does not show /Subtotal/i. A counter that cannot show a patient what they are paying for invites a dispute at the till. with timeout 20000ms
  - waiting for getByText(/Subtotal/i).first()
3 soft assertion(s) also failed:
  · Error: The payment step does not show /Subtotal/i. A counter that cannot show a patient what they are paying for invites a dispute at the till.
  · Error: The payment step does not show /GST/i. A counter that cannot show a patient what they are paying for invites a dispute at the till.
  · Error: The payment step did not confirm. Cash may have been taken with no bill and no order — the worst possible outcome at a counter.</t>
  </si>
  <si>
    <t>Not every test is prescribed in a consultation — a patient walks up to the counter and asks for one. That path has its own modal with its own validation, and it is where an order gets created against the wrong patient, at the wrong price, or for a test the catalogue does not have. Every field and every refusal in this wizard is money or identity.</t>
  </si>
  <si>
    <t>lab_orders where patient_id = the case patient -&gt; exactly 1 row after the valid submission and no rows after each refused attempt; bills where bill_type = lab -&gt; 1 final paid bill</t>
  </si>
  <si>
    <t>17/19</t>
  </si>
  <si>
    <t>TC-P5B-001</t>
  </si>
  <si>
    <t>5B Inpatient Lab &amp; Ancillary Money</t>
  </si>
  <si>
    <t>Post-paid ward round: the charge accrues to the admission and no cash step exists</t>
  </si>
  <si>
    <t>1) [setup] Resolve the admitted patient and repair any missing lab masters 2) [hospital_admin] Open /settings/approvals and read the IPD ancillary policy 3) [hospital_admin] Set the lab ancillary mode to post_paid 4) [verify] Read hospital_settings: ipd_ancillary_payment lab mode is post_paid 5) [lab_technician] Log in and open /lab -&gt; Worklist 6) [lab_technician] Open the New Lab Order modal and select the admitted patient 7) [lab_technician] Confirm the admission is linked in the order 8) [lab_technician] Add a routine test 9) [lab_technician] BOUNDARY: the primary button offers Charge to Advance, not Proceed to Payment 10) [lab_technician] Create the order against the admission 11) [verify] Read lab_orders: admission_id is set and billing_status is not unbilled 12) [verify] NEGATIVE: read bills — no separate lab bill was raised 13) [verify] Read bill_line_items: the charge accrued under the lab dedupe key 14) [lab_technician] Open /lab -&gt; Collection -&gt; To Collect 15) [lab_technician] NEGATIVE: no payment-pending dialog blocks a post-paid draw 16) [lab_technician] Collect the sample after the two-identifier check 17) [verify] Read lab_samples: the ward sample was collected immediately 18) [lab_technician] Receive and process the sample 19) [lab_technician] Enter a result and release the report 20) [verify] BOUNDARY: still no separate lab bill after release 21) [verify] BOUNDARY: exactly one dedupe-keyed charge line, not a second at release 22) [hospital_admin] Restore the ancillary policy to its original value</t>
  </si>
  <si>
    <t>The journey completes all 22 stages. 2 negative condition(s) are refused as described in the steps and 3 boundary value(s) behave exactly as stated. Verify in Supabase: bills where patient_id = PT-QA-0018 and bill_type = lab -&gt; 0 rows; bill_line_items where source_dedupe_key = lab:&lt;item id&gt; -&gt; at most 1, attached to the admission bill; lab_orders -&gt; admission_id set, billing_status not unbilled</t>
  </si>
  <si>
    <t>Phase 5 additions (mock-data.json phase5 block). REUSES the seeded patient PT-QA-0018 — the charge must accrue against a LIVE admission; a fresh patient has none. Seeded via the service role (see p5-seed-of-last-resort.ts): seededPatient(PT-QA-0018) — an existing admission.</t>
  </si>
  <si>
    <t>IPD, Lab, Billing</t>
  </si>
  <si>
    <t>Tier 0 complete; lab_test_master active with fees, reference AND critical ranges; lab_test_groups with members; radiology modalities + studies with requires_form_f; pcpndt_settings; hospital_settings.ipd_ancillary_payment; ipd_ancillary_payment lab mode = post_paid</t>
  </si>
  <si>
    <t>Automated: passed. 22 of 22 stages passed.</t>
  </si>
  <si>
    <t>A ward round cannot stop to send a relative to a counter. Under post-paid the order must be raised and the sample drawn immediately, with the charge accruing to the admission and settling once at discharge. A separate lab bill here sends a family to pay twice, and a charge that never accrues is an investigation the hospital performed for free.</t>
  </si>
  <si>
    <t>hospital_admin (Hospital A) then lab_technician (Hospital A)</t>
  </si>
  <si>
    <t>bills where patient_id = PT-QA-0018 and bill_type = lab -&gt; 0 rows; bill_line_items where source_dedupe_key = lab:&lt;item id&gt; -&gt; at most 1, attached to the admission bill; lab_orders -&gt; admission_id set, billing_status not unbilled</t>
  </si>
  <si>
    <t>e2e/phase-05-lab-radiology/P5B.inpatient-lab-money.spec.ts</t>
  </si>
  <si>
    <t>22/22</t>
  </si>
  <si>
    <t>TC-P5B-002</t>
  </si>
  <si>
    <t>Pre-paid gate: the four ways it holds, and the two ways it is bypassed</t>
  </si>
  <si>
    <t>1) [setup] Resolve the admitted patient and repair any missing lab masters 2) [hospital_admin] Open /settings/approvals and set the lab ancillary mode to pre_paid 3) [verify] Read hospital_settings: the tenant is now pay-before-service 4) [lab_technician] Raise a routine ward order through the New Lab Order modal 5) [lab_technician] Open /lab -&gt; Collection -&gt; To Collect and press Collect 6) [lab_technician] NEGATIVE: the payment-pending dialog blocks the draw 7) [lab_technician] Read the amount due and the counter instruction 8) [verify] NEGATIVE: Read lab_samples: the sample is still pending, not collected 9) [lab_technician] NEGATIVE: Confirm override stays disabled with no reason typed 10) [lab_technician] Type a clinical override reason and confirm 11) [verify] Read lab_samples: the override released the draw 12) [verify] Read clinical_alerts: the override is recorded with its reason and author 13) [lab_technician] Raise a second, STAT ward order 14) [lab_technician] BOUNDARY: a STAT order collects with no gate and no override 15) [verify] BOUNDARY: Read lab_samples: the STAT sample was collected 16) [lab_technician] Raise a third order and confirm no charge row was posted for it 17) [lab_technician] BOUNDARY: with no charge posted the gate fails open 18) [lab_technician] Open the blocked order in the result workspace 19) [lab_technician] NEGATIVE: Mark Collected in the workspace must not silently no-op 20) [lab_technician] NEGATIVE: an authenticated direct API write bypasses the gate entirely 21) [verify] NEGATIVE: Read lab_samples: the gate is client-side only, with no database trigger 22) [hospital_admin] Restore the ancillary policy to its original value</t>
  </si>
  <si>
    <t>The journey completes all 22 stages. 6 negative condition(s) are refused as described in the steps and 3 boundary value(s) behave exactly as stated. Verify in Supabase: lab_samples for the blocked order -&gt; status stays pending; clinical_alerts -&gt; one ipd_ancillary_payment_override row naming the technician and carrying the reason; the STAT order -&gt; sample collected without an override</t>
  </si>
  <si>
    <t>Phase 5 additions (mock-data.json phase5 block). REUSES the seeded patient PT-QA-0018 — the gate only engages against a live admission. Seeded via the service role (see p5-seed-of-last-resort.ts): seededPatient(PT-QA-0018) — an existing admission.</t>
  </si>
  <si>
    <t>Tier 0 complete; lab_test_master active with fees, reference AND critical ranges; lab_test_groups with members; radiology modalities + studies with requires_form_f; pcpndt_settings; hospital_settings.ipd_ancillary_payment; ipd_ancillary_payment lab mode = pre_paid</t>
  </si>
  <si>
    <t xml:space="preserve">Automated: FAILED at S06/22 · lab_technician · NEGATIVE: the payment-pending dialog blocks the draw. 6 of 10 stages passed.
Error: A pre-paid tenant let the sample be drawn before the amount was paid. The hospital chose pay-before-service for its cash flow; a gate that does not fire means every ward investigation is performed on credit the hospital never agreed to extend.
expect(locator).toBeVisible() failed
Locator: getByText(/payment pending|cannot be collected until|amount is paid/i).first()
Expected: visible
Timeout: 10000ms
Error: element(s) not found
Call log:
  - A pre-paid tenant let the sample be drawn before the amount was paid. The hospital chose pay-before-service for its cash flow; a gate that does not fire means every ward investigation is performed on credit the hospital never agreed to extend. with timeout 10000ms
  - waiting for getByText(/payment pending|cannot be collected until|amount is paid/i).first()
4 soft assertion(s) also failed:
  · Error: A pre-paid tenant let the sample be drawn before the amount was paid. The hospital chose pay-before-service for its cash flow; a gate that does not fire means every ward investigation is performed on credit the hospital
…(truncated)</t>
  </si>
  <si>
    <t>A hospital that has chosen pay-before-service is relying on this gate for its cash flow, and a hospital that has not must never see it. Both halves are one code path with seven rules, and two of them are safety valves: a STAT potassium on a ventilated patient must never wait at a billing counter, and an order whose charge failed must not strand the patient either.</t>
  </si>
  <si>
    <t>lab_samples for the blocked order -&gt; status stays pending; clinical_alerts -&gt; one ipd_ancillary_payment_override row naming the technician and carrying the reason; the STAT order -&gt; sample collected without an override</t>
  </si>
  <si>
    <t>6/10</t>
  </si>
  <si>
    <t>TC-P5C-001</t>
  </si>
  <si>
    <t>5C Specimen Lifecycle</t>
  </si>
  <si>
    <t>Rejection and recollection: eight reasons, and the two ways rejection is wrong</t>
  </si>
  <si>
    <t>1) [setup] Provision the case patient and repair any missing lab masters 2) [lab_technician] Log in and raise a single-tube order through the New Lab Order modal 3) [verify] Read bills: record the bill count before any rejection 4) [lab_technician] Open /lab -&gt; Collection -&gt; To Collect 5) [lab_technician] NEGATIVE: Reject is offered on a tube that has never been drawn 6) [lab_technician] Collect the sample properly after the identity check 7) [lab_technician] Move to the Collected tab and open the Reject dialog 8) [lab_technician] Read all eight rejection reasons offered as radio options 9) [lab_technician] BOUNDARY: select each of the eight reasons in turn in the dialog 10) [lab_technician] NEGATIVE: cancel the dialog and confirm nothing was rejected 11) [verify] NEGATIVE: Read lab_samples: the sample is still collected, not rejected 12) [lab_technician] Re-open the dialog, choose Hemolyzed and add a note 13) [lab_technician] Confirm Reject &amp; Queue Recollection 14) [verify] Read lab_samples: the tube is rejected and carries its reason 15) [verify] Read lab_samples: a new pending recollection was queued 16) [verify] BOUNDARY: the recollection links to the tube it replaces and has a new barcode 17) [verify] Read lab_orders: the order was rewound to ordered 18) [verify] NEGATIVE: read bills — the patient was NOT charged a second time 19) [lab_technician] Open the Rejected tab and read the Reason column 20) [lab_technician] Draw the recollection tube and take it through to a result 21) [verify] Read lab_order_items: the replacement tube produced the result 22) [lab_technician] Raise a second, two-tube order for the multi-tube branch 23) [lab_technician] Collect both tubes, then reject only one 24) [verify] BOUNDARY: with one tube still viable the order is NOT rewound 25) [verify] BOUNDARY: only the spoiled tube has a recollection queued 26) [verify] NEGATIVE: read nabh_evidence_log — a rejection writes no quality evidence</t>
  </si>
  <si>
    <t>The journey completes all 26 stages. 5 negative condition(s) are refused as described in the steps and 4 boundary value(s) behave exactly as stated. Verify in Supabase: lab_samples for the order -&gt; the rejected row carries rejection_reason and the new pending row carries recollected_from_sample_id pointing at it, with a different barcode; bills -&gt; the count is unchanged across the rejection</t>
  </si>
  <si>
    <t>Phase 5 additions (mock-data.json phase5 block). Own patient PT-QA-5C001-&lt;run&gt; "Pradeep Nair 5C001-&lt;run&gt;" (37M), created by the run and never deleted. Nothing is seeded — every stage goes through the browser.</t>
  </si>
  <si>
    <t xml:space="preserve">Automated: FAILED at S05/26 · lab_technician · NEGATIVE: Reject is offered on a tube that has never been drawn. 24 of 26 stages passed.
Error: FINDING L9. Reject is offered on the "To Collect" tab — a tube that has never been drawn. Rejecting a specimen that does not exist queues a recollection for a draw that never happened, and puts a phantom rejection into the quality record the laboratory trends.
expect(received).toBe(expected) // Object.is equality
Expected: false
Received: true
2 soft assertion(s) also failed:
  · Error: FINDING L9. Reject is offered on the "To Collect" tab — a tube that has never been drawn. Rejecting a specimen that does not exist queues a recollection for a draw that never happened, and puts a phantom rejection into the quality record the laboratory trends.
  · Error: FINDING L9. A specimen rejection writes no NABH evidence. Specimen rejection rate is one of the quality indicators an assessor asks for by name, and an event with no evidence row cannot be counted, trended or defended at an assessment.</t>
  </si>
  <si>
    <t>Failed to load resource: the server responded with a status of 400 ()</t>
  </si>
  <si>
    <t>A haemolysed tube is an ordinary morning in a laboratory. What must not be ordinary is charging the patient twice for it, losing the link between the spoiled tube and its replacement, or rewinding an order that still has a viable sample on the bench. The reason is also the quality record — a rejection with no reason cannot be trended and cannot be fixed.</t>
  </si>
  <si>
    <t>lab_samples for the order -&gt; the rejected row carries rejection_reason and the new pending row carries recollected_from_sample_id pointing at it, with a different barcode; bills -&gt; the count is unchanged across the rejection</t>
  </si>
  <si>
    <t>e2e/phase-05-lab-radiology/P5C.specimen-lifecycle.spec.ts</t>
  </si>
  <si>
    <t>24/26</t>
  </si>
  <si>
    <t>TC-P5C-002</t>
  </si>
  <si>
    <t>Chain of custody: barcode, receipt, processing and the mix-up guard</t>
  </si>
  <si>
    <t>1) [setup] Provision the case patient and repair any missing lab masters 2) [lab_technician] Raise a first order through the New Lab Order modal 3) [lab_technician] Raise a second order on the same patient 4) [verify] BOUNDARY: read lab_orders — the accession matches ACC-YYYYMMDD-NNNN 5) [verify] BOUNDARY: read lab_samples — the barcode is not the accession number 6) [verify] BOUNDARY: the two orders carry different, unique barcodes 7) [lab_technician] Open /lab -&gt; Collection and read the Accession column 8) [lab_technician] Print the barcode label and confirm the popup is dispatched 9) [lab_technician] Collect the first sample after the identity check 10) [verify] Read lab_samples: collected_at and collected_by are both stamped 11) [verify] Read lab_order_items: the item-level collector agrees with the sample 12) [lab_technician] Receive the sample and confirm it leaves the Collected tab 13) [verify] Read lab_samples: received_at is stamped 14) [lab_technician] Start processing and confirm it leaves the Received tab 15) [verify] Read lab_orders and lab_order_items: both moved to in_process 16) [lab_technician] Open the order and switch to the Sample sub-tab 17) [lab_technician] Read the six-step custody stepper and the barcode chip 18) [lab_technician] NEGATIVE: the bench cannot skip a state — Receive is gone once received 19) [lab_technician] Enter a result and read the Sample tab banner change 20) [lab_technician] Check the sample-integrity panel for a mix-up indicator 21) [lab_technician] Release the report 22) [verify] Read lab_orders: the custody chain ends at a released order</t>
  </si>
  <si>
    <t>The journey completes all 22 stages. 1 negative condition(s) are refused as described in the steps and 3 boundary value(s) behave exactly as stated. Verify in Supabase: lab_orders.accession_number matches ACC-YYYYMMDD-NNNN; lab_samples.barcode is non-empty, differs from the accession, and is unique across two orders on the same patient; each transition stamps its actor and timestamp</t>
  </si>
  <si>
    <t>Phase 5 additions (mock-data.json phase5 block). Own patient PT-QA-5C002-&lt;run&gt; "Jyothi Gupta 5C002-&lt;run&gt;" (68F), created by the run and never deleted. Nothing is seeded — every stage goes through the browser.</t>
  </si>
  <si>
    <t xml:space="preserve">Automated: FAILED at S17/22 · lab_technician · Read the six-step custody stepper and the barcode chip. 21 of 22 stages passed.
Error: The Sample tab offers no way to reprint the barcode, so a tube whose label peels off in a centrifuge cannot be re-identified.
expect(locator).toBeVisible() failed
Locator: getByRole('button', { name: /print barcode label/i }).first()
Expected: visible
Timeout: 20000ms
Error: element(s) not found
Call log:
  - The Sample tab offers no way to reprint the barcode, so a tube whose label peels off in a centrifuge cannot be re-identified. with timeout 20000ms
  - waiting for getByRole('button', { name: /print barcode label/i }).first()
1 soft assertion(s) also failed:
  · Error: The Sample tab offers no way to reprint the barcode, so a tube whose label peels off in a centrifuge cannot be re-identified.</t>
  </si>
  <si>
    <t xml:space="preserve">Failed to load resource: the server responded with a status of 400 ()
Failed to load resource: the server responded with a status of 400 ()</t>
  </si>
  <si>
    <t>The accession number and the sample barcode are different identifiers and are routinely confused: the printed label carries one and the bench scans the other. A label that identifies a different thing from what the bench reads is how the wrong result reaches the wrong patient, and every state between the draw and the bench must be attributable when a mix-up is suspected.</t>
  </si>
  <si>
    <t>lab_orders.accession_number matches ACC-YYYYMMDD-NNNN; lab_samples.barcode is non-empty, differs from the accession, and is unique across two orders on the same patient; each transition stamps its actor and timestamp</t>
  </si>
  <si>
    <t>21/22</t>
  </si>
  <si>
    <t>TC-P5D-001</t>
  </si>
  <si>
    <t>5D Result Correctness</t>
  </si>
  <si>
    <t>Critical value: the boundary battery and the phone call</t>
  </si>
  <si>
    <t>1) [setup] Provision the case patient and repair any missing lab masters 2) [verify] Read lab_test_master: the catalogue carries critical_low and critical_high 3) [verify] BOUNDARY: the mock boundary values straddle this tenant thresholds 4) [lab_technician] Open /lab and raise a potassium order, then take it to the bench 5) [lab_technician] Open the order in the result workspace 6) [lab_technician] BOUNDARY: enter the value equal to normal_max and read the flag 7) [verify] BOUNDARY: Read lab_order_items: normal_max exactly must flag N, not H 8) [lab_technician] BOUNDARY: enter the value just above normal_max 9) [verify] BOUNDARY: Read lab_order_items: just above normal_max flags H 10) [verify] NEGATIVE: read clinical_alerts — a merely high value raises NO critical alert 11) [lab_technician] BOUNDARY: enter the value exactly at critical_high 12) [verify] BOUNDARY: Read lab_order_items: at the threshold exactly is H, not CH — the test is strict 13) [lab_technician] BOUNDARY: enter the value one step over critical_high 14) [verify] BOUNDARY: Read lab_order_items: one step over the threshold flags CH 15) [lab_technician] Enter the frankly critical potassium of 7.2 16) [verify] Read lab_order_items: 7.2 flags CH 17) [verify] Read clinical_alerts: a critical_lab_value alert was raised at severity critical 18) [verify] Read clinical_alerts: the message names the test and carries the value 19) [verify] Read clinical_alerts: the alert links back to the result item 20) [lab_technician] Read the critical banner telling the technician to telephone 21) [lab_technician] NEGATIVE: release is refused while the critical is unacknowledged 22) [lab_technician] NEGATIVE: Acknowledge stays disabled until the notify box is ticked 23) [lab_technician] Tick the notification box and acknowledge the critical value 24) [verify] Read lab_order_items: the acknowledgement records who and when 25) [verify] Read clinical_alerts: the alert closed when the item was acknowledged 26) [lab_technician] Release the report now that the doctor has been told 27) [verify] Read lab_orders: the released order advanced 28) [doctor] Log in and read the critical result on the patient chart 29) [verify] NEGATIVE: read nabh_evidence_log — the critical notification writes no evidence</t>
  </si>
  <si>
    <t>The journey completes all 29 stages. 4 negative condition(s) are refused as described in the steps and 9 boundary value(s) behave exactly as stated. Verify in Supabase: lab_order_items -&gt; result_flag CH at 7.2, H at critical_high exactly, N at normal_max, critical_acknowledged and critical_acknowledged_by set after the call; clinical_alerts -&gt; one critical_lab_value row at severity critical, naming the test and the value, closed on acknowledgement</t>
  </si>
  <si>
    <t>Phase 5 additions (mock-data.json phase5 block). Own patient PT-QA-5D001-&lt;run&gt; "Jyothi Gupta 5D001-&lt;run&gt;" (68F), created by the run and never deleted. Nothing is seeded — every stage goes through the browser.</t>
  </si>
  <si>
    <t xml:space="preserve">Automated: FAILED at S28/29 · doctor · Log in and read the critical result on the patient chart. 27 of 29 stages passed.
Error: The critical result is not on the patient summary. A result the laboratory can see and the treating doctor cannot is a phone call, not a record.
expect(locator).toBeVisible() failed
Locator: getByText(/Serum Potassium/i).first()
Expected: visible
Timeout: 20000ms
Error: element(s) not found
Call log:
  - The critical result is not on the patient summary. A result the laboratory can see and the treating doctor cannot is a phone call, not a record. with timeout 20000ms
  - waiting for getByText(/Serum Potassium/i).first()
2 soft assertion(s) also failed:
  · Error: The critical result is not on the patient summary. A result the laboratory can see and the treating doctor cannot is a phone call, not a record.
  · Error: FINDING L9. Notifying a critical value writes no NABH evidence. "Critical value notification turnaround" is one of the indicators an assessor asks for by name, and an event with no evidence row cannot be counted or defended at an assessment.</t>
  </si>
  <si>
    <t xml:space="preserve">Failed to load resource: the server responded with a status of 400 ()
Failed to load resource: the server responded with a status of 400 ()
Failed to load resource: the server responded with a status of 400 ()
Failed to load resource: the server responded with a status of 400 ()
Failed to load resource: the server responded with a status of 400 ()</t>
  </si>
  <si>
    <t>A potassium of 7.2 is a cardiac arrest risk within hours, and the only thing that reaches the treating doctor is the alert row — a flag on a screen nobody is watching is not a notification. The boundaries matter just as much in the other direction: a range that flags its own upper bound produces a flagged result on every healthy patient, and alert fatigue is how a real critical value gets scrolled past.</t>
  </si>
  <si>
    <t>lab_technician (Hospital A) then doctor (Hospital A)</t>
  </si>
  <si>
    <t>lab_order_items -&gt; result_flag CH at 7.2, H at critical_high exactly, N at normal_max, critical_acknowledged and critical_acknowledged_by set after the call; clinical_alerts -&gt; one critical_lab_value row at severity critical, naming the test and the value, closed on acknowledgement</t>
  </si>
  <si>
    <t>e2e/phase-05-lab-radiology/P5D.result-correctness.spec.ts</t>
  </si>
  <si>
    <t>27/29</t>
  </si>
  <si>
    <t>TC-P5D-002</t>
  </si>
  <si>
    <t>Delta check: a 30-day-old baseline, a real swing, and the two false positives</t>
  </si>
  <si>
    <t>1) [setup] Provision the CKD case patient and repair any missing lab masters 2) [setup] Back-date a validated creatinine of 0.9 into lab_order_items, 30 days ago 3) [verify] Read lab_order_items: the baseline is visible to the delta lookup 4) [lab_technician] Open /lab and raise a creatinine order, then take it to the bench 5) [lab_technician] Open the order and switch to the History sub-tab 6) [lab_technician] Confirm the 30-day-old baseline is visible to the technician 7) [lab_technician] Enter the new creatinine of 4.5 8) [verify] Read lab_order_items: the result saved at all 9) [verify] Read lab_order_items: the swing raised delta_flag 10) [verify] Read lab_order_items: previous_value carries the baseline to compare against 11) [lab_technician] Read the delta badge shown beside the result 12) [verify] Read clinical_alerts: a lab_trend alert reached the treating team 13) [lab_technician] NEGATIVE: a delta-flagged result must not auto-verify 14) [lab_technician] Release the flagged result after review 15) [lab_technician] Raise a second creatinine order on the same patient 16) [lab_technician] BOUNDARY: enter a value within 50% of the previous result 17) [verify] BOUNDARY: Read lab_order_items: ordinary variation is NOT delta-flagged 18) [lab_technician] Raise a third order for a test this patient has never had 19) [lab_technician] BOUNDARY: enter the first ever result for that test 20) [verify] BOUNDARY: Read lab_order_items: a first result carries no delta_flag 21) [verify] BOUNDARY: Read lab_order_items: a first result carries no previous_value</t>
  </si>
  <si>
    <t>The journey completes all 21 stages. 1 negative condition(s) are refused as described in the steps and 5 boundary value(s) behave exactly as stated. Verify in Supabase: lab_order_items -&gt; result_value saved at all, delta_flag set, previous_value equal to the baseline; clinical_alerts -&gt; a lab_trend row; the sub-50% and first-ever cases carry no delta_flag and no previous_value</t>
  </si>
  <si>
    <t>Phase 5 additions (mock-data.json phase5 block). Own patient PT-QA-5D002-&lt;run&gt; "Ravindra Rao 5D002-&lt;run&gt;" (51M), created by the run and never deleted. Seeded via the service role (see p5-seed-of-last-resort.ts): seedPriorResult() — a validated creatinine dated 30 days ago, which cannot be created in real time.</t>
  </si>
  <si>
    <t xml:space="preserve">Automated: FAILED at S08/21 · verify · Read lab_order_items: the result saved at all. 7 of 8 stages passed.
Error: FINDING L1. THE WHOLE RESULT WAS DISCARDED. lab_order_items.delta_flag is a boolean column, but a &gt;50% swing makes the save write the string "delta" into it (LabResultWorkspace.tsx:501). PostgREST returns 22P02 and :508 swallows it with a bare console.error and return — so no value, no flag, no alert and no toast. A creatinine that jumps 0.9 → 4.5 is acute kidney injury; it is the single most important result of that patient's day, and it is the one class of result this app cannot save.
FAILED API CALLS DURING THIS JOURNEY (this is almost always the real cause):
  400 PATCH lab_order_items
    {"code":"22P02","details":null,"hint":null,"message":"invalid input syntax for type boolean: \"delta\""}
expect(received).toBeTruthy()
Received: null
1 soft assertion(s) also failed:
  · Error: FINDING L1. THE WHOLE RESULT WAS DISCARDED. lab_order_items.delta_flag is a boolean column, but a &gt;50% swing makes the save write the string "delta" into it (LabResultWorkspace.tsx:501). PostgREST returns 22P02 and :508 swallows it with a bare console.error and return — so no value, no fla
…(truncated)</t>
  </si>
  <si>
    <t xml:space="preserve">Failed to load resource: the server responded with a status of 400 ()
Save result error: {code: 22P02, details: null, hint: null, message: invalid input syntax for type boolean: "delta"}</t>
  </si>
  <si>
    <t>The delta check catches the result that is individually plausible but impossible for THIS patient in this interval. A creatinine of 4.5 in a patient last seen at 0.9 is acute kidney injury; unflagged it is released as a routine abnormal and found when the patient deteriorates. The false-positive side matters equally — a check that fires on ordinary biological variation flags most of the day and the reviewer stops reading the flags.</t>
  </si>
  <si>
    <t>lab_order_items -&gt; result_value saved at all, delta_flag set, previous_value equal to the baseline; clinical_alerts -&gt; a lab_trend row; the sub-50% and first-ever cases carry no delta_flag and no previous_value</t>
  </si>
  <si>
    <t>7/8</t>
  </si>
  <si>
    <t>TC-P5D-003</t>
  </si>
  <si>
    <t>The result workspace, exhaustively: every sub-tab, every button, every output</t>
  </si>
  <si>
    <t>1) [setup] Provision the case patient and repair any missing lab masters 2) [verify] Read lab_test_master: at least one test is opted into auto-verification 3) [lab_technician] Raise a multi-test order including a culture and take it to the bench 4) [lab_technician] Open the order and read the Results table headers 5) [lab_technician] Read the order header: id, priority chip, ordering doctor and TAT target 6) [lab_technician] Enter a normal value on the auto-verify-eligible test 7) [verify] Read lab_order_items: a normal result auto-verified without a technician 8) [verify] Read lab_order_items: the auto-verification recorded its reason 9) [lab_technician] NEGATIVE: enter an abnormal value and confirm it does NOT auto-verify 10) [lab_technician] Enter a qualitative result from the Positive/Negative dropdown 11) [verify] Read lab_order_items: the qualitative value persisted 12) [lab_technician] Press Save All and read the saved-count toast 13) [lab_technician] Fill the antibiogram specimen type, organism and colony count 14) [lab_technician] Set sensitivities across the antibiogram drug grid 15) [lab_technician] NEGATIVE: Save Antibiogram is refused with no organism named 16) [lab_technician] Save the antibiogram as preliminary, then as final 17) [verify] Read lab_results: the organism and its sensitivities persisted 18) [lab_technician] Write and save an interpretive comment 19) [lab_technician] Switch to the Sample sub-tab and read the custody stepper 20) [lab_technician] Switch to the History sub-tab 21) [lab_technician] Switch to the Notes sub-tab and type lab notes 22) [verify] BOUNDARY: Read lab_orders: the notes committed on blur, not on change 23) [lab_technician] Open the Cumulative trend view 24) [lab_technician] NEGATIVE: WhatsApp delivery is refused before the report is released 25) [lab_technician] Release the report 26) [lab_technician] Dispatch Print Report and confirm the popup is offered 27) [lab_technician] BOUNDARY: a released result is read-only, not an editable box 28) [verify] Read lab_orders: the order is completed with every value intact</t>
  </si>
  <si>
    <t>The journey completes all 28 stages. 3 negative condition(s) are refused as described in the steps and 2 boundary value(s) behave exactly as stated. Verify in Supabase: lab_order_items -&gt; values persist from both the numeric and the qualitative input, and from Save All; lab_orders -&gt; notes saved on blur; the antibiogram writes its organism and sensitivities; verification_method is auto for an eligible normal</t>
  </si>
  <si>
    <t>Phase 5 additions (mock-data.json phase5 block). Own patient PT-QA-5D003-&lt;run&gt; "Usha Bhat 5D003-&lt;run&gt;" (34F), created by the run and never deleted. Nothing is seeded — every stage goes through the browser.</t>
  </si>
  <si>
    <t xml:space="preserve">Automated: FAILED at S07/28 · verify · Read lab_order_items: a normal result auto-verified without a technician. 24 of 28 stages passed.
Error: A normal, non-delta, QC-clean result on an opted-in test was not auto-verified. Auto-verification is what lets a laboratory release routine normals in minutes instead of queueing them behind a technician; without it the turnaround the hospital advertises is fiction.
expect(received).toBe(expected) // Object.is equality
Expected: "auto"
Received: "manual"
5 soft assertion(s) also failed:
  · Error: A normal, non-delta, QC-clean result on an opted-in test was not auto-verified. Auto-verification is what lets a laboratory release routine normals in minutes instead of queueing them behind a technician; without it the turnaround the hospital advertises is fiction.
  · Error: The auto-verification recorded no reason. A machine releasing a result without saying why it qualified is a decision nobody can audit after the fact.
  · Error: expect(locator).toBeVisible() failed
  · Error: The lab notes did not persist. This field commits on BLUR, not on change — a technician who types a note and clicks straight to another tab loses it, and the instrument
…(truncated)</t>
  </si>
  <si>
    <t>The result workspace is where a technician spends the day, and most of it has never been clicked: four sub-tabs, Save All, the notes box that commits on blur, the antibiogram grid, the interpretive comment, the cumulative view, and the two delivery buttons. A control that is broken here is broken for every result the laboratory issues.</t>
  </si>
  <si>
    <t>lab_order_items -&gt; values persist from both the numeric and the qualitative input, and from Save All; lab_orders -&gt; notes saved on blur; the antibiogram writes its organism and sensitivities; verification_method is auto for an eligible normal</t>
  </si>
  <si>
    <t>24/28</t>
  </si>
  <si>
    <t>TC-P5E-001</t>
  </si>
  <si>
    <t>5E Validation &amp; Pathology</t>
  </si>
  <si>
    <t>Dual validation and amendment: two people, two signatures, one corrected record</t>
  </si>
  <si>
    <t>1) [setup] Provision the case patient and repair any missing lab masters 2) [verify] Read lab_dual_validation_config: a dual-validation category is configured 3) [lab_technician] Raise an order mixing a dual-validation test with an ordinary one 4) [lab_technician] Take the sample through to the bench 5) [lab_technician] Open the order and enter every result 6) [lab_technician] BOUNDARY: one dual category flips the WHOLE order into two-person mode 7) [lab_technician] NEGATIVE: single-step Validate &amp; Release is not offered 8) [lab_technician] Submit the order for pathologist validation 9) [verify] Read lab_orders: the order moved to pending_validation 10) [verify] NEGATIVE: read lab_orders — nobody is recorded as the submitter 11) [lab_technician] NEGATIVE: the submitting technician is still offered the sign-off 12) [doctor] Log in as the pathologist and open the pending order 13) [doctor] Type pathologist notes alongside the sign-off 14) [doctor] Validate and sign the report 15) [verify] Read lab_orders: validated_by and validated_at are stamped 16) [verify] NEGATIVE: nothing proves the validator differed from the submitter 17) [lab_technician] Re-open the released order in the result workspace 18) [lab_technician] NEGATIVE: no amend or reopen control is offered on a released result 19) [verify] NEGATIVE: read lab_order_items — no amendment or version column exists 20) [lab_technician] NEGATIVE: attempt to overwrite the released value in place 21) [verify] NEGATIVE: Read lab_order_items: whether the signed value can be silently rewritten 22) [verify] Read clinical_alerts: releasing notified the ordering doctor</t>
  </si>
  <si>
    <t>The journey completes all 22 stages. 8 negative condition(s) are refused as described in the steps and 1 boundary value(s) behave exactly as stated. Verify in Supabase: lab_orders -&gt; status pending_validation after submission, with a recorded submitter; validated_by and validated_at set on sign-off and different from the submitter; the amendment retains the original value alongside the correction</t>
  </si>
  <si>
    <t>Phase 5 additions (mock-data.json phase5 block). Own patient PT-QA-5E001-&lt;run&gt; "Ravindra Rao 5E001-&lt;run&gt;" (51M), created by the run and never deleted. Nothing is seeded — every stage goes through the browser.</t>
  </si>
  <si>
    <t>Tier 0 complete; lab_test_master active with fees, reference AND critical ranges; lab_test_groups with members; radiology modalities + studies with requires_form_f; pcpndt_settings; hospital_settings.ipd_ancillary_payment; lab_dual_validation_config carries the Biochemistry category</t>
  </si>
  <si>
    <t xml:space="preserve">Automated: FAILED at S06/22 · lab_technician · BOUNDARY: one dual category flips the WHOLE order into two-person mode. 9 of 14 stages passed.
Error: One Biochemistry test in a mixed order must flip the WHOLE order into two-person mode — the config read uses `.some(...)`, not `.every(...)`. If it does not, a technician can release a dual-validation analyte alone simply by ordering it alongside something ordinary.
expect(received).toBe(expected) // Object.is equality
Expected: true
Received: false
5 soft assertion(s) also failed:
  · Error: One Biochemistry test in a mixed order must flip the WHOLE order into two-person mode — the config read uses `.some(...)`, not `.every(...)`. If it does not, a technician can release a dual-validation analyte alone simply by ordering it alongside something ordinary.
  · Error: Submit for Validation could not be pressed, so the two-person control cannot even be started. This follows from the order not entering dual-validation mode above.
  · Error: Submitting did not move the order to pending_validation, so the pathologist has nothing in their queue.
  · Error: FINDING L5. The submit step records nobody. `handleSubmitForValidation` writes only the 
…(truncated)</t>
  </si>
  <si>
    <t>A two-person control that cannot tell the two people apart is not a control. The submit step must record who submitted, or nothing can compare submitter against validator, and one technician can sign both halves. Amendment is the same argument after the fact: a released result that turns out to be wrong must be correctable with the original retained, because silently overwriting a signed report destroys the record a clinician acted on.</t>
  </si>
  <si>
    <t>lab_orders -&gt; status pending_validation after submission, with a recorded submitter; validated_by and validated_at set on sign-off and different from the submitter; the amendment retains the original value alongside the correction</t>
  </si>
  <si>
    <t>e2e/phase-05-lab-radiology/P5E.validation-and-pathology.spec.ts</t>
  </si>
  <si>
    <t>9/14</t>
  </si>
  <si>
    <t>TC-P5E-002</t>
  </si>
  <si>
    <t>Histopathology: specimen registration to a two-pathologist sign-off</t>
  </si>
  <si>
    <t>1) [setup] Provision the case patient and repair any missing lab masters 2) [lab_technician] Log in and open /lab -&gt; Histopathology 3) [lab_technician] Open Register and search the patient by UHID 4) [lab_technician] NEGATIVE: Register Specimen is disabled with no patient selected 5) [lab_technician] Select the patient and choose the case type 6) [lab_technician] Fill specimen type, site and clinical history 7) [lab_technician] Register the specimen 8) [verify] Read pathology_cases: the case exists with a case number 9) [lab_technician] Open the case in the pathology workspace 10) [lab_technician] Write the gross description 11) [lab_technician] Write the microscopic description 12) [lab_technician] Save the draft 13) [verify] Read pathology_cases: the draft persisted and is not signed 14) [lab_technician] NEGATIVE: a technician is told sign-off requires a pathologist role 15) [doctor] Log in as the first pathologist and open the case 16) [doctor] NEGATIVE: signing is refused with an empty impression 17) [doctor] Write the impression and record the first sign-off 18) [verify] Read pathology_cases: first_signed_at is stamped 19) [doctor] BOUNDARY: the report content is locked pending the second signature 20) [doctor] NEGATIVE: the same pathologist cannot record the final sign-off 21) [doctor] Log in as a second pathologist and record the final sign-off 22) [verify] Read pathology_cases: final_signed_at names a different pathologist</t>
  </si>
  <si>
    <t>The journey completes all 22 stages. 3 negative condition(s) are refused as described in the steps and 1 boundary value(s) behave exactly as stated. Verify in Supabase: pathology_cases -&gt; a registered case with its case number, gross and microscopic text and impression; first_signed_at set by one pathologist and final_signed_at by a different one; the report content is locked between the two</t>
  </si>
  <si>
    <t>Phase 5 additions (mock-data.json phase5 block). Own patient PT-QA-5E002-&lt;run&gt; "Usha Bhat 5E002-&lt;run&gt;" (34F), created by the run and never deleted. Nothing is seeded — every stage goes through the browser.</t>
  </si>
  <si>
    <t>Histopathology is the one place in this product that gets the two-person control right — the first sign-off locks the report content and the second must be a different pathologist. That is the behaviour lab orders are missing, and it has never once been exercised: the Histopathology tab has never been opened by any test.</t>
  </si>
  <si>
    <t>pathology_cases -&gt; a registered case with its case number, gross and microscopic text and impression; first_signed_at set by one pathologist and final_signed_at by a different one; the report content is locked between the two</t>
  </si>
  <si>
    <t>TC-P5F-001</t>
  </si>
  <si>
    <t>5F External Referral</t>
  </si>
  <si>
    <t>Referred out and back: five chips, three advances, and the gaps in the register</t>
  </si>
  <si>
    <t>1) [setup] Provision the case patient and repair any missing lab masters 2) [lab_technician] Raise an in-house order for the test that will be sent out 3) [lab_technician] Open /lab -&gt; External Referrals 4) [lab_technician] Read the five status filter chips 5) [lab_technician] Open the New Referral modal 6) [lab_technician] NEGATIVE: create the referral with no lab name and be refused 7) [lab_technician] Fill the lab name, phone, address and expected date 8) [lab_technician] Fill the comma-separated tests ordered 9) [lab_technician] Create the referral 10) [verify] Read external_lab_referrals: the run-tagged referral exists at pending 11) [verify] NEGATIVE: read external_lab_referrals — patient_id is null 12) [verify] NEGATIVE: no column links the referral to the in-house order it replaces 13) [verify] NEGATIVE: read lab_orders — the in-house order was left open 14) [lab_technician] Advance the referral to Sample Sent 15) [lab_technician] Advance the referral to Report Awaited 16) [lab_technician] Advance the referral to Completed 17) [verify] Read external_lab_referrals: report_received_at was stamped 18) [lab_technician] Filter the register by each of the five chips in turn 19) [lab_technician] BOUNDARY: the run-tagged row appears under the right chip only 20) [lab_technician] NEGATIVE: a completed referral offers nowhere to enter the result 21) [verify] NEGATIVE: the referral carries no cost, so the send-out is unpriced 22) [verify] BOUNDARY: the referral is scoped to the ordering tenant</t>
  </si>
  <si>
    <t>The journey completes all 22 stages. 6 negative condition(s) are refused as described in the steps and 2 boundary value(s) behave exactly as stated. Verify in Supabase: external_lab_referrals -&gt; the run-tagged row exists with its lab name, advances through sample_sent and report_awaited to completed, and stamps report_received_at; whether patient_id, an order link and a cost column are populated at all</t>
  </si>
  <si>
    <t>Phase 5 additions (mock-data.json phase5 block). Own patient PT-QA-5F001-&lt;run&gt; "Usha Bhat 5F001-&lt;run&gt;" (34F), created by the run and never deleted. Nothing is seeded — every stage goes through the browser.</t>
  </si>
  <si>
    <t xml:space="preserve">Automated: FAILED at S11/22 · verify · NEGATIVE: read external_lab_referrals — patient_id is null. 12 of 22 stages passed.
Error: FINDING L8. The referral carries no patient_id. The register knows a test was sent to a reference laboratory and cannot say whose it was — so when the report comes back there is no chart to file it against, and no way to answer "has my test come back yet?".
expect(received).toBeTruthy()
Received: null
11 soft assertion(s) also failed:
  · Error: FINDING L8. The referral carries no patient_id. The register knows a test was sent to a reference laboratory and cannot say whose it was — so when the report comes back there is no chart to file it against, and no way to answer "has my test come back yet?".
  · Error: FINDING L8. Nothing links the referral to the in-house order it replaces. The order and the send-out are two records that never learn about each other, so the laboratory cannot tell which of its open orders are actually elsewhere.
  · Error: FINDING L8. The in-house order was left open after the test was referred out. It sits in the worklist as work the laboratory believes it still has to do, and it will be chased, counted in turnaround, and never c
…(truncated)</t>
  </si>
  <si>
    <t>A send-out is still the hospital's result — the patient was told it would come back here. The register tracks the courier but not the patient: there is no link to the order it replaces, nowhere to record the result when it returns, and no cost, so a referred-out test is a dead end that looks like a workflow.</t>
  </si>
  <si>
    <t>external_lab_referrals -&gt; the run-tagged row exists with its lab name, advances through sample_sent and report_awaited to completed, and stamps report_received_at; whether patient_id, an order link and a cost column are populated at all</t>
  </si>
  <si>
    <t>e2e/phase-05-lab-radiology/P5F.external-referral.spec.ts</t>
  </si>
  <si>
    <t>12/22</t>
  </si>
  <si>
    <t>TC-P5G-001</t>
  </si>
  <si>
    <t>5G Instrument Governance</t>
  </si>
  <si>
    <t>QC: a Westgard violation stops a release, and only a supervisor restarts it</t>
  </si>
  <si>
    <t>1) [setup] Provision the case patient and repair any missing lab masters 2) [setup] Seed nine in-control prior runs into lab_qc_entries for the analyte 3) [lab_technician] Log in and open /lab -&gt; QC Dashboard 4) [lab_technician] Read the Levey-Jennings chart and the pass badge 5) [lab_technician] Filter the dashboard by test and by analyzer 6) [lab_technician] Open Record QC 7) [lab_technician] NEGATIVE: save an empty QC run and be told to fill all fields 8) [lab_technician] Fill test, analyzer, level, value, mean and SD for an out-of-control run 9) [lab_technician] Save the QC entry 10) [verify] Read lab_qc_entries: the tenth run was recorded 11) [lab_technician] BOUNDARY: the dashboard now shows a reject badge for that analyte 12) [lab_technician] Raise an order for the same analyte and take it to the bench 13) [lab_technician] Enter a result and read the QC release-gate banner 14) [lab_technician] NEGATIVE: release is blocked while QC is in a reject state 15) [verify] NEGATIVE: Read lab_orders: the order was not released 16) [lab_technician] NEGATIVE: a bench technician is not offered the supervisor override 17) [doctor] Log in as the supervising pathologist and open the order 18) [doctor] Open the Supervisor QC Override dialog 19) [doctor] NEGATIVE: the override is refused with no reason typed 20) [doctor] Record the override reason and permit release 21) [verify] Read the order: the override is recorded with its reason 22) [doctor] Release the report under the override 23) [verify] Read lab_orders: the order released only after the override 24) [verify] Read nabh_evidence_log: the QC override was logged as quality evidence</t>
  </si>
  <si>
    <t>The journey completes all 24 stages. 4 negative condition(s) are refused as described in the steps and 1 boundary value(s) behave exactly as stated. Verify in Supabase: lab_qc_entries -&gt; the tenth run is recorded and evaluates to a reject; the release control is blocked on an order for that analyte; the override writes its reason and author and is logged as NABH evidence under QPS.2</t>
  </si>
  <si>
    <t>Phase 5 additions (mock-data.json phase5 block). Own patient PT-QA-5G001-&lt;run&gt; "Priya Deshmukh 5G001-&lt;run&gt;" (27F), created by the run and never deleted. Seeded via the service role (see p5-seed-of-last-resort.ts): nine prior lab_qc_entries — a Westgard multi-rule needs a run history; the violating tenth run is typed through the UI.</t>
  </si>
  <si>
    <t xml:space="preserve">Automated: FAILED at S11/24 · lab_technician · BOUNDARY: the dashboard now shows a reject badge for that analyte. 17 of 20 stages passed.
Error: A value four standard deviations from the mean did not raise a REJECT. Westgard 1-3s is the least ambiguous rule there is — if this does not trip, no rule does, and the QC dashboard is decoration.
expect(locator).toBeVisible() failed
Locator: getByText(/^REJECT$/).first()
Expected: visible
Timeout: 12000ms
Error: element(s) not found
Call log:
  - A value four standard deviations from the mean did not raise a REJECT. Westgard 1-3s is the least ambiguous rule there is — if this does not trip, no rule does, and the QC dashboard is decoration. with timeout 12000ms
  - waiting for getByText(/^REJECT$/).first()
3 soft assertion(s) also failed:
  · Error: A value four standard deviations from the mean did not raise a REJECT. Westgard 1-3s is the least ambiguous rule there is — if this does not trip, no rule does, and the QC dashboard is decoration.
  · Error: The order was released despite the QC reject.
  · TimeoutError: locator.click: Timeout 15000ms exceeded.</t>
  </si>
  <si>
    <t>Quality control is the difference between a number and a result. If the analyser is out of control the value is not trustworthy no matter how normal it looks, and releasing it anyway is how a laboratory issues confidently wrong reports for a whole shift. The override exists because a supervisor sometimes must release anyway — which is precisely why it has to be recorded, attributable and impossible for the bench technician alone.</t>
  </si>
  <si>
    <t>lab_qc_entries -&gt; the tenth run is recorded and evaluates to a reject; the release control is blocked on an order for that analyte; the override writes its reason and author and is logged as NABH evidence under QPS.2</t>
  </si>
  <si>
    <t>e2e/phase-05-lab-radiology/P5G.instrument-governance.spec.ts</t>
  </si>
  <si>
    <t>17/20</t>
  </si>
  <si>
    <t>TC-P5G-002</t>
  </si>
  <si>
    <t>Calibration and the analyzer wire: NABL record, connector, mapping and an inbound message</t>
  </si>
  <si>
    <t>1) [setup] Provision the case patient and repair any missing lab masters 2) [lab_technician] Log in and open /lab -&gt; Calibration (NABL) 3) [lab_technician] Open Add Calibration 4) [lab_technician] NEGATIVE: save with no analyzer name and be refused 5) [lab_technician] Fill analyzer, calibration date, next due date and type 6) [lab_technician] Fill result, deviation, certificate number and calibrated-by 7) [lab_technician] Save the calibration record 8) [verify] Read lab_calibration_records: the NABL record persisted 9) [lab_technician] Read the calibration table columns and the due badges 10) [lab_technician] BOUNDARY: a past next-due date is counted as overdue 11) [lab_technician] Open /lab -&gt; Analyzer Interface 12) [lab_technician] Open Add Analyzer 13) [lab_technician] NEGATIVE: save with no device name and be refused 14) [lab_technician] Fill device name, manufacturer, model and protocol 15) [lab_technician] Fill host, port and the device secret 16) [lab_technician] Save the analyzer connector 17) [verify] Read lab_analyzer_devices: the connector persisted with its protocol 18) [lab_technician] Open the test-code mappings for the device 19) [lab_technician] NEGATIVE: add a mapping with no code and be refused 20) [lab_technician] Map an analyzer code to a catalogue test 21) [verify] Read the mapping table: the code resolves to the right test 22) [lab_technician] Raise an order for the mapped test and take it to the bench 23) [setup] Deliver an inbound analyzer message carrying that accession 24) [lab_technician] Open the result inbox and select the message 25) [lab_technician] Read the parsed results table and the match status 26) [lab_technician] Post the parsed result onto the order 27) [verify] Read lab_order_items: the analyzer value reached the result 28) [lab_technician] BOUNDARY: an unmatched message cannot be posted</t>
  </si>
  <si>
    <t>The journey completes all 28 stages. 3 negative condition(s) are refused as described in the steps and 2 boundary value(s) behave exactly as stated. Verify in Supabase: lab_calibration_records -&gt; the record exists with its dates, type, result and next-due; lab_analyzer_devices -&gt; the connector was saved with its protocol; the test-code mapping exists; posting the inbound message writes the value onto the linked lab_order_items row</t>
  </si>
  <si>
    <t>Phase 5 additions (mock-data.json phase5 block). Own patient PT-QA-5G002-&lt;run&gt; "Anita Rane 5G002-&lt;run&gt;" (29F), created by the run and never deleted. Seeded via the service role (see p5-seed-of-last-resort.ts): one inbound lab_analyzer_messages row — there is no HL7/ASTM device on the wire in CI; acceptance of it goes through the UI.</t>
  </si>
  <si>
    <t xml:space="preserve">Automated: FAILED at S17/28 · verify · Read lab_analyzer_devices: the connector persisted with its protocol. 22 of 26 stages passed.
Error: The analyser connector did not persist, so nothing can be configured to receive results from the instrument at all.
FAILED API CALLS DURING THIS JOURNEY (this is almost always the real cause):
  400 POST lab_device_connectors
    {"code":"23502","details":null,"hint":null,"message":"null value in column \"name\" of relation \"lab_device_connectors\" violates not-null constraint"}
expect(received).toBeGreaterThan(expected)
Expected: &gt; 0
Received:   0
4 soft assertion(s) also failed:
  · Error: The analyser connector did not persist, so nothing can be configured to receive results from the instrument at all.
  · Error: A test-code mapping was added with no code and no target test. An unmapped or mis-mapped code files an analyser result against the wrong analyte, which is a wrong result with a plausible number on it.
  · Error: The mapping does not appear in the table, so the operator cannot confirm which analyser code now resolves to which test.
  · TimeoutError: locator.click: Timeout 15000ms exceeded.</t>
  </si>
  <si>
    <t>NABL wants to see that the analyser was calibrated and that the number on the report came from it. Both screens exist and neither has ever been opened by a test. The mapping is the sharp end: an analyser code that maps to the wrong test files a result against the wrong analyte, and an unmapped code strands the result in an inbox nobody watches.</t>
  </si>
  <si>
    <t>lab_calibration_records -&gt; the record exists with its dates, type, result and next-due; lab_analyzer_devices -&gt; the connector was saved with its protocol; the test-code mapping exists; posting the inbound message writes the value onto the linked lab_order_items row</t>
  </si>
  <si>
    <t>22/26</t>
  </si>
  <si>
    <t>TC-P5H-001</t>
  </si>
  <si>
    <t>5H Turnaround</t>
  </si>
  <si>
    <t>The TAT clock: when it starts, when it breaches, and what the dashboard shows</t>
  </si>
  <si>
    <t>1) [setup] Provision the case patient and repair any missing lab masters 2) [verify] Read lab_test_master: every test carries a tat_minutes target 3) [lab_technician] Log in and open /lab -&gt; TAT 4) [lab_technician] Load the dashboard and read the four KPI cards 5) [lab_technician] Record the pending count before the journey adds to it 6) [lab_technician] Raise a routine order through the New Lab Order modal 7) [lab_technician] Return to the TAT tab and refresh 8) [lab_technician] BOUNDARY: the new order appears in the pending list 9) [lab_technician] Read the order target against the catalogue TAT 10) [lab_technician] Collect the sample and stamp the collection time 11) [verify] BOUNDARY: Read lab_samples: collected_at is what starts the clock 12) [lab_technician] Open the order and read the TAT chip in the workspace header 13) [lab_technician] Raise a STAT order and confirm its shorter target 14) [lab_technician] BOUNDARY: the STAT order is flagged in the pending list 15) [lab_technician] Take the routine order through to release 16) [lab_technician] BOUNDARY: a released order leaves the pending TAT list 17) [lab_technician] Read the released TAT figure in the workspace header 18) [lab_technician] NEGATIVE: an order with no collection stamp has no started clock 19) [lab_technician] Open /radiology -&gt; TAT Dashboard 20) [lab_technician] Read the radiology turnaround panel or record that it is gated 21) [verify] Read lab_orders: the completed order carries both ends of its clock</t>
  </si>
  <si>
    <t>The journey completes all 21 stages. 1 negative condition(s) are refused as described in the steps and 4 boundary value(s) behave exactly as stated. Verify in Supabase: lab_orders -&gt; tat target read from lab_test_master.tat_minutes; lab_samples.collected_at is what starts the clock; the TAT panel counts the pending order and classes it correctly</t>
  </si>
  <si>
    <t>Phase 5 additions (mock-data.json phase5 block). Own patient PT-QA-5H001-&lt;run&gt; "Sunita Mishra 5H001-&lt;run&gt;" (48F), created by the run and never deleted. Nothing is seeded — every stage goes through the browser.</t>
  </si>
  <si>
    <t xml:space="preserve">Automated: FAILED at S20/21 · lab_technician · Read the radiology turnaround panel or record that it is gated. 20 of 21 stages passed.
Error: The radiology TAT tab is offered on a tenant that is NOT entitled to the predictor, and clicking it gives neither a dashboard nor an explanation. Either hide the tab or say why it is empty — a silently blank tab reads as a broken screen.
expect(received).toBe(expected) // Object.is equality
Expected: true
Received: false
1 soft assertion(s) also failed:
  · Error: The radiology TAT tab is offered on a tenant that is NOT entitled to the predictor, and clicking it gives neither a dashboard nor an explanation. Either hide the tab or say why it is empty — a silently blank tab reads as a broken screen.</t>
  </si>
  <si>
    <t xml:space="preserve">Failed to load resource: the server responded with a status of 400 ()
Failed to load resource: the server responded with a status of 400 ()
Warning: Encountered two children with the same key, `%s`. Keys should be unique so that components maintain their identity across updates. Non-unique keys may cause children to be duplicated and/or omitted — the behavior is unsupported and could change in a future version.%s Nephrology Ward
    at div
    at div
    at BedOccupancy (http://localhost:8080/src/components/dashboard/BedOccupancy.tsx:21:28)
    at div
    at div
    at Dashboard (http://localh
…(truncated)</t>
  </si>
  <si>
    <t>Turnaround time is the number a hospital advertises to its clinicians and the one an NABH assessor asks to see. It is derived from the collection stamp, so a draw that does not stamp its time makes every TAT figure fiction — and the dashboard that would reveal that has never been opened.</t>
  </si>
  <si>
    <t>lab_orders -&gt; tat target read from lab_test_master.tat_minutes; lab_samples.collected_at is what starts the clock; the TAT panel counts the pending order and classes it correctly</t>
  </si>
  <si>
    <t>e2e/phase-05-lab-radiology/P5H.turnaround.spec.ts</t>
  </si>
  <si>
    <t>20/21</t>
  </si>
  <si>
    <t>TC-P5I-001</t>
  </si>
  <si>
    <t>5I Radiology Reporting</t>
  </si>
  <si>
    <t>OPD radiology: the order modal, the viewer, the report and the chart</t>
  </si>
  <si>
    <t>1) [doctor] Consult on /opd and prescribe a chest X-ray 2) [radiologist] Open /radiology -&gt; Pending from OPD and raise the order 3) [radiologist] Take payment through the radiology order modal 4) [verify] Read radiology_orders: a billed order with a report shell 5) [radiologist] Start the study and mark images acquired 6) [radiologist] Open the DICOM viewer and exercise the toolbar 7) [radiologist] NEGATIVE: sign the report with an empty impression 8) [radiologist] Write findings and impression, then save a draft 9) [radiologist] Validate and sign the report 10) [verify] Read radiology_reports: signed, with validator and timestamp 11) [verify] BOUNDARY: exactly one radiology charge line, not a second at signing 12) [doctor] Read the signed report on the patient chart</t>
  </si>
  <si>
    <t>The journey completes all 12 stages. 1 negative condition(s) are refused as described in the steps and 1 boundary value(s) behave exactly as stated. Verify in Supabase: See the stage list — written with the journey in Batch 2.</t>
  </si>
  <si>
    <t>Phase 5 additions (mock-data.json phase5 block). Own patient PT-QA-5I001-&lt;run&gt; "Arjun Joshi 5I001-&lt;run&gt;" (31M), created by the run and never deleted. Nothing is seeded — every stage goes through the browser.</t>
  </si>
  <si>
    <t>DECLARED, NOT YET AUTOMATED (Batch 2). The steps are followable by hand today; the spec is a test.fixme placeholder and reports N/A.</t>
  </si>
  <si>
    <t>Every radiology order in the previous suite was a database insert — NewRadiologyOrderModal has never once been completed by a test, so the path a hospital actually uses to raise a scan is entirely unproven.</t>
  </si>
  <si>
    <t>doctor (Hospital A) then radiologist (Hospital A) then doctor (Hospital A)</t>
  </si>
  <si>
    <t>See the stage list — written with the journey in Batch 2.</t>
  </si>
  <si>
    <t>e2e/phase-05-lab-radiology/P5I.radiology-reporting.spec.ts</t>
  </si>
  <si>
    <t>TC-P5I-002</t>
  </si>
  <si>
    <t>Critical imaging finding: the radiologist picks up the phone</t>
  </si>
  <si>
    <t>1) [radiologist] Raise and perform a chest study on /radiology 2) [radiologist] Write an impression describing a tension pneumothorax 3) [radiologist] Mark the finding critical and sign 4) [verify] Read radiology_reports: the report is flagged critical 5) [verify] Read clinical_alerts: a critical_radiology alert reached the team 6) [doctor] Read the critical finding on the patient chart 7) [verify] NEGATIVE: an ordinary report raises no critical alert 8) [verify] BOUNDARY: the alert names the referring doctor 9) [verify] Read radiology_orders: the study completed after signing 10) [verify] Read nabh_evidence_log: the critical notification is evidenced</t>
  </si>
  <si>
    <t>The journey completes all 10 stages. 1 negative condition(s) are refused as described in the steps and 1 boundary value(s) behave exactly as stated. Verify in Supabase: See the stage list — written with the journey in Batch 2.</t>
  </si>
  <si>
    <t>Phase 5 additions (mock-data.json phase5 block). Own patient PT-QA-5I002-&lt;run&gt; "Kavya Kumar 5I002-&lt;run&gt;" (62F), created by the run and never deleted. Nothing is seeded — every stage goes through the browser.</t>
  </si>
  <si>
    <t>A tension pneumothorax read at 2am reaches the ward only if signing it raises something. A critical imaging finding delivered like a routine chest film is a delay measured in lives.</t>
  </si>
  <si>
    <t>radiologist (Hospital A) then doctor (Hospital A)</t>
  </si>
  <si>
    <t>TC-P5I-003</t>
  </si>
  <si>
    <t>AI impression: the draft is a draft, and the radiologist owns the words</t>
  </si>
  <si>
    <t>1) [radiologist] Open /radiology, raise and perform a study, then open the report 2) [radiologist] NEGATIVE: AI Suggest is refused with the findings box empty 3) [radiologist] Write findings and request the AI impression 4) [radiologist] NEGATIVE: Accept is disabled while the attestation is unticked 5) [radiologist] Edit the drafted impression before accepting it 6) [radiologist] Tick the attestation and accept 7) [verify] Read radiology_reports: the saved text is the edited text 8) [verify] Read ai_attestations: edited_before_save and the attester recorded 9) [radiologist] NEGATIVE: dismissing a suggestion leaves the radiologist text intact 10) [verify] NEGATIVE: no raw AI draft is persisted before human review 11) [radiologist] BOUNDARY: with the AI flag off the report still signs</t>
  </si>
  <si>
    <t>The journey completes all 11 stages. 4 negative condition(s) are refused as described in the steps and 1 boundary value(s) behave exactly as stated. Verify in Supabase: See the stage list — written with the journey in Batch 2.</t>
  </si>
  <si>
    <t>Phase 5 additions (mock-data.json phase5 block). Own patient PT-QA-5I003-&lt;run&gt; "Vijay Pillai 5I003-&lt;run&gt;" (45M), created by the run and never deleted. Nothing is seeded — every stage goes through the browser.</t>
  </si>
  <si>
    <t>An AI impression a radiologist did not write, attest and edit is an unsigned opinion on a signed report. What is saved must be the radiologist's words, and the attestation must exist.</t>
  </si>
  <si>
    <t>TC-P5J-001</t>
  </si>
  <si>
    <t>5J PCPNDT</t>
  </si>
  <si>
    <t>Obstetric USG: Form F, the gate, and the statutory register</t>
  </si>
  <si>
    <t>1) [doctor] Consult on /opd and order an obstetric ultrasound 2) [radiologist] Raise the order and read the PCPNDT warning banner 3) [verify] Read radiology_orders: the study is flagged is_pcpndt 4) [radiologist] NEGATIVE: the study cannot be started before Form F is complete 5) [radiologist] Open the Form F modal and fill every statutory field 6) [radiologist] NEGATIVE: saving is refused without the declaration and consent 7) [radiologist] Tick the no-sex-determination declaration and patient consent 8) [radiologist] Save Form F 9) [verify] BOUNDARY: Read pcpndt_records: the form number matches PCPNDT-YYYY-NNNN 10) [radiologist] The gate releases and the study can be started 11) [radiologist] Report and sign the study 12) [radiologist] Open /radiology/pcpndt-register and find the run-tagged entry</t>
  </si>
  <si>
    <t>The journey completes all 12 stages. 2 negative condition(s) are refused as described in the steps and 1 boundary value(s) behave exactly as stated. Verify in Supabase: See the stage list — written with the journey in Batch 2.</t>
  </si>
  <si>
    <t>Phase 5 additions (mock-data.json phase5 block). Own patient PT-QA-5J001-&lt;run&gt; "Kavya Kumar 5J001-&lt;run&gt;" (62F), created by the run and never deleted. Nothing is seeded — every stage goes through the browser.</t>
  </si>
  <si>
    <t>Form F is statutory. A scan performed without it is an offence under the PCPNDT Act, and the register is what an inspector reads — not the order table.</t>
  </si>
  <si>
    <t>doctor (Hospital A) then radiologist (Hospital A)</t>
  </si>
  <si>
    <t>e2e/phase-05-lab-radiology/P5J.pcpndt.spec.ts</t>
  </si>
  <si>
    <t>TC-P5J-002</t>
  </si>
  <si>
    <t>Non-obstetric USG: the false positive that must not happen</t>
  </si>
  <si>
    <t>1) [radiologist] Raise a non-obstetric abdominal ultrasound 2) [verify] NEGATIVE: read radiology_orders — is_pcpndt is not set 3) [verify] NEGATIVE: read pcpndt_records — no statutory record was created 4) [radiologist] NEGATIVE: no Form F gate blocks the study from starting 5) [radiologist] Start, report and sign the study unimpeded 6) [verify] Read radiology_reports: the study signed without a Form F 7) [radiologist] BOUNDARY: an obstetric study whose name omits "obstetric" IS caught 8) [verify] BOUNDARY: Read radiology_study_master: requires_form_f is authoritative 9) [radiologist] NEGATIVE: Open /radiology/pcpndt-register and confirm the scan is absent 10) [verify] Read pcpndt_records: the register holds only obstetric studies</t>
  </si>
  <si>
    <t>The journey completes all 10 stages. 4 negative condition(s) are refused as described in the steps and 2 boundary value(s) behave exactly as stated. Verify in Supabase: See the stage list — written with the journey in Batch 2.</t>
  </si>
  <si>
    <t>Phase 5 additions (mock-data.json phase5 block). Own patient PT-QA-5J002-&lt;run&gt; "Vijay Pillai 5J002-&lt;run&gt;" (45M), created by the run and never deleted. Nothing is seeded — every stage goes through the browser.</t>
  </si>
  <si>
    <t>A Form F raised on an abdominal scan is a false positive that teaches a centre to click through the statutory form without reading it — which is worse than not having the gate.</t>
  </si>
  <si>
    <t>TC-P5K-001</t>
  </si>
  <si>
    <t>5K RBAC &amp; Isolation</t>
  </si>
  <si>
    <t>The role matrix walked as a journey: who gets through which door</t>
  </si>
  <si>
    <t>1) [lab_technician] Reach /lab and work the collection tab 2) [radiologist] Reach /radiology and the PCPNDT register 3) [receptionist] NEGATIVE: be blocked from /lab 4) [receptionist] NEGATIVE: be blocked from /radiology 5) [nurse] NEGATIVE: not be offered the pathologist sign-off 6) [doctor] Reach the result workspace and sign off 7) [verify] NEGATIVE: Read the lab tab permission map for an ungovernable tab 8) [lab_technician] BOUNDARY: a tab withheld by plan entitlement is not rendered 9) [verify] Read users: every role under test belongs to Hospital A 10) [verify] Confirm no role reached a route its permission map denies</t>
  </si>
  <si>
    <t>Phase 5 additions (mock-data.json phase5 block). Own patient PT-QA-5K001-&lt;run&gt; "Vijay Pillai 5K001-&lt;run&gt;" (45M), created by the run and never deleted. Nothing is seeded — every stage goes through the browser.</t>
  </si>
  <si>
    <t>A permission gate that fails open is not noticed until somebody sees a chart they should not have. Every role that can reach the module must be able to do its job, and every role that cannot must be stopped at the door rather than at the button.</t>
  </si>
  <si>
    <t>lab_technician (Hospital A) then radiologist (Hospital A) then nurse (Hospital A) then receptionist (Hospital A) then doctor (Hospital A)</t>
  </si>
  <si>
    <t>e2e/phase-05-lab-radiology/P5K.rbac-and-tenant-isolation.spec.ts</t>
  </si>
  <si>
    <t>TC-P5K-002</t>
  </si>
  <si>
    <t>Tenant isolation: nine tables, one write attempt, one tenant</t>
  </si>
  <si>
    <t>1) [setup] Resolve the Hospital B control patient without creating anything 2) [lab_technician] Sign in as a Hospital A technician and select from lab_orders through the anon client 3) [verify] NEGATIVE: read lab_orders — no Hospital B rows are visible 4) [verify] NEGATIVE: read lab_order_items and lab_samples across tenants 5) [verify] NEGATIVE: read radiology_orders and radiology_reports across tenants 6) [verify] NEGATIVE: read pcpndt_form_f and pcpndt_records across tenants 7) [verify] NEGATIVE: read dicom_files and hospital_pacs_config across tenants 8) [lab_technician] NEGATIVE: attempt to write a lab order into Hospital B 9) [verify] BOUNDARY: every row this run created carries Hospital A hospital_id 10) [verify] Read lab_orders: the tenant scoping held for the whole journey</t>
  </si>
  <si>
    <t>The journey completes all 10 stages. 6 negative condition(s) are refused as described in the steps and 1 boundary value(s) behave exactly as stated. Verify in Supabase: See the stage list — written with the journey in Batch 2.</t>
  </si>
  <si>
    <t>Phase 5 additions (mock-data.json phase5 block). Own patient PT-QA-5K002-&lt;run&gt; "Meera Sharma 5K002-&lt;run&gt;" (28F), created by the run and never deleted. Nothing is seeded — every stage goes through the browser.</t>
  </si>
  <si>
    <t>One leaked row across tenants is a reportable breach under the DPDP Act. RLS is the only thing standing between two hospitals sharing a database, and it has to be proven through a real authenticated session, not a service-role read that bypasses it.</t>
  </si>
  <si>
    <t>TC-P5L-001</t>
  </si>
  <si>
    <t>5L Prerequisites</t>
  </si>
  <si>
    <t>The gate: the phase cannot be run against a hospital that is not configured for it</t>
  </si>
  <si>
    <t>1) [setup] Run the prerequisite provisioner and capture what it had to repair 2) [verify] BOUNDARY: on a seeded tenant the provisioner repairs nothing 3) [verify] Read lab_test_master: every test has a fee, sample type and TAT 4) [verify] NEGATIVE: no lab test is left inactive and therefore unorderable 5) [verify] Read lab_test_master: critical ranges exist where they are needed 6) [verify] Read lab_test_group_items: the panel has its members linked 7) [verify] Read radiology_study_master: every study has a fee and a modality 8) [verify] Read pcpndt_settings: the machine and doctor registrations are on file 9) [verify] Read hospital_settings: the ancillary policy is set explicitly 10) [hospital_admin] Open /settings/lab and confirm the catalogue is reachable 11) [verify] Read drug_master: Phase 6 has the catalogue its scenarios need</t>
  </si>
  <si>
    <t>The journey completes all 11 stages. 1 negative condition(s) are refused as described in the steps and 1 boundary value(s) behave exactly as stated. Verify in Supabase: See the stage list — written with the journey in Batch 2.</t>
  </si>
  <si>
    <t>Phase 5 additions (mock-data.json phase5 block). Own patient PT-QA-5L001-&lt;run&gt; "Meera Sharma 5L001-&lt;run&gt;" (28F), created by the run and never deleted. Nothing is seeded — every stage goes through the browser.</t>
  </si>
  <si>
    <t>Migration 20261009000171 deactivates every lab test, and every lookup in the app filters on is_active. On a tenant migrated after seeding, that one state turns into forty red cases across the phase with no common cause visible from any of them. This case is the common cause.</t>
  </si>
  <si>
    <t>e2e/phase-05-lab-radiology/P5L.prerequisites.spec.ts</t>
  </si>
  <si>
    <t>Date</t>
  </si>
  <si>
    <t>Module</t>
  </si>
  <si>
    <t>Severity</t>
  </si>
  <si>
    <t>Summary</t>
  </si>
  <si>
    <t>Steps to Reproduce</t>
  </si>
  <si>
    <t>Console Error</t>
  </si>
  <si>
    <t>Related TC#</t>
  </si>
  <si>
    <t>Owner</t>
  </si>
  <si>
    <t>Fixed in /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</si>
</sst>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0"/>
    </font>
    <font>
      <b/>
    </font>
    <font>
      <i/>
      <color rgb="FF666666"/>
      <sz val="9"/>
    </font>
    <font>
      <b/>
      <sz val="12"/>
    </font>
    <font>
      <b/>
      <color rgb="FF9C0006"/>
    </font>
  </fonts>
  <fills count="6">
    <fill>
      <patternFill patternType="none"/>
    </fill>
    <fill>
      <patternFill patternType="gray125"/>
    </fill>
    <fill>
      <patternFill patternType="solid">
        <fgColor rgb="FF1A2F5A"/>
      </patternFill>
    </fill>
    <fill>
      <patternFill patternType="solid">
        <fgColor rgb="FFF2F4F7"/>
      </patternFill>
    </fill>
    <fill>
      <patternFill patternType="solid">
        <fgColor rgb="FF0E7B7B"/>
      </patternFill>
    </fill>
    <fill>
      <patternFill patternType="solid">
        <fgColor rgb="FFB91C1C"/>
      </patternFill>
    </fill>
  </fills>
  <borders count="2">
    <border>
      <left/>
      <right/>
      <top/>
      <bottom/>
      <diagonal/>
    </border>
    <border>
      <left/>
      <right/>
      <top/>
      <bottom style="thin">
        <color rgb="FFFFFFF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9" fontId="0" fillId="0" borderId="0" xfId="0" applyNumberFormat="1"/>
    <xf numFmtId="0" fontId="2" fillId="0" borderId="0" xfId="0" applyFont="1"/>
    <xf numFmtId="0" fontId="2" fillId="3" borderId="0" xfId="0" applyFont="1" applyFill="1"/>
    <xf numFmtId="9" fontId="2" fillId="3" borderId="0" xfId="0" applyNumberFormat="1" applyFont="1" applyFill="1"/>
    <xf numFmtId="0" fontId="3" fillId="0" borderId="0" xfId="0" applyFont="1"/>
    <xf numFmtId="0" fontId="1" fillId="4" borderId="1" xfId="0" applyFont="1" applyFill="1" applyBorder="1" applyAlignment="1">
      <alignment horizontal="center" vertical="center" wrapText="1"/>
    </xf>
    <xf numFmtId="0" fontId="0" fillId="0" borderId="0" xfId="0" applyAlignment="1">
      <alignment vertical="top" wrapText="1"/>
    </xf>
    <xf numFmtId="0" fontId="4" fillId="0" borderId="0" xfId="0" applyFont="1"/>
    <xf numFmtId="0" fontId="0" fillId="0" borderId="0" xfId="0" applyAlignment="1">
      <alignment vertical="top"/>
    </xf>
    <xf numFmtId="0" fontId="5" fillId="0" borderId="0" xfId="0" applyFont="1" applyAlignment="1">
      <alignment vertical="top"/>
    </xf>
    <xf numFmtId="0" fontId="1" fillId="5" borderId="1" xfId="0" applyFont="1" applyFill="1" applyBorder="1" applyAlignment="1">
      <alignment horizontal="center" vertical="center" wrapText="1"/>
    </xf>
  </cellXfs>
  <cellStyles count="1">
    <cellStyle name="Normal" xfId="0" builtinId="0"/>
  </cellStyles>
  <dxfs count="33">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C0006"/>
      </font>
      <fill>
        <patternFill patternType="solid">
          <bgColor rgb="FFFFC7CE"/>
        </patternFill>
      </fill>
    </dxf>
    <dxf>
      <font>
        <b/>
        <color rgb="FF006100"/>
      </font>
      <fill>
        <patternFill patternType="solid">
          <bgColor rgb="FFC6EFCE"/>
        </patternFill>
      </fill>
    </dxf>
    <dxf>
      <font>
        <b/>
        <color rgb="FF9C0006"/>
      </font>
      <fill>
        <patternFill patternType="solid">
          <bgColor rgb="FFFFC7CE"/>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color rgb="FF9C0006"/>
      </font>
      <fill>
        <patternFill patternType="solid">
          <bgColor rgb="FFFFF0F0"/>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color rgb="FF9C0006"/>
      </font>
      <fill>
        <patternFill patternType="solid">
          <bgColor rgb="FFFFF0F0"/>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color rgb="FF9C0006"/>
      </font>
      <fill>
        <patternFill patternType="solid">
          <bgColor rgb="FFFFF0F0"/>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color rgb="FF9C0006"/>
      </font>
      <fill>
        <patternFill patternType="solid">
          <bgColor rgb="FFFFF0F0"/>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color rgb="FF9C0006"/>
      </font>
      <fill>
        <patternFill patternType="solid">
          <bgColor rgb="FFFFF0F0"/>
        </patternFill>
      </fill>
    </dxf>
    <dxf>
      <font>
        <color rgb="FF006100"/>
      </font>
      <fill>
        <patternFill patternType="solid">
          <bgColor rgb="FFC6EFCE"/>
        </patternFill>
      </fill>
    </dxf>
    <dxf>
      <font>
        <color rgb="FF9C0006"/>
      </font>
      <fill>
        <patternFill patternType="solid">
          <bgColor rgb="FFFFC7CE"/>
        </patternFill>
      </fill>
    </dxf>
    <dxf>
      <font>
        <b/>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34" customWidth="1"/>
    <col min="2" max="5" width="10" customWidth="1"/>
    <col min="6" max="6" width="11" customWidth="1"/>
    <col min="7" max="11" width="10" customWidth="1"/>
    <col min="12" max="12" width="28" customWidth="1"/>
  </cols>
  <sheetData>
    <row r="1" ht="34"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v>177</v>
      </c>
      <c r="C2">
        <f>COUNTIF('Phase 01 Foundation &amp; Access'!$G$2:$G$178,"PASS")+COUNTIF('Phase 01 Foundation &amp; Access'!$G$2:$G$178,"FAIL")+COUNTIF('Phase 01 Foundation &amp; Access'!$G$2:$G$178,"BLOCKED")</f>
      </c>
      <c r="D2">
        <f>COUNTIF('Phase 01 Foundation &amp; Access'!$G$2:$G$178,"PASS")</f>
      </c>
      <c r="E2">
        <f>COUNTIF('Phase 01 Foundation &amp; Access'!$G$2:$G$178,"FAIL")</f>
      </c>
      <c r="F2">
        <f>COUNTIF('Phase 01 Foundation &amp; Access'!$G$2:$G$178,"BLOCKED")</f>
      </c>
      <c r="G2">
        <f>177-(COUNTIF('Phase 01 Foundation &amp; Access'!$G$2:$G$178,"PASS")+COUNTIF('Phase 01 Foundation &amp; Access'!$G$2:$G$178,"FAIL")+COUNTIF('Phase 01 Foundation &amp; Access'!$G$2:$G$178,"BLOCKED"))</f>
      </c>
      <c r="H2" s="2">
        <f>IF(177=0,0,(COUNTIF('Phase 01 Foundation &amp; Access'!$G$2:$G$178,"PASS")+COUNTIF('Phase 01 Foundation &amp; Access'!$G$2:$G$178,"FAIL")+COUNTIF('Phase 01 Foundation &amp; Access'!$G$2:$G$178,"BLOCKED"))/177)</f>
      </c>
      <c r="I2" s="2">
        <f>IF((COUNTIF('Phase 01 Foundation &amp; Access'!$G$2:$G$178,"PASS")+COUNTIF('Phase 01 Foundation &amp; Access'!$G$2:$G$178,"FAIL")+COUNTIF('Phase 01 Foundation &amp; Access'!$G$2:$G$178,"BLOCKED"))=0,0,COUNTIF('Phase 01 Foundation &amp; Access'!$G$2:$G$178,"PASS")/(COUNTIF('Phase 01 Foundation &amp; Access'!$G$2:$G$178,"PASS")+COUNTIF('Phase 01 Foundation &amp; Access'!$G$2:$G$178,"FAIL")+COUNTIF('Phase 01 Foundation &amp; Access'!$G$2:$G$178,"BLOCKED")))</f>
      </c>
      <c r="J2">
        <f>COUNTIF('Phase 01 Foundation &amp; Access'!$C$2:$C$178,"P1")</f>
      </c>
      <c r="K2">
        <f>COUNTIFS('Phase 01 Foundation &amp; Access'!$C$2:$C$178,"P1",'Phase 01 Foundation &amp; Access'!$G$2:$G$178,"FAIL")</f>
      </c>
      <c r="L2" s="3">
        <f>IF(COUNTIFS('Phase 01 Foundation &amp; Access'!$C$2:$C$178,"P1",'Phase 01 Foundation &amp; Access'!$G$2:$G$178,"FAIL")&gt;0,"BLOCKED - open P1",IF((COUNTIF('Phase 01 Foundation &amp; Access'!$G$2:$G$178,"PASS")+COUNTIF('Phase 01 Foundation &amp; Access'!$G$2:$G$178,"FAIL")+COUNTIF('Phase 01 Foundation &amp; Access'!$G$2:$G$178,"BLOCKED"))&lt;177,"IN PROGRESS",IF(COUNTIF('Phase 01 Foundation &amp; Access'!$G$2:$G$178,"FAIL")&gt;0,"BLOCKED - open defects","PASSED")))</f>
      </c>
    </row>
    <row r="3" spans="1:12" x14ac:dyDescent="0.25">
      <c r="A3" t="s">
        <v>13</v>
      </c>
      <c r="B3">
        <v>1056</v>
      </c>
      <c r="C3">
        <f>COUNTIF('Phase 02 Settings &amp; Masters'!$G$2:$G$1057,"PASS")+COUNTIF('Phase 02 Settings &amp; Masters'!$G$2:$G$1057,"FAIL")+COUNTIF('Phase 02 Settings &amp; Masters'!$G$2:$G$1057,"BLOCKED")</f>
      </c>
      <c r="D3">
        <f>COUNTIF('Phase 02 Settings &amp; Masters'!$G$2:$G$1057,"PASS")</f>
      </c>
      <c r="E3">
        <f>COUNTIF('Phase 02 Settings &amp; Masters'!$G$2:$G$1057,"FAIL")</f>
      </c>
      <c r="F3">
        <f>COUNTIF('Phase 02 Settings &amp; Masters'!$G$2:$G$1057,"BLOCKED")</f>
      </c>
      <c r="G3">
        <f>1056-(COUNTIF('Phase 02 Settings &amp; Masters'!$G$2:$G$1057,"PASS")+COUNTIF('Phase 02 Settings &amp; Masters'!$G$2:$G$1057,"FAIL")+COUNTIF('Phase 02 Settings &amp; Masters'!$G$2:$G$1057,"BLOCKED"))</f>
      </c>
      <c r="H3" s="2">
        <f>IF(1056=0,0,(COUNTIF('Phase 02 Settings &amp; Masters'!$G$2:$G$1057,"PASS")+COUNTIF('Phase 02 Settings &amp; Masters'!$G$2:$G$1057,"FAIL")+COUNTIF('Phase 02 Settings &amp; Masters'!$G$2:$G$1057,"BLOCKED"))/1056)</f>
      </c>
      <c r="I3" s="2">
        <f>IF((COUNTIF('Phase 02 Settings &amp; Masters'!$G$2:$G$1057,"PASS")+COUNTIF('Phase 02 Settings &amp; Masters'!$G$2:$G$1057,"FAIL")+COUNTIF('Phase 02 Settings &amp; Masters'!$G$2:$G$1057,"BLOCKED"))=0,0,COUNTIF('Phase 02 Settings &amp; Masters'!$G$2:$G$1057,"PASS")/(COUNTIF('Phase 02 Settings &amp; Masters'!$G$2:$G$1057,"PASS")+COUNTIF('Phase 02 Settings &amp; Masters'!$G$2:$G$1057,"FAIL")+COUNTIF('Phase 02 Settings &amp; Masters'!$G$2:$G$1057,"BLOCKED")))</f>
      </c>
      <c r="J3">
        <f>COUNTIF('Phase 02 Settings &amp; Masters'!$C$2:$C$1057,"P1")</f>
      </c>
      <c r="K3">
        <f>COUNTIFS('Phase 02 Settings &amp; Masters'!$C$2:$C$1057,"P1",'Phase 02 Settings &amp; Masters'!$G$2:$G$1057,"FAIL")</f>
      </c>
      <c r="L3" s="3">
        <f>IF(COUNTIFS('Phase 02 Settings &amp; Masters'!$C$2:$C$1057,"P1",'Phase 02 Settings &amp; Masters'!$G$2:$G$1057,"FAIL")&gt;0,"BLOCKED - open P1",IF((COUNTIF('Phase 02 Settings &amp; Masters'!$G$2:$G$1057,"PASS")+COUNTIF('Phase 02 Settings &amp; Masters'!$G$2:$G$1057,"FAIL")+COUNTIF('Phase 02 Settings &amp; Masters'!$G$2:$G$1057,"BLOCKED"))&lt;1056,"IN PROGRESS",IF(COUNTIF('Phase 02 Settings &amp; Masters'!$G$2:$G$1057,"FAIL")&gt;0,"BLOCKED - open defects","PASSED")))</f>
      </c>
    </row>
    <row r="4" spans="1:12" x14ac:dyDescent="0.25">
      <c r="A4" t="s">
        <v>14</v>
      </c>
      <c r="B4">
        <v>100</v>
      </c>
      <c r="C4">
        <f>COUNTIF('Phase 03 Patient &amp; Records'!$G$2:$G$101,"PASS")+COUNTIF('Phase 03 Patient &amp; Records'!$G$2:$G$101,"FAIL")+COUNTIF('Phase 03 Patient &amp; Records'!$G$2:$G$101,"BLOCKED")</f>
      </c>
      <c r="D4">
        <f>COUNTIF('Phase 03 Patient &amp; Records'!$G$2:$G$101,"PASS")</f>
      </c>
      <c r="E4">
        <f>COUNTIF('Phase 03 Patient &amp; Records'!$G$2:$G$101,"FAIL")</f>
      </c>
      <c r="F4">
        <f>COUNTIF('Phase 03 Patient &amp; Records'!$G$2:$G$101,"BLOCKED")</f>
      </c>
      <c r="G4">
        <f>100-(COUNTIF('Phase 03 Patient &amp; Records'!$G$2:$G$101,"PASS")+COUNTIF('Phase 03 Patient &amp; Records'!$G$2:$G$101,"FAIL")+COUNTIF('Phase 03 Patient &amp; Records'!$G$2:$G$101,"BLOCKED"))</f>
      </c>
      <c r="H4" s="2">
        <f>IF(100=0,0,(COUNTIF('Phase 03 Patient &amp; Records'!$G$2:$G$101,"PASS")+COUNTIF('Phase 03 Patient &amp; Records'!$G$2:$G$101,"FAIL")+COUNTIF('Phase 03 Patient &amp; Records'!$G$2:$G$101,"BLOCKED"))/100)</f>
      </c>
      <c r="I4" s="2">
        <f>IF((COUNTIF('Phase 03 Patient &amp; Records'!$G$2:$G$101,"PASS")+COUNTIF('Phase 03 Patient &amp; Records'!$G$2:$G$101,"FAIL")+COUNTIF('Phase 03 Patient &amp; Records'!$G$2:$G$101,"BLOCKED"))=0,0,COUNTIF('Phase 03 Patient &amp; Records'!$G$2:$G$101,"PASS")/(COUNTIF('Phase 03 Patient &amp; Records'!$G$2:$G$101,"PASS")+COUNTIF('Phase 03 Patient &amp; Records'!$G$2:$G$101,"FAIL")+COUNTIF('Phase 03 Patient &amp; Records'!$G$2:$G$101,"BLOCKED")))</f>
      </c>
      <c r="J4">
        <f>COUNTIF('Phase 03 Patient &amp; Records'!$C$2:$C$101,"P1")</f>
      </c>
      <c r="K4">
        <f>COUNTIFS('Phase 03 Patient &amp; Records'!$C$2:$C$101,"P1",'Phase 03 Patient &amp; Records'!$G$2:$G$101,"FAIL")</f>
      </c>
      <c r="L4" s="3">
        <f>IF(COUNTIFS('Phase 03 Patient &amp; Records'!$C$2:$C$101,"P1",'Phase 03 Patient &amp; Records'!$G$2:$G$101,"FAIL")&gt;0,"BLOCKED - open P1",IF((COUNTIF('Phase 03 Patient &amp; Records'!$G$2:$G$101,"PASS")+COUNTIF('Phase 03 Patient &amp; Records'!$G$2:$G$101,"FAIL")+COUNTIF('Phase 03 Patient &amp; Records'!$G$2:$G$101,"BLOCKED"))&lt;100,"IN PROGRESS",IF(COUNTIF('Phase 03 Patient &amp; Records'!$G$2:$G$101,"FAIL")&gt;0,"BLOCKED - open defects","PASSED")))</f>
      </c>
    </row>
    <row r="5" spans="1:12" x14ac:dyDescent="0.25">
      <c r="A5" t="s">
        <v>15</v>
      </c>
      <c r="B5">
        <v>260</v>
      </c>
      <c r="C5">
        <f>COUNTIF('Phase 04 OPD Journey'!$G$2:$G$261,"PASS")+COUNTIF('Phase 04 OPD Journey'!$G$2:$G$261,"FAIL")+COUNTIF('Phase 04 OPD Journey'!$G$2:$G$261,"BLOCKED")</f>
      </c>
      <c r="D5">
        <f>COUNTIF('Phase 04 OPD Journey'!$G$2:$G$261,"PASS")</f>
      </c>
      <c r="E5">
        <f>COUNTIF('Phase 04 OPD Journey'!$G$2:$G$261,"FAIL")</f>
      </c>
      <c r="F5">
        <f>COUNTIF('Phase 04 OPD Journey'!$G$2:$G$261,"BLOCKED")</f>
      </c>
      <c r="G5">
        <f>260-(COUNTIF('Phase 04 OPD Journey'!$G$2:$G$261,"PASS")+COUNTIF('Phase 04 OPD Journey'!$G$2:$G$261,"FAIL")+COUNTIF('Phase 04 OPD Journey'!$G$2:$G$261,"BLOCKED"))</f>
      </c>
      <c r="H5" s="2">
        <f>IF(260=0,0,(COUNTIF('Phase 04 OPD Journey'!$G$2:$G$261,"PASS")+COUNTIF('Phase 04 OPD Journey'!$G$2:$G$261,"FAIL")+COUNTIF('Phase 04 OPD Journey'!$G$2:$G$261,"BLOCKED"))/260)</f>
      </c>
      <c r="I5" s="2">
        <f>IF((COUNTIF('Phase 04 OPD Journey'!$G$2:$G$261,"PASS")+COUNTIF('Phase 04 OPD Journey'!$G$2:$G$261,"FAIL")+COUNTIF('Phase 04 OPD Journey'!$G$2:$G$261,"BLOCKED"))=0,0,COUNTIF('Phase 04 OPD Journey'!$G$2:$G$261,"PASS")/(COUNTIF('Phase 04 OPD Journey'!$G$2:$G$261,"PASS")+COUNTIF('Phase 04 OPD Journey'!$G$2:$G$261,"FAIL")+COUNTIF('Phase 04 OPD Journey'!$G$2:$G$261,"BLOCKED")))</f>
      </c>
      <c r="J5">
        <f>COUNTIF('Phase 04 OPD Journey'!$C$2:$C$261,"P1")</f>
      </c>
      <c r="K5">
        <f>COUNTIFS('Phase 04 OPD Journey'!$C$2:$C$261,"P1",'Phase 04 OPD Journey'!$G$2:$G$261,"FAIL")</f>
      </c>
      <c r="L5" s="3">
        <f>IF(COUNTIFS('Phase 04 OPD Journey'!$C$2:$C$261,"P1",'Phase 04 OPD Journey'!$G$2:$G$261,"FAIL")&gt;0,"BLOCKED - open P1",IF((COUNTIF('Phase 04 OPD Journey'!$G$2:$G$261,"PASS")+COUNTIF('Phase 04 OPD Journey'!$G$2:$G$261,"FAIL")+COUNTIF('Phase 04 OPD Journey'!$G$2:$G$261,"BLOCKED"))&lt;260,"IN PROGRESS",IF(COUNTIF('Phase 04 OPD Journey'!$G$2:$G$261,"FAIL")&gt;0,"BLOCKED - open defects","PASSED")))</f>
      </c>
    </row>
    <row r="6" spans="1:12" x14ac:dyDescent="0.25">
      <c r="A6" t="s">
        <v>16</v>
      </c>
      <c r="B6">
        <v>24</v>
      </c>
      <c r="C6">
        <f>COUNTIF('Phase 05 Lab &amp; Radiology'!$G$2:$G$25,"PASS")+COUNTIF('Phase 05 Lab &amp; Radiology'!$G$2:$G$25,"FAIL")+COUNTIF('Phase 05 Lab &amp; Radiology'!$G$2:$G$25,"BLOCKED")</f>
      </c>
      <c r="D6">
        <f>COUNTIF('Phase 05 Lab &amp; Radiology'!$G$2:$G$25,"PASS")</f>
      </c>
      <c r="E6">
        <f>COUNTIF('Phase 05 Lab &amp; Radiology'!$G$2:$G$25,"FAIL")</f>
      </c>
      <c r="F6">
        <f>COUNTIF('Phase 05 Lab &amp; Radiology'!$G$2:$G$25,"BLOCKED")</f>
      </c>
      <c r="G6">
        <f>24-(COUNTIF('Phase 05 Lab &amp; Radiology'!$G$2:$G$25,"PASS")+COUNTIF('Phase 05 Lab &amp; Radiology'!$G$2:$G$25,"FAIL")+COUNTIF('Phase 05 Lab &amp; Radiology'!$G$2:$G$25,"BLOCKED"))</f>
      </c>
      <c r="H6" s="2">
        <f>IF(24=0,0,(COUNTIF('Phase 05 Lab &amp; Radiology'!$G$2:$G$25,"PASS")+COUNTIF('Phase 05 Lab &amp; Radiology'!$G$2:$G$25,"FAIL")+COUNTIF('Phase 05 Lab &amp; Radiology'!$G$2:$G$25,"BLOCKED"))/24)</f>
      </c>
      <c r="I6" s="2">
        <f>IF((COUNTIF('Phase 05 Lab &amp; Radiology'!$G$2:$G$25,"PASS")+COUNTIF('Phase 05 Lab &amp; Radiology'!$G$2:$G$25,"FAIL")+COUNTIF('Phase 05 Lab &amp; Radiology'!$G$2:$G$25,"BLOCKED"))=0,0,COUNTIF('Phase 05 Lab &amp; Radiology'!$G$2:$G$25,"PASS")/(COUNTIF('Phase 05 Lab &amp; Radiology'!$G$2:$G$25,"PASS")+COUNTIF('Phase 05 Lab &amp; Radiology'!$G$2:$G$25,"FAIL")+COUNTIF('Phase 05 Lab &amp; Radiology'!$G$2:$G$25,"BLOCKED")))</f>
      </c>
      <c r="J6">
        <f>COUNTIF('Phase 05 Lab &amp; Radiology'!$C$2:$C$25,"P1")</f>
      </c>
      <c r="K6">
        <f>COUNTIFS('Phase 05 Lab &amp; Radiology'!$C$2:$C$25,"P1",'Phase 05 Lab &amp; Radiology'!$G$2:$G$25,"FAIL")</f>
      </c>
      <c r="L6" s="3">
        <f>IF(COUNTIFS('Phase 05 Lab &amp; Radiology'!$C$2:$C$25,"P1",'Phase 05 Lab &amp; Radiology'!$G$2:$G$25,"FAIL")&gt;0,"BLOCKED - open P1",IF((COUNTIF('Phase 05 Lab &amp; Radiology'!$G$2:$G$25,"PASS")+COUNTIF('Phase 05 Lab &amp; Radiology'!$G$2:$G$25,"FAIL")+COUNTIF('Phase 05 Lab &amp; Radiology'!$G$2:$G$25,"BLOCKED"))&lt;24,"IN PROGRESS",IF(COUNTIF('Phase 05 Lab &amp; Radiology'!$G$2:$G$25,"FAIL")&gt;0,"BLOCKED - open defects","PASSED")))</f>
      </c>
    </row>
    <row r="8" spans="1:12" s="3" customFormat="1" x14ac:dyDescent="0.25">
      <c r="A8" s="4" t="s">
        <v>17</v>
      </c>
      <c r="B8" s="4">
        <f>SUM(B2:B6)</f>
      </c>
      <c r="C8" s="4">
        <f>SUM(C2:C6)</f>
      </c>
      <c r="D8" s="4">
        <f>SUM(D2:D6)</f>
      </c>
      <c r="E8" s="4">
        <f>SUM(E2:E6)</f>
      </c>
      <c r="F8" s="4">
        <f>SUM(F2:F6)</f>
      </c>
      <c r="G8" s="4">
        <f>SUM(G2:G6)</f>
      </c>
      <c r="H8" s="5">
        <f>IF(B8=0,0,C8/B8)</f>
      </c>
      <c r="I8" s="5">
        <f>IF(C8=0,0,D8/C8)</f>
      </c>
      <c r="J8" s="4">
        <f>SUM(J2:J6)</f>
      </c>
      <c r="K8" s="4">
        <f>SUM(K2:K6)</f>
      </c>
      <c r="L8" s="4">
        <f>IF(K8&gt;0,"NOT READY - open P1","")</f>
      </c>
    </row>
    <row r="10" spans="1:12" s="6" customFormat="1" x14ac:dyDescent="0.25">
      <c r="A10" s="6" t="s">
        <v>18</v>
      </c>
      <c r="B10" s="6"/>
      <c r="C10" s="6"/>
      <c r="D10" s="6"/>
      <c r="E10" s="6"/>
      <c r="F10" s="6"/>
      <c r="G10" s="6"/>
      <c r="H10" s="6"/>
      <c r="I10" s="6"/>
      <c r="J10" s="6"/>
      <c r="K10" s="6"/>
      <c r="L10" s="6"/>
    </row>
  </sheetData>
  <mergeCells count="1">
    <mergeCell ref="A10:L10"/>
  </mergeCells>
  <conditionalFormatting sqref="L2:L6">
    <cfRule type="containsText" dxfId="0" priority="1">
      <formula>NOT(ISERROR(SEARCH("PASSED",L2)))</formula>
    </cfRule>
    <cfRule type="containsText" dxfId="1" priority="2">
      <formula>NOT(ISERROR(SEARCH("BLOCKED",L2)))</formula>
    </cfRule>
    <cfRule type="containsText" dxfId="2" priority="3">
      <formula>NOT(ISERROR(SEARCH("IN PROGRESS",L2)))</formula>
    </cfRule>
  </conditionalFormatting>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pane xSplit="1" ySplit="1" topLeftCell="B2" activePane="bottomRight" state="frozen"/>
      <selection pane="bottomRight"/>
    </sheetView>
  </sheetViews>
  <sheetFormatPr defaultRowHeight="18" outlineLevelRow="0" outlineLevelCol="0" x14ac:dyDescent="55" customHeight="1"/>
  <cols>
    <col min="1" max="1" width="18" customWidth="1"/>
    <col min="2" max="2" width="30" customWidth="1"/>
    <col min="6" max="6" width="10" customWidth="1"/>
    <col min="7" max="7" width="24" customWidth="1"/>
  </cols>
  <sheetData>
    <row r="1" ht="34" customHeight="1" spans="1:7" x14ac:dyDescent="0.25">
      <c r="A1" s="7" t="s">
        <v>19</v>
      </c>
      <c r="B1" s="7" t="s">
        <v>0</v>
      </c>
      <c r="C1" s="7" t="s">
        <v>1</v>
      </c>
      <c r="D1" s="7" t="s">
        <v>3</v>
      </c>
      <c r="E1" s="7" t="s">
        <v>4</v>
      </c>
      <c r="F1" s="7" t="s">
        <v>6</v>
      </c>
      <c r="G1" s="7" t="s">
        <v>20</v>
      </c>
    </row>
    <row r="2" spans="1:7" x14ac:dyDescent="0.25">
      <c r="A2" t="s">
        <v>21</v>
      </c>
      <c r="B2" t="s">
        <v>12</v>
      </c>
      <c r="C2">
        <f>COUNTIF('Phase 01 Foundation &amp; Access'!$O$2:$O$178,"P1-Setup")</f>
      </c>
      <c r="D2">
        <f>COUNTIFS('Phase 01 Foundation &amp; Access'!$O$2:$O$178,"P1-Setup",'Phase 01 Foundation &amp; Access'!$G$2:$G$178,"PASS")</f>
      </c>
      <c r="E2">
        <f>COUNTIFS('Phase 01 Foundation &amp; Access'!$O$2:$O$178,"P1-Setup",'Phase 01 Foundation &amp; Access'!$G$2:$G$178,"FAIL")</f>
      </c>
      <c r="F2">
        <f>COUNTIF('Phase 01 Foundation &amp; Access'!$O$2:$O$178,"P1-Setup")-COUNTIFS('Phase 01 Foundation &amp; Access'!$O$2:$O$178,"P1-Setup",'Phase 01 Foundation &amp; Access'!$G$2:$G$178,"PASS")-COUNTIFS('Phase 01 Foundation &amp; Access'!$O$2:$O$178,"P1-Setup",'Phase 01 Foundation &amp; Access'!$G$2:$G$178,"FAIL")-COUNTIFS('Phase 01 Foundation &amp; Access'!$O$2:$O$178,"P1-Setup",'Phase 01 Foundation &amp; Access'!$G$2:$G$178,"BLOCKED")</f>
      </c>
      <c r="G2" s="3">
        <f>IF(COUNTIFS('Phase 01 Foundation &amp; Access'!$O$2:$O$178,"P1-Setup",'Phase 01 Foundation &amp; Access'!$G$2:$G$178,"FAIL")&gt;0,"FAIL",IF(COUNTIFS('Phase 01 Foundation &amp; Access'!$O$2:$O$178,"P1-Setup",'Phase 01 Foundation &amp; Access'!$G$2:$G$178,"PASS")=COUNTIF('Phase 01 Foundation &amp; Access'!$O$2:$O$178,"P1-Setup"),"PASS",IF(COUNTIFS('Phase 01 Foundation &amp; Access'!$O$2:$O$178,"P1-Setup",'Phase 01 Foundation &amp; Access'!$G$2:$G$178,"PASS")+COUNTIFS('Phase 01 Foundation &amp; Access'!$O$2:$O$178,"P1-Setup",'Phase 01 Foundation &amp; Access'!$G$2:$G$178,"BLOCKED")&gt;0,"IN PROGRESS","NOT STARTED")))</f>
      </c>
    </row>
    <row r="3" spans="1:7" x14ac:dyDescent="0.25">
      <c r="A3" t="s">
        <v>22</v>
      </c>
      <c r="B3" t="s">
        <v>13</v>
      </c>
      <c r="C3">
        <f>COUNTIF('Phase 02 Settings &amp; Masters'!$O$2:$O$1057,"P2-Setup")</f>
      </c>
      <c r="D3">
        <f>COUNTIFS('Phase 02 Settings &amp; Masters'!$O$2:$O$1057,"P2-Setup",'Phase 02 Settings &amp; Masters'!$G$2:$G$1057,"PASS")</f>
      </c>
      <c r="E3">
        <f>COUNTIFS('Phase 02 Settings &amp; Masters'!$O$2:$O$1057,"P2-Setup",'Phase 02 Settings &amp; Masters'!$G$2:$G$1057,"FAIL")</f>
      </c>
      <c r="F3">
        <f>COUNTIF('Phase 02 Settings &amp; Masters'!$O$2:$O$1057,"P2-Setup")-COUNTIFS('Phase 02 Settings &amp; Masters'!$O$2:$O$1057,"P2-Setup",'Phase 02 Settings &amp; Masters'!$G$2:$G$1057,"PASS")-COUNTIFS('Phase 02 Settings &amp; Masters'!$O$2:$O$1057,"P2-Setup",'Phase 02 Settings &amp; Masters'!$G$2:$G$1057,"FAIL")-COUNTIFS('Phase 02 Settings &amp; Masters'!$O$2:$O$1057,"P2-Setup",'Phase 02 Settings &amp; Masters'!$G$2:$G$1057,"BLOCKED")</f>
      </c>
      <c r="G3" s="3">
        <f>IF(COUNTIFS('Phase 02 Settings &amp; Masters'!$O$2:$O$1057,"P2-Setup",'Phase 02 Settings &amp; Masters'!$G$2:$G$1057,"FAIL")&gt;0,"FAIL",IF(COUNTIFS('Phase 02 Settings &amp; Masters'!$O$2:$O$1057,"P2-Setup",'Phase 02 Settings &amp; Masters'!$G$2:$G$1057,"PASS")=COUNTIF('Phase 02 Settings &amp; Masters'!$O$2:$O$1057,"P2-Setup"),"PASS",IF(COUNTIFS('Phase 02 Settings &amp; Masters'!$O$2:$O$1057,"P2-Setup",'Phase 02 Settings &amp; Masters'!$G$2:$G$1057,"PASS")+COUNTIFS('Phase 02 Settings &amp; Masters'!$O$2:$O$1057,"P2-Setup",'Phase 02 Settings &amp; Masters'!$G$2:$G$1057,"BLOCKED")&gt;0,"IN PROGRESS","NOT STARTED")))</f>
      </c>
    </row>
    <row r="4" spans="1:7" x14ac:dyDescent="0.25">
      <c r="A4" t="s">
        <v>23</v>
      </c>
      <c r="B4" t="s">
        <v>14</v>
      </c>
      <c r="C4">
        <f>COUNTIF('Phase 03 Patient &amp; Records'!$O$2:$O$101,"P3-S01")</f>
      </c>
      <c r="D4">
        <f>COUNTIFS('Phase 03 Patient &amp; Records'!$O$2:$O$101,"P3-S01",'Phase 03 Patient &amp; Records'!$G$2:$G$101,"PASS")</f>
      </c>
      <c r="E4">
        <f>COUNTIFS('Phase 03 Patient &amp; Records'!$O$2:$O$101,"P3-S01",'Phase 03 Patient &amp; Records'!$G$2:$G$101,"FAIL")</f>
      </c>
      <c r="F4">
        <f>COUNTIF('Phase 03 Patient &amp; Records'!$O$2:$O$101,"P3-S01")-COUNTIFS('Phase 03 Patient &amp; Records'!$O$2:$O$101,"P3-S01",'Phase 03 Patient &amp; Records'!$G$2:$G$101,"PASS")-COUNTIFS('Phase 03 Patient &amp; Records'!$O$2:$O$101,"P3-S01",'Phase 03 Patient &amp; Records'!$G$2:$G$101,"FAIL")-COUNTIFS('Phase 03 Patient &amp; Records'!$O$2:$O$101,"P3-S01",'Phase 03 Patient &amp; Records'!$G$2:$G$101,"BLOCKED")</f>
      </c>
      <c r="G4" s="3">
        <f>IF(COUNTIFS('Phase 03 Patient &amp; Records'!$O$2:$O$101,"P3-S01",'Phase 03 Patient &amp; Records'!$G$2:$G$101,"FAIL")&gt;0,"FAIL",IF(COUNTIFS('Phase 03 Patient &amp; Records'!$O$2:$O$101,"P3-S01",'Phase 03 Patient &amp; Records'!$G$2:$G$101,"PASS")=COUNTIF('Phase 03 Patient &amp; Records'!$O$2:$O$101,"P3-S01"),"PASS",IF(COUNTIFS('Phase 03 Patient &amp; Records'!$O$2:$O$101,"P3-S01",'Phase 03 Patient &amp; Records'!$G$2:$G$101,"PASS")+COUNTIFS('Phase 03 Patient &amp; Records'!$O$2:$O$101,"P3-S01",'Phase 03 Patient &amp; Records'!$G$2:$G$101,"BLOCKED")&gt;0,"IN PROGRESS","NOT STARTED")))</f>
      </c>
    </row>
    <row r="5" spans="1:7" x14ac:dyDescent="0.25">
      <c r="A5" t="s">
        <v>24</v>
      </c>
      <c r="B5" t="s">
        <v>14</v>
      </c>
      <c r="C5">
        <f>COUNTIF('Phase 03 Patient &amp; Records'!$O$2:$O$101,"P3-S02")</f>
      </c>
      <c r="D5">
        <f>COUNTIFS('Phase 03 Patient &amp; Records'!$O$2:$O$101,"P3-S02",'Phase 03 Patient &amp; Records'!$G$2:$G$101,"PASS")</f>
      </c>
      <c r="E5">
        <f>COUNTIFS('Phase 03 Patient &amp; Records'!$O$2:$O$101,"P3-S02",'Phase 03 Patient &amp; Records'!$G$2:$G$101,"FAIL")</f>
      </c>
      <c r="F5">
        <f>COUNTIF('Phase 03 Patient &amp; Records'!$O$2:$O$101,"P3-S02")-COUNTIFS('Phase 03 Patient &amp; Records'!$O$2:$O$101,"P3-S02",'Phase 03 Patient &amp; Records'!$G$2:$G$101,"PASS")-COUNTIFS('Phase 03 Patient &amp; Records'!$O$2:$O$101,"P3-S02",'Phase 03 Patient &amp; Records'!$G$2:$G$101,"FAIL")-COUNTIFS('Phase 03 Patient &amp; Records'!$O$2:$O$101,"P3-S02",'Phase 03 Patient &amp; Records'!$G$2:$G$101,"BLOCKED")</f>
      </c>
      <c r="G5" s="3">
        <f>IF(COUNTIFS('Phase 03 Patient &amp; Records'!$O$2:$O$101,"P3-S02",'Phase 03 Patient &amp; Records'!$G$2:$G$101,"FAIL")&gt;0,"FAIL",IF(COUNTIFS('Phase 03 Patient &amp; Records'!$O$2:$O$101,"P3-S02",'Phase 03 Patient &amp; Records'!$G$2:$G$101,"PASS")=COUNTIF('Phase 03 Patient &amp; Records'!$O$2:$O$101,"P3-S02"),"PASS",IF(COUNTIFS('Phase 03 Patient &amp; Records'!$O$2:$O$101,"P3-S02",'Phase 03 Patient &amp; Records'!$G$2:$G$101,"PASS")+COUNTIFS('Phase 03 Patient &amp; Records'!$O$2:$O$101,"P3-S02",'Phase 03 Patient &amp; Records'!$G$2:$G$101,"BLOCKED")&gt;0,"IN PROGRESS","NOT STARTED")))</f>
      </c>
    </row>
    <row r="6" spans="1:7" x14ac:dyDescent="0.25">
      <c r="A6" t="s">
        <v>25</v>
      </c>
      <c r="B6" t="s">
        <v>14</v>
      </c>
      <c r="C6">
        <f>COUNTIF('Phase 03 Patient &amp; Records'!$O$2:$O$101,"P3-S03")</f>
      </c>
      <c r="D6">
        <f>COUNTIFS('Phase 03 Patient &amp; Records'!$O$2:$O$101,"P3-S03",'Phase 03 Patient &amp; Records'!$G$2:$G$101,"PASS")</f>
      </c>
      <c r="E6">
        <f>COUNTIFS('Phase 03 Patient &amp; Records'!$O$2:$O$101,"P3-S03",'Phase 03 Patient &amp; Records'!$G$2:$G$101,"FAIL")</f>
      </c>
      <c r="F6">
        <f>COUNTIF('Phase 03 Patient &amp; Records'!$O$2:$O$101,"P3-S03")-COUNTIFS('Phase 03 Patient &amp; Records'!$O$2:$O$101,"P3-S03",'Phase 03 Patient &amp; Records'!$G$2:$G$101,"PASS")-COUNTIFS('Phase 03 Patient &amp; Records'!$O$2:$O$101,"P3-S03",'Phase 03 Patient &amp; Records'!$G$2:$G$101,"FAIL")-COUNTIFS('Phase 03 Patient &amp; Records'!$O$2:$O$101,"P3-S03",'Phase 03 Patient &amp; Records'!$G$2:$G$101,"BLOCKED")</f>
      </c>
      <c r="G6" s="3">
        <f>IF(COUNTIFS('Phase 03 Patient &amp; Records'!$O$2:$O$101,"P3-S03",'Phase 03 Patient &amp; Records'!$G$2:$G$101,"FAIL")&gt;0,"FAIL",IF(COUNTIFS('Phase 03 Patient &amp; Records'!$O$2:$O$101,"P3-S03",'Phase 03 Patient &amp; Records'!$G$2:$G$101,"PASS")=COUNTIF('Phase 03 Patient &amp; Records'!$O$2:$O$101,"P3-S03"),"PASS",IF(COUNTIFS('Phase 03 Patient &amp; Records'!$O$2:$O$101,"P3-S03",'Phase 03 Patient &amp; Records'!$G$2:$G$101,"PASS")+COUNTIFS('Phase 03 Patient &amp; Records'!$O$2:$O$101,"P3-S03",'Phase 03 Patient &amp; Records'!$G$2:$G$101,"BLOCKED")&gt;0,"IN PROGRESS","NOT STARTED")))</f>
      </c>
    </row>
    <row r="7" spans="1:7" x14ac:dyDescent="0.25">
      <c r="A7" t="s">
        <v>26</v>
      </c>
      <c r="B7" t="s">
        <v>14</v>
      </c>
      <c r="C7">
        <f>COUNTIF('Phase 03 Patient &amp; Records'!$O$2:$O$101,"P3-S04")</f>
      </c>
      <c r="D7">
        <f>COUNTIFS('Phase 03 Patient &amp; Records'!$O$2:$O$101,"P3-S04",'Phase 03 Patient &amp; Records'!$G$2:$G$101,"PASS")</f>
      </c>
      <c r="E7">
        <f>COUNTIFS('Phase 03 Patient &amp; Records'!$O$2:$O$101,"P3-S04",'Phase 03 Patient &amp; Records'!$G$2:$G$101,"FAIL")</f>
      </c>
      <c r="F7">
        <f>COUNTIF('Phase 03 Patient &amp; Records'!$O$2:$O$101,"P3-S04")-COUNTIFS('Phase 03 Patient &amp; Records'!$O$2:$O$101,"P3-S04",'Phase 03 Patient &amp; Records'!$G$2:$G$101,"PASS")-COUNTIFS('Phase 03 Patient &amp; Records'!$O$2:$O$101,"P3-S04",'Phase 03 Patient &amp; Records'!$G$2:$G$101,"FAIL")-COUNTIFS('Phase 03 Patient &amp; Records'!$O$2:$O$101,"P3-S04",'Phase 03 Patient &amp; Records'!$G$2:$G$101,"BLOCKED")</f>
      </c>
      <c r="G7" s="3">
        <f>IF(COUNTIFS('Phase 03 Patient &amp; Records'!$O$2:$O$101,"P3-S04",'Phase 03 Patient &amp; Records'!$G$2:$G$101,"FAIL")&gt;0,"FAIL",IF(COUNTIFS('Phase 03 Patient &amp; Records'!$O$2:$O$101,"P3-S04",'Phase 03 Patient &amp; Records'!$G$2:$G$101,"PASS")=COUNTIF('Phase 03 Patient &amp; Records'!$O$2:$O$101,"P3-S04"),"PASS",IF(COUNTIFS('Phase 03 Patient &amp; Records'!$O$2:$O$101,"P3-S04",'Phase 03 Patient &amp; Records'!$G$2:$G$101,"PASS")+COUNTIFS('Phase 03 Patient &amp; Records'!$O$2:$O$101,"P3-S04",'Phase 03 Patient &amp; Records'!$G$2:$G$101,"BLOCKED")&gt;0,"IN PROGRESS","NOT STARTED")))</f>
      </c>
    </row>
    <row r="8" spans="1:7" x14ac:dyDescent="0.25">
      <c r="A8" t="s">
        <v>27</v>
      </c>
      <c r="B8" t="s">
        <v>14</v>
      </c>
      <c r="C8">
        <f>COUNTIF('Phase 03 Patient &amp; Records'!$O$2:$O$101,"P3-S05")</f>
      </c>
      <c r="D8">
        <f>COUNTIFS('Phase 03 Patient &amp; Records'!$O$2:$O$101,"P3-S05",'Phase 03 Patient &amp; Records'!$G$2:$G$101,"PASS")</f>
      </c>
      <c r="E8">
        <f>COUNTIFS('Phase 03 Patient &amp; Records'!$O$2:$O$101,"P3-S05",'Phase 03 Patient &amp; Records'!$G$2:$G$101,"FAIL")</f>
      </c>
      <c r="F8">
        <f>COUNTIF('Phase 03 Patient &amp; Records'!$O$2:$O$101,"P3-S05")-COUNTIFS('Phase 03 Patient &amp; Records'!$O$2:$O$101,"P3-S05",'Phase 03 Patient &amp; Records'!$G$2:$G$101,"PASS")-COUNTIFS('Phase 03 Patient &amp; Records'!$O$2:$O$101,"P3-S05",'Phase 03 Patient &amp; Records'!$G$2:$G$101,"FAIL")-COUNTIFS('Phase 03 Patient &amp; Records'!$O$2:$O$101,"P3-S05",'Phase 03 Patient &amp; Records'!$G$2:$G$101,"BLOCKED")</f>
      </c>
      <c r="G8" s="3">
        <f>IF(COUNTIFS('Phase 03 Patient &amp; Records'!$O$2:$O$101,"P3-S05",'Phase 03 Patient &amp; Records'!$G$2:$G$101,"FAIL")&gt;0,"FAIL",IF(COUNTIFS('Phase 03 Patient &amp; Records'!$O$2:$O$101,"P3-S05",'Phase 03 Patient &amp; Records'!$G$2:$G$101,"PASS")=COUNTIF('Phase 03 Patient &amp; Records'!$O$2:$O$101,"P3-S05"),"PASS",IF(COUNTIFS('Phase 03 Patient &amp; Records'!$O$2:$O$101,"P3-S05",'Phase 03 Patient &amp; Records'!$G$2:$G$101,"PASS")+COUNTIFS('Phase 03 Patient &amp; Records'!$O$2:$O$101,"P3-S05",'Phase 03 Patient &amp; Records'!$G$2:$G$101,"BLOCKED")&gt;0,"IN PROGRESS","NOT STARTED")))</f>
      </c>
    </row>
    <row r="9" spans="1:7" x14ac:dyDescent="0.25">
      <c r="A9" t="s">
        <v>28</v>
      </c>
      <c r="B9" t="s">
        <v>14</v>
      </c>
      <c r="C9">
        <f>COUNTIF('Phase 03 Patient &amp; Records'!$O$2:$O$101,"P3-S06")</f>
      </c>
      <c r="D9">
        <f>COUNTIFS('Phase 03 Patient &amp; Records'!$O$2:$O$101,"P3-S06",'Phase 03 Patient &amp; Records'!$G$2:$G$101,"PASS")</f>
      </c>
      <c r="E9">
        <f>COUNTIFS('Phase 03 Patient &amp; Records'!$O$2:$O$101,"P3-S06",'Phase 03 Patient &amp; Records'!$G$2:$G$101,"FAIL")</f>
      </c>
      <c r="F9">
        <f>COUNTIF('Phase 03 Patient &amp; Records'!$O$2:$O$101,"P3-S06")-COUNTIFS('Phase 03 Patient &amp; Records'!$O$2:$O$101,"P3-S06",'Phase 03 Patient &amp; Records'!$G$2:$G$101,"PASS")-COUNTIFS('Phase 03 Patient &amp; Records'!$O$2:$O$101,"P3-S06",'Phase 03 Patient &amp; Records'!$G$2:$G$101,"FAIL")-COUNTIFS('Phase 03 Patient &amp; Records'!$O$2:$O$101,"P3-S06",'Phase 03 Patient &amp; Records'!$G$2:$G$101,"BLOCKED")</f>
      </c>
      <c r="G9" s="3">
        <f>IF(COUNTIFS('Phase 03 Patient &amp; Records'!$O$2:$O$101,"P3-S06",'Phase 03 Patient &amp; Records'!$G$2:$G$101,"FAIL")&gt;0,"FAIL",IF(COUNTIFS('Phase 03 Patient &amp; Records'!$O$2:$O$101,"P3-S06",'Phase 03 Patient &amp; Records'!$G$2:$G$101,"PASS")=COUNTIF('Phase 03 Patient &amp; Records'!$O$2:$O$101,"P3-S06"),"PASS",IF(COUNTIFS('Phase 03 Patient &amp; Records'!$O$2:$O$101,"P3-S06",'Phase 03 Patient &amp; Records'!$G$2:$G$101,"PASS")+COUNTIFS('Phase 03 Patient &amp; Records'!$O$2:$O$101,"P3-S06",'Phase 03 Patient &amp; Records'!$G$2:$G$101,"BLOCKED")&gt;0,"IN PROGRESS","NOT STARTED")))</f>
      </c>
    </row>
    <row r="10" spans="1:7" x14ac:dyDescent="0.25">
      <c r="A10" t="s">
        <v>29</v>
      </c>
      <c r="B10" t="s">
        <v>14</v>
      </c>
      <c r="C10">
        <f>COUNTIF('Phase 03 Patient &amp; Records'!$O$2:$O$101,"P3-S07")</f>
      </c>
      <c r="D10">
        <f>COUNTIFS('Phase 03 Patient &amp; Records'!$O$2:$O$101,"P3-S07",'Phase 03 Patient &amp; Records'!$G$2:$G$101,"PASS")</f>
      </c>
      <c r="E10">
        <f>COUNTIFS('Phase 03 Patient &amp; Records'!$O$2:$O$101,"P3-S07",'Phase 03 Patient &amp; Records'!$G$2:$G$101,"FAIL")</f>
      </c>
      <c r="F10">
        <f>COUNTIF('Phase 03 Patient &amp; Records'!$O$2:$O$101,"P3-S07")-COUNTIFS('Phase 03 Patient &amp; Records'!$O$2:$O$101,"P3-S07",'Phase 03 Patient &amp; Records'!$G$2:$G$101,"PASS")-COUNTIFS('Phase 03 Patient &amp; Records'!$O$2:$O$101,"P3-S07",'Phase 03 Patient &amp; Records'!$G$2:$G$101,"FAIL")-COUNTIFS('Phase 03 Patient &amp; Records'!$O$2:$O$101,"P3-S07",'Phase 03 Patient &amp; Records'!$G$2:$G$101,"BLOCKED")</f>
      </c>
      <c r="G10" s="3">
        <f>IF(COUNTIFS('Phase 03 Patient &amp; Records'!$O$2:$O$101,"P3-S07",'Phase 03 Patient &amp; Records'!$G$2:$G$101,"FAIL")&gt;0,"FAIL",IF(COUNTIFS('Phase 03 Patient &amp; Records'!$O$2:$O$101,"P3-S07",'Phase 03 Patient &amp; Records'!$G$2:$G$101,"PASS")=COUNTIF('Phase 03 Patient &amp; Records'!$O$2:$O$101,"P3-S07"),"PASS",IF(COUNTIFS('Phase 03 Patient &amp; Records'!$O$2:$O$101,"P3-S07",'Phase 03 Patient &amp; Records'!$G$2:$G$101,"PASS")+COUNTIFS('Phase 03 Patient &amp; Records'!$O$2:$O$101,"P3-S07",'Phase 03 Patient &amp; Records'!$G$2:$G$101,"BLOCKED")&gt;0,"IN PROGRESS","NOT STARTED")))</f>
      </c>
    </row>
    <row r="11" spans="1:7" x14ac:dyDescent="0.25">
      <c r="A11" t="s">
        <v>30</v>
      </c>
      <c r="B11" t="s">
        <v>14</v>
      </c>
      <c r="C11">
        <f>COUNTIF('Phase 03 Patient &amp; Records'!$O$2:$O$101,"P3-S08")</f>
      </c>
      <c r="D11">
        <f>COUNTIFS('Phase 03 Patient &amp; Records'!$O$2:$O$101,"P3-S08",'Phase 03 Patient &amp; Records'!$G$2:$G$101,"PASS")</f>
      </c>
      <c r="E11">
        <f>COUNTIFS('Phase 03 Patient &amp; Records'!$O$2:$O$101,"P3-S08",'Phase 03 Patient &amp; Records'!$G$2:$G$101,"FAIL")</f>
      </c>
      <c r="F11">
        <f>COUNTIF('Phase 03 Patient &amp; Records'!$O$2:$O$101,"P3-S08")-COUNTIFS('Phase 03 Patient &amp; Records'!$O$2:$O$101,"P3-S08",'Phase 03 Patient &amp; Records'!$G$2:$G$101,"PASS")-COUNTIFS('Phase 03 Patient &amp; Records'!$O$2:$O$101,"P3-S08",'Phase 03 Patient &amp; Records'!$G$2:$G$101,"FAIL")-COUNTIFS('Phase 03 Patient &amp; Records'!$O$2:$O$101,"P3-S08",'Phase 03 Patient &amp; Records'!$G$2:$G$101,"BLOCKED")</f>
      </c>
      <c r="G11" s="3">
        <f>IF(COUNTIFS('Phase 03 Patient &amp; Records'!$O$2:$O$101,"P3-S08",'Phase 03 Patient &amp; Records'!$G$2:$G$101,"FAIL")&gt;0,"FAIL",IF(COUNTIFS('Phase 03 Patient &amp; Records'!$O$2:$O$101,"P3-S08",'Phase 03 Patient &amp; Records'!$G$2:$G$101,"PASS")=COUNTIF('Phase 03 Patient &amp; Records'!$O$2:$O$101,"P3-S08"),"PASS",IF(COUNTIFS('Phase 03 Patient &amp; Records'!$O$2:$O$101,"P3-S08",'Phase 03 Patient &amp; Records'!$G$2:$G$101,"PASS")+COUNTIFS('Phase 03 Patient &amp; Records'!$O$2:$O$101,"P3-S08",'Phase 03 Patient &amp; Records'!$G$2:$G$101,"BLOCKED")&gt;0,"IN PROGRESS","NOT STARTED")))</f>
      </c>
    </row>
    <row r="12" spans="1:7" x14ac:dyDescent="0.25">
      <c r="A12" t="s">
        <v>31</v>
      </c>
      <c r="B12" t="s">
        <v>14</v>
      </c>
      <c r="C12">
        <f>COUNTIF('Phase 03 Patient &amp; Records'!$O$2:$O$101,"P3-S09")</f>
      </c>
      <c r="D12">
        <f>COUNTIFS('Phase 03 Patient &amp; Records'!$O$2:$O$101,"P3-S09",'Phase 03 Patient &amp; Records'!$G$2:$G$101,"PASS")</f>
      </c>
      <c r="E12">
        <f>COUNTIFS('Phase 03 Patient &amp; Records'!$O$2:$O$101,"P3-S09",'Phase 03 Patient &amp; Records'!$G$2:$G$101,"FAIL")</f>
      </c>
      <c r="F12">
        <f>COUNTIF('Phase 03 Patient &amp; Records'!$O$2:$O$101,"P3-S09")-COUNTIFS('Phase 03 Patient &amp; Records'!$O$2:$O$101,"P3-S09",'Phase 03 Patient &amp; Records'!$G$2:$G$101,"PASS")-COUNTIFS('Phase 03 Patient &amp; Records'!$O$2:$O$101,"P3-S09",'Phase 03 Patient &amp; Records'!$G$2:$G$101,"FAIL")-COUNTIFS('Phase 03 Patient &amp; Records'!$O$2:$O$101,"P3-S09",'Phase 03 Patient &amp; Records'!$G$2:$G$101,"BLOCKED")</f>
      </c>
      <c r="G12" s="3">
        <f>IF(COUNTIFS('Phase 03 Patient &amp; Records'!$O$2:$O$101,"P3-S09",'Phase 03 Patient &amp; Records'!$G$2:$G$101,"FAIL")&gt;0,"FAIL",IF(COUNTIFS('Phase 03 Patient &amp; Records'!$O$2:$O$101,"P3-S09",'Phase 03 Patient &amp; Records'!$G$2:$G$101,"PASS")=COUNTIF('Phase 03 Patient &amp; Records'!$O$2:$O$101,"P3-S09"),"PASS",IF(COUNTIFS('Phase 03 Patient &amp; Records'!$O$2:$O$101,"P3-S09",'Phase 03 Patient &amp; Records'!$G$2:$G$101,"PASS")+COUNTIFS('Phase 03 Patient &amp; Records'!$O$2:$O$101,"P3-S09",'Phase 03 Patient &amp; Records'!$G$2:$G$101,"BLOCKED")&gt;0,"IN PROGRESS","NOT STARTED")))</f>
      </c>
    </row>
    <row r="13" spans="1:7" x14ac:dyDescent="0.25">
      <c r="A13" t="s">
        <v>32</v>
      </c>
      <c r="B13" t="s">
        <v>14</v>
      </c>
      <c r="C13">
        <f>COUNTIF('Phase 03 Patient &amp; Records'!$O$2:$O$101,"P3-S10")</f>
      </c>
      <c r="D13">
        <f>COUNTIFS('Phase 03 Patient &amp; Records'!$O$2:$O$101,"P3-S10",'Phase 03 Patient &amp; Records'!$G$2:$G$101,"PASS")</f>
      </c>
      <c r="E13">
        <f>COUNTIFS('Phase 03 Patient &amp; Records'!$O$2:$O$101,"P3-S10",'Phase 03 Patient &amp; Records'!$G$2:$G$101,"FAIL")</f>
      </c>
      <c r="F13">
        <f>COUNTIF('Phase 03 Patient &amp; Records'!$O$2:$O$101,"P3-S10")-COUNTIFS('Phase 03 Patient &amp; Records'!$O$2:$O$101,"P3-S10",'Phase 03 Patient &amp; Records'!$G$2:$G$101,"PASS")-COUNTIFS('Phase 03 Patient &amp; Records'!$O$2:$O$101,"P3-S10",'Phase 03 Patient &amp; Records'!$G$2:$G$101,"FAIL")-COUNTIFS('Phase 03 Patient &amp; Records'!$O$2:$O$101,"P3-S10",'Phase 03 Patient &amp; Records'!$G$2:$G$101,"BLOCKED")</f>
      </c>
      <c r="G13" s="3">
        <f>IF(COUNTIFS('Phase 03 Patient &amp; Records'!$O$2:$O$101,"P3-S10",'Phase 03 Patient &amp; Records'!$G$2:$G$101,"FAIL")&gt;0,"FAIL",IF(COUNTIFS('Phase 03 Patient &amp; Records'!$O$2:$O$101,"P3-S10",'Phase 03 Patient &amp; Records'!$G$2:$G$101,"PASS")=COUNTIF('Phase 03 Patient &amp; Records'!$O$2:$O$101,"P3-S10"),"PASS",IF(COUNTIFS('Phase 03 Patient &amp; Records'!$O$2:$O$101,"P3-S10",'Phase 03 Patient &amp; Records'!$G$2:$G$101,"PASS")+COUNTIFS('Phase 03 Patient &amp; Records'!$O$2:$O$101,"P3-S10",'Phase 03 Patient &amp; Records'!$G$2:$G$101,"BLOCKED")&gt;0,"IN PROGRESS","NOT STARTED")))</f>
      </c>
    </row>
    <row r="14" spans="1:7" x14ac:dyDescent="0.25">
      <c r="A14" t="s">
        <v>33</v>
      </c>
      <c r="B14" t="s">
        <v>14</v>
      </c>
      <c r="C14">
        <f>COUNTIF('Phase 03 Patient &amp; Records'!$O$2:$O$101,"P3-S11")</f>
      </c>
      <c r="D14">
        <f>COUNTIFS('Phase 03 Patient &amp; Records'!$O$2:$O$101,"P3-S11",'Phase 03 Patient &amp; Records'!$G$2:$G$101,"PASS")</f>
      </c>
      <c r="E14">
        <f>COUNTIFS('Phase 03 Patient &amp; Records'!$O$2:$O$101,"P3-S11",'Phase 03 Patient &amp; Records'!$G$2:$G$101,"FAIL")</f>
      </c>
      <c r="F14">
        <f>COUNTIF('Phase 03 Patient &amp; Records'!$O$2:$O$101,"P3-S11")-COUNTIFS('Phase 03 Patient &amp; Records'!$O$2:$O$101,"P3-S11",'Phase 03 Patient &amp; Records'!$G$2:$G$101,"PASS")-COUNTIFS('Phase 03 Patient &amp; Records'!$O$2:$O$101,"P3-S11",'Phase 03 Patient &amp; Records'!$G$2:$G$101,"FAIL")-COUNTIFS('Phase 03 Patient &amp; Records'!$O$2:$O$101,"P3-S11",'Phase 03 Patient &amp; Records'!$G$2:$G$101,"BLOCKED")</f>
      </c>
      <c r="G14" s="3">
        <f>IF(COUNTIFS('Phase 03 Patient &amp; Records'!$O$2:$O$101,"P3-S11",'Phase 03 Patient &amp; Records'!$G$2:$G$101,"FAIL")&gt;0,"FAIL",IF(COUNTIFS('Phase 03 Patient &amp; Records'!$O$2:$O$101,"P3-S11",'Phase 03 Patient &amp; Records'!$G$2:$G$101,"PASS")=COUNTIF('Phase 03 Patient &amp; Records'!$O$2:$O$101,"P3-S11"),"PASS",IF(COUNTIFS('Phase 03 Patient &amp; Records'!$O$2:$O$101,"P3-S11",'Phase 03 Patient &amp; Records'!$G$2:$G$101,"PASS")+COUNTIFS('Phase 03 Patient &amp; Records'!$O$2:$O$101,"P3-S11",'Phase 03 Patient &amp; Records'!$G$2:$G$101,"BLOCKED")&gt;0,"IN PROGRESS","NOT STARTED")))</f>
      </c>
    </row>
    <row r="15" spans="1:7" x14ac:dyDescent="0.25">
      <c r="A15" t="s">
        <v>34</v>
      </c>
      <c r="B15" t="s">
        <v>14</v>
      </c>
      <c r="C15">
        <f>COUNTIF('Phase 03 Patient &amp; Records'!$O$2:$O$101,"P3-S12")</f>
      </c>
      <c r="D15">
        <f>COUNTIFS('Phase 03 Patient &amp; Records'!$O$2:$O$101,"P3-S12",'Phase 03 Patient &amp; Records'!$G$2:$G$101,"PASS")</f>
      </c>
      <c r="E15">
        <f>COUNTIFS('Phase 03 Patient &amp; Records'!$O$2:$O$101,"P3-S12",'Phase 03 Patient &amp; Records'!$G$2:$G$101,"FAIL")</f>
      </c>
      <c r="F15">
        <f>COUNTIF('Phase 03 Patient &amp; Records'!$O$2:$O$101,"P3-S12")-COUNTIFS('Phase 03 Patient &amp; Records'!$O$2:$O$101,"P3-S12",'Phase 03 Patient &amp; Records'!$G$2:$G$101,"PASS")-COUNTIFS('Phase 03 Patient &amp; Records'!$O$2:$O$101,"P3-S12",'Phase 03 Patient &amp; Records'!$G$2:$G$101,"FAIL")-COUNTIFS('Phase 03 Patient &amp; Records'!$O$2:$O$101,"P3-S12",'Phase 03 Patient &amp; Records'!$G$2:$G$101,"BLOCKED")</f>
      </c>
      <c r="G15" s="3">
        <f>IF(COUNTIFS('Phase 03 Patient &amp; Records'!$O$2:$O$101,"P3-S12",'Phase 03 Patient &amp; Records'!$G$2:$G$101,"FAIL")&gt;0,"FAIL",IF(COUNTIFS('Phase 03 Patient &amp; Records'!$O$2:$O$101,"P3-S12",'Phase 03 Patient &amp; Records'!$G$2:$G$101,"PASS")=COUNTIF('Phase 03 Patient &amp; Records'!$O$2:$O$101,"P3-S12"),"PASS",IF(COUNTIFS('Phase 03 Patient &amp; Records'!$O$2:$O$101,"P3-S12",'Phase 03 Patient &amp; Records'!$G$2:$G$101,"PASS")+COUNTIFS('Phase 03 Patient &amp; Records'!$O$2:$O$101,"P3-S12",'Phase 03 Patient &amp; Records'!$G$2:$G$101,"BLOCKED")&gt;0,"IN PROGRESS","NOT STARTED")))</f>
      </c>
    </row>
    <row r="16" spans="1:7" x14ac:dyDescent="0.25">
      <c r="A16" t="s">
        <v>35</v>
      </c>
      <c r="B16" t="s">
        <v>15</v>
      </c>
      <c r="C16">
        <f>COUNTIF('Phase 04 OPD Journey'!$O$2:$O$261,"P4-S01")</f>
      </c>
      <c r="D16">
        <f>COUNTIFS('Phase 04 OPD Journey'!$O$2:$O$261,"P4-S01",'Phase 04 OPD Journey'!$G$2:$G$261,"PASS")</f>
      </c>
      <c r="E16">
        <f>COUNTIFS('Phase 04 OPD Journey'!$O$2:$O$261,"P4-S01",'Phase 04 OPD Journey'!$G$2:$G$261,"FAIL")</f>
      </c>
      <c r="F16">
        <f>COUNTIF('Phase 04 OPD Journey'!$O$2:$O$261,"P4-S01")-COUNTIFS('Phase 04 OPD Journey'!$O$2:$O$261,"P4-S01",'Phase 04 OPD Journey'!$G$2:$G$261,"PASS")-COUNTIFS('Phase 04 OPD Journey'!$O$2:$O$261,"P4-S01",'Phase 04 OPD Journey'!$G$2:$G$261,"FAIL")-COUNTIFS('Phase 04 OPD Journey'!$O$2:$O$261,"P4-S01",'Phase 04 OPD Journey'!$G$2:$G$261,"BLOCKED")</f>
      </c>
      <c r="G16" s="3">
        <f>IF(COUNTIFS('Phase 04 OPD Journey'!$O$2:$O$261,"P4-S01",'Phase 04 OPD Journey'!$G$2:$G$261,"FAIL")&gt;0,"FAIL",IF(COUNTIFS('Phase 04 OPD Journey'!$O$2:$O$261,"P4-S01",'Phase 04 OPD Journey'!$G$2:$G$261,"PASS")=COUNTIF('Phase 04 OPD Journey'!$O$2:$O$261,"P4-S01"),"PASS",IF(COUNTIFS('Phase 04 OPD Journey'!$O$2:$O$261,"P4-S01",'Phase 04 OPD Journey'!$G$2:$G$261,"PASS")+COUNTIFS('Phase 04 OPD Journey'!$O$2:$O$261,"P4-S01",'Phase 04 OPD Journey'!$G$2:$G$261,"BLOCKED")&gt;0,"IN PROGRESS","NOT STARTED")))</f>
      </c>
    </row>
    <row r="17" spans="1:7" x14ac:dyDescent="0.25">
      <c r="A17" t="s">
        <v>36</v>
      </c>
      <c r="B17" t="s">
        <v>15</v>
      </c>
      <c r="C17">
        <f>COUNTIF('Phase 04 OPD Journey'!$O$2:$O$261,"P4-S02")</f>
      </c>
      <c r="D17">
        <f>COUNTIFS('Phase 04 OPD Journey'!$O$2:$O$261,"P4-S02",'Phase 04 OPD Journey'!$G$2:$G$261,"PASS")</f>
      </c>
      <c r="E17">
        <f>COUNTIFS('Phase 04 OPD Journey'!$O$2:$O$261,"P4-S02",'Phase 04 OPD Journey'!$G$2:$G$261,"FAIL")</f>
      </c>
      <c r="F17">
        <f>COUNTIF('Phase 04 OPD Journey'!$O$2:$O$261,"P4-S02")-COUNTIFS('Phase 04 OPD Journey'!$O$2:$O$261,"P4-S02",'Phase 04 OPD Journey'!$G$2:$G$261,"PASS")-COUNTIFS('Phase 04 OPD Journey'!$O$2:$O$261,"P4-S02",'Phase 04 OPD Journey'!$G$2:$G$261,"FAIL")-COUNTIFS('Phase 04 OPD Journey'!$O$2:$O$261,"P4-S02",'Phase 04 OPD Journey'!$G$2:$G$261,"BLOCKED")</f>
      </c>
      <c r="G17" s="3">
        <f>IF(COUNTIFS('Phase 04 OPD Journey'!$O$2:$O$261,"P4-S02",'Phase 04 OPD Journey'!$G$2:$G$261,"FAIL")&gt;0,"FAIL",IF(COUNTIFS('Phase 04 OPD Journey'!$O$2:$O$261,"P4-S02",'Phase 04 OPD Journey'!$G$2:$G$261,"PASS")=COUNTIF('Phase 04 OPD Journey'!$O$2:$O$261,"P4-S02"),"PASS",IF(COUNTIFS('Phase 04 OPD Journey'!$O$2:$O$261,"P4-S02",'Phase 04 OPD Journey'!$G$2:$G$261,"PASS")+COUNTIFS('Phase 04 OPD Journey'!$O$2:$O$261,"P4-S02",'Phase 04 OPD Journey'!$G$2:$G$261,"BLOCKED")&gt;0,"IN PROGRESS","NOT STARTED")))</f>
      </c>
    </row>
    <row r="18" spans="1:7" x14ac:dyDescent="0.25">
      <c r="A18" t="s">
        <v>37</v>
      </c>
      <c r="B18" t="s">
        <v>15</v>
      </c>
      <c r="C18">
        <f>COUNTIF('Phase 04 OPD Journey'!$O$2:$O$261,"P4-S03")</f>
      </c>
      <c r="D18">
        <f>COUNTIFS('Phase 04 OPD Journey'!$O$2:$O$261,"P4-S03",'Phase 04 OPD Journey'!$G$2:$G$261,"PASS")</f>
      </c>
      <c r="E18">
        <f>COUNTIFS('Phase 04 OPD Journey'!$O$2:$O$261,"P4-S03",'Phase 04 OPD Journey'!$G$2:$G$261,"FAIL")</f>
      </c>
      <c r="F18">
        <f>COUNTIF('Phase 04 OPD Journey'!$O$2:$O$261,"P4-S03")-COUNTIFS('Phase 04 OPD Journey'!$O$2:$O$261,"P4-S03",'Phase 04 OPD Journey'!$G$2:$G$261,"PASS")-COUNTIFS('Phase 04 OPD Journey'!$O$2:$O$261,"P4-S03",'Phase 04 OPD Journey'!$G$2:$G$261,"FAIL")-COUNTIFS('Phase 04 OPD Journey'!$O$2:$O$261,"P4-S03",'Phase 04 OPD Journey'!$G$2:$G$261,"BLOCKED")</f>
      </c>
      <c r="G18" s="3">
        <f>IF(COUNTIFS('Phase 04 OPD Journey'!$O$2:$O$261,"P4-S03",'Phase 04 OPD Journey'!$G$2:$G$261,"FAIL")&gt;0,"FAIL",IF(COUNTIFS('Phase 04 OPD Journey'!$O$2:$O$261,"P4-S03",'Phase 04 OPD Journey'!$G$2:$G$261,"PASS")=COUNTIF('Phase 04 OPD Journey'!$O$2:$O$261,"P4-S03"),"PASS",IF(COUNTIFS('Phase 04 OPD Journey'!$O$2:$O$261,"P4-S03",'Phase 04 OPD Journey'!$G$2:$G$261,"PASS")+COUNTIFS('Phase 04 OPD Journey'!$O$2:$O$261,"P4-S03",'Phase 04 OPD Journey'!$G$2:$G$261,"BLOCKED")&gt;0,"IN PROGRESS","NOT STARTED")))</f>
      </c>
    </row>
    <row r="19" spans="1:7" x14ac:dyDescent="0.25">
      <c r="A19" t="s">
        <v>38</v>
      </c>
      <c r="B19" t="s">
        <v>15</v>
      </c>
      <c r="C19">
        <f>COUNTIF('Phase 04 OPD Journey'!$O$2:$O$261,"P4-S04")</f>
      </c>
      <c r="D19">
        <f>COUNTIFS('Phase 04 OPD Journey'!$O$2:$O$261,"P4-S04",'Phase 04 OPD Journey'!$G$2:$G$261,"PASS")</f>
      </c>
      <c r="E19">
        <f>COUNTIFS('Phase 04 OPD Journey'!$O$2:$O$261,"P4-S04",'Phase 04 OPD Journey'!$G$2:$G$261,"FAIL")</f>
      </c>
      <c r="F19">
        <f>COUNTIF('Phase 04 OPD Journey'!$O$2:$O$261,"P4-S04")-COUNTIFS('Phase 04 OPD Journey'!$O$2:$O$261,"P4-S04",'Phase 04 OPD Journey'!$G$2:$G$261,"PASS")-COUNTIFS('Phase 04 OPD Journey'!$O$2:$O$261,"P4-S04",'Phase 04 OPD Journey'!$G$2:$G$261,"FAIL")-COUNTIFS('Phase 04 OPD Journey'!$O$2:$O$261,"P4-S04",'Phase 04 OPD Journey'!$G$2:$G$261,"BLOCKED")</f>
      </c>
      <c r="G19" s="3">
        <f>IF(COUNTIFS('Phase 04 OPD Journey'!$O$2:$O$261,"P4-S04",'Phase 04 OPD Journey'!$G$2:$G$261,"FAIL")&gt;0,"FAIL",IF(COUNTIFS('Phase 04 OPD Journey'!$O$2:$O$261,"P4-S04",'Phase 04 OPD Journey'!$G$2:$G$261,"PASS")=COUNTIF('Phase 04 OPD Journey'!$O$2:$O$261,"P4-S04"),"PASS",IF(COUNTIFS('Phase 04 OPD Journey'!$O$2:$O$261,"P4-S04",'Phase 04 OPD Journey'!$G$2:$G$261,"PASS")+COUNTIFS('Phase 04 OPD Journey'!$O$2:$O$261,"P4-S04",'Phase 04 OPD Journey'!$G$2:$G$261,"BLOCKED")&gt;0,"IN PROGRESS","NOT STARTED")))</f>
      </c>
    </row>
    <row r="20" spans="1:7" x14ac:dyDescent="0.25">
      <c r="A20" t="s">
        <v>39</v>
      </c>
      <c r="B20" t="s">
        <v>15</v>
      </c>
      <c r="C20">
        <f>COUNTIF('Phase 04 OPD Journey'!$O$2:$O$261,"P4-S05")</f>
      </c>
      <c r="D20">
        <f>COUNTIFS('Phase 04 OPD Journey'!$O$2:$O$261,"P4-S05",'Phase 04 OPD Journey'!$G$2:$G$261,"PASS")</f>
      </c>
      <c r="E20">
        <f>COUNTIFS('Phase 04 OPD Journey'!$O$2:$O$261,"P4-S05",'Phase 04 OPD Journey'!$G$2:$G$261,"FAIL")</f>
      </c>
      <c r="F20">
        <f>COUNTIF('Phase 04 OPD Journey'!$O$2:$O$261,"P4-S05")-COUNTIFS('Phase 04 OPD Journey'!$O$2:$O$261,"P4-S05",'Phase 04 OPD Journey'!$G$2:$G$261,"PASS")-COUNTIFS('Phase 04 OPD Journey'!$O$2:$O$261,"P4-S05",'Phase 04 OPD Journey'!$G$2:$G$261,"FAIL")-COUNTIFS('Phase 04 OPD Journey'!$O$2:$O$261,"P4-S05",'Phase 04 OPD Journey'!$G$2:$G$261,"BLOCKED")</f>
      </c>
      <c r="G20" s="3">
        <f>IF(COUNTIFS('Phase 04 OPD Journey'!$O$2:$O$261,"P4-S05",'Phase 04 OPD Journey'!$G$2:$G$261,"FAIL")&gt;0,"FAIL",IF(COUNTIFS('Phase 04 OPD Journey'!$O$2:$O$261,"P4-S05",'Phase 04 OPD Journey'!$G$2:$G$261,"PASS")=COUNTIF('Phase 04 OPD Journey'!$O$2:$O$261,"P4-S05"),"PASS",IF(COUNTIFS('Phase 04 OPD Journey'!$O$2:$O$261,"P4-S05",'Phase 04 OPD Journey'!$G$2:$G$261,"PASS")+COUNTIFS('Phase 04 OPD Journey'!$O$2:$O$261,"P4-S05",'Phase 04 OPD Journey'!$G$2:$G$261,"BLOCKED")&gt;0,"IN PROGRESS","NOT STARTED")))</f>
      </c>
    </row>
    <row r="21" spans="1:7" x14ac:dyDescent="0.25">
      <c r="A21" t="s">
        <v>40</v>
      </c>
      <c r="B21" t="s">
        <v>15</v>
      </c>
      <c r="C21">
        <f>COUNTIF('Phase 04 OPD Journey'!$O$2:$O$261,"P4-S06")</f>
      </c>
      <c r="D21">
        <f>COUNTIFS('Phase 04 OPD Journey'!$O$2:$O$261,"P4-S06",'Phase 04 OPD Journey'!$G$2:$G$261,"PASS")</f>
      </c>
      <c r="E21">
        <f>COUNTIFS('Phase 04 OPD Journey'!$O$2:$O$261,"P4-S06",'Phase 04 OPD Journey'!$G$2:$G$261,"FAIL")</f>
      </c>
      <c r="F21">
        <f>COUNTIF('Phase 04 OPD Journey'!$O$2:$O$261,"P4-S06")-COUNTIFS('Phase 04 OPD Journey'!$O$2:$O$261,"P4-S06",'Phase 04 OPD Journey'!$G$2:$G$261,"PASS")-COUNTIFS('Phase 04 OPD Journey'!$O$2:$O$261,"P4-S06",'Phase 04 OPD Journey'!$G$2:$G$261,"FAIL")-COUNTIFS('Phase 04 OPD Journey'!$O$2:$O$261,"P4-S06",'Phase 04 OPD Journey'!$G$2:$G$261,"BLOCKED")</f>
      </c>
      <c r="G21" s="3">
        <f>IF(COUNTIFS('Phase 04 OPD Journey'!$O$2:$O$261,"P4-S06",'Phase 04 OPD Journey'!$G$2:$G$261,"FAIL")&gt;0,"FAIL",IF(COUNTIFS('Phase 04 OPD Journey'!$O$2:$O$261,"P4-S06",'Phase 04 OPD Journey'!$G$2:$G$261,"PASS")=COUNTIF('Phase 04 OPD Journey'!$O$2:$O$261,"P4-S06"),"PASS",IF(COUNTIFS('Phase 04 OPD Journey'!$O$2:$O$261,"P4-S06",'Phase 04 OPD Journey'!$G$2:$G$261,"PASS")+COUNTIFS('Phase 04 OPD Journey'!$O$2:$O$261,"P4-S06",'Phase 04 OPD Journey'!$G$2:$G$261,"BLOCKED")&gt;0,"IN PROGRESS","NOT STARTED")))</f>
      </c>
    </row>
    <row r="22" spans="1:7" x14ac:dyDescent="0.25">
      <c r="A22" t="s">
        <v>41</v>
      </c>
      <c r="B22" t="s">
        <v>15</v>
      </c>
      <c r="C22">
        <f>COUNTIF('Phase 04 OPD Journey'!$O$2:$O$261,"P4-S07")</f>
      </c>
      <c r="D22">
        <f>COUNTIFS('Phase 04 OPD Journey'!$O$2:$O$261,"P4-S07",'Phase 04 OPD Journey'!$G$2:$G$261,"PASS")</f>
      </c>
      <c r="E22">
        <f>COUNTIFS('Phase 04 OPD Journey'!$O$2:$O$261,"P4-S07",'Phase 04 OPD Journey'!$G$2:$G$261,"FAIL")</f>
      </c>
      <c r="F22">
        <f>COUNTIF('Phase 04 OPD Journey'!$O$2:$O$261,"P4-S07")-COUNTIFS('Phase 04 OPD Journey'!$O$2:$O$261,"P4-S07",'Phase 04 OPD Journey'!$G$2:$G$261,"PASS")-COUNTIFS('Phase 04 OPD Journey'!$O$2:$O$261,"P4-S07",'Phase 04 OPD Journey'!$G$2:$G$261,"FAIL")-COUNTIFS('Phase 04 OPD Journey'!$O$2:$O$261,"P4-S07",'Phase 04 OPD Journey'!$G$2:$G$261,"BLOCKED")</f>
      </c>
      <c r="G22" s="3">
        <f>IF(COUNTIFS('Phase 04 OPD Journey'!$O$2:$O$261,"P4-S07",'Phase 04 OPD Journey'!$G$2:$G$261,"FAIL")&gt;0,"FAIL",IF(COUNTIFS('Phase 04 OPD Journey'!$O$2:$O$261,"P4-S07",'Phase 04 OPD Journey'!$G$2:$G$261,"PASS")=COUNTIF('Phase 04 OPD Journey'!$O$2:$O$261,"P4-S07"),"PASS",IF(COUNTIFS('Phase 04 OPD Journey'!$O$2:$O$261,"P4-S07",'Phase 04 OPD Journey'!$G$2:$G$261,"PASS")+COUNTIFS('Phase 04 OPD Journey'!$O$2:$O$261,"P4-S07",'Phase 04 OPD Journey'!$G$2:$G$261,"BLOCKED")&gt;0,"IN PROGRESS","NOT STARTED")))</f>
      </c>
    </row>
    <row r="23" spans="1:7" x14ac:dyDescent="0.25">
      <c r="A23" t="s">
        <v>42</v>
      </c>
      <c r="B23" t="s">
        <v>15</v>
      </c>
      <c r="C23">
        <f>COUNTIF('Phase 04 OPD Journey'!$O$2:$O$261,"P4-S08")</f>
      </c>
      <c r="D23">
        <f>COUNTIFS('Phase 04 OPD Journey'!$O$2:$O$261,"P4-S08",'Phase 04 OPD Journey'!$G$2:$G$261,"PASS")</f>
      </c>
      <c r="E23">
        <f>COUNTIFS('Phase 04 OPD Journey'!$O$2:$O$261,"P4-S08",'Phase 04 OPD Journey'!$G$2:$G$261,"FAIL")</f>
      </c>
      <c r="F23">
        <f>COUNTIF('Phase 04 OPD Journey'!$O$2:$O$261,"P4-S08")-COUNTIFS('Phase 04 OPD Journey'!$O$2:$O$261,"P4-S08",'Phase 04 OPD Journey'!$G$2:$G$261,"PASS")-COUNTIFS('Phase 04 OPD Journey'!$O$2:$O$261,"P4-S08",'Phase 04 OPD Journey'!$G$2:$G$261,"FAIL")-COUNTIFS('Phase 04 OPD Journey'!$O$2:$O$261,"P4-S08",'Phase 04 OPD Journey'!$G$2:$G$261,"BLOCKED")</f>
      </c>
      <c r="G23" s="3">
        <f>IF(COUNTIFS('Phase 04 OPD Journey'!$O$2:$O$261,"P4-S08",'Phase 04 OPD Journey'!$G$2:$G$261,"FAIL")&gt;0,"FAIL",IF(COUNTIFS('Phase 04 OPD Journey'!$O$2:$O$261,"P4-S08",'Phase 04 OPD Journey'!$G$2:$G$261,"PASS")=COUNTIF('Phase 04 OPD Journey'!$O$2:$O$261,"P4-S08"),"PASS",IF(COUNTIFS('Phase 04 OPD Journey'!$O$2:$O$261,"P4-S08",'Phase 04 OPD Journey'!$G$2:$G$261,"PASS")+COUNTIFS('Phase 04 OPD Journey'!$O$2:$O$261,"P4-S08",'Phase 04 OPD Journey'!$G$2:$G$261,"BLOCKED")&gt;0,"IN PROGRESS","NOT STARTED")))</f>
      </c>
    </row>
    <row r="24" spans="1:7" x14ac:dyDescent="0.25">
      <c r="A24" t="s">
        <v>43</v>
      </c>
      <c r="B24" t="s">
        <v>15</v>
      </c>
      <c r="C24">
        <f>COUNTIF('Phase 04 OPD Journey'!$O$2:$O$261,"P4-S09")</f>
      </c>
      <c r="D24">
        <f>COUNTIFS('Phase 04 OPD Journey'!$O$2:$O$261,"P4-S09",'Phase 04 OPD Journey'!$G$2:$G$261,"PASS")</f>
      </c>
      <c r="E24">
        <f>COUNTIFS('Phase 04 OPD Journey'!$O$2:$O$261,"P4-S09",'Phase 04 OPD Journey'!$G$2:$G$261,"FAIL")</f>
      </c>
      <c r="F24">
        <f>COUNTIF('Phase 04 OPD Journey'!$O$2:$O$261,"P4-S09")-COUNTIFS('Phase 04 OPD Journey'!$O$2:$O$261,"P4-S09",'Phase 04 OPD Journey'!$G$2:$G$261,"PASS")-COUNTIFS('Phase 04 OPD Journey'!$O$2:$O$261,"P4-S09",'Phase 04 OPD Journey'!$G$2:$G$261,"FAIL")-COUNTIFS('Phase 04 OPD Journey'!$O$2:$O$261,"P4-S09",'Phase 04 OPD Journey'!$G$2:$G$261,"BLOCKED")</f>
      </c>
      <c r="G24" s="3">
        <f>IF(COUNTIFS('Phase 04 OPD Journey'!$O$2:$O$261,"P4-S09",'Phase 04 OPD Journey'!$G$2:$G$261,"FAIL")&gt;0,"FAIL",IF(COUNTIFS('Phase 04 OPD Journey'!$O$2:$O$261,"P4-S09",'Phase 04 OPD Journey'!$G$2:$G$261,"PASS")=COUNTIF('Phase 04 OPD Journey'!$O$2:$O$261,"P4-S09"),"PASS",IF(COUNTIFS('Phase 04 OPD Journey'!$O$2:$O$261,"P4-S09",'Phase 04 OPD Journey'!$G$2:$G$261,"PASS")+COUNTIFS('Phase 04 OPD Journey'!$O$2:$O$261,"P4-S09",'Phase 04 OPD Journey'!$G$2:$G$261,"BLOCKED")&gt;0,"IN PROGRESS","NOT STARTED")))</f>
      </c>
    </row>
    <row r="25" spans="1:7" x14ac:dyDescent="0.25">
      <c r="A25" t="s">
        <v>44</v>
      </c>
      <c r="B25" t="s">
        <v>15</v>
      </c>
      <c r="C25">
        <f>COUNTIF('Phase 04 OPD Journey'!$O$2:$O$261,"P4-S10")</f>
      </c>
      <c r="D25">
        <f>COUNTIFS('Phase 04 OPD Journey'!$O$2:$O$261,"P4-S10",'Phase 04 OPD Journey'!$G$2:$G$261,"PASS")</f>
      </c>
      <c r="E25">
        <f>COUNTIFS('Phase 04 OPD Journey'!$O$2:$O$261,"P4-S10",'Phase 04 OPD Journey'!$G$2:$G$261,"FAIL")</f>
      </c>
      <c r="F25">
        <f>COUNTIF('Phase 04 OPD Journey'!$O$2:$O$261,"P4-S10")-COUNTIFS('Phase 04 OPD Journey'!$O$2:$O$261,"P4-S10",'Phase 04 OPD Journey'!$G$2:$G$261,"PASS")-COUNTIFS('Phase 04 OPD Journey'!$O$2:$O$261,"P4-S10",'Phase 04 OPD Journey'!$G$2:$G$261,"FAIL")-COUNTIFS('Phase 04 OPD Journey'!$O$2:$O$261,"P4-S10",'Phase 04 OPD Journey'!$G$2:$G$261,"BLOCKED")</f>
      </c>
      <c r="G25" s="3">
        <f>IF(COUNTIFS('Phase 04 OPD Journey'!$O$2:$O$261,"P4-S10",'Phase 04 OPD Journey'!$G$2:$G$261,"FAIL")&gt;0,"FAIL",IF(COUNTIFS('Phase 04 OPD Journey'!$O$2:$O$261,"P4-S10",'Phase 04 OPD Journey'!$G$2:$G$261,"PASS")=COUNTIF('Phase 04 OPD Journey'!$O$2:$O$261,"P4-S10"),"PASS",IF(COUNTIFS('Phase 04 OPD Journey'!$O$2:$O$261,"P4-S10",'Phase 04 OPD Journey'!$G$2:$G$261,"PASS")+COUNTIFS('Phase 04 OPD Journey'!$O$2:$O$261,"P4-S10",'Phase 04 OPD Journey'!$G$2:$G$261,"BLOCKED")&gt;0,"IN PROGRESS","NOT STARTED")))</f>
      </c>
    </row>
    <row r="26" spans="1:7" x14ac:dyDescent="0.25">
      <c r="A26" t="s">
        <v>45</v>
      </c>
      <c r="B26" t="s">
        <v>15</v>
      </c>
      <c r="C26">
        <f>COUNTIF('Phase 04 OPD Journey'!$O$2:$O$261,"P4-S11")</f>
      </c>
      <c r="D26">
        <f>COUNTIFS('Phase 04 OPD Journey'!$O$2:$O$261,"P4-S11",'Phase 04 OPD Journey'!$G$2:$G$261,"PASS")</f>
      </c>
      <c r="E26">
        <f>COUNTIFS('Phase 04 OPD Journey'!$O$2:$O$261,"P4-S11",'Phase 04 OPD Journey'!$G$2:$G$261,"FAIL")</f>
      </c>
      <c r="F26">
        <f>COUNTIF('Phase 04 OPD Journey'!$O$2:$O$261,"P4-S11")-COUNTIFS('Phase 04 OPD Journey'!$O$2:$O$261,"P4-S11",'Phase 04 OPD Journey'!$G$2:$G$261,"PASS")-COUNTIFS('Phase 04 OPD Journey'!$O$2:$O$261,"P4-S11",'Phase 04 OPD Journey'!$G$2:$G$261,"FAIL")-COUNTIFS('Phase 04 OPD Journey'!$O$2:$O$261,"P4-S11",'Phase 04 OPD Journey'!$G$2:$G$261,"BLOCKED")</f>
      </c>
      <c r="G26" s="3">
        <f>IF(COUNTIFS('Phase 04 OPD Journey'!$O$2:$O$261,"P4-S11",'Phase 04 OPD Journey'!$G$2:$G$261,"FAIL")&gt;0,"FAIL",IF(COUNTIFS('Phase 04 OPD Journey'!$O$2:$O$261,"P4-S11",'Phase 04 OPD Journey'!$G$2:$G$261,"PASS")=COUNTIF('Phase 04 OPD Journey'!$O$2:$O$261,"P4-S11"),"PASS",IF(COUNTIFS('Phase 04 OPD Journey'!$O$2:$O$261,"P4-S11",'Phase 04 OPD Journey'!$G$2:$G$261,"PASS")+COUNTIFS('Phase 04 OPD Journey'!$O$2:$O$261,"P4-S11",'Phase 04 OPD Journey'!$G$2:$G$261,"BLOCKED")&gt;0,"IN PROGRESS","NOT STARTED")))</f>
      </c>
    </row>
    <row r="27" spans="1:7" x14ac:dyDescent="0.25">
      <c r="A27" t="s">
        <v>46</v>
      </c>
      <c r="B27" t="s">
        <v>15</v>
      </c>
      <c r="C27">
        <f>COUNTIF('Phase 04 OPD Journey'!$O$2:$O$261,"P4-S12")</f>
      </c>
      <c r="D27">
        <f>COUNTIFS('Phase 04 OPD Journey'!$O$2:$O$261,"P4-S12",'Phase 04 OPD Journey'!$G$2:$G$261,"PASS")</f>
      </c>
      <c r="E27">
        <f>COUNTIFS('Phase 04 OPD Journey'!$O$2:$O$261,"P4-S12",'Phase 04 OPD Journey'!$G$2:$G$261,"FAIL")</f>
      </c>
      <c r="F27">
        <f>COUNTIF('Phase 04 OPD Journey'!$O$2:$O$261,"P4-S12")-COUNTIFS('Phase 04 OPD Journey'!$O$2:$O$261,"P4-S12",'Phase 04 OPD Journey'!$G$2:$G$261,"PASS")-COUNTIFS('Phase 04 OPD Journey'!$O$2:$O$261,"P4-S12",'Phase 04 OPD Journey'!$G$2:$G$261,"FAIL")-COUNTIFS('Phase 04 OPD Journey'!$O$2:$O$261,"P4-S12",'Phase 04 OPD Journey'!$G$2:$G$261,"BLOCKED")</f>
      </c>
      <c r="G27" s="3">
        <f>IF(COUNTIFS('Phase 04 OPD Journey'!$O$2:$O$261,"P4-S12",'Phase 04 OPD Journey'!$G$2:$G$261,"FAIL")&gt;0,"FAIL",IF(COUNTIFS('Phase 04 OPD Journey'!$O$2:$O$261,"P4-S12",'Phase 04 OPD Journey'!$G$2:$G$261,"PASS")=COUNTIF('Phase 04 OPD Journey'!$O$2:$O$261,"P4-S12"),"PASS",IF(COUNTIFS('Phase 04 OPD Journey'!$O$2:$O$261,"P4-S12",'Phase 04 OPD Journey'!$G$2:$G$261,"PASS")+COUNTIFS('Phase 04 OPD Journey'!$O$2:$O$261,"P4-S12",'Phase 04 OPD Journey'!$G$2:$G$261,"BLOCKED")&gt;0,"IN PROGRESS","NOT STARTED")))</f>
      </c>
    </row>
    <row r="28" spans="1:7" x14ac:dyDescent="0.25">
      <c r="A28" t="s">
        <v>47</v>
      </c>
      <c r="B28" t="s">
        <v>15</v>
      </c>
      <c r="C28">
        <f>COUNTIF('Phase 04 OPD Journey'!$O$2:$O$261,"P4-S13")</f>
      </c>
      <c r="D28">
        <f>COUNTIFS('Phase 04 OPD Journey'!$O$2:$O$261,"P4-S13",'Phase 04 OPD Journey'!$G$2:$G$261,"PASS")</f>
      </c>
      <c r="E28">
        <f>COUNTIFS('Phase 04 OPD Journey'!$O$2:$O$261,"P4-S13",'Phase 04 OPD Journey'!$G$2:$G$261,"FAIL")</f>
      </c>
      <c r="F28">
        <f>COUNTIF('Phase 04 OPD Journey'!$O$2:$O$261,"P4-S13")-COUNTIFS('Phase 04 OPD Journey'!$O$2:$O$261,"P4-S13",'Phase 04 OPD Journey'!$G$2:$G$261,"PASS")-COUNTIFS('Phase 04 OPD Journey'!$O$2:$O$261,"P4-S13",'Phase 04 OPD Journey'!$G$2:$G$261,"FAIL")-COUNTIFS('Phase 04 OPD Journey'!$O$2:$O$261,"P4-S13",'Phase 04 OPD Journey'!$G$2:$G$261,"BLOCKED")</f>
      </c>
      <c r="G28" s="3">
        <f>IF(COUNTIFS('Phase 04 OPD Journey'!$O$2:$O$261,"P4-S13",'Phase 04 OPD Journey'!$G$2:$G$261,"FAIL")&gt;0,"FAIL",IF(COUNTIFS('Phase 04 OPD Journey'!$O$2:$O$261,"P4-S13",'Phase 04 OPD Journey'!$G$2:$G$261,"PASS")=COUNTIF('Phase 04 OPD Journey'!$O$2:$O$261,"P4-S13"),"PASS",IF(COUNTIFS('Phase 04 OPD Journey'!$O$2:$O$261,"P4-S13",'Phase 04 OPD Journey'!$G$2:$G$261,"PASS")+COUNTIFS('Phase 04 OPD Journey'!$O$2:$O$261,"P4-S13",'Phase 04 OPD Journey'!$G$2:$G$261,"BLOCKED")&gt;0,"IN PROGRESS","NOT STARTED")))</f>
      </c>
    </row>
    <row r="29" spans="1:7" x14ac:dyDescent="0.25">
      <c r="A29" t="s">
        <v>48</v>
      </c>
      <c r="B29" t="s">
        <v>15</v>
      </c>
      <c r="C29">
        <f>COUNTIF('Phase 04 OPD Journey'!$O$2:$O$261,"P4-S14")</f>
      </c>
      <c r="D29">
        <f>COUNTIFS('Phase 04 OPD Journey'!$O$2:$O$261,"P4-S14",'Phase 04 OPD Journey'!$G$2:$G$261,"PASS")</f>
      </c>
      <c r="E29">
        <f>COUNTIFS('Phase 04 OPD Journey'!$O$2:$O$261,"P4-S14",'Phase 04 OPD Journey'!$G$2:$G$261,"FAIL")</f>
      </c>
      <c r="F29">
        <f>COUNTIF('Phase 04 OPD Journey'!$O$2:$O$261,"P4-S14")-COUNTIFS('Phase 04 OPD Journey'!$O$2:$O$261,"P4-S14",'Phase 04 OPD Journey'!$G$2:$G$261,"PASS")-COUNTIFS('Phase 04 OPD Journey'!$O$2:$O$261,"P4-S14",'Phase 04 OPD Journey'!$G$2:$G$261,"FAIL")-COUNTIFS('Phase 04 OPD Journey'!$O$2:$O$261,"P4-S14",'Phase 04 OPD Journey'!$G$2:$G$261,"BLOCKED")</f>
      </c>
      <c r="G29" s="3">
        <f>IF(COUNTIFS('Phase 04 OPD Journey'!$O$2:$O$261,"P4-S14",'Phase 04 OPD Journey'!$G$2:$G$261,"FAIL")&gt;0,"FAIL",IF(COUNTIFS('Phase 04 OPD Journey'!$O$2:$O$261,"P4-S14",'Phase 04 OPD Journey'!$G$2:$G$261,"PASS")=COUNTIF('Phase 04 OPD Journey'!$O$2:$O$261,"P4-S14"),"PASS",IF(COUNTIFS('Phase 04 OPD Journey'!$O$2:$O$261,"P4-S14",'Phase 04 OPD Journey'!$G$2:$G$261,"PASS")+COUNTIFS('Phase 04 OPD Journey'!$O$2:$O$261,"P4-S14",'Phase 04 OPD Journey'!$G$2:$G$261,"BLOCKED")&gt;0,"IN PROGRESS","NOT STARTED")))</f>
      </c>
    </row>
    <row r="30" spans="1:7" x14ac:dyDescent="0.25">
      <c r="A30" t="s">
        <v>49</v>
      </c>
      <c r="B30" t="s">
        <v>15</v>
      </c>
      <c r="C30">
        <f>COUNTIF('Phase 04 OPD Journey'!$O$2:$O$261,"P4-S15")</f>
      </c>
      <c r="D30">
        <f>COUNTIFS('Phase 04 OPD Journey'!$O$2:$O$261,"P4-S15",'Phase 04 OPD Journey'!$G$2:$G$261,"PASS")</f>
      </c>
      <c r="E30">
        <f>COUNTIFS('Phase 04 OPD Journey'!$O$2:$O$261,"P4-S15",'Phase 04 OPD Journey'!$G$2:$G$261,"FAIL")</f>
      </c>
      <c r="F30">
        <f>COUNTIF('Phase 04 OPD Journey'!$O$2:$O$261,"P4-S15")-COUNTIFS('Phase 04 OPD Journey'!$O$2:$O$261,"P4-S15",'Phase 04 OPD Journey'!$G$2:$G$261,"PASS")-COUNTIFS('Phase 04 OPD Journey'!$O$2:$O$261,"P4-S15",'Phase 04 OPD Journey'!$G$2:$G$261,"FAIL")-COUNTIFS('Phase 04 OPD Journey'!$O$2:$O$261,"P4-S15",'Phase 04 OPD Journey'!$G$2:$G$261,"BLOCKED")</f>
      </c>
      <c r="G30" s="3">
        <f>IF(COUNTIFS('Phase 04 OPD Journey'!$O$2:$O$261,"P4-S15",'Phase 04 OPD Journey'!$G$2:$G$261,"FAIL")&gt;0,"FAIL",IF(COUNTIFS('Phase 04 OPD Journey'!$O$2:$O$261,"P4-S15",'Phase 04 OPD Journey'!$G$2:$G$261,"PASS")=COUNTIF('Phase 04 OPD Journey'!$O$2:$O$261,"P4-S15"),"PASS",IF(COUNTIFS('Phase 04 OPD Journey'!$O$2:$O$261,"P4-S15",'Phase 04 OPD Journey'!$G$2:$G$261,"PASS")+COUNTIFS('Phase 04 OPD Journey'!$O$2:$O$261,"P4-S15",'Phase 04 OPD Journey'!$G$2:$G$261,"BLOCKED")&gt;0,"IN PROGRESS","NOT STARTED")))</f>
      </c>
    </row>
    <row r="31" spans="1:7" x14ac:dyDescent="0.25">
      <c r="A31" t="s">
        <v>50</v>
      </c>
      <c r="B31" t="s">
        <v>15</v>
      </c>
      <c r="C31">
        <f>COUNTIF('Phase 04 OPD Journey'!$O$2:$O$261,"P4-S16")</f>
      </c>
      <c r="D31">
        <f>COUNTIFS('Phase 04 OPD Journey'!$O$2:$O$261,"P4-S16",'Phase 04 OPD Journey'!$G$2:$G$261,"PASS")</f>
      </c>
      <c r="E31">
        <f>COUNTIFS('Phase 04 OPD Journey'!$O$2:$O$261,"P4-S16",'Phase 04 OPD Journey'!$G$2:$G$261,"FAIL")</f>
      </c>
      <c r="F31">
        <f>COUNTIF('Phase 04 OPD Journey'!$O$2:$O$261,"P4-S16")-COUNTIFS('Phase 04 OPD Journey'!$O$2:$O$261,"P4-S16",'Phase 04 OPD Journey'!$G$2:$G$261,"PASS")-COUNTIFS('Phase 04 OPD Journey'!$O$2:$O$261,"P4-S16",'Phase 04 OPD Journey'!$G$2:$G$261,"FAIL")-COUNTIFS('Phase 04 OPD Journey'!$O$2:$O$261,"P4-S16",'Phase 04 OPD Journey'!$G$2:$G$261,"BLOCKED")</f>
      </c>
      <c r="G31" s="3">
        <f>IF(COUNTIFS('Phase 04 OPD Journey'!$O$2:$O$261,"P4-S16",'Phase 04 OPD Journey'!$G$2:$G$261,"FAIL")&gt;0,"FAIL",IF(COUNTIFS('Phase 04 OPD Journey'!$O$2:$O$261,"P4-S16",'Phase 04 OPD Journey'!$G$2:$G$261,"PASS")=COUNTIF('Phase 04 OPD Journey'!$O$2:$O$261,"P4-S16"),"PASS",IF(COUNTIFS('Phase 04 OPD Journey'!$O$2:$O$261,"P4-S16",'Phase 04 OPD Journey'!$G$2:$G$261,"PASS")+COUNTIFS('Phase 04 OPD Journey'!$O$2:$O$261,"P4-S16",'Phase 04 OPD Journey'!$G$2:$G$261,"BLOCKED")&gt;0,"IN PROGRESS","NOT STARTED")))</f>
      </c>
    </row>
    <row r="32" spans="1:7" x14ac:dyDescent="0.25">
      <c r="A32" t="s">
        <v>51</v>
      </c>
      <c r="B32" t="s">
        <v>15</v>
      </c>
      <c r="C32">
        <f>COUNTIF('Phase 04 OPD Journey'!$O$2:$O$261,"P4-S17")</f>
      </c>
      <c r="D32">
        <f>COUNTIFS('Phase 04 OPD Journey'!$O$2:$O$261,"P4-S17",'Phase 04 OPD Journey'!$G$2:$G$261,"PASS")</f>
      </c>
      <c r="E32">
        <f>COUNTIFS('Phase 04 OPD Journey'!$O$2:$O$261,"P4-S17",'Phase 04 OPD Journey'!$G$2:$G$261,"FAIL")</f>
      </c>
      <c r="F32">
        <f>COUNTIF('Phase 04 OPD Journey'!$O$2:$O$261,"P4-S17")-COUNTIFS('Phase 04 OPD Journey'!$O$2:$O$261,"P4-S17",'Phase 04 OPD Journey'!$G$2:$G$261,"PASS")-COUNTIFS('Phase 04 OPD Journey'!$O$2:$O$261,"P4-S17",'Phase 04 OPD Journey'!$G$2:$G$261,"FAIL")-COUNTIFS('Phase 04 OPD Journey'!$O$2:$O$261,"P4-S17",'Phase 04 OPD Journey'!$G$2:$G$261,"BLOCKED")</f>
      </c>
      <c r="G32" s="3">
        <f>IF(COUNTIFS('Phase 04 OPD Journey'!$O$2:$O$261,"P4-S17",'Phase 04 OPD Journey'!$G$2:$G$261,"FAIL")&gt;0,"FAIL",IF(COUNTIFS('Phase 04 OPD Journey'!$O$2:$O$261,"P4-S17",'Phase 04 OPD Journey'!$G$2:$G$261,"PASS")=COUNTIF('Phase 04 OPD Journey'!$O$2:$O$261,"P4-S17"),"PASS",IF(COUNTIFS('Phase 04 OPD Journey'!$O$2:$O$261,"P4-S17",'Phase 04 OPD Journey'!$G$2:$G$261,"PASS")+COUNTIFS('Phase 04 OPD Journey'!$O$2:$O$261,"P4-S17",'Phase 04 OPD Journey'!$G$2:$G$261,"BLOCKED")&gt;0,"IN PROGRESS","NOT STARTED")))</f>
      </c>
    </row>
    <row r="33" spans="1:7" x14ac:dyDescent="0.25">
      <c r="A33" t="s">
        <v>52</v>
      </c>
      <c r="B33" t="s">
        <v>15</v>
      </c>
      <c r="C33">
        <f>COUNTIF('Phase 04 OPD Journey'!$O$2:$O$261,"P4-S18")</f>
      </c>
      <c r="D33">
        <f>COUNTIFS('Phase 04 OPD Journey'!$O$2:$O$261,"P4-S18",'Phase 04 OPD Journey'!$G$2:$G$261,"PASS")</f>
      </c>
      <c r="E33">
        <f>COUNTIFS('Phase 04 OPD Journey'!$O$2:$O$261,"P4-S18",'Phase 04 OPD Journey'!$G$2:$G$261,"FAIL")</f>
      </c>
      <c r="F33">
        <f>COUNTIF('Phase 04 OPD Journey'!$O$2:$O$261,"P4-S18")-COUNTIFS('Phase 04 OPD Journey'!$O$2:$O$261,"P4-S18",'Phase 04 OPD Journey'!$G$2:$G$261,"PASS")-COUNTIFS('Phase 04 OPD Journey'!$O$2:$O$261,"P4-S18",'Phase 04 OPD Journey'!$G$2:$G$261,"FAIL")-COUNTIFS('Phase 04 OPD Journey'!$O$2:$O$261,"P4-S18",'Phase 04 OPD Journey'!$G$2:$G$261,"BLOCKED")</f>
      </c>
      <c r="G33" s="3">
        <f>IF(COUNTIFS('Phase 04 OPD Journey'!$O$2:$O$261,"P4-S18",'Phase 04 OPD Journey'!$G$2:$G$261,"FAIL")&gt;0,"FAIL",IF(COUNTIFS('Phase 04 OPD Journey'!$O$2:$O$261,"P4-S18",'Phase 04 OPD Journey'!$G$2:$G$261,"PASS")=COUNTIF('Phase 04 OPD Journey'!$O$2:$O$261,"P4-S18"),"PASS",IF(COUNTIFS('Phase 04 OPD Journey'!$O$2:$O$261,"P4-S18",'Phase 04 OPD Journey'!$G$2:$G$261,"PASS")+COUNTIFS('Phase 04 OPD Journey'!$O$2:$O$261,"P4-S18",'Phase 04 OPD Journey'!$G$2:$G$261,"BLOCKED")&gt;0,"IN PROGRESS","NOT STARTED")))</f>
      </c>
    </row>
    <row r="34" spans="1:7" x14ac:dyDescent="0.25">
      <c r="A34" t="s">
        <v>53</v>
      </c>
      <c r="B34" t="s">
        <v>15</v>
      </c>
      <c r="C34">
        <f>COUNTIF('Phase 04 OPD Journey'!$O$2:$O$261,"P4-S19")</f>
      </c>
      <c r="D34">
        <f>COUNTIFS('Phase 04 OPD Journey'!$O$2:$O$261,"P4-S19",'Phase 04 OPD Journey'!$G$2:$G$261,"PASS")</f>
      </c>
      <c r="E34">
        <f>COUNTIFS('Phase 04 OPD Journey'!$O$2:$O$261,"P4-S19",'Phase 04 OPD Journey'!$G$2:$G$261,"FAIL")</f>
      </c>
      <c r="F34">
        <f>COUNTIF('Phase 04 OPD Journey'!$O$2:$O$261,"P4-S19")-COUNTIFS('Phase 04 OPD Journey'!$O$2:$O$261,"P4-S19",'Phase 04 OPD Journey'!$G$2:$G$261,"PASS")-COUNTIFS('Phase 04 OPD Journey'!$O$2:$O$261,"P4-S19",'Phase 04 OPD Journey'!$G$2:$G$261,"FAIL")-COUNTIFS('Phase 04 OPD Journey'!$O$2:$O$261,"P4-S19",'Phase 04 OPD Journey'!$G$2:$G$261,"BLOCKED")</f>
      </c>
      <c r="G34" s="3">
        <f>IF(COUNTIFS('Phase 04 OPD Journey'!$O$2:$O$261,"P4-S19",'Phase 04 OPD Journey'!$G$2:$G$261,"FAIL")&gt;0,"FAIL",IF(COUNTIFS('Phase 04 OPD Journey'!$O$2:$O$261,"P4-S19",'Phase 04 OPD Journey'!$G$2:$G$261,"PASS")=COUNTIF('Phase 04 OPD Journey'!$O$2:$O$261,"P4-S19"),"PASS",IF(COUNTIFS('Phase 04 OPD Journey'!$O$2:$O$261,"P4-S19",'Phase 04 OPD Journey'!$G$2:$G$261,"PASS")+COUNTIFS('Phase 04 OPD Journey'!$O$2:$O$261,"P4-S19",'Phase 04 OPD Journey'!$G$2:$G$261,"BLOCKED")&gt;0,"IN PROGRESS","NOT STARTED")))</f>
      </c>
    </row>
    <row r="35" spans="1:7" x14ac:dyDescent="0.25">
      <c r="A35" t="s">
        <v>54</v>
      </c>
      <c r="B35" t="s">
        <v>15</v>
      </c>
      <c r="C35">
        <f>COUNTIF('Phase 04 OPD Journey'!$O$2:$O$261,"P4-S20")</f>
      </c>
      <c r="D35">
        <f>COUNTIFS('Phase 04 OPD Journey'!$O$2:$O$261,"P4-S20",'Phase 04 OPD Journey'!$G$2:$G$261,"PASS")</f>
      </c>
      <c r="E35">
        <f>COUNTIFS('Phase 04 OPD Journey'!$O$2:$O$261,"P4-S20",'Phase 04 OPD Journey'!$G$2:$G$261,"FAIL")</f>
      </c>
      <c r="F35">
        <f>COUNTIF('Phase 04 OPD Journey'!$O$2:$O$261,"P4-S20")-COUNTIFS('Phase 04 OPD Journey'!$O$2:$O$261,"P4-S20",'Phase 04 OPD Journey'!$G$2:$G$261,"PASS")-COUNTIFS('Phase 04 OPD Journey'!$O$2:$O$261,"P4-S20",'Phase 04 OPD Journey'!$G$2:$G$261,"FAIL")-COUNTIFS('Phase 04 OPD Journey'!$O$2:$O$261,"P4-S20",'Phase 04 OPD Journey'!$G$2:$G$261,"BLOCKED")</f>
      </c>
      <c r="G35" s="3">
        <f>IF(COUNTIFS('Phase 04 OPD Journey'!$O$2:$O$261,"P4-S20",'Phase 04 OPD Journey'!$G$2:$G$261,"FAIL")&gt;0,"FAIL",IF(COUNTIFS('Phase 04 OPD Journey'!$O$2:$O$261,"P4-S20",'Phase 04 OPD Journey'!$G$2:$G$261,"PASS")=COUNTIF('Phase 04 OPD Journey'!$O$2:$O$261,"P4-S20"),"PASS",IF(COUNTIFS('Phase 04 OPD Journey'!$O$2:$O$261,"P4-S20",'Phase 04 OPD Journey'!$G$2:$G$261,"PASS")+COUNTIFS('Phase 04 OPD Journey'!$O$2:$O$261,"P4-S20",'Phase 04 OPD Journey'!$G$2:$G$261,"BLOCKED")&gt;0,"IN PROGRESS","NOT STARTED")))</f>
      </c>
    </row>
    <row r="36" spans="1:7" x14ac:dyDescent="0.25">
      <c r="A36" t="s">
        <v>55</v>
      </c>
      <c r="B36" t="s">
        <v>15</v>
      </c>
      <c r="C36">
        <f>COUNTIF('Phase 04 OPD Journey'!$O$2:$O$261,"P4-S21")</f>
      </c>
      <c r="D36">
        <f>COUNTIFS('Phase 04 OPD Journey'!$O$2:$O$261,"P4-S21",'Phase 04 OPD Journey'!$G$2:$G$261,"PASS")</f>
      </c>
      <c r="E36">
        <f>COUNTIFS('Phase 04 OPD Journey'!$O$2:$O$261,"P4-S21",'Phase 04 OPD Journey'!$G$2:$G$261,"FAIL")</f>
      </c>
      <c r="F36">
        <f>COUNTIF('Phase 04 OPD Journey'!$O$2:$O$261,"P4-S21")-COUNTIFS('Phase 04 OPD Journey'!$O$2:$O$261,"P4-S21",'Phase 04 OPD Journey'!$G$2:$G$261,"PASS")-COUNTIFS('Phase 04 OPD Journey'!$O$2:$O$261,"P4-S21",'Phase 04 OPD Journey'!$G$2:$G$261,"FAIL")-COUNTIFS('Phase 04 OPD Journey'!$O$2:$O$261,"P4-S21",'Phase 04 OPD Journey'!$G$2:$G$261,"BLOCKED")</f>
      </c>
      <c r="G36" s="3">
        <f>IF(COUNTIFS('Phase 04 OPD Journey'!$O$2:$O$261,"P4-S21",'Phase 04 OPD Journey'!$G$2:$G$261,"FAIL")&gt;0,"FAIL",IF(COUNTIFS('Phase 04 OPD Journey'!$O$2:$O$261,"P4-S21",'Phase 04 OPD Journey'!$G$2:$G$261,"PASS")=COUNTIF('Phase 04 OPD Journey'!$O$2:$O$261,"P4-S21"),"PASS",IF(COUNTIFS('Phase 04 OPD Journey'!$O$2:$O$261,"P4-S21",'Phase 04 OPD Journey'!$G$2:$G$261,"PASS")+COUNTIFS('Phase 04 OPD Journey'!$O$2:$O$261,"P4-S21",'Phase 04 OPD Journey'!$G$2:$G$261,"BLOCKED")&gt;0,"IN PROGRESS","NOT STARTED")))</f>
      </c>
    </row>
    <row r="37" spans="1:7" x14ac:dyDescent="0.25">
      <c r="A37" t="s">
        <v>56</v>
      </c>
      <c r="B37" t="s">
        <v>15</v>
      </c>
      <c r="C37">
        <f>COUNTIF('Phase 04 OPD Journey'!$O$2:$O$261,"P4-S22")</f>
      </c>
      <c r="D37">
        <f>COUNTIFS('Phase 04 OPD Journey'!$O$2:$O$261,"P4-S22",'Phase 04 OPD Journey'!$G$2:$G$261,"PASS")</f>
      </c>
      <c r="E37">
        <f>COUNTIFS('Phase 04 OPD Journey'!$O$2:$O$261,"P4-S22",'Phase 04 OPD Journey'!$G$2:$G$261,"FAIL")</f>
      </c>
      <c r="F37">
        <f>COUNTIF('Phase 04 OPD Journey'!$O$2:$O$261,"P4-S22")-COUNTIFS('Phase 04 OPD Journey'!$O$2:$O$261,"P4-S22",'Phase 04 OPD Journey'!$G$2:$G$261,"PASS")-COUNTIFS('Phase 04 OPD Journey'!$O$2:$O$261,"P4-S22",'Phase 04 OPD Journey'!$G$2:$G$261,"FAIL")-COUNTIFS('Phase 04 OPD Journey'!$O$2:$O$261,"P4-S22",'Phase 04 OPD Journey'!$G$2:$G$261,"BLOCKED")</f>
      </c>
      <c r="G37" s="3">
        <f>IF(COUNTIFS('Phase 04 OPD Journey'!$O$2:$O$261,"P4-S22",'Phase 04 OPD Journey'!$G$2:$G$261,"FAIL")&gt;0,"FAIL",IF(COUNTIFS('Phase 04 OPD Journey'!$O$2:$O$261,"P4-S22",'Phase 04 OPD Journey'!$G$2:$G$261,"PASS")=COUNTIF('Phase 04 OPD Journey'!$O$2:$O$261,"P4-S22"),"PASS",IF(COUNTIFS('Phase 04 OPD Journey'!$O$2:$O$261,"P4-S22",'Phase 04 OPD Journey'!$G$2:$G$261,"PASS")+COUNTIFS('Phase 04 OPD Journey'!$O$2:$O$261,"P4-S22",'Phase 04 OPD Journey'!$G$2:$G$261,"BLOCKED")&gt;0,"IN PROGRESS","NOT STARTED")))</f>
      </c>
    </row>
    <row r="38" spans="1:7" x14ac:dyDescent="0.25">
      <c r="A38" t="s">
        <v>57</v>
      </c>
      <c r="B38" t="s">
        <v>15</v>
      </c>
      <c r="C38">
        <f>COUNTIF('Phase 04 OPD Journey'!$O$2:$O$261,"P4-S23")</f>
      </c>
      <c r="D38">
        <f>COUNTIFS('Phase 04 OPD Journey'!$O$2:$O$261,"P4-S23",'Phase 04 OPD Journey'!$G$2:$G$261,"PASS")</f>
      </c>
      <c r="E38">
        <f>COUNTIFS('Phase 04 OPD Journey'!$O$2:$O$261,"P4-S23",'Phase 04 OPD Journey'!$G$2:$G$261,"FAIL")</f>
      </c>
      <c r="F38">
        <f>COUNTIF('Phase 04 OPD Journey'!$O$2:$O$261,"P4-S23")-COUNTIFS('Phase 04 OPD Journey'!$O$2:$O$261,"P4-S23",'Phase 04 OPD Journey'!$G$2:$G$261,"PASS")-COUNTIFS('Phase 04 OPD Journey'!$O$2:$O$261,"P4-S23",'Phase 04 OPD Journey'!$G$2:$G$261,"FAIL")-COUNTIFS('Phase 04 OPD Journey'!$O$2:$O$261,"P4-S23",'Phase 04 OPD Journey'!$G$2:$G$261,"BLOCKED")</f>
      </c>
      <c r="G38" s="3">
        <f>IF(COUNTIFS('Phase 04 OPD Journey'!$O$2:$O$261,"P4-S23",'Phase 04 OPD Journey'!$G$2:$G$261,"FAIL")&gt;0,"FAIL",IF(COUNTIFS('Phase 04 OPD Journey'!$O$2:$O$261,"P4-S23",'Phase 04 OPD Journey'!$G$2:$G$261,"PASS")=COUNTIF('Phase 04 OPD Journey'!$O$2:$O$261,"P4-S23"),"PASS",IF(COUNTIFS('Phase 04 OPD Journey'!$O$2:$O$261,"P4-S23",'Phase 04 OPD Journey'!$G$2:$G$261,"PASS")+COUNTIFS('Phase 04 OPD Journey'!$O$2:$O$261,"P4-S23",'Phase 04 OPD Journey'!$G$2:$G$261,"BLOCKED")&gt;0,"IN PROGRESS","NOT STARTED")))</f>
      </c>
    </row>
    <row r="39" spans="1:7" x14ac:dyDescent="0.25">
      <c r="A39" t="s">
        <v>58</v>
      </c>
      <c r="B39" t="s">
        <v>15</v>
      </c>
      <c r="C39">
        <f>COUNTIF('Phase 04 OPD Journey'!$O$2:$O$261,"P4-S24")</f>
      </c>
      <c r="D39">
        <f>COUNTIFS('Phase 04 OPD Journey'!$O$2:$O$261,"P4-S24",'Phase 04 OPD Journey'!$G$2:$G$261,"PASS")</f>
      </c>
      <c r="E39">
        <f>COUNTIFS('Phase 04 OPD Journey'!$O$2:$O$261,"P4-S24",'Phase 04 OPD Journey'!$G$2:$G$261,"FAIL")</f>
      </c>
      <c r="F39">
        <f>COUNTIF('Phase 04 OPD Journey'!$O$2:$O$261,"P4-S24")-COUNTIFS('Phase 04 OPD Journey'!$O$2:$O$261,"P4-S24",'Phase 04 OPD Journey'!$G$2:$G$261,"PASS")-COUNTIFS('Phase 04 OPD Journey'!$O$2:$O$261,"P4-S24",'Phase 04 OPD Journey'!$G$2:$G$261,"FAIL")-COUNTIFS('Phase 04 OPD Journey'!$O$2:$O$261,"P4-S24",'Phase 04 OPD Journey'!$G$2:$G$261,"BLOCKED")</f>
      </c>
      <c r="G39" s="3">
        <f>IF(COUNTIFS('Phase 04 OPD Journey'!$O$2:$O$261,"P4-S24",'Phase 04 OPD Journey'!$G$2:$G$261,"FAIL")&gt;0,"FAIL",IF(COUNTIFS('Phase 04 OPD Journey'!$O$2:$O$261,"P4-S24",'Phase 04 OPD Journey'!$G$2:$G$261,"PASS")=COUNTIF('Phase 04 OPD Journey'!$O$2:$O$261,"P4-S24"),"PASS",IF(COUNTIFS('Phase 04 OPD Journey'!$O$2:$O$261,"P4-S24",'Phase 04 OPD Journey'!$G$2:$G$261,"PASS")+COUNTIFS('Phase 04 OPD Journey'!$O$2:$O$261,"P4-S24",'Phase 04 OPD Journey'!$G$2:$G$261,"BLOCKED")&gt;0,"IN PROGRESS","NOT STARTED")))</f>
      </c>
    </row>
    <row r="40" spans="1:7" x14ac:dyDescent="0.25">
      <c r="A40" t="s">
        <v>59</v>
      </c>
      <c r="B40" t="s">
        <v>16</v>
      </c>
      <c r="C40">
        <f>COUNTIF('Phase 05 Lab &amp; Radiology'!$O$2:$O$25,"P5-S01")</f>
      </c>
      <c r="D40">
        <f>COUNTIFS('Phase 05 Lab &amp; Radiology'!$O$2:$O$25,"P5-S01",'Phase 05 Lab &amp; Radiology'!$G$2:$G$25,"PASS")</f>
      </c>
      <c r="E40">
        <f>COUNTIFS('Phase 05 Lab &amp; Radiology'!$O$2:$O$25,"P5-S01",'Phase 05 Lab &amp; Radiology'!$G$2:$G$25,"FAIL")</f>
      </c>
      <c r="F40">
        <f>COUNTIF('Phase 05 Lab &amp; Radiology'!$O$2:$O$25,"P5-S01")-COUNTIFS('Phase 05 Lab &amp; Radiology'!$O$2:$O$25,"P5-S01",'Phase 05 Lab &amp; Radiology'!$G$2:$G$25,"PASS")-COUNTIFS('Phase 05 Lab &amp; Radiology'!$O$2:$O$25,"P5-S01",'Phase 05 Lab &amp; Radiology'!$G$2:$G$25,"FAIL")-COUNTIFS('Phase 05 Lab &amp; Radiology'!$O$2:$O$25,"P5-S01",'Phase 05 Lab &amp; Radiology'!$G$2:$G$25,"BLOCKED")</f>
      </c>
      <c r="G40" s="3">
        <f>IF(COUNTIFS('Phase 05 Lab &amp; Radiology'!$O$2:$O$25,"P5-S01",'Phase 05 Lab &amp; Radiology'!$G$2:$G$25,"FAIL")&gt;0,"FAIL",IF(COUNTIFS('Phase 05 Lab &amp; Radiology'!$O$2:$O$25,"P5-S01",'Phase 05 Lab &amp; Radiology'!$G$2:$G$25,"PASS")=COUNTIF('Phase 05 Lab &amp; Radiology'!$O$2:$O$25,"P5-S01"),"PASS",IF(COUNTIFS('Phase 05 Lab &amp; Radiology'!$O$2:$O$25,"P5-S01",'Phase 05 Lab &amp; Radiology'!$G$2:$G$25,"PASS")+COUNTIFS('Phase 05 Lab &amp; Radiology'!$O$2:$O$25,"P5-S01",'Phase 05 Lab &amp; Radiology'!$G$2:$G$25,"BLOCKED")&gt;0,"IN PROGRESS","NOT STARTED")))</f>
      </c>
    </row>
    <row r="41" spans="1:7" x14ac:dyDescent="0.25">
      <c r="A41" t="s">
        <v>60</v>
      </c>
      <c r="B41" t="s">
        <v>16</v>
      </c>
      <c r="C41">
        <f>COUNTIF('Phase 05 Lab &amp; Radiology'!$O$2:$O$25,"P5-S02")</f>
      </c>
      <c r="D41">
        <f>COUNTIFS('Phase 05 Lab &amp; Radiology'!$O$2:$O$25,"P5-S02",'Phase 05 Lab &amp; Radiology'!$G$2:$G$25,"PASS")</f>
      </c>
      <c r="E41">
        <f>COUNTIFS('Phase 05 Lab &amp; Radiology'!$O$2:$O$25,"P5-S02",'Phase 05 Lab &amp; Radiology'!$G$2:$G$25,"FAIL")</f>
      </c>
      <c r="F41">
        <f>COUNTIF('Phase 05 Lab &amp; Radiology'!$O$2:$O$25,"P5-S02")-COUNTIFS('Phase 05 Lab &amp; Radiology'!$O$2:$O$25,"P5-S02",'Phase 05 Lab &amp; Radiology'!$G$2:$G$25,"PASS")-COUNTIFS('Phase 05 Lab &amp; Radiology'!$O$2:$O$25,"P5-S02",'Phase 05 Lab &amp; Radiology'!$G$2:$G$25,"FAIL")-COUNTIFS('Phase 05 Lab &amp; Radiology'!$O$2:$O$25,"P5-S02",'Phase 05 Lab &amp; Radiology'!$G$2:$G$25,"BLOCKED")</f>
      </c>
      <c r="G41" s="3">
        <f>IF(COUNTIFS('Phase 05 Lab &amp; Radiology'!$O$2:$O$25,"P5-S02",'Phase 05 Lab &amp; Radiology'!$G$2:$G$25,"FAIL")&gt;0,"FAIL",IF(COUNTIFS('Phase 05 Lab &amp; Radiology'!$O$2:$O$25,"P5-S02",'Phase 05 Lab &amp; Radiology'!$G$2:$G$25,"PASS")=COUNTIF('Phase 05 Lab &amp; Radiology'!$O$2:$O$25,"P5-S02"),"PASS",IF(COUNTIFS('Phase 05 Lab &amp; Radiology'!$O$2:$O$25,"P5-S02",'Phase 05 Lab &amp; Radiology'!$G$2:$G$25,"PASS")+COUNTIFS('Phase 05 Lab &amp; Radiology'!$O$2:$O$25,"P5-S02",'Phase 05 Lab &amp; Radiology'!$G$2:$G$25,"BLOCKED")&gt;0,"IN PROGRESS","NOT STARTED")))</f>
      </c>
    </row>
    <row r="42" spans="1:7" x14ac:dyDescent="0.25">
      <c r="A42" t="s">
        <v>61</v>
      </c>
      <c r="B42" t="s">
        <v>16</v>
      </c>
      <c r="C42">
        <f>COUNTIF('Phase 05 Lab &amp; Radiology'!$O$2:$O$25,"P5-S03")</f>
      </c>
      <c r="D42">
        <f>COUNTIFS('Phase 05 Lab &amp; Radiology'!$O$2:$O$25,"P5-S03",'Phase 05 Lab &amp; Radiology'!$G$2:$G$25,"PASS")</f>
      </c>
      <c r="E42">
        <f>COUNTIFS('Phase 05 Lab &amp; Radiology'!$O$2:$O$25,"P5-S03",'Phase 05 Lab &amp; Radiology'!$G$2:$G$25,"FAIL")</f>
      </c>
      <c r="F42">
        <f>COUNTIF('Phase 05 Lab &amp; Radiology'!$O$2:$O$25,"P5-S03")-COUNTIFS('Phase 05 Lab &amp; Radiology'!$O$2:$O$25,"P5-S03",'Phase 05 Lab &amp; Radiology'!$G$2:$G$25,"PASS")-COUNTIFS('Phase 05 Lab &amp; Radiology'!$O$2:$O$25,"P5-S03",'Phase 05 Lab &amp; Radiology'!$G$2:$G$25,"FAIL")-COUNTIFS('Phase 05 Lab &amp; Radiology'!$O$2:$O$25,"P5-S03",'Phase 05 Lab &amp; Radiology'!$G$2:$G$25,"BLOCKED")</f>
      </c>
      <c r="G42" s="3">
        <f>IF(COUNTIFS('Phase 05 Lab &amp; Radiology'!$O$2:$O$25,"P5-S03",'Phase 05 Lab &amp; Radiology'!$G$2:$G$25,"FAIL")&gt;0,"FAIL",IF(COUNTIFS('Phase 05 Lab &amp; Radiology'!$O$2:$O$25,"P5-S03",'Phase 05 Lab &amp; Radiology'!$G$2:$G$25,"PASS")=COUNTIF('Phase 05 Lab &amp; Radiology'!$O$2:$O$25,"P5-S03"),"PASS",IF(COUNTIFS('Phase 05 Lab &amp; Radiology'!$O$2:$O$25,"P5-S03",'Phase 05 Lab &amp; Radiology'!$G$2:$G$25,"PASS")+COUNTIFS('Phase 05 Lab &amp; Radiology'!$O$2:$O$25,"P5-S03",'Phase 05 Lab &amp; Radiology'!$G$2:$G$25,"BLOCKED")&gt;0,"IN PROGRESS","NOT STARTED")))</f>
      </c>
    </row>
    <row r="43" spans="1:7" x14ac:dyDescent="0.25">
      <c r="A43" t="s">
        <v>62</v>
      </c>
      <c r="B43" t="s">
        <v>16</v>
      </c>
      <c r="C43">
        <f>COUNTIF('Phase 05 Lab &amp; Radiology'!$O$2:$O$25,"P5-S04")</f>
      </c>
      <c r="D43">
        <f>COUNTIFS('Phase 05 Lab &amp; Radiology'!$O$2:$O$25,"P5-S04",'Phase 05 Lab &amp; Radiology'!$G$2:$G$25,"PASS")</f>
      </c>
      <c r="E43">
        <f>COUNTIFS('Phase 05 Lab &amp; Radiology'!$O$2:$O$25,"P5-S04",'Phase 05 Lab &amp; Radiology'!$G$2:$G$25,"FAIL")</f>
      </c>
      <c r="F43">
        <f>COUNTIF('Phase 05 Lab &amp; Radiology'!$O$2:$O$25,"P5-S04")-COUNTIFS('Phase 05 Lab &amp; Radiology'!$O$2:$O$25,"P5-S04",'Phase 05 Lab &amp; Radiology'!$G$2:$G$25,"PASS")-COUNTIFS('Phase 05 Lab &amp; Radiology'!$O$2:$O$25,"P5-S04",'Phase 05 Lab &amp; Radiology'!$G$2:$G$25,"FAIL")-COUNTIFS('Phase 05 Lab &amp; Radiology'!$O$2:$O$25,"P5-S04",'Phase 05 Lab &amp; Radiology'!$G$2:$G$25,"BLOCKED")</f>
      </c>
      <c r="G43" s="3">
        <f>IF(COUNTIFS('Phase 05 Lab &amp; Radiology'!$O$2:$O$25,"P5-S04",'Phase 05 Lab &amp; Radiology'!$G$2:$G$25,"FAIL")&gt;0,"FAIL",IF(COUNTIFS('Phase 05 Lab &amp; Radiology'!$O$2:$O$25,"P5-S04",'Phase 05 Lab &amp; Radiology'!$G$2:$G$25,"PASS")=COUNTIF('Phase 05 Lab &amp; Radiology'!$O$2:$O$25,"P5-S04"),"PASS",IF(COUNTIFS('Phase 05 Lab &amp; Radiology'!$O$2:$O$25,"P5-S04",'Phase 05 Lab &amp; Radiology'!$G$2:$G$25,"PASS")+COUNTIFS('Phase 05 Lab &amp; Radiology'!$O$2:$O$25,"P5-S04",'Phase 05 Lab &amp; Radiology'!$G$2:$G$25,"BLOCKED")&gt;0,"IN PROGRESS","NOT STARTED")))</f>
      </c>
    </row>
    <row r="44" spans="1:7" x14ac:dyDescent="0.25">
      <c r="A44" t="s">
        <v>63</v>
      </c>
      <c r="B44" t="s">
        <v>16</v>
      </c>
      <c r="C44">
        <f>COUNTIF('Phase 05 Lab &amp; Radiology'!$O$2:$O$25,"P5-S05")</f>
      </c>
      <c r="D44">
        <f>COUNTIFS('Phase 05 Lab &amp; Radiology'!$O$2:$O$25,"P5-S05",'Phase 05 Lab &amp; Radiology'!$G$2:$G$25,"PASS")</f>
      </c>
      <c r="E44">
        <f>COUNTIFS('Phase 05 Lab &amp; Radiology'!$O$2:$O$25,"P5-S05",'Phase 05 Lab &amp; Radiology'!$G$2:$G$25,"FAIL")</f>
      </c>
      <c r="F44">
        <f>COUNTIF('Phase 05 Lab &amp; Radiology'!$O$2:$O$25,"P5-S05")-COUNTIFS('Phase 05 Lab &amp; Radiology'!$O$2:$O$25,"P5-S05",'Phase 05 Lab &amp; Radiology'!$G$2:$G$25,"PASS")-COUNTIFS('Phase 05 Lab &amp; Radiology'!$O$2:$O$25,"P5-S05",'Phase 05 Lab &amp; Radiology'!$G$2:$G$25,"FAIL")-COUNTIFS('Phase 05 Lab &amp; Radiology'!$O$2:$O$25,"P5-S05",'Phase 05 Lab &amp; Radiology'!$G$2:$G$25,"BLOCKED")</f>
      </c>
      <c r="G44" s="3">
        <f>IF(COUNTIFS('Phase 05 Lab &amp; Radiology'!$O$2:$O$25,"P5-S05",'Phase 05 Lab &amp; Radiology'!$G$2:$G$25,"FAIL")&gt;0,"FAIL",IF(COUNTIFS('Phase 05 Lab &amp; Radiology'!$O$2:$O$25,"P5-S05",'Phase 05 Lab &amp; Radiology'!$G$2:$G$25,"PASS")=COUNTIF('Phase 05 Lab &amp; Radiology'!$O$2:$O$25,"P5-S05"),"PASS",IF(COUNTIFS('Phase 05 Lab &amp; Radiology'!$O$2:$O$25,"P5-S05",'Phase 05 Lab &amp; Radiology'!$G$2:$G$25,"PASS")+COUNTIFS('Phase 05 Lab &amp; Radiology'!$O$2:$O$25,"P5-S05",'Phase 05 Lab &amp; Radiology'!$G$2:$G$25,"BLOCKED")&gt;0,"IN PROGRESS","NOT STARTED")))</f>
      </c>
    </row>
    <row r="45" spans="1:7" x14ac:dyDescent="0.25">
      <c r="A45" t="s">
        <v>64</v>
      </c>
      <c r="B45" t="s">
        <v>16</v>
      </c>
      <c r="C45">
        <f>COUNTIF('Phase 05 Lab &amp; Radiology'!$O$2:$O$25,"P5-S06")</f>
      </c>
      <c r="D45">
        <f>COUNTIFS('Phase 05 Lab &amp; Radiology'!$O$2:$O$25,"P5-S06",'Phase 05 Lab &amp; Radiology'!$G$2:$G$25,"PASS")</f>
      </c>
      <c r="E45">
        <f>COUNTIFS('Phase 05 Lab &amp; Radiology'!$O$2:$O$25,"P5-S06",'Phase 05 Lab &amp; Radiology'!$G$2:$G$25,"FAIL")</f>
      </c>
      <c r="F45">
        <f>COUNTIF('Phase 05 Lab &amp; Radiology'!$O$2:$O$25,"P5-S06")-COUNTIFS('Phase 05 Lab &amp; Radiology'!$O$2:$O$25,"P5-S06",'Phase 05 Lab &amp; Radiology'!$G$2:$G$25,"PASS")-COUNTIFS('Phase 05 Lab &amp; Radiology'!$O$2:$O$25,"P5-S06",'Phase 05 Lab &amp; Radiology'!$G$2:$G$25,"FAIL")-COUNTIFS('Phase 05 Lab &amp; Radiology'!$O$2:$O$25,"P5-S06",'Phase 05 Lab &amp; Radiology'!$G$2:$G$25,"BLOCKED")</f>
      </c>
      <c r="G45" s="3">
        <f>IF(COUNTIFS('Phase 05 Lab &amp; Radiology'!$O$2:$O$25,"P5-S06",'Phase 05 Lab &amp; Radiology'!$G$2:$G$25,"FAIL")&gt;0,"FAIL",IF(COUNTIFS('Phase 05 Lab &amp; Radiology'!$O$2:$O$25,"P5-S06",'Phase 05 Lab &amp; Radiology'!$G$2:$G$25,"PASS")=COUNTIF('Phase 05 Lab &amp; Radiology'!$O$2:$O$25,"P5-S06"),"PASS",IF(COUNTIFS('Phase 05 Lab &amp; Radiology'!$O$2:$O$25,"P5-S06",'Phase 05 Lab &amp; Radiology'!$G$2:$G$25,"PASS")+COUNTIFS('Phase 05 Lab &amp; Radiology'!$O$2:$O$25,"P5-S06",'Phase 05 Lab &amp; Radiology'!$G$2:$G$25,"BLOCKED")&gt;0,"IN PROGRESS","NOT STARTED")))</f>
      </c>
    </row>
    <row r="46" spans="1:7" x14ac:dyDescent="0.25">
      <c r="A46" t="s">
        <v>65</v>
      </c>
      <c r="B46" t="s">
        <v>16</v>
      </c>
      <c r="C46">
        <f>COUNTIF('Phase 05 Lab &amp; Radiology'!$O$2:$O$25,"P5-S07")</f>
      </c>
      <c r="D46">
        <f>COUNTIFS('Phase 05 Lab &amp; Radiology'!$O$2:$O$25,"P5-S07",'Phase 05 Lab &amp; Radiology'!$G$2:$G$25,"PASS")</f>
      </c>
      <c r="E46">
        <f>COUNTIFS('Phase 05 Lab &amp; Radiology'!$O$2:$O$25,"P5-S07",'Phase 05 Lab &amp; Radiology'!$G$2:$G$25,"FAIL")</f>
      </c>
      <c r="F46">
        <f>COUNTIF('Phase 05 Lab &amp; Radiology'!$O$2:$O$25,"P5-S07")-COUNTIFS('Phase 05 Lab &amp; Radiology'!$O$2:$O$25,"P5-S07",'Phase 05 Lab &amp; Radiology'!$G$2:$G$25,"PASS")-COUNTIFS('Phase 05 Lab &amp; Radiology'!$O$2:$O$25,"P5-S07",'Phase 05 Lab &amp; Radiology'!$G$2:$G$25,"FAIL")-COUNTIFS('Phase 05 Lab &amp; Radiology'!$O$2:$O$25,"P5-S07",'Phase 05 Lab &amp; Radiology'!$G$2:$G$25,"BLOCKED")</f>
      </c>
      <c r="G46" s="3">
        <f>IF(COUNTIFS('Phase 05 Lab &amp; Radiology'!$O$2:$O$25,"P5-S07",'Phase 05 Lab &amp; Radiology'!$G$2:$G$25,"FAIL")&gt;0,"FAIL",IF(COUNTIFS('Phase 05 Lab &amp; Radiology'!$O$2:$O$25,"P5-S07",'Phase 05 Lab &amp; Radiology'!$G$2:$G$25,"PASS")=COUNTIF('Phase 05 Lab &amp; Radiology'!$O$2:$O$25,"P5-S07"),"PASS",IF(COUNTIFS('Phase 05 Lab &amp; Radiology'!$O$2:$O$25,"P5-S07",'Phase 05 Lab &amp; Radiology'!$G$2:$G$25,"PASS")+COUNTIFS('Phase 05 Lab &amp; Radiology'!$O$2:$O$25,"P5-S07",'Phase 05 Lab &amp; Radiology'!$G$2:$G$25,"BLOCKED")&gt;0,"IN PROGRESS","NOT STARTED")))</f>
      </c>
    </row>
    <row r="47" spans="1:7" x14ac:dyDescent="0.25">
      <c r="A47" t="s">
        <v>66</v>
      </c>
      <c r="B47" t="s">
        <v>16</v>
      </c>
      <c r="C47">
        <f>COUNTIF('Phase 05 Lab &amp; Radiology'!$O$2:$O$25,"P5-S08")</f>
      </c>
      <c r="D47">
        <f>COUNTIFS('Phase 05 Lab &amp; Radiology'!$O$2:$O$25,"P5-S08",'Phase 05 Lab &amp; Radiology'!$G$2:$G$25,"PASS")</f>
      </c>
      <c r="E47">
        <f>COUNTIFS('Phase 05 Lab &amp; Radiology'!$O$2:$O$25,"P5-S08",'Phase 05 Lab &amp; Radiology'!$G$2:$G$25,"FAIL")</f>
      </c>
      <c r="F47">
        <f>COUNTIF('Phase 05 Lab &amp; Radiology'!$O$2:$O$25,"P5-S08")-COUNTIFS('Phase 05 Lab &amp; Radiology'!$O$2:$O$25,"P5-S08",'Phase 05 Lab &amp; Radiology'!$G$2:$G$25,"PASS")-COUNTIFS('Phase 05 Lab &amp; Radiology'!$O$2:$O$25,"P5-S08",'Phase 05 Lab &amp; Radiology'!$G$2:$G$25,"FAIL")-COUNTIFS('Phase 05 Lab &amp; Radiology'!$O$2:$O$25,"P5-S08",'Phase 05 Lab &amp; Radiology'!$G$2:$G$25,"BLOCKED")</f>
      </c>
      <c r="G47" s="3">
        <f>IF(COUNTIFS('Phase 05 Lab &amp; Radiology'!$O$2:$O$25,"P5-S08",'Phase 05 Lab &amp; Radiology'!$G$2:$G$25,"FAIL")&gt;0,"FAIL",IF(COUNTIFS('Phase 05 Lab &amp; Radiology'!$O$2:$O$25,"P5-S08",'Phase 05 Lab &amp; Radiology'!$G$2:$G$25,"PASS")=COUNTIF('Phase 05 Lab &amp; Radiology'!$O$2:$O$25,"P5-S08"),"PASS",IF(COUNTIFS('Phase 05 Lab &amp; Radiology'!$O$2:$O$25,"P5-S08",'Phase 05 Lab &amp; Radiology'!$G$2:$G$25,"PASS")+COUNTIFS('Phase 05 Lab &amp; Radiology'!$O$2:$O$25,"P5-S08",'Phase 05 Lab &amp; Radiology'!$G$2:$G$25,"BLOCKED")&gt;0,"IN PROGRESS","NOT STARTED")))</f>
      </c>
    </row>
    <row r="48" spans="1:7" x14ac:dyDescent="0.25">
      <c r="A48" t="s">
        <v>67</v>
      </c>
      <c r="B48" t="s">
        <v>16</v>
      </c>
      <c r="C48">
        <f>COUNTIF('Phase 05 Lab &amp; Radiology'!$O$2:$O$25,"P5-S09")</f>
      </c>
      <c r="D48">
        <f>COUNTIFS('Phase 05 Lab &amp; Radiology'!$O$2:$O$25,"P5-S09",'Phase 05 Lab &amp; Radiology'!$G$2:$G$25,"PASS")</f>
      </c>
      <c r="E48">
        <f>COUNTIFS('Phase 05 Lab &amp; Radiology'!$O$2:$O$25,"P5-S09",'Phase 05 Lab &amp; Radiology'!$G$2:$G$25,"FAIL")</f>
      </c>
      <c r="F48">
        <f>COUNTIF('Phase 05 Lab &amp; Radiology'!$O$2:$O$25,"P5-S09")-COUNTIFS('Phase 05 Lab &amp; Radiology'!$O$2:$O$25,"P5-S09",'Phase 05 Lab &amp; Radiology'!$G$2:$G$25,"PASS")-COUNTIFS('Phase 05 Lab &amp; Radiology'!$O$2:$O$25,"P5-S09",'Phase 05 Lab &amp; Radiology'!$G$2:$G$25,"FAIL")-COUNTIFS('Phase 05 Lab &amp; Radiology'!$O$2:$O$25,"P5-S09",'Phase 05 Lab &amp; Radiology'!$G$2:$G$25,"BLOCKED")</f>
      </c>
      <c r="G48" s="3">
        <f>IF(COUNTIFS('Phase 05 Lab &amp; Radiology'!$O$2:$O$25,"P5-S09",'Phase 05 Lab &amp; Radiology'!$G$2:$G$25,"FAIL")&gt;0,"FAIL",IF(COUNTIFS('Phase 05 Lab &amp; Radiology'!$O$2:$O$25,"P5-S09",'Phase 05 Lab &amp; Radiology'!$G$2:$G$25,"PASS")=COUNTIF('Phase 05 Lab &amp; Radiology'!$O$2:$O$25,"P5-S09"),"PASS",IF(COUNTIFS('Phase 05 Lab &amp; Radiology'!$O$2:$O$25,"P5-S09",'Phase 05 Lab &amp; Radiology'!$G$2:$G$25,"PASS")+COUNTIFS('Phase 05 Lab &amp; Radiology'!$O$2:$O$25,"P5-S09",'Phase 05 Lab &amp; Radiology'!$G$2:$G$25,"BLOCKED")&gt;0,"IN PROGRESS","NOT STARTED")))</f>
      </c>
    </row>
    <row r="49" spans="1:7" x14ac:dyDescent="0.25">
      <c r="A49" t="s">
        <v>68</v>
      </c>
      <c r="B49" t="s">
        <v>16</v>
      </c>
      <c r="C49">
        <f>COUNTIF('Phase 05 Lab &amp; Radiology'!$O$2:$O$25,"P5-S10")</f>
      </c>
      <c r="D49">
        <f>COUNTIFS('Phase 05 Lab &amp; Radiology'!$O$2:$O$25,"P5-S10",'Phase 05 Lab &amp; Radiology'!$G$2:$G$25,"PASS")</f>
      </c>
      <c r="E49">
        <f>COUNTIFS('Phase 05 Lab &amp; Radiology'!$O$2:$O$25,"P5-S10",'Phase 05 Lab &amp; Radiology'!$G$2:$G$25,"FAIL")</f>
      </c>
      <c r="F49">
        <f>COUNTIF('Phase 05 Lab &amp; Radiology'!$O$2:$O$25,"P5-S10")-COUNTIFS('Phase 05 Lab &amp; Radiology'!$O$2:$O$25,"P5-S10",'Phase 05 Lab &amp; Radiology'!$G$2:$G$25,"PASS")-COUNTIFS('Phase 05 Lab &amp; Radiology'!$O$2:$O$25,"P5-S10",'Phase 05 Lab &amp; Radiology'!$G$2:$G$25,"FAIL")-COUNTIFS('Phase 05 Lab &amp; Radiology'!$O$2:$O$25,"P5-S10",'Phase 05 Lab &amp; Radiology'!$G$2:$G$25,"BLOCKED")</f>
      </c>
      <c r="G49" s="3">
        <f>IF(COUNTIFS('Phase 05 Lab &amp; Radiology'!$O$2:$O$25,"P5-S10",'Phase 05 Lab &amp; Radiology'!$G$2:$G$25,"FAIL")&gt;0,"FAIL",IF(COUNTIFS('Phase 05 Lab &amp; Radiology'!$O$2:$O$25,"P5-S10",'Phase 05 Lab &amp; Radiology'!$G$2:$G$25,"PASS")=COUNTIF('Phase 05 Lab &amp; Radiology'!$O$2:$O$25,"P5-S10"),"PASS",IF(COUNTIFS('Phase 05 Lab &amp; Radiology'!$O$2:$O$25,"P5-S10",'Phase 05 Lab &amp; Radiology'!$G$2:$G$25,"PASS")+COUNTIFS('Phase 05 Lab &amp; Radiology'!$O$2:$O$25,"P5-S10",'Phase 05 Lab &amp; Radiology'!$G$2:$G$25,"BLOCKED")&gt;0,"IN PROGRESS","NOT STARTED")))</f>
      </c>
    </row>
    <row r="50" spans="1:7" x14ac:dyDescent="0.25">
      <c r="A50" t="s">
        <v>69</v>
      </c>
      <c r="B50" t="s">
        <v>16</v>
      </c>
      <c r="C50">
        <f>COUNTIF('Phase 05 Lab &amp; Radiology'!$O$2:$O$25,"P5-S11")</f>
      </c>
      <c r="D50">
        <f>COUNTIFS('Phase 05 Lab &amp; Radiology'!$O$2:$O$25,"P5-S11",'Phase 05 Lab &amp; Radiology'!$G$2:$G$25,"PASS")</f>
      </c>
      <c r="E50">
        <f>COUNTIFS('Phase 05 Lab &amp; Radiology'!$O$2:$O$25,"P5-S11",'Phase 05 Lab &amp; Radiology'!$G$2:$G$25,"FAIL")</f>
      </c>
      <c r="F50">
        <f>COUNTIF('Phase 05 Lab &amp; Radiology'!$O$2:$O$25,"P5-S11")-COUNTIFS('Phase 05 Lab &amp; Radiology'!$O$2:$O$25,"P5-S11",'Phase 05 Lab &amp; Radiology'!$G$2:$G$25,"PASS")-COUNTIFS('Phase 05 Lab &amp; Radiology'!$O$2:$O$25,"P5-S11",'Phase 05 Lab &amp; Radiology'!$G$2:$G$25,"FAIL")-COUNTIFS('Phase 05 Lab &amp; Radiology'!$O$2:$O$25,"P5-S11",'Phase 05 Lab &amp; Radiology'!$G$2:$G$25,"BLOCKED")</f>
      </c>
      <c r="G50" s="3">
        <f>IF(COUNTIFS('Phase 05 Lab &amp; Radiology'!$O$2:$O$25,"P5-S11",'Phase 05 Lab &amp; Radiology'!$G$2:$G$25,"FAIL")&gt;0,"FAIL",IF(COUNTIFS('Phase 05 Lab &amp; Radiology'!$O$2:$O$25,"P5-S11",'Phase 05 Lab &amp; Radiology'!$G$2:$G$25,"PASS")=COUNTIF('Phase 05 Lab &amp; Radiology'!$O$2:$O$25,"P5-S11"),"PASS",IF(COUNTIFS('Phase 05 Lab &amp; Radiology'!$O$2:$O$25,"P5-S11",'Phase 05 Lab &amp; Radiology'!$G$2:$G$25,"PASS")+COUNTIFS('Phase 05 Lab &amp; Radiology'!$O$2:$O$25,"P5-S11",'Phase 05 Lab &amp; Radiology'!$G$2:$G$25,"BLOCKED")&gt;0,"IN PROGRESS","NOT STARTED")))</f>
      </c>
    </row>
    <row r="51" spans="1:7" x14ac:dyDescent="0.25">
      <c r="A51" t="s">
        <v>70</v>
      </c>
      <c r="B51" t="s">
        <v>16</v>
      </c>
      <c r="C51">
        <f>COUNTIF('Phase 05 Lab &amp; Radiology'!$O$2:$O$25,"P5-S12")</f>
      </c>
      <c r="D51">
        <f>COUNTIFS('Phase 05 Lab &amp; Radiology'!$O$2:$O$25,"P5-S12",'Phase 05 Lab &amp; Radiology'!$G$2:$G$25,"PASS")</f>
      </c>
      <c r="E51">
        <f>COUNTIFS('Phase 05 Lab &amp; Radiology'!$O$2:$O$25,"P5-S12",'Phase 05 Lab &amp; Radiology'!$G$2:$G$25,"FAIL")</f>
      </c>
      <c r="F51">
        <f>COUNTIF('Phase 05 Lab &amp; Radiology'!$O$2:$O$25,"P5-S12")-COUNTIFS('Phase 05 Lab &amp; Radiology'!$O$2:$O$25,"P5-S12",'Phase 05 Lab &amp; Radiology'!$G$2:$G$25,"PASS")-COUNTIFS('Phase 05 Lab &amp; Radiology'!$O$2:$O$25,"P5-S12",'Phase 05 Lab &amp; Radiology'!$G$2:$G$25,"FAIL")-COUNTIFS('Phase 05 Lab &amp; Radiology'!$O$2:$O$25,"P5-S12",'Phase 05 Lab &amp; Radiology'!$G$2:$G$25,"BLOCKED")</f>
      </c>
      <c r="G51" s="3">
        <f>IF(COUNTIFS('Phase 05 Lab &amp; Radiology'!$O$2:$O$25,"P5-S12",'Phase 05 Lab &amp; Radiology'!$G$2:$G$25,"FAIL")&gt;0,"FAIL",IF(COUNTIFS('Phase 05 Lab &amp; Radiology'!$O$2:$O$25,"P5-S12",'Phase 05 Lab &amp; Radiology'!$G$2:$G$25,"PASS")=COUNTIF('Phase 05 Lab &amp; Radiology'!$O$2:$O$25,"P5-S12"),"PASS",IF(COUNTIFS('Phase 05 Lab &amp; Radiology'!$O$2:$O$25,"P5-S12",'Phase 05 Lab &amp; Radiology'!$G$2:$G$25,"PASS")+COUNTIFS('Phase 05 Lab &amp; Radiology'!$O$2:$O$25,"P5-S12",'Phase 05 Lab &amp; Radiology'!$G$2:$G$25,"BLOCKED")&gt;0,"IN PROGRESS","NOT STARTED")))</f>
      </c>
    </row>
    <row r="52" spans="1:7" x14ac:dyDescent="0.25">
      <c r="A52" t="s">
        <v>71</v>
      </c>
      <c r="B52" t="s">
        <v>16</v>
      </c>
      <c r="C52">
        <f>COUNTIF('Phase 05 Lab &amp; Radiology'!$O$2:$O$25,"P5-S13")</f>
      </c>
      <c r="D52">
        <f>COUNTIFS('Phase 05 Lab &amp; Radiology'!$O$2:$O$25,"P5-S13",'Phase 05 Lab &amp; Radiology'!$G$2:$G$25,"PASS")</f>
      </c>
      <c r="E52">
        <f>COUNTIFS('Phase 05 Lab &amp; Radiology'!$O$2:$O$25,"P5-S13",'Phase 05 Lab &amp; Radiology'!$G$2:$G$25,"FAIL")</f>
      </c>
      <c r="F52">
        <f>COUNTIF('Phase 05 Lab &amp; Radiology'!$O$2:$O$25,"P5-S13")-COUNTIFS('Phase 05 Lab &amp; Radiology'!$O$2:$O$25,"P5-S13",'Phase 05 Lab &amp; Radiology'!$G$2:$G$25,"PASS")-COUNTIFS('Phase 05 Lab &amp; Radiology'!$O$2:$O$25,"P5-S13",'Phase 05 Lab &amp; Radiology'!$G$2:$G$25,"FAIL")-COUNTIFS('Phase 05 Lab &amp; Radiology'!$O$2:$O$25,"P5-S13",'Phase 05 Lab &amp; Radiology'!$G$2:$G$25,"BLOCKED")</f>
      </c>
      <c r="G52" s="3">
        <f>IF(COUNTIFS('Phase 05 Lab &amp; Radiology'!$O$2:$O$25,"P5-S13",'Phase 05 Lab &amp; Radiology'!$G$2:$G$25,"FAIL")&gt;0,"FAIL",IF(COUNTIFS('Phase 05 Lab &amp; Radiology'!$O$2:$O$25,"P5-S13",'Phase 05 Lab &amp; Radiology'!$G$2:$G$25,"PASS")=COUNTIF('Phase 05 Lab &amp; Radiology'!$O$2:$O$25,"P5-S13"),"PASS",IF(COUNTIFS('Phase 05 Lab &amp; Radiology'!$O$2:$O$25,"P5-S13",'Phase 05 Lab &amp; Radiology'!$G$2:$G$25,"PASS")+COUNTIFS('Phase 05 Lab &amp; Radiology'!$O$2:$O$25,"P5-S13",'Phase 05 Lab &amp; Radiology'!$G$2:$G$25,"BLOCKED")&gt;0,"IN PROGRESS","NOT STARTED")))</f>
      </c>
    </row>
    <row r="53" spans="1:7" x14ac:dyDescent="0.25">
      <c r="A53" t="s">
        <v>72</v>
      </c>
      <c r="B53" t="s">
        <v>16</v>
      </c>
      <c r="C53">
        <f>COUNTIF('Phase 05 Lab &amp; Radiology'!$O$2:$O$25,"P5-S14")</f>
      </c>
      <c r="D53">
        <f>COUNTIFS('Phase 05 Lab &amp; Radiology'!$O$2:$O$25,"P5-S14",'Phase 05 Lab &amp; Radiology'!$G$2:$G$25,"PASS")</f>
      </c>
      <c r="E53">
        <f>COUNTIFS('Phase 05 Lab &amp; Radiology'!$O$2:$O$25,"P5-S14",'Phase 05 Lab &amp; Radiology'!$G$2:$G$25,"FAIL")</f>
      </c>
      <c r="F53">
        <f>COUNTIF('Phase 05 Lab &amp; Radiology'!$O$2:$O$25,"P5-S14")-COUNTIFS('Phase 05 Lab &amp; Radiology'!$O$2:$O$25,"P5-S14",'Phase 05 Lab &amp; Radiology'!$G$2:$G$25,"PASS")-COUNTIFS('Phase 05 Lab &amp; Radiology'!$O$2:$O$25,"P5-S14",'Phase 05 Lab &amp; Radiology'!$G$2:$G$25,"FAIL")-COUNTIFS('Phase 05 Lab &amp; Radiology'!$O$2:$O$25,"P5-S14",'Phase 05 Lab &amp; Radiology'!$G$2:$G$25,"BLOCKED")</f>
      </c>
      <c r="G53" s="3">
        <f>IF(COUNTIFS('Phase 05 Lab &amp; Radiology'!$O$2:$O$25,"P5-S14",'Phase 05 Lab &amp; Radiology'!$G$2:$G$25,"FAIL")&gt;0,"FAIL",IF(COUNTIFS('Phase 05 Lab &amp; Radiology'!$O$2:$O$25,"P5-S14",'Phase 05 Lab &amp; Radiology'!$G$2:$G$25,"PASS")=COUNTIF('Phase 05 Lab &amp; Radiology'!$O$2:$O$25,"P5-S14"),"PASS",IF(COUNTIFS('Phase 05 Lab &amp; Radiology'!$O$2:$O$25,"P5-S14",'Phase 05 Lab &amp; Radiology'!$G$2:$G$25,"PASS")+COUNTIFS('Phase 05 Lab &amp; Radiology'!$O$2:$O$25,"P5-S14",'Phase 05 Lab &amp; Radiology'!$G$2:$G$25,"BLOCKED")&gt;0,"IN PROGRESS","NOT STARTED")))</f>
      </c>
    </row>
    <row r="54" spans="1:7" x14ac:dyDescent="0.25">
      <c r="A54" t="s">
        <v>73</v>
      </c>
      <c r="B54" t="s">
        <v>16</v>
      </c>
      <c r="C54">
        <f>COUNTIF('Phase 05 Lab &amp; Radiology'!$O$2:$O$25,"P5-S15")</f>
      </c>
      <c r="D54">
        <f>COUNTIFS('Phase 05 Lab &amp; Radiology'!$O$2:$O$25,"P5-S15",'Phase 05 Lab &amp; Radiology'!$G$2:$G$25,"PASS")</f>
      </c>
      <c r="E54">
        <f>COUNTIFS('Phase 05 Lab &amp; Radiology'!$O$2:$O$25,"P5-S15",'Phase 05 Lab &amp; Radiology'!$G$2:$G$25,"FAIL")</f>
      </c>
      <c r="F54">
        <f>COUNTIF('Phase 05 Lab &amp; Radiology'!$O$2:$O$25,"P5-S15")-COUNTIFS('Phase 05 Lab &amp; Radiology'!$O$2:$O$25,"P5-S15",'Phase 05 Lab &amp; Radiology'!$G$2:$G$25,"PASS")-COUNTIFS('Phase 05 Lab &amp; Radiology'!$O$2:$O$25,"P5-S15",'Phase 05 Lab &amp; Radiology'!$G$2:$G$25,"FAIL")-COUNTIFS('Phase 05 Lab &amp; Radiology'!$O$2:$O$25,"P5-S15",'Phase 05 Lab &amp; Radiology'!$G$2:$G$25,"BLOCKED")</f>
      </c>
      <c r="G54" s="3">
        <f>IF(COUNTIFS('Phase 05 Lab &amp; Radiology'!$O$2:$O$25,"P5-S15",'Phase 05 Lab &amp; Radiology'!$G$2:$G$25,"FAIL")&gt;0,"FAIL",IF(COUNTIFS('Phase 05 Lab &amp; Radiology'!$O$2:$O$25,"P5-S15",'Phase 05 Lab &amp; Radiology'!$G$2:$G$25,"PASS")=COUNTIF('Phase 05 Lab &amp; Radiology'!$O$2:$O$25,"P5-S15"),"PASS",IF(COUNTIFS('Phase 05 Lab &amp; Radiology'!$O$2:$O$25,"P5-S15",'Phase 05 Lab &amp; Radiology'!$G$2:$G$25,"PASS")+COUNTIFS('Phase 05 Lab &amp; Radiology'!$O$2:$O$25,"P5-S15",'Phase 05 Lab &amp; Radiology'!$G$2:$G$25,"BLOCKED")&gt;0,"IN PROGRESS","NOT STARTED")))</f>
      </c>
    </row>
    <row r="55" spans="1:7" x14ac:dyDescent="0.25">
      <c r="A55" t="s">
        <v>74</v>
      </c>
      <c r="B55" t="s">
        <v>16</v>
      </c>
      <c r="C55">
        <f>COUNTIF('Phase 05 Lab &amp; Radiology'!$O$2:$O$25,"P5-S16")</f>
      </c>
      <c r="D55">
        <f>COUNTIFS('Phase 05 Lab &amp; Radiology'!$O$2:$O$25,"P5-S16",'Phase 05 Lab &amp; Radiology'!$G$2:$G$25,"PASS")</f>
      </c>
      <c r="E55">
        <f>COUNTIFS('Phase 05 Lab &amp; Radiology'!$O$2:$O$25,"P5-S16",'Phase 05 Lab &amp; Radiology'!$G$2:$G$25,"FAIL")</f>
      </c>
      <c r="F55">
        <f>COUNTIF('Phase 05 Lab &amp; Radiology'!$O$2:$O$25,"P5-S16")-COUNTIFS('Phase 05 Lab &amp; Radiology'!$O$2:$O$25,"P5-S16",'Phase 05 Lab &amp; Radiology'!$G$2:$G$25,"PASS")-COUNTIFS('Phase 05 Lab &amp; Radiology'!$O$2:$O$25,"P5-S16",'Phase 05 Lab &amp; Radiology'!$G$2:$G$25,"FAIL")-COUNTIFS('Phase 05 Lab &amp; Radiology'!$O$2:$O$25,"P5-S16",'Phase 05 Lab &amp; Radiology'!$G$2:$G$25,"BLOCKED")</f>
      </c>
      <c r="G55" s="3">
        <f>IF(COUNTIFS('Phase 05 Lab &amp; Radiology'!$O$2:$O$25,"P5-S16",'Phase 05 Lab &amp; Radiology'!$G$2:$G$25,"FAIL")&gt;0,"FAIL",IF(COUNTIFS('Phase 05 Lab &amp; Radiology'!$O$2:$O$25,"P5-S16",'Phase 05 Lab &amp; Radiology'!$G$2:$G$25,"PASS")=COUNTIF('Phase 05 Lab &amp; Radiology'!$O$2:$O$25,"P5-S16"),"PASS",IF(COUNTIFS('Phase 05 Lab &amp; Radiology'!$O$2:$O$25,"P5-S16",'Phase 05 Lab &amp; Radiology'!$G$2:$G$25,"PASS")+COUNTIFS('Phase 05 Lab &amp; Radiology'!$O$2:$O$25,"P5-S16",'Phase 05 Lab &amp; Radiology'!$G$2:$G$25,"BLOCKED")&gt;0,"IN PROGRESS","NOT STARTED")))</f>
      </c>
    </row>
    <row r="56" spans="1:7" x14ac:dyDescent="0.25">
      <c r="A56" t="s">
        <v>75</v>
      </c>
      <c r="B56" t="s">
        <v>16</v>
      </c>
      <c r="C56">
        <f>COUNTIF('Phase 05 Lab &amp; Radiology'!$O$2:$O$25,"P5-S18")</f>
      </c>
      <c r="D56">
        <f>COUNTIFS('Phase 05 Lab &amp; Radiology'!$O$2:$O$25,"P5-S18",'Phase 05 Lab &amp; Radiology'!$G$2:$G$25,"PASS")</f>
      </c>
      <c r="E56">
        <f>COUNTIFS('Phase 05 Lab &amp; Radiology'!$O$2:$O$25,"P5-S18",'Phase 05 Lab &amp; Radiology'!$G$2:$G$25,"FAIL")</f>
      </c>
      <c r="F56">
        <f>COUNTIF('Phase 05 Lab &amp; Radiology'!$O$2:$O$25,"P5-S18")-COUNTIFS('Phase 05 Lab &amp; Radiology'!$O$2:$O$25,"P5-S18",'Phase 05 Lab &amp; Radiology'!$G$2:$G$25,"PASS")-COUNTIFS('Phase 05 Lab &amp; Radiology'!$O$2:$O$25,"P5-S18",'Phase 05 Lab &amp; Radiology'!$G$2:$G$25,"FAIL")-COUNTIFS('Phase 05 Lab &amp; Radiology'!$O$2:$O$25,"P5-S18",'Phase 05 Lab &amp; Radiology'!$G$2:$G$25,"BLOCKED")</f>
      </c>
      <c r="G56" s="3">
        <f>IF(COUNTIFS('Phase 05 Lab &amp; Radiology'!$O$2:$O$25,"P5-S18",'Phase 05 Lab &amp; Radiology'!$G$2:$G$25,"FAIL")&gt;0,"FAIL",IF(COUNTIFS('Phase 05 Lab &amp; Radiology'!$O$2:$O$25,"P5-S18",'Phase 05 Lab &amp; Radiology'!$G$2:$G$25,"PASS")=COUNTIF('Phase 05 Lab &amp; Radiology'!$O$2:$O$25,"P5-S18"),"PASS",IF(COUNTIFS('Phase 05 Lab &amp; Radiology'!$O$2:$O$25,"P5-S18",'Phase 05 Lab &amp; Radiology'!$G$2:$G$25,"PASS")+COUNTIFS('Phase 05 Lab &amp; Radiology'!$O$2:$O$25,"P5-S18",'Phase 05 Lab &amp; Radiology'!$G$2:$G$25,"BLOCKED")&gt;0,"IN PROGRESS","NOT STARTED")))</f>
      </c>
    </row>
    <row r="57" spans="1:7" x14ac:dyDescent="0.25">
      <c r="A57" t="s">
        <v>76</v>
      </c>
      <c r="B57" t="s">
        <v>16</v>
      </c>
      <c r="C57">
        <f>COUNTIF('Phase 05 Lab &amp; Radiology'!$O$2:$O$25,"P5-S19")</f>
      </c>
      <c r="D57">
        <f>COUNTIFS('Phase 05 Lab &amp; Radiology'!$O$2:$O$25,"P5-S19",'Phase 05 Lab &amp; Radiology'!$G$2:$G$25,"PASS")</f>
      </c>
      <c r="E57">
        <f>COUNTIFS('Phase 05 Lab &amp; Radiology'!$O$2:$O$25,"P5-S19",'Phase 05 Lab &amp; Radiology'!$G$2:$G$25,"FAIL")</f>
      </c>
      <c r="F57">
        <f>COUNTIF('Phase 05 Lab &amp; Radiology'!$O$2:$O$25,"P5-S19")-COUNTIFS('Phase 05 Lab &amp; Radiology'!$O$2:$O$25,"P5-S19",'Phase 05 Lab &amp; Radiology'!$G$2:$G$25,"PASS")-COUNTIFS('Phase 05 Lab &amp; Radiology'!$O$2:$O$25,"P5-S19",'Phase 05 Lab &amp; Radiology'!$G$2:$G$25,"FAIL")-COUNTIFS('Phase 05 Lab &amp; Radiology'!$O$2:$O$25,"P5-S19",'Phase 05 Lab &amp; Radiology'!$G$2:$G$25,"BLOCKED")</f>
      </c>
      <c r="G57" s="3">
        <f>IF(COUNTIFS('Phase 05 Lab &amp; Radiology'!$O$2:$O$25,"P5-S19",'Phase 05 Lab &amp; Radiology'!$G$2:$G$25,"FAIL")&gt;0,"FAIL",IF(COUNTIFS('Phase 05 Lab &amp; Radiology'!$O$2:$O$25,"P5-S19",'Phase 05 Lab &amp; Radiology'!$G$2:$G$25,"PASS")=COUNTIF('Phase 05 Lab &amp; Radiology'!$O$2:$O$25,"P5-S19"),"PASS",IF(COUNTIFS('Phase 05 Lab &amp; Radiology'!$O$2:$O$25,"P5-S19",'Phase 05 Lab &amp; Radiology'!$G$2:$G$25,"PASS")+COUNTIFS('Phase 05 Lab &amp; Radiology'!$O$2:$O$25,"P5-S19",'Phase 05 Lab &amp; Radiology'!$G$2:$G$25,"BLOCKED")&gt;0,"IN PROGRESS","NOT STARTED")))</f>
      </c>
    </row>
    <row r="58" spans="1:7" x14ac:dyDescent="0.25">
      <c r="A58" t="s">
        <v>77</v>
      </c>
      <c r="B58" t="s">
        <v>16</v>
      </c>
      <c r="C58">
        <f>COUNTIF('Phase 05 Lab &amp; Radiology'!$O$2:$O$25,"P5-S20")</f>
      </c>
      <c r="D58">
        <f>COUNTIFS('Phase 05 Lab &amp; Radiology'!$O$2:$O$25,"P5-S20",'Phase 05 Lab &amp; Radiology'!$G$2:$G$25,"PASS")</f>
      </c>
      <c r="E58">
        <f>COUNTIFS('Phase 05 Lab &amp; Radiology'!$O$2:$O$25,"P5-S20",'Phase 05 Lab &amp; Radiology'!$G$2:$G$25,"FAIL")</f>
      </c>
      <c r="F58">
        <f>COUNTIF('Phase 05 Lab &amp; Radiology'!$O$2:$O$25,"P5-S20")-COUNTIFS('Phase 05 Lab &amp; Radiology'!$O$2:$O$25,"P5-S20",'Phase 05 Lab &amp; Radiology'!$G$2:$G$25,"PASS")-COUNTIFS('Phase 05 Lab &amp; Radiology'!$O$2:$O$25,"P5-S20",'Phase 05 Lab &amp; Radiology'!$G$2:$G$25,"FAIL")-COUNTIFS('Phase 05 Lab &amp; Radiology'!$O$2:$O$25,"P5-S20",'Phase 05 Lab &amp; Radiology'!$G$2:$G$25,"BLOCKED")</f>
      </c>
      <c r="G58" s="3">
        <f>IF(COUNTIFS('Phase 05 Lab &amp; Radiology'!$O$2:$O$25,"P5-S20",'Phase 05 Lab &amp; Radiology'!$G$2:$G$25,"FAIL")&gt;0,"FAIL",IF(COUNTIFS('Phase 05 Lab &amp; Radiology'!$O$2:$O$25,"P5-S20",'Phase 05 Lab &amp; Radiology'!$G$2:$G$25,"PASS")=COUNTIF('Phase 05 Lab &amp; Radiology'!$O$2:$O$25,"P5-S20"),"PASS",IF(COUNTIFS('Phase 05 Lab &amp; Radiology'!$O$2:$O$25,"P5-S20",'Phase 05 Lab &amp; Radiology'!$G$2:$G$25,"PASS")+COUNTIFS('Phase 05 Lab &amp; Radiology'!$O$2:$O$25,"P5-S20",'Phase 05 Lab &amp; Radiology'!$G$2:$G$25,"BLOCKED")&gt;0,"IN PROGRESS","NOT STARTED")))</f>
      </c>
    </row>
    <row r="59" spans="1:7" x14ac:dyDescent="0.25">
      <c r="A59" t="s">
        <v>78</v>
      </c>
      <c r="B59" t="s">
        <v>16</v>
      </c>
      <c r="C59">
        <f>COUNTIF('Phase 05 Lab &amp; Radiology'!$O$2:$O$25,"P5-Setup")</f>
      </c>
      <c r="D59">
        <f>COUNTIFS('Phase 05 Lab &amp; Radiology'!$O$2:$O$25,"P5-Setup",'Phase 05 Lab &amp; Radiology'!$G$2:$G$25,"PASS")</f>
      </c>
      <c r="E59">
        <f>COUNTIFS('Phase 05 Lab &amp; Radiology'!$O$2:$O$25,"P5-Setup",'Phase 05 Lab &amp; Radiology'!$G$2:$G$25,"FAIL")</f>
      </c>
      <c r="F59">
        <f>COUNTIF('Phase 05 Lab &amp; Radiology'!$O$2:$O$25,"P5-Setup")-COUNTIFS('Phase 05 Lab &amp; Radiology'!$O$2:$O$25,"P5-Setup",'Phase 05 Lab &amp; Radiology'!$G$2:$G$25,"PASS")-COUNTIFS('Phase 05 Lab &amp; Radiology'!$O$2:$O$25,"P5-Setup",'Phase 05 Lab &amp; Radiology'!$G$2:$G$25,"FAIL")-COUNTIFS('Phase 05 Lab &amp; Radiology'!$O$2:$O$25,"P5-Setup",'Phase 05 Lab &amp; Radiology'!$G$2:$G$25,"BLOCKED")</f>
      </c>
      <c r="G59" s="3">
        <f>IF(COUNTIFS('Phase 05 Lab &amp; Radiology'!$O$2:$O$25,"P5-Setup",'Phase 05 Lab &amp; Radiology'!$G$2:$G$25,"FAIL")&gt;0,"FAIL",IF(COUNTIFS('Phase 05 Lab &amp; Radiology'!$O$2:$O$25,"P5-Setup",'Phase 05 Lab &amp; Radiology'!$G$2:$G$25,"PASS")=COUNTIF('Phase 05 Lab &amp; Radiology'!$O$2:$O$25,"P5-Setup"),"PASS",IF(COUNTIFS('Phase 05 Lab &amp; Radiology'!$O$2:$O$25,"P5-Setup",'Phase 05 Lab &amp; Radiology'!$G$2:$G$25,"PASS")+COUNTIFS('Phase 05 Lab &amp; Radiology'!$O$2:$O$25,"P5-Setup",'Phase 05 Lab &amp; Radiology'!$G$2:$G$25,"BLOCKED")&gt;0,"IN PROGRESS","NOT STARTED")))</f>
      </c>
    </row>
    <row r="61" spans="1:1" s="6" customFormat="1" x14ac:dyDescent="0.25">
      <c r="A61" s="6" t="s">
        <v>79</v>
      </c>
    </row>
  </sheetData>
  <autoFilter ref="A1:G59"/>
  <conditionalFormatting sqref="G2:G59">
    <cfRule type="cellIs" dxfId="3" priority="1" operator="equal">
      <formula>"PASS"</formula>
    </cfRule>
    <cfRule type="cellIs" dxfId="4" priority="2" operator="equal">
      <formula>"FAIL"</formula>
    </cfRule>
    <cfRule type="cellIs" dxfId="5" priority="3" operator="equal">
      <formula>"IN PROGRESS"</formula>
    </cfRule>
  </conditionalFormatting>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workbookViewId="0">
      <pane xSplit="1" ySplit="1" topLeftCell="B2" activePane="bottomRight" state="frozen"/>
      <selection pane="bottomRight"/>
    </sheetView>
  </sheetViews>
  <sheetFormatPr defaultRowHeight="18" outlineLevelRow="0" outlineLevelCol="0" x14ac:dyDescent="55" customHeight="1"/>
  <cols>
    <col min="1" max="1" width="16" customWidth="1"/>
    <col min="2" max="2" width="14" customWidth="1"/>
    <col min="3" max="3" width="68" customWidth="1"/>
    <col min="4" max="4" width="14" customWidth="1"/>
    <col min="5" max="5" width="44" customWidth="1"/>
  </cols>
  <sheetData>
    <row r="1" ht="34" customHeight="1" spans="1:5" x14ac:dyDescent="0.25">
      <c r="A1" s="7" t="s">
        <v>80</v>
      </c>
      <c r="B1" s="7" t="s">
        <v>81</v>
      </c>
      <c r="C1" s="7" t="s">
        <v>82</v>
      </c>
      <c r="D1" s="7" t="s">
        <v>83</v>
      </c>
      <c r="E1" s="7" t="s">
        <v>84</v>
      </c>
    </row>
    <row r="2" spans="1:5" x14ac:dyDescent="0.25">
      <c r="A2" t="s">
        <v>85</v>
      </c>
      <c r="B2" t="s">
        <v>45</v>
      </c>
      <c r="C2" s="8" t="s">
        <v>86</v>
      </c>
      <c r="D2" t="s">
        <v>87</v>
      </c>
      <c r="E2" s="8" t="s">
        <v>87</v>
      </c>
    </row>
    <row r="3" spans="1:5" x14ac:dyDescent="0.25">
      <c r="A3" t="s">
        <v>85</v>
      </c>
      <c r="B3" t="s">
        <v>44</v>
      </c>
      <c r="C3" s="8" t="s">
        <v>88</v>
      </c>
      <c r="D3" t="s">
        <v>87</v>
      </c>
      <c r="E3" s="8" t="s">
        <v>87</v>
      </c>
    </row>
    <row r="4" spans="1:5" x14ac:dyDescent="0.25">
      <c r="A4" t="s">
        <v>85</v>
      </c>
      <c r="B4" t="s">
        <v>65</v>
      </c>
      <c r="C4" s="8" t="s">
        <v>89</v>
      </c>
      <c r="D4" t="s">
        <v>87</v>
      </c>
      <c r="E4" s="8" t="s">
        <v>87</v>
      </c>
    </row>
    <row r="5" spans="1:5" x14ac:dyDescent="0.25">
      <c r="A5" t="s">
        <v>85</v>
      </c>
      <c r="B5" t="s">
        <v>64</v>
      </c>
      <c r="C5" s="8" t="s">
        <v>90</v>
      </c>
      <c r="D5" t="s">
        <v>87</v>
      </c>
      <c r="E5" s="8" t="s">
        <v>87</v>
      </c>
    </row>
    <row r="6" spans="1:5" x14ac:dyDescent="0.25">
      <c r="A6" t="s">
        <v>85</v>
      </c>
      <c r="B6" t="s">
        <v>68</v>
      </c>
      <c r="C6" s="8" t="s">
        <v>91</v>
      </c>
      <c r="D6" t="s">
        <v>87</v>
      </c>
      <c r="E6" s="8" t="s">
        <v>87</v>
      </c>
    </row>
    <row r="7" spans="1:5" x14ac:dyDescent="0.25">
      <c r="A7" t="s">
        <v>85</v>
      </c>
      <c r="B7" t="s">
        <v>92</v>
      </c>
      <c r="C7" s="8" t="s">
        <v>93</v>
      </c>
      <c r="D7" t="s">
        <v>87</v>
      </c>
      <c r="E7" s="8" t="s">
        <v>87</v>
      </c>
    </row>
    <row r="8" spans="1:5" x14ac:dyDescent="0.25">
      <c r="A8" t="s">
        <v>85</v>
      </c>
      <c r="B8" t="s">
        <v>94</v>
      </c>
      <c r="C8" s="8" t="s">
        <v>95</v>
      </c>
      <c r="D8" t="s">
        <v>87</v>
      </c>
      <c r="E8" s="8" t="s">
        <v>87</v>
      </c>
    </row>
    <row r="9" spans="1:5" x14ac:dyDescent="0.25">
      <c r="A9" t="s">
        <v>85</v>
      </c>
      <c r="B9" t="s">
        <v>96</v>
      </c>
      <c r="C9" s="8" t="s">
        <v>97</v>
      </c>
      <c r="D9" t="s">
        <v>87</v>
      </c>
      <c r="E9" s="8" t="s">
        <v>87</v>
      </c>
    </row>
    <row r="10" spans="1:5" x14ac:dyDescent="0.25">
      <c r="A10" t="s">
        <v>85</v>
      </c>
      <c r="B10" t="s">
        <v>98</v>
      </c>
      <c r="C10" s="8" t="s">
        <v>99</v>
      </c>
      <c r="D10" t="s">
        <v>87</v>
      </c>
      <c r="E10" s="8" t="s">
        <v>87</v>
      </c>
    </row>
    <row r="11" spans="1:5" x14ac:dyDescent="0.25">
      <c r="A11" t="s">
        <v>85</v>
      </c>
      <c r="B11" t="s">
        <v>100</v>
      </c>
      <c r="C11" s="8" t="s">
        <v>101</v>
      </c>
      <c r="D11" t="s">
        <v>87</v>
      </c>
      <c r="E11" s="8" t="s">
        <v>87</v>
      </c>
    </row>
    <row r="12" spans="1:5" x14ac:dyDescent="0.25">
      <c r="A12" t="s">
        <v>85</v>
      </c>
      <c r="B12" t="s">
        <v>102</v>
      </c>
      <c r="C12" s="8" t="s">
        <v>103</v>
      </c>
      <c r="D12" t="s">
        <v>87</v>
      </c>
      <c r="E12" s="8" t="s">
        <v>87</v>
      </c>
    </row>
    <row r="13" spans="1:5" x14ac:dyDescent="0.25">
      <c r="A13" t="s">
        <v>85</v>
      </c>
      <c r="B13" t="s">
        <v>104</v>
      </c>
      <c r="C13" s="8" t="s">
        <v>105</v>
      </c>
      <c r="D13" t="s">
        <v>87</v>
      </c>
      <c r="E13" s="8" t="s">
        <v>87</v>
      </c>
    </row>
    <row r="14" spans="1:5" x14ac:dyDescent="0.25">
      <c r="A14" t="s">
        <v>85</v>
      </c>
      <c r="B14" t="s">
        <v>106</v>
      </c>
      <c r="C14" s="8" t="s">
        <v>107</v>
      </c>
      <c r="D14" t="s">
        <v>87</v>
      </c>
      <c r="E14" s="8" t="s">
        <v>87</v>
      </c>
    </row>
    <row r="15" spans="1:5" x14ac:dyDescent="0.25">
      <c r="A15" t="s">
        <v>85</v>
      </c>
      <c r="B15" t="s">
        <v>108</v>
      </c>
      <c r="C15" s="8" t="s">
        <v>109</v>
      </c>
      <c r="D15" t="s">
        <v>87</v>
      </c>
      <c r="E15" s="8" t="s">
        <v>87</v>
      </c>
    </row>
    <row r="16" spans="1:5" x14ac:dyDescent="0.25">
      <c r="A16" t="s">
        <v>110</v>
      </c>
      <c r="B16" t="s">
        <v>111</v>
      </c>
      <c r="C16" s="8" t="s">
        <v>112</v>
      </c>
      <c r="D16" t="s">
        <v>87</v>
      </c>
      <c r="E16" s="8" t="s">
        <v>87</v>
      </c>
    </row>
    <row r="17" spans="1:5" x14ac:dyDescent="0.25">
      <c r="A17" t="s">
        <v>110</v>
      </c>
      <c r="B17" t="s">
        <v>113</v>
      </c>
      <c r="C17" s="8" t="s">
        <v>114</v>
      </c>
      <c r="D17" t="s">
        <v>87</v>
      </c>
      <c r="E17" s="8" t="s">
        <v>87</v>
      </c>
    </row>
    <row r="18" spans="1:5" x14ac:dyDescent="0.25">
      <c r="A18" t="s">
        <v>110</v>
      </c>
      <c r="B18" t="s">
        <v>115</v>
      </c>
      <c r="C18" s="8" t="s">
        <v>116</v>
      </c>
      <c r="D18" t="s">
        <v>87</v>
      </c>
      <c r="E18" s="8" t="s">
        <v>87</v>
      </c>
    </row>
    <row r="19" spans="1:5" x14ac:dyDescent="0.25">
      <c r="A19" t="s">
        <v>110</v>
      </c>
      <c r="B19" t="s">
        <v>117</v>
      </c>
      <c r="C19" s="8" t="s">
        <v>118</v>
      </c>
      <c r="D19" t="s">
        <v>87</v>
      </c>
      <c r="E19" s="8" t="s">
        <v>87</v>
      </c>
    </row>
    <row r="20" spans="1:5" x14ac:dyDescent="0.25">
      <c r="A20" t="s">
        <v>110</v>
      </c>
      <c r="B20" t="s">
        <v>119</v>
      </c>
      <c r="C20" s="8" t="s">
        <v>120</v>
      </c>
      <c r="D20" t="s">
        <v>87</v>
      </c>
      <c r="E20" s="8" t="s">
        <v>87</v>
      </c>
    </row>
    <row r="21" spans="1:5" x14ac:dyDescent="0.25">
      <c r="A21" t="s">
        <v>110</v>
      </c>
      <c r="B21" t="s">
        <v>121</v>
      </c>
      <c r="C21" s="8" t="s">
        <v>122</v>
      </c>
      <c r="D21" t="s">
        <v>87</v>
      </c>
      <c r="E21" s="8" t="s">
        <v>87</v>
      </c>
    </row>
    <row r="22" spans="1:5" x14ac:dyDescent="0.25">
      <c r="A22" t="s">
        <v>110</v>
      </c>
      <c r="B22" t="s">
        <v>123</v>
      </c>
      <c r="C22" s="8" t="s">
        <v>124</v>
      </c>
      <c r="D22" t="s">
        <v>87</v>
      </c>
      <c r="E22" s="8" t="s">
        <v>87</v>
      </c>
    </row>
    <row r="23" spans="1:5" x14ac:dyDescent="0.25">
      <c r="A23" t="s">
        <v>110</v>
      </c>
      <c r="B23" t="s">
        <v>125</v>
      </c>
      <c r="C23" s="8" t="s">
        <v>126</v>
      </c>
      <c r="D23" t="s">
        <v>87</v>
      </c>
      <c r="E23" s="8" t="s">
        <v>87</v>
      </c>
    </row>
    <row r="24" spans="1:5" x14ac:dyDescent="0.25">
      <c r="A24" t="s">
        <v>110</v>
      </c>
      <c r="B24" t="s">
        <v>127</v>
      </c>
      <c r="C24" s="8" t="s">
        <v>128</v>
      </c>
      <c r="D24" t="s">
        <v>87</v>
      </c>
      <c r="E24" s="8" t="s">
        <v>87</v>
      </c>
    </row>
    <row r="25" spans="1:5" x14ac:dyDescent="0.25">
      <c r="A25" t="s">
        <v>110</v>
      </c>
      <c r="B25" t="s">
        <v>129</v>
      </c>
      <c r="C25" s="8" t="s">
        <v>130</v>
      </c>
      <c r="D25" t="s">
        <v>87</v>
      </c>
      <c r="E25" s="8" t="s">
        <v>87</v>
      </c>
    </row>
    <row r="26" spans="1:5" x14ac:dyDescent="0.25">
      <c r="A26" t="s">
        <v>110</v>
      </c>
      <c r="B26" t="s">
        <v>131</v>
      </c>
      <c r="C26" s="8" t="s">
        <v>132</v>
      </c>
      <c r="D26" t="s">
        <v>87</v>
      </c>
      <c r="E26" s="8" t="s">
        <v>87</v>
      </c>
    </row>
    <row r="27" spans="1:5" x14ac:dyDescent="0.25">
      <c r="A27" t="s">
        <v>110</v>
      </c>
      <c r="B27" t="s">
        <v>133</v>
      </c>
      <c r="C27" s="8" t="s">
        <v>134</v>
      </c>
      <c r="D27" t="s">
        <v>87</v>
      </c>
      <c r="E27" s="8" t="s">
        <v>87</v>
      </c>
    </row>
    <row r="28" spans="1:5" x14ac:dyDescent="0.25">
      <c r="A28" t="s">
        <v>110</v>
      </c>
      <c r="B28" t="s">
        <v>135</v>
      </c>
      <c r="C28" s="8" t="s">
        <v>136</v>
      </c>
      <c r="D28" t="s">
        <v>87</v>
      </c>
      <c r="E28" s="8" t="s">
        <v>87</v>
      </c>
    </row>
    <row r="29" spans="1:5" x14ac:dyDescent="0.25">
      <c r="A29" t="s">
        <v>110</v>
      </c>
      <c r="B29" t="s">
        <v>137</v>
      </c>
      <c r="C29" s="8" t="s">
        <v>138</v>
      </c>
      <c r="D29" t="s">
        <v>87</v>
      </c>
      <c r="E29" s="8" t="s">
        <v>87</v>
      </c>
    </row>
    <row r="30" spans="1:5" x14ac:dyDescent="0.25">
      <c r="A30" t="s">
        <v>110</v>
      </c>
      <c r="B30" t="s">
        <v>139</v>
      </c>
      <c r="C30" s="8" t="s">
        <v>140</v>
      </c>
      <c r="D30" t="s">
        <v>87</v>
      </c>
      <c r="E30" s="8" t="s">
        <v>87</v>
      </c>
    </row>
    <row r="31" spans="1:5" x14ac:dyDescent="0.25">
      <c r="A31" t="s">
        <v>110</v>
      </c>
      <c r="B31" t="s">
        <v>141</v>
      </c>
      <c r="C31" s="8" t="s">
        <v>142</v>
      </c>
      <c r="D31" t="s">
        <v>87</v>
      </c>
      <c r="E31" s="8" t="s">
        <v>87</v>
      </c>
    </row>
    <row r="32" spans="1:5" x14ac:dyDescent="0.25">
      <c r="A32" t="s">
        <v>110</v>
      </c>
      <c r="B32" t="s">
        <v>143</v>
      </c>
      <c r="C32" s="8" t="s">
        <v>144</v>
      </c>
      <c r="D32" t="s">
        <v>87</v>
      </c>
      <c r="E32" s="8" t="s">
        <v>87</v>
      </c>
    </row>
    <row r="33" spans="1:5" x14ac:dyDescent="0.25">
      <c r="A33" t="s">
        <v>145</v>
      </c>
      <c r="B33" t="s">
        <v>47</v>
      </c>
      <c r="C33" s="8" t="s">
        <v>146</v>
      </c>
      <c r="D33" t="s">
        <v>87</v>
      </c>
      <c r="E33" s="8" t="s">
        <v>87</v>
      </c>
    </row>
    <row r="34" spans="1:5" x14ac:dyDescent="0.25">
      <c r="A34" t="s">
        <v>145</v>
      </c>
      <c r="B34" t="s">
        <v>71</v>
      </c>
      <c r="C34" s="8" t="s">
        <v>147</v>
      </c>
      <c r="D34" t="s">
        <v>87</v>
      </c>
      <c r="E34" s="8" t="s">
        <v>87</v>
      </c>
    </row>
    <row r="35" spans="1:5" x14ac:dyDescent="0.25">
      <c r="A35" t="s">
        <v>145</v>
      </c>
      <c r="B35" t="s">
        <v>72</v>
      </c>
      <c r="C35" s="8" t="s">
        <v>148</v>
      </c>
      <c r="D35" t="s">
        <v>87</v>
      </c>
      <c r="E35" s="8" t="s">
        <v>87</v>
      </c>
    </row>
    <row r="36" spans="1:5" x14ac:dyDescent="0.25">
      <c r="A36" t="s">
        <v>145</v>
      </c>
      <c r="B36" t="s">
        <v>149</v>
      </c>
      <c r="C36" s="8" t="s">
        <v>150</v>
      </c>
      <c r="D36" t="s">
        <v>87</v>
      </c>
      <c r="E36" s="8" t="s">
        <v>87</v>
      </c>
    </row>
    <row r="37" spans="1:5" x14ac:dyDescent="0.25">
      <c r="A37" t="s">
        <v>145</v>
      </c>
      <c r="B37" t="s">
        <v>151</v>
      </c>
      <c r="C37" s="8" t="s">
        <v>152</v>
      </c>
      <c r="D37" t="s">
        <v>87</v>
      </c>
      <c r="E37" s="8" t="s">
        <v>87</v>
      </c>
    </row>
    <row r="38" spans="1:5" x14ac:dyDescent="0.25">
      <c r="A38" t="s">
        <v>145</v>
      </c>
      <c r="B38" t="s">
        <v>153</v>
      </c>
      <c r="C38" s="8" t="s">
        <v>154</v>
      </c>
      <c r="D38" t="s">
        <v>87</v>
      </c>
      <c r="E38" s="8" t="s">
        <v>87</v>
      </c>
    </row>
    <row r="39" spans="1:5" x14ac:dyDescent="0.25">
      <c r="A39" t="s">
        <v>145</v>
      </c>
      <c r="B39" t="s">
        <v>155</v>
      </c>
      <c r="C39" s="8" t="s">
        <v>156</v>
      </c>
      <c r="D39" t="s">
        <v>87</v>
      </c>
      <c r="E39" s="8" t="s">
        <v>87</v>
      </c>
    </row>
    <row r="40" spans="1:5" x14ac:dyDescent="0.25">
      <c r="A40" t="s">
        <v>145</v>
      </c>
      <c r="B40" t="s">
        <v>57</v>
      </c>
      <c r="C40" s="8" t="s">
        <v>157</v>
      </c>
      <c r="D40" t="s">
        <v>87</v>
      </c>
      <c r="E40" s="8" t="s">
        <v>87</v>
      </c>
    </row>
    <row r="41" spans="1:5" x14ac:dyDescent="0.25">
      <c r="A41" t="s">
        <v>145</v>
      </c>
      <c r="B41" t="s">
        <v>158</v>
      </c>
      <c r="C41" s="8" t="s">
        <v>159</v>
      </c>
      <c r="D41" t="s">
        <v>87</v>
      </c>
      <c r="E41" s="8" t="s">
        <v>87</v>
      </c>
    </row>
    <row r="42" spans="1:5" x14ac:dyDescent="0.25">
      <c r="A42" t="s">
        <v>145</v>
      </c>
      <c r="B42" t="s">
        <v>32</v>
      </c>
      <c r="C42" s="8" t="s">
        <v>160</v>
      </c>
      <c r="D42" t="s">
        <v>87</v>
      </c>
      <c r="E42" s="8" t="s">
        <v>87</v>
      </c>
    </row>
    <row r="43" spans="1:5" x14ac:dyDescent="0.25">
      <c r="A43" t="s">
        <v>145</v>
      </c>
      <c r="B43" t="s">
        <v>161</v>
      </c>
      <c r="C43" s="8" t="s">
        <v>162</v>
      </c>
      <c r="D43" t="s">
        <v>87</v>
      </c>
      <c r="E43" s="8" t="s">
        <v>87</v>
      </c>
    </row>
    <row r="44" spans="1:5" x14ac:dyDescent="0.25">
      <c r="A44" t="s">
        <v>163</v>
      </c>
      <c r="B44" t="s">
        <v>34</v>
      </c>
      <c r="C44" s="8" t="s">
        <v>164</v>
      </c>
      <c r="D44" t="s">
        <v>87</v>
      </c>
      <c r="E44" s="8" t="s">
        <v>87</v>
      </c>
    </row>
    <row r="45" spans="1:5" x14ac:dyDescent="0.25">
      <c r="A45" t="s">
        <v>163</v>
      </c>
      <c r="B45" t="s">
        <v>165</v>
      </c>
      <c r="C45" s="8" t="s">
        <v>166</v>
      </c>
      <c r="D45" t="s">
        <v>87</v>
      </c>
      <c r="E45" s="8" t="s">
        <v>87</v>
      </c>
    </row>
    <row r="46" spans="1:5" x14ac:dyDescent="0.25">
      <c r="A46" t="s">
        <v>163</v>
      </c>
      <c r="B46" t="s">
        <v>167</v>
      </c>
      <c r="C46" s="8" t="s">
        <v>168</v>
      </c>
      <c r="D46" t="s">
        <v>87</v>
      </c>
      <c r="E46" s="8" t="s">
        <v>87</v>
      </c>
    </row>
    <row r="47" spans="1:5" x14ac:dyDescent="0.25">
      <c r="A47" t="s">
        <v>163</v>
      </c>
      <c r="B47" t="s">
        <v>169</v>
      </c>
      <c r="C47" s="8" t="s">
        <v>170</v>
      </c>
      <c r="D47" t="s">
        <v>87</v>
      </c>
      <c r="E47" s="8" t="s">
        <v>87</v>
      </c>
    </row>
    <row r="48" spans="1:5" x14ac:dyDescent="0.25">
      <c r="A48" t="s">
        <v>163</v>
      </c>
      <c r="B48" t="s">
        <v>171</v>
      </c>
      <c r="C48" s="8" t="s">
        <v>172</v>
      </c>
      <c r="D48" t="s">
        <v>87</v>
      </c>
      <c r="E48" s="8" t="s">
        <v>87</v>
      </c>
    </row>
    <row r="49" spans="1:5" x14ac:dyDescent="0.25">
      <c r="A49" t="s">
        <v>173</v>
      </c>
      <c r="B49" t="s">
        <v>174</v>
      </c>
      <c r="C49" s="8" t="s">
        <v>175</v>
      </c>
      <c r="D49" t="s">
        <v>87</v>
      </c>
      <c r="E49" s="8" t="s">
        <v>87</v>
      </c>
    </row>
    <row r="50" spans="1:5" x14ac:dyDescent="0.25">
      <c r="A50" t="s">
        <v>173</v>
      </c>
      <c r="B50" t="s">
        <v>176</v>
      </c>
      <c r="C50" s="8" t="s">
        <v>177</v>
      </c>
      <c r="D50" t="s">
        <v>87</v>
      </c>
      <c r="E50" s="8" t="s">
        <v>87</v>
      </c>
    </row>
    <row r="51" spans="1:5" x14ac:dyDescent="0.25">
      <c r="A51" t="s">
        <v>173</v>
      </c>
      <c r="B51" t="s">
        <v>178</v>
      </c>
      <c r="C51" s="8" t="s">
        <v>179</v>
      </c>
      <c r="D51" t="s">
        <v>87</v>
      </c>
      <c r="E51" s="8" t="s">
        <v>87</v>
      </c>
    </row>
    <row r="52" spans="1:5" x14ac:dyDescent="0.25">
      <c r="A52" t="s">
        <v>173</v>
      </c>
      <c r="B52" t="s">
        <v>180</v>
      </c>
      <c r="C52" s="8" t="s">
        <v>181</v>
      </c>
      <c r="D52" t="s">
        <v>87</v>
      </c>
      <c r="E52" s="8" t="s">
        <v>87</v>
      </c>
    </row>
    <row r="53" spans="1:5" x14ac:dyDescent="0.25">
      <c r="A53" t="s">
        <v>182</v>
      </c>
      <c r="B53" t="s">
        <v>183</v>
      </c>
      <c r="C53" s="8" t="s">
        <v>184</v>
      </c>
      <c r="D53" t="s">
        <v>87</v>
      </c>
      <c r="E53" s="8" t="s">
        <v>87</v>
      </c>
    </row>
    <row r="54" spans="1:5" x14ac:dyDescent="0.25">
      <c r="A54" t="s">
        <v>182</v>
      </c>
      <c r="B54" t="s">
        <v>185</v>
      </c>
      <c r="C54" s="8" t="s">
        <v>186</v>
      </c>
      <c r="D54" t="s">
        <v>87</v>
      </c>
      <c r="E54" s="8" t="s">
        <v>87</v>
      </c>
    </row>
    <row r="55" spans="1:5" x14ac:dyDescent="0.25">
      <c r="A55" t="s">
        <v>182</v>
      </c>
      <c r="B55" t="s">
        <v>187</v>
      </c>
      <c r="C55" s="8" t="s">
        <v>188</v>
      </c>
      <c r="D55" t="s">
        <v>87</v>
      </c>
      <c r="E55" s="8" t="s">
        <v>87</v>
      </c>
    </row>
    <row r="56" spans="1:5" x14ac:dyDescent="0.25">
      <c r="A56" t="s">
        <v>182</v>
      </c>
      <c r="B56" t="s">
        <v>165</v>
      </c>
      <c r="C56" s="8" t="s">
        <v>189</v>
      </c>
      <c r="D56" t="s">
        <v>87</v>
      </c>
      <c r="E56" s="8" t="s">
        <v>87</v>
      </c>
    </row>
    <row r="58" ht="26" customHeight="1" spans="1:5" s="9" customFormat="1" x14ac:dyDescent="0.25">
      <c r="A58" s="9" t="s">
        <v>190</v>
      </c>
      <c r="B58" s="9" t="s">
        <v>87</v>
      </c>
      <c r="C58" s="9" t="s">
        <v>191</v>
      </c>
      <c r="D58" s="9">
        <f>IF(COUNTIF(D2:D56,"PASS")=55,"READY TO GO LIVE","NOT READY")</f>
      </c>
      <c r="E58" s="9" t="s">
        <v>87</v>
      </c>
    </row>
  </sheetData>
  <autoFilter ref="A1:E56"/>
  <conditionalFormatting sqref="D2:D56">
    <cfRule type="cellIs" dxfId="6" priority="1" operator="equal">
      <formula>"PASS"</formula>
    </cfRule>
    <cfRule type="cellIs" dxfId="7" priority="2" operator="equal">
      <formula>"FAIL"</formula>
    </cfRule>
  </conditionalFormatting>
  <conditionalFormatting sqref="D58:D58">
    <cfRule type="containsText" dxfId="8" priority="1">
      <formula>NOT(ISERROR(SEARCH("READY TO GO LIVE",D58)))</formula>
    </cfRule>
    <cfRule type="containsText" dxfId="9" priority="2">
      <formula>NOT(ISERROR(SEARCH("NOT READY",D58)))</formula>
    </cfRule>
  </conditionalFormatting>
  <dataValidations count="2">
    <dataValidation type="list" allowBlank="1" showErrorMessage="1" errorStyle="warning" sqref="D10:D56">
      <formula1>"PASS,FAIL,NOT RUN"</formula1>
    </dataValidation>
    <dataValidation type="list" allowBlank="1" showErrorMessage="1" errorStyle="warning" sqref="D2:D56">
      <formula1>"PASS,FAIL,NOT RUN"</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78"/>
  <sheetViews>
    <sheetView workbookViewId="0">
      <pane xSplit="1" ySplit="1" topLeftCell="B2" activePane="bottomRight" state="frozen"/>
      <selection pane="bottomRight"/>
    </sheetView>
  </sheetViews>
  <sheetFormatPr defaultRowHeight="18" outlineLevelRow="0" outlineLevelCol="0" x14ac:dyDescent="55" customHeight="1"/>
  <cols>
    <col min="1" max="1" width="16" customWidth="1"/>
    <col min="2" max="2" width="20" customWidth="1"/>
    <col min="4" max="4" width="46" customWidth="1"/>
    <col min="5" max="5" width="68" customWidth="1"/>
    <col min="6" max="6" width="52" customWidth="1"/>
    <col min="7" max="7" width="15" customWidth="1"/>
    <col min="8" max="8" width="30" customWidth="1"/>
    <col min="9" max="9" width="22" customWidth="1"/>
    <col min="10" max="10" width="30" customWidth="1"/>
    <col min="11" max="12" width="46" customWidth="1"/>
    <col min="13" max="13" width="13" customWidth="1"/>
    <col min="14" max="14" width="36" customWidth="1"/>
    <col min="15" max="15" width="16" customWidth="1"/>
    <col min="16" max="16" width="68" customWidth="1"/>
    <col min="17" max="17" width="12" customWidth="1"/>
    <col min="18" max="18" width="20" customWidth="1"/>
    <col min="19" max="19" width="40" customWidth="1"/>
    <col min="20" max="20" width="48" customWidth="1"/>
    <col min="21" max="21" width="14" customWidth="1"/>
    <col min="22" max="22" width="18" customWidth="1"/>
  </cols>
  <sheetData>
    <row r="1" ht="34" customHeight="1" spans="1:22" x14ac:dyDescent="0.25">
      <c r="A1" s="1" t="s">
        <v>192</v>
      </c>
      <c r="B1" s="1" t="s">
        <v>193</v>
      </c>
      <c r="C1" s="1" t="s">
        <v>194</v>
      </c>
      <c r="D1" s="1" t="s">
        <v>195</v>
      </c>
      <c r="E1" s="1" t="s">
        <v>196</v>
      </c>
      <c r="F1" s="1" t="s">
        <v>197</v>
      </c>
      <c r="G1" s="1" t="s">
        <v>198</v>
      </c>
      <c r="H1" s="1" t="s">
        <v>199</v>
      </c>
      <c r="I1" s="1" t="s">
        <v>200</v>
      </c>
      <c r="J1" s="1" t="s">
        <v>201</v>
      </c>
      <c r="K1" s="1" t="s">
        <v>202</v>
      </c>
      <c r="L1" s="1" t="s">
        <v>203</v>
      </c>
      <c r="M1" s="1" t="s">
        <v>204</v>
      </c>
      <c r="N1" s="1" t="s">
        <v>205</v>
      </c>
      <c r="O1" s="1" t="s">
        <v>19</v>
      </c>
      <c r="P1" s="1" t="s">
        <v>206</v>
      </c>
      <c r="Q1" s="1" t="s">
        <v>207</v>
      </c>
      <c r="R1" s="1" t="s">
        <v>208</v>
      </c>
      <c r="S1" s="1" t="s">
        <v>209</v>
      </c>
      <c r="T1" s="1" t="s">
        <v>210</v>
      </c>
      <c r="U1" s="1" t="s">
        <v>211</v>
      </c>
      <c r="V1" s="1" t="s">
        <v>212</v>
      </c>
    </row>
    <row r="2" spans="1:22" s="10" customFormat="1" x14ac:dyDescent="0.25">
      <c r="A2" s="10" t="s">
        <v>213</v>
      </c>
      <c r="B2" s="10" t="s">
        <v>214</v>
      </c>
      <c r="C2" s="10" t="s">
        <v>215</v>
      </c>
      <c r="D2" s="10" t="s">
        <v>216</v>
      </c>
      <c r="E2" s="8" t="s">
        <v>217</v>
      </c>
      <c r="F2" s="8" t="s">
        <v>218</v>
      </c>
      <c r="G2" s="10" t="s">
        <v>219</v>
      </c>
      <c r="H2" s="8" t="s">
        <v>220</v>
      </c>
      <c r="I2" s="10" t="s">
        <v>87</v>
      </c>
      <c r="J2" s="8" t="s">
        <v>221</v>
      </c>
      <c r="K2" s="8" t="s">
        <v>87</v>
      </c>
      <c r="L2" s="8" t="s">
        <v>87</v>
      </c>
      <c r="M2" s="10" t="s">
        <v>87</v>
      </c>
      <c r="N2" s="8" t="s">
        <v>87</v>
      </c>
      <c r="O2" s="10" t="s">
        <v>21</v>
      </c>
      <c r="P2" s="8" t="s">
        <v>222</v>
      </c>
      <c r="Q2" s="10" t="s">
        <v>223</v>
      </c>
      <c r="R2" s="10" t="s">
        <v>224</v>
      </c>
      <c r="S2" s="8" t="s">
        <v>220</v>
      </c>
      <c r="T2" s="10" t="s">
        <v>225</v>
      </c>
      <c r="U2" s="10" t="s">
        <v>87</v>
      </c>
      <c r="V2" s="10" t="s">
        <v>87</v>
      </c>
    </row>
    <row r="3" spans="1:22" s="10" customFormat="1" x14ac:dyDescent="0.25">
      <c r="A3" s="10" t="s">
        <v>226</v>
      </c>
      <c r="B3" s="10" t="s">
        <v>214</v>
      </c>
      <c r="C3" s="10" t="s">
        <v>215</v>
      </c>
      <c r="D3" s="10" t="s">
        <v>227</v>
      </c>
      <c r="E3" s="8" t="s">
        <v>228</v>
      </c>
      <c r="F3" s="8" t="s">
        <v>229</v>
      </c>
      <c r="G3" s="10" t="s">
        <v>219</v>
      </c>
      <c r="H3" s="8" t="s">
        <v>230</v>
      </c>
      <c r="I3" s="10" t="s">
        <v>87</v>
      </c>
      <c r="J3" s="8" t="s">
        <v>220</v>
      </c>
      <c r="K3" s="8" t="s">
        <v>87</v>
      </c>
      <c r="L3" s="8" t="s">
        <v>87</v>
      </c>
      <c r="M3" s="10" t="s">
        <v>87</v>
      </c>
      <c r="N3" s="8" t="s">
        <v>87</v>
      </c>
      <c r="O3" s="10" t="s">
        <v>21</v>
      </c>
      <c r="P3" s="8" t="s">
        <v>231</v>
      </c>
      <c r="Q3" s="10" t="s">
        <v>223</v>
      </c>
      <c r="R3" s="10" t="s">
        <v>224</v>
      </c>
      <c r="S3" s="8" t="s">
        <v>232</v>
      </c>
      <c r="T3" s="10" t="s">
        <v>225</v>
      </c>
      <c r="U3" s="10" t="s">
        <v>87</v>
      </c>
      <c r="V3" s="10" t="s">
        <v>87</v>
      </c>
    </row>
    <row r="4" spans="1:22" s="10" customFormat="1" x14ac:dyDescent="0.25">
      <c r="A4" s="10" t="s">
        <v>233</v>
      </c>
      <c r="B4" s="10" t="s">
        <v>214</v>
      </c>
      <c r="C4" s="10" t="s">
        <v>215</v>
      </c>
      <c r="D4" s="10" t="s">
        <v>234</v>
      </c>
      <c r="E4" s="8" t="s">
        <v>235</v>
      </c>
      <c r="F4" s="8" t="s">
        <v>236</v>
      </c>
      <c r="G4" s="10" t="s">
        <v>219</v>
      </c>
      <c r="H4" s="8" t="s">
        <v>237</v>
      </c>
      <c r="I4" s="10" t="s">
        <v>87</v>
      </c>
      <c r="J4" s="8" t="s">
        <v>220</v>
      </c>
      <c r="K4" s="8" t="s">
        <v>87</v>
      </c>
      <c r="L4" s="8" t="s">
        <v>87</v>
      </c>
      <c r="M4" s="10" t="s">
        <v>87</v>
      </c>
      <c r="N4" s="8" t="s">
        <v>87</v>
      </c>
      <c r="O4" s="10" t="s">
        <v>21</v>
      </c>
      <c r="P4" s="8" t="s">
        <v>238</v>
      </c>
      <c r="Q4" s="10" t="s">
        <v>239</v>
      </c>
      <c r="R4" s="10" t="s">
        <v>224</v>
      </c>
      <c r="S4" s="8" t="s">
        <v>220</v>
      </c>
      <c r="T4" s="10" t="s">
        <v>225</v>
      </c>
      <c r="U4" s="10" t="s">
        <v>87</v>
      </c>
      <c r="V4" s="10" t="s">
        <v>87</v>
      </c>
    </row>
    <row r="5" spans="1:22" s="10" customFormat="1" x14ac:dyDescent="0.25">
      <c r="A5" s="10" t="s">
        <v>240</v>
      </c>
      <c r="B5" s="10" t="s">
        <v>214</v>
      </c>
      <c r="C5" s="10" t="s">
        <v>215</v>
      </c>
      <c r="D5" s="10" t="s">
        <v>241</v>
      </c>
      <c r="E5" s="8" t="s">
        <v>242</v>
      </c>
      <c r="F5" s="8" t="s">
        <v>243</v>
      </c>
      <c r="G5" s="10" t="s">
        <v>219</v>
      </c>
      <c r="H5" s="8" t="s">
        <v>244</v>
      </c>
      <c r="I5" s="10" t="s">
        <v>87</v>
      </c>
      <c r="J5" s="8" t="s">
        <v>220</v>
      </c>
      <c r="K5" s="8" t="s">
        <v>87</v>
      </c>
      <c r="L5" s="8" t="s">
        <v>87</v>
      </c>
      <c r="M5" s="10" t="s">
        <v>87</v>
      </c>
      <c r="N5" s="8" t="s">
        <v>87</v>
      </c>
      <c r="O5" s="10" t="s">
        <v>21</v>
      </c>
      <c r="P5" s="8" t="s">
        <v>245</v>
      </c>
      <c r="Q5" s="10" t="s">
        <v>246</v>
      </c>
      <c r="R5" s="10" t="s">
        <v>224</v>
      </c>
      <c r="S5" s="8" t="s">
        <v>220</v>
      </c>
      <c r="T5" s="10" t="s">
        <v>225</v>
      </c>
      <c r="U5" s="10" t="s">
        <v>87</v>
      </c>
      <c r="V5" s="10" t="s">
        <v>87</v>
      </c>
    </row>
    <row r="6" spans="1:22" s="10" customFormat="1" x14ac:dyDescent="0.25">
      <c r="A6" s="10" t="s">
        <v>247</v>
      </c>
      <c r="B6" s="10" t="s">
        <v>214</v>
      </c>
      <c r="C6" s="10" t="s">
        <v>215</v>
      </c>
      <c r="D6" s="10" t="s">
        <v>248</v>
      </c>
      <c r="E6" s="8" t="s">
        <v>249</v>
      </c>
      <c r="F6" s="8" t="s">
        <v>250</v>
      </c>
      <c r="G6" s="10" t="s">
        <v>219</v>
      </c>
      <c r="H6" s="8" t="s">
        <v>251</v>
      </c>
      <c r="I6" s="10" t="s">
        <v>87</v>
      </c>
      <c r="J6" s="8" t="s">
        <v>220</v>
      </c>
      <c r="K6" s="8" t="s">
        <v>87</v>
      </c>
      <c r="L6" s="8" t="s">
        <v>87</v>
      </c>
      <c r="M6" s="10" t="s">
        <v>87</v>
      </c>
      <c r="N6" s="8" t="s">
        <v>87</v>
      </c>
      <c r="O6" s="10" t="s">
        <v>21</v>
      </c>
      <c r="P6" s="8" t="s">
        <v>252</v>
      </c>
      <c r="Q6" s="10" t="s">
        <v>239</v>
      </c>
      <c r="R6" s="10" t="s">
        <v>224</v>
      </c>
      <c r="S6" s="8" t="s">
        <v>220</v>
      </c>
      <c r="T6" s="10" t="s">
        <v>253</v>
      </c>
      <c r="U6" s="10" t="s">
        <v>87</v>
      </c>
      <c r="V6" s="10" t="s">
        <v>87</v>
      </c>
    </row>
    <row r="7" spans="1:22" s="10" customFormat="1" x14ac:dyDescent="0.25">
      <c r="A7" s="10" t="s">
        <v>254</v>
      </c>
      <c r="B7" s="10" t="s">
        <v>214</v>
      </c>
      <c r="C7" s="10" t="s">
        <v>215</v>
      </c>
      <c r="D7" s="10" t="s">
        <v>255</v>
      </c>
      <c r="E7" s="8" t="s">
        <v>256</v>
      </c>
      <c r="F7" s="8" t="s">
        <v>257</v>
      </c>
      <c r="G7" s="10" t="s">
        <v>219</v>
      </c>
      <c r="H7" s="8" t="s">
        <v>244</v>
      </c>
      <c r="I7" s="10" t="s">
        <v>87</v>
      </c>
      <c r="J7" s="8" t="s">
        <v>258</v>
      </c>
      <c r="K7" s="8" t="s">
        <v>87</v>
      </c>
      <c r="L7" s="8" t="s">
        <v>87</v>
      </c>
      <c r="M7" s="10" t="s">
        <v>87</v>
      </c>
      <c r="N7" s="8" t="s">
        <v>259</v>
      </c>
      <c r="O7" s="10" t="s">
        <v>21</v>
      </c>
      <c r="P7" s="8" t="s">
        <v>260</v>
      </c>
      <c r="Q7" s="10" t="s">
        <v>223</v>
      </c>
      <c r="R7" s="10" t="s">
        <v>224</v>
      </c>
      <c r="S7" s="8" t="s">
        <v>261</v>
      </c>
      <c r="T7" s="10" t="s">
        <v>253</v>
      </c>
      <c r="U7" s="10" t="s">
        <v>87</v>
      </c>
      <c r="V7" s="10" t="s">
        <v>87</v>
      </c>
    </row>
    <row r="8" spans="1:22" s="10" customFormat="1" x14ac:dyDescent="0.25">
      <c r="A8" s="10" t="s">
        <v>262</v>
      </c>
      <c r="B8" s="10" t="s">
        <v>214</v>
      </c>
      <c r="C8" s="10" t="s">
        <v>215</v>
      </c>
      <c r="D8" s="10" t="s">
        <v>263</v>
      </c>
      <c r="E8" s="8" t="s">
        <v>264</v>
      </c>
      <c r="F8" s="8" t="s">
        <v>265</v>
      </c>
      <c r="G8" s="10" t="s">
        <v>219</v>
      </c>
      <c r="H8" s="8" t="s">
        <v>266</v>
      </c>
      <c r="I8" s="10" t="s">
        <v>87</v>
      </c>
      <c r="J8" s="8" t="s">
        <v>267</v>
      </c>
      <c r="K8" s="8" t="s">
        <v>87</v>
      </c>
      <c r="L8" s="8" t="s">
        <v>87</v>
      </c>
      <c r="M8" s="10" t="s">
        <v>87</v>
      </c>
      <c r="N8" s="8" t="s">
        <v>87</v>
      </c>
      <c r="O8" s="10" t="s">
        <v>21</v>
      </c>
      <c r="P8" s="8" t="s">
        <v>268</v>
      </c>
      <c r="Q8" s="10" t="s">
        <v>239</v>
      </c>
      <c r="R8" s="10" t="s">
        <v>224</v>
      </c>
      <c r="S8" s="8" t="s">
        <v>261</v>
      </c>
      <c r="T8" s="10" t="s">
        <v>253</v>
      </c>
      <c r="U8" s="10" t="s">
        <v>87</v>
      </c>
      <c r="V8" s="10" t="s">
        <v>87</v>
      </c>
    </row>
    <row r="9" spans="1:22" s="10" customFormat="1" x14ac:dyDescent="0.25">
      <c r="A9" s="10" t="s">
        <v>269</v>
      </c>
      <c r="B9" s="10" t="s">
        <v>214</v>
      </c>
      <c r="C9" s="10" t="s">
        <v>215</v>
      </c>
      <c r="D9" s="10" t="s">
        <v>270</v>
      </c>
      <c r="E9" s="8" t="s">
        <v>271</v>
      </c>
      <c r="F9" s="8" t="s">
        <v>272</v>
      </c>
      <c r="G9" s="10" t="s">
        <v>219</v>
      </c>
      <c r="H9" s="8" t="s">
        <v>273</v>
      </c>
      <c r="I9" s="10" t="s">
        <v>87</v>
      </c>
      <c r="J9" s="8" t="s">
        <v>267</v>
      </c>
      <c r="K9" s="8" t="s">
        <v>87</v>
      </c>
      <c r="L9" s="8" t="s">
        <v>87</v>
      </c>
      <c r="M9" s="10" t="s">
        <v>87</v>
      </c>
      <c r="N9" s="8" t="s">
        <v>87</v>
      </c>
      <c r="O9" s="10" t="s">
        <v>21</v>
      </c>
      <c r="P9" s="8" t="s">
        <v>274</v>
      </c>
      <c r="Q9" s="10" t="s">
        <v>239</v>
      </c>
      <c r="R9" s="10" t="s">
        <v>224</v>
      </c>
      <c r="S9" s="8" t="s">
        <v>261</v>
      </c>
      <c r="T9" s="10" t="s">
        <v>253</v>
      </c>
      <c r="U9" s="10" t="s">
        <v>87</v>
      </c>
      <c r="V9" s="10" t="s">
        <v>87</v>
      </c>
    </row>
    <row r="10" spans="1:22" s="10" customFormat="1" x14ac:dyDescent="0.25">
      <c r="A10" s="10" t="s">
        <v>275</v>
      </c>
      <c r="B10" s="10" t="s">
        <v>214</v>
      </c>
      <c r="C10" s="10" t="s">
        <v>215</v>
      </c>
      <c r="D10" s="10" t="s">
        <v>276</v>
      </c>
      <c r="E10" s="8" t="s">
        <v>277</v>
      </c>
      <c r="F10" s="8" t="s">
        <v>278</v>
      </c>
      <c r="G10" s="10" t="s">
        <v>219</v>
      </c>
      <c r="H10" s="8" t="s">
        <v>279</v>
      </c>
      <c r="I10" s="10" t="s">
        <v>87</v>
      </c>
      <c r="J10" s="8" t="s">
        <v>220</v>
      </c>
      <c r="K10" s="8" t="s">
        <v>87</v>
      </c>
      <c r="L10" s="8" t="s">
        <v>87</v>
      </c>
      <c r="M10" s="10" t="s">
        <v>87</v>
      </c>
      <c r="N10" s="8" t="s">
        <v>87</v>
      </c>
      <c r="O10" s="10" t="s">
        <v>21</v>
      </c>
      <c r="P10" s="8" t="s">
        <v>280</v>
      </c>
      <c r="Q10" s="10" t="s">
        <v>223</v>
      </c>
      <c r="R10" s="10" t="s">
        <v>224</v>
      </c>
      <c r="S10" s="8" t="s">
        <v>281</v>
      </c>
      <c r="T10" s="10" t="s">
        <v>225</v>
      </c>
      <c r="U10" s="10" t="s">
        <v>87</v>
      </c>
      <c r="V10" s="10" t="s">
        <v>87</v>
      </c>
    </row>
    <row r="11" spans="1:22" s="10" customFormat="1" x14ac:dyDescent="0.25">
      <c r="A11" s="10" t="s">
        <v>282</v>
      </c>
      <c r="B11" s="10" t="s">
        <v>214</v>
      </c>
      <c r="C11" s="10" t="s">
        <v>215</v>
      </c>
      <c r="D11" s="10" t="s">
        <v>283</v>
      </c>
      <c r="E11" s="8" t="s">
        <v>284</v>
      </c>
      <c r="F11" s="8" t="s">
        <v>285</v>
      </c>
      <c r="G11" s="10" t="s">
        <v>219</v>
      </c>
      <c r="H11" s="8" t="s">
        <v>286</v>
      </c>
      <c r="I11" s="10" t="s">
        <v>87</v>
      </c>
      <c r="J11" s="8" t="s">
        <v>220</v>
      </c>
      <c r="K11" s="8" t="s">
        <v>87</v>
      </c>
      <c r="L11" s="8" t="s">
        <v>87</v>
      </c>
      <c r="M11" s="10" t="s">
        <v>87</v>
      </c>
      <c r="N11" s="8" t="s">
        <v>87</v>
      </c>
      <c r="O11" s="10" t="s">
        <v>21</v>
      </c>
      <c r="P11" s="8" t="s">
        <v>287</v>
      </c>
      <c r="Q11" s="10" t="s">
        <v>239</v>
      </c>
      <c r="R11" s="10" t="s">
        <v>224</v>
      </c>
      <c r="S11" s="8" t="s">
        <v>220</v>
      </c>
      <c r="T11" s="10" t="s">
        <v>225</v>
      </c>
      <c r="U11" s="10" t="s">
        <v>87</v>
      </c>
      <c r="V11" s="10" t="s">
        <v>87</v>
      </c>
    </row>
    <row r="12" spans="1:22" s="10" customFormat="1" x14ac:dyDescent="0.25">
      <c r="A12" s="10" t="s">
        <v>288</v>
      </c>
      <c r="B12" s="10" t="s">
        <v>214</v>
      </c>
      <c r="C12" s="10" t="s">
        <v>215</v>
      </c>
      <c r="D12" s="10" t="s">
        <v>289</v>
      </c>
      <c r="E12" s="8" t="s">
        <v>290</v>
      </c>
      <c r="F12" s="8" t="s">
        <v>291</v>
      </c>
      <c r="G12" s="10" t="s">
        <v>219</v>
      </c>
      <c r="H12" s="8" t="s">
        <v>292</v>
      </c>
      <c r="I12" s="10" t="s">
        <v>87</v>
      </c>
      <c r="J12" s="8" t="s">
        <v>220</v>
      </c>
      <c r="K12" s="8" t="s">
        <v>87</v>
      </c>
      <c r="L12" s="8" t="s">
        <v>87</v>
      </c>
      <c r="M12" s="10" t="s">
        <v>87</v>
      </c>
      <c r="N12" s="8" t="s">
        <v>87</v>
      </c>
      <c r="O12" s="10" t="s">
        <v>21</v>
      </c>
      <c r="P12" s="8" t="s">
        <v>293</v>
      </c>
      <c r="Q12" s="10" t="s">
        <v>239</v>
      </c>
      <c r="R12" s="10" t="s">
        <v>224</v>
      </c>
      <c r="S12" s="8" t="s">
        <v>220</v>
      </c>
      <c r="T12" s="10" t="s">
        <v>225</v>
      </c>
      <c r="U12" s="10" t="s">
        <v>87</v>
      </c>
      <c r="V12" s="10" t="s">
        <v>87</v>
      </c>
    </row>
    <row r="13" spans="1:22" s="10" customFormat="1" x14ac:dyDescent="0.25">
      <c r="A13" s="10" t="s">
        <v>294</v>
      </c>
      <c r="B13" s="10" t="s">
        <v>214</v>
      </c>
      <c r="C13" s="10" t="s">
        <v>215</v>
      </c>
      <c r="D13" s="10" t="s">
        <v>295</v>
      </c>
      <c r="E13" s="8" t="s">
        <v>296</v>
      </c>
      <c r="F13" s="8" t="s">
        <v>297</v>
      </c>
      <c r="G13" s="10" t="s">
        <v>219</v>
      </c>
      <c r="H13" s="8" t="s">
        <v>298</v>
      </c>
      <c r="I13" s="10" t="s">
        <v>87</v>
      </c>
      <c r="J13" s="8" t="s">
        <v>220</v>
      </c>
      <c r="K13" s="8" t="s">
        <v>87</v>
      </c>
      <c r="L13" s="8" t="s">
        <v>87</v>
      </c>
      <c r="M13" s="10" t="s">
        <v>87</v>
      </c>
      <c r="N13" s="8" t="s">
        <v>87</v>
      </c>
      <c r="O13" s="10" t="s">
        <v>21</v>
      </c>
      <c r="P13" s="8" t="s">
        <v>299</v>
      </c>
      <c r="Q13" s="10" t="s">
        <v>239</v>
      </c>
      <c r="R13" s="10" t="s">
        <v>224</v>
      </c>
      <c r="S13" s="8" t="s">
        <v>220</v>
      </c>
      <c r="T13" s="10" t="s">
        <v>225</v>
      </c>
      <c r="U13" s="10" t="s">
        <v>87</v>
      </c>
      <c r="V13" s="10" t="s">
        <v>87</v>
      </c>
    </row>
    <row r="14" spans="1:22" s="10" customFormat="1" x14ac:dyDescent="0.25">
      <c r="A14" s="10" t="s">
        <v>300</v>
      </c>
      <c r="B14" s="10" t="s">
        <v>214</v>
      </c>
      <c r="C14" s="10" t="s">
        <v>215</v>
      </c>
      <c r="D14" s="10" t="s">
        <v>301</v>
      </c>
      <c r="E14" s="8" t="s">
        <v>302</v>
      </c>
      <c r="F14" s="8" t="s">
        <v>303</v>
      </c>
      <c r="G14" s="10" t="s">
        <v>219</v>
      </c>
      <c r="H14" s="8" t="s">
        <v>304</v>
      </c>
      <c r="I14" s="10" t="s">
        <v>87</v>
      </c>
      <c r="J14" s="8" t="s">
        <v>220</v>
      </c>
      <c r="K14" s="8" t="s">
        <v>87</v>
      </c>
      <c r="L14" s="8" t="s">
        <v>87</v>
      </c>
      <c r="M14" s="10" t="s">
        <v>87</v>
      </c>
      <c r="N14" s="8" t="s">
        <v>87</v>
      </c>
      <c r="O14" s="10" t="s">
        <v>21</v>
      </c>
      <c r="P14" s="8" t="s">
        <v>305</v>
      </c>
      <c r="Q14" s="10" t="s">
        <v>223</v>
      </c>
      <c r="R14" s="10" t="s">
        <v>224</v>
      </c>
      <c r="S14" s="8" t="s">
        <v>306</v>
      </c>
      <c r="T14" s="10" t="s">
        <v>225</v>
      </c>
      <c r="U14" s="10" t="s">
        <v>87</v>
      </c>
      <c r="V14" s="10" t="s">
        <v>87</v>
      </c>
    </row>
    <row r="15" spans="1:22" s="10" customFormat="1" x14ac:dyDescent="0.25">
      <c r="A15" s="10" t="s">
        <v>307</v>
      </c>
      <c r="B15" s="10" t="s">
        <v>214</v>
      </c>
      <c r="C15" s="10" t="s">
        <v>215</v>
      </c>
      <c r="D15" s="10" t="s">
        <v>308</v>
      </c>
      <c r="E15" s="8" t="s">
        <v>309</v>
      </c>
      <c r="F15" s="8" t="s">
        <v>310</v>
      </c>
      <c r="G15" s="10" t="s">
        <v>219</v>
      </c>
      <c r="H15" s="8" t="s">
        <v>311</v>
      </c>
      <c r="I15" s="10" t="s">
        <v>87</v>
      </c>
      <c r="J15" s="8" t="s">
        <v>220</v>
      </c>
      <c r="K15" s="8" t="s">
        <v>87</v>
      </c>
      <c r="L15" s="8" t="s">
        <v>87</v>
      </c>
      <c r="M15" s="10" t="s">
        <v>87</v>
      </c>
      <c r="N15" s="8" t="s">
        <v>87</v>
      </c>
      <c r="O15" s="10" t="s">
        <v>21</v>
      </c>
      <c r="P15" s="8" t="s">
        <v>312</v>
      </c>
      <c r="Q15" s="10" t="s">
        <v>246</v>
      </c>
      <c r="R15" s="10" t="s">
        <v>224</v>
      </c>
      <c r="S15" s="8" t="s">
        <v>220</v>
      </c>
      <c r="T15" s="10" t="s">
        <v>225</v>
      </c>
      <c r="U15" s="10" t="s">
        <v>87</v>
      </c>
      <c r="V15" s="10" t="s">
        <v>87</v>
      </c>
    </row>
    <row r="16" spans="1:22" s="10" customFormat="1" x14ac:dyDescent="0.25">
      <c r="A16" s="10" t="s">
        <v>313</v>
      </c>
      <c r="B16" s="10" t="s">
        <v>214</v>
      </c>
      <c r="C16" s="10" t="s">
        <v>215</v>
      </c>
      <c r="D16" s="10" t="s">
        <v>314</v>
      </c>
      <c r="E16" s="8" t="s">
        <v>315</v>
      </c>
      <c r="F16" s="8" t="s">
        <v>316</v>
      </c>
      <c r="G16" s="10" t="s">
        <v>219</v>
      </c>
      <c r="H16" s="8" t="s">
        <v>317</v>
      </c>
      <c r="I16" s="10" t="s">
        <v>318</v>
      </c>
      <c r="J16" s="8" t="s">
        <v>220</v>
      </c>
      <c r="K16" s="8" t="s">
        <v>87</v>
      </c>
      <c r="L16" s="8" t="s">
        <v>87</v>
      </c>
      <c r="M16" s="10" t="s">
        <v>87</v>
      </c>
      <c r="N16" s="8" t="s">
        <v>319</v>
      </c>
      <c r="O16" s="10" t="s">
        <v>21</v>
      </c>
      <c r="P16" s="8" t="s">
        <v>320</v>
      </c>
      <c r="Q16" s="10" t="s">
        <v>239</v>
      </c>
      <c r="R16" s="10" t="s">
        <v>224</v>
      </c>
      <c r="S16" s="8" t="s">
        <v>321</v>
      </c>
      <c r="T16" s="10" t="s">
        <v>225</v>
      </c>
      <c r="U16" s="10" t="s">
        <v>87</v>
      </c>
      <c r="V16" s="10" t="s">
        <v>87</v>
      </c>
    </row>
    <row r="17" spans="1:22" s="10" customFormat="1" x14ac:dyDescent="0.25">
      <c r="A17" s="10" t="s">
        <v>322</v>
      </c>
      <c r="B17" s="10" t="s">
        <v>214</v>
      </c>
      <c r="C17" s="10" t="s">
        <v>215</v>
      </c>
      <c r="D17" s="10" t="s">
        <v>323</v>
      </c>
      <c r="E17" s="8" t="s">
        <v>324</v>
      </c>
      <c r="F17" s="8" t="s">
        <v>325</v>
      </c>
      <c r="G17" s="10" t="s">
        <v>219</v>
      </c>
      <c r="H17" s="8" t="s">
        <v>326</v>
      </c>
      <c r="I17" s="10" t="s">
        <v>327</v>
      </c>
      <c r="J17" s="8" t="s">
        <v>220</v>
      </c>
      <c r="K17" s="8" t="s">
        <v>87</v>
      </c>
      <c r="L17" s="8" t="s">
        <v>87</v>
      </c>
      <c r="M17" s="10" t="s">
        <v>87</v>
      </c>
      <c r="N17" s="8" t="s">
        <v>328</v>
      </c>
      <c r="O17" s="10" t="s">
        <v>21</v>
      </c>
      <c r="P17" s="8" t="s">
        <v>329</v>
      </c>
      <c r="Q17" s="10" t="s">
        <v>223</v>
      </c>
      <c r="R17" s="10" t="s">
        <v>224</v>
      </c>
      <c r="S17" s="8" t="s">
        <v>330</v>
      </c>
      <c r="T17" s="10" t="s">
        <v>253</v>
      </c>
      <c r="U17" s="10" t="s">
        <v>87</v>
      </c>
      <c r="V17" s="10" t="s">
        <v>87</v>
      </c>
    </row>
    <row r="18" spans="1:22" s="10" customFormat="1" x14ac:dyDescent="0.25">
      <c r="A18" s="10" t="s">
        <v>331</v>
      </c>
      <c r="B18" s="10" t="s">
        <v>214</v>
      </c>
      <c r="C18" s="10" t="s">
        <v>215</v>
      </c>
      <c r="D18" s="10" t="s">
        <v>332</v>
      </c>
      <c r="E18" s="8" t="s">
        <v>333</v>
      </c>
      <c r="F18" s="8" t="s">
        <v>334</v>
      </c>
      <c r="G18" s="10" t="s">
        <v>219</v>
      </c>
      <c r="H18" s="8" t="s">
        <v>335</v>
      </c>
      <c r="I18" s="10" t="s">
        <v>336</v>
      </c>
      <c r="J18" s="8" t="s">
        <v>220</v>
      </c>
      <c r="K18" s="8" t="s">
        <v>87</v>
      </c>
      <c r="L18" s="8" t="s">
        <v>87</v>
      </c>
      <c r="M18" s="10" t="s">
        <v>87</v>
      </c>
      <c r="N18" s="8" t="s">
        <v>87</v>
      </c>
      <c r="O18" s="10" t="s">
        <v>21</v>
      </c>
      <c r="P18" s="8" t="s">
        <v>337</v>
      </c>
      <c r="Q18" s="10" t="s">
        <v>223</v>
      </c>
      <c r="R18" s="10" t="s">
        <v>224</v>
      </c>
      <c r="S18" s="8" t="s">
        <v>338</v>
      </c>
      <c r="T18" s="10" t="s">
        <v>225</v>
      </c>
      <c r="U18" s="10" t="s">
        <v>87</v>
      </c>
      <c r="V18" s="10" t="s">
        <v>87</v>
      </c>
    </row>
    <row r="19" spans="1:22" s="10" customFormat="1" x14ac:dyDescent="0.25">
      <c r="A19" s="10" t="s">
        <v>339</v>
      </c>
      <c r="B19" s="10" t="s">
        <v>214</v>
      </c>
      <c r="C19" s="10" t="s">
        <v>215</v>
      </c>
      <c r="D19" s="10" t="s">
        <v>340</v>
      </c>
      <c r="E19" s="8" t="s">
        <v>341</v>
      </c>
      <c r="F19" s="8" t="s">
        <v>342</v>
      </c>
      <c r="G19" s="10" t="s">
        <v>219</v>
      </c>
      <c r="H19" s="8" t="s">
        <v>343</v>
      </c>
      <c r="I19" s="10" t="s">
        <v>87</v>
      </c>
      <c r="J19" s="8" t="s">
        <v>220</v>
      </c>
      <c r="K19" s="8" t="s">
        <v>87</v>
      </c>
      <c r="L19" s="8" t="s">
        <v>87</v>
      </c>
      <c r="M19" s="10" t="s">
        <v>87</v>
      </c>
      <c r="N19" s="8" t="s">
        <v>87</v>
      </c>
      <c r="O19" s="10" t="s">
        <v>21</v>
      </c>
      <c r="P19" s="8" t="s">
        <v>344</v>
      </c>
      <c r="Q19" s="10" t="s">
        <v>239</v>
      </c>
      <c r="R19" s="10" t="s">
        <v>224</v>
      </c>
      <c r="S19" s="8" t="s">
        <v>220</v>
      </c>
      <c r="T19" s="10" t="s">
        <v>225</v>
      </c>
      <c r="U19" s="10" t="s">
        <v>87</v>
      </c>
      <c r="V19" s="10" t="s">
        <v>87</v>
      </c>
    </row>
    <row r="20" spans="1:22" s="10" customFormat="1" x14ac:dyDescent="0.25">
      <c r="A20" s="10" t="s">
        <v>345</v>
      </c>
      <c r="B20" s="10" t="s">
        <v>214</v>
      </c>
      <c r="C20" s="11" t="s">
        <v>346</v>
      </c>
      <c r="D20" s="10" t="s">
        <v>347</v>
      </c>
      <c r="E20" s="8" t="s">
        <v>348</v>
      </c>
      <c r="F20" s="8" t="s">
        <v>342</v>
      </c>
      <c r="G20" s="10" t="s">
        <v>219</v>
      </c>
      <c r="H20" s="8" t="s">
        <v>349</v>
      </c>
      <c r="I20" s="10" t="s">
        <v>87</v>
      </c>
      <c r="J20" s="8" t="s">
        <v>220</v>
      </c>
      <c r="K20" s="8" t="s">
        <v>87</v>
      </c>
      <c r="L20" s="8" t="s">
        <v>87</v>
      </c>
      <c r="M20" s="10" t="s">
        <v>87</v>
      </c>
      <c r="N20" s="8" t="s">
        <v>87</v>
      </c>
      <c r="O20" s="10" t="s">
        <v>21</v>
      </c>
      <c r="P20" s="8" t="s">
        <v>350</v>
      </c>
      <c r="Q20" s="10" t="s">
        <v>239</v>
      </c>
      <c r="R20" s="10" t="s">
        <v>224</v>
      </c>
      <c r="S20" s="8" t="s">
        <v>351</v>
      </c>
      <c r="T20" s="10" t="s">
        <v>225</v>
      </c>
      <c r="U20" s="10" t="s">
        <v>87</v>
      </c>
      <c r="V20" s="10" t="s">
        <v>87</v>
      </c>
    </row>
    <row r="21" spans="1:22" s="10" customFormat="1" x14ac:dyDescent="0.25">
      <c r="A21" s="10" t="s">
        <v>352</v>
      </c>
      <c r="B21" s="10" t="s">
        <v>214</v>
      </c>
      <c r="C21" s="11" t="s">
        <v>346</v>
      </c>
      <c r="D21" s="10" t="s">
        <v>353</v>
      </c>
      <c r="E21" s="8" t="s">
        <v>354</v>
      </c>
      <c r="F21" s="8" t="s">
        <v>355</v>
      </c>
      <c r="G21" s="10" t="s">
        <v>219</v>
      </c>
      <c r="H21" s="8" t="s">
        <v>356</v>
      </c>
      <c r="I21" s="10" t="s">
        <v>357</v>
      </c>
      <c r="J21" s="8" t="s">
        <v>220</v>
      </c>
      <c r="K21" s="8" t="s">
        <v>87</v>
      </c>
      <c r="L21" s="8" t="s">
        <v>87</v>
      </c>
      <c r="M21" s="10" t="s">
        <v>87</v>
      </c>
      <c r="N21" s="8" t="s">
        <v>87</v>
      </c>
      <c r="O21" s="10" t="s">
        <v>21</v>
      </c>
      <c r="P21" s="8" t="s">
        <v>358</v>
      </c>
      <c r="Q21" s="10" t="s">
        <v>223</v>
      </c>
      <c r="R21" s="10" t="s">
        <v>224</v>
      </c>
      <c r="S21" s="8" t="s">
        <v>359</v>
      </c>
      <c r="T21" s="10" t="s">
        <v>225</v>
      </c>
      <c r="U21" s="10" t="s">
        <v>87</v>
      </c>
      <c r="V21" s="10" t="s">
        <v>87</v>
      </c>
    </row>
    <row r="22" spans="1:22" s="10" customFormat="1" x14ac:dyDescent="0.25">
      <c r="A22" s="10" t="s">
        <v>360</v>
      </c>
      <c r="B22" s="10" t="s">
        <v>214</v>
      </c>
      <c r="C22" s="10" t="s">
        <v>215</v>
      </c>
      <c r="D22" s="10" t="s">
        <v>361</v>
      </c>
      <c r="E22" s="8" t="s">
        <v>362</v>
      </c>
      <c r="F22" s="8" t="s">
        <v>363</v>
      </c>
      <c r="G22" s="10" t="s">
        <v>219</v>
      </c>
      <c r="H22" s="8" t="s">
        <v>364</v>
      </c>
      <c r="I22" s="10" t="s">
        <v>365</v>
      </c>
      <c r="J22" s="8" t="s">
        <v>220</v>
      </c>
      <c r="K22" s="8" t="s">
        <v>87</v>
      </c>
      <c r="L22" s="8" t="s">
        <v>87</v>
      </c>
      <c r="M22" s="10" t="s">
        <v>87</v>
      </c>
      <c r="N22" s="8" t="s">
        <v>366</v>
      </c>
      <c r="O22" s="10" t="s">
        <v>21</v>
      </c>
      <c r="P22" s="8" t="s">
        <v>367</v>
      </c>
      <c r="Q22" s="10" t="s">
        <v>223</v>
      </c>
      <c r="R22" s="10" t="s">
        <v>224</v>
      </c>
      <c r="S22" s="8" t="s">
        <v>338</v>
      </c>
      <c r="T22" s="10" t="s">
        <v>225</v>
      </c>
      <c r="U22" s="10" t="s">
        <v>87</v>
      </c>
      <c r="V22" s="10" t="s">
        <v>87</v>
      </c>
    </row>
    <row r="23" spans="1:22" s="10" customFormat="1" x14ac:dyDescent="0.25">
      <c r="A23" s="10" t="s">
        <v>368</v>
      </c>
      <c r="B23" s="10" t="s">
        <v>214</v>
      </c>
      <c r="C23" s="11" t="s">
        <v>346</v>
      </c>
      <c r="D23" s="10" t="s">
        <v>369</v>
      </c>
      <c r="E23" s="8" t="s">
        <v>370</v>
      </c>
      <c r="F23" s="8" t="s">
        <v>371</v>
      </c>
      <c r="G23" s="10" t="s">
        <v>219</v>
      </c>
      <c r="H23" s="8" t="s">
        <v>364</v>
      </c>
      <c r="I23" s="10" t="s">
        <v>372</v>
      </c>
      <c r="J23" s="8" t="s">
        <v>220</v>
      </c>
      <c r="K23" s="8" t="s">
        <v>87</v>
      </c>
      <c r="L23" s="8" t="s">
        <v>87</v>
      </c>
      <c r="M23" s="10" t="s">
        <v>87</v>
      </c>
      <c r="N23" s="8" t="s">
        <v>373</v>
      </c>
      <c r="O23" s="10" t="s">
        <v>21</v>
      </c>
      <c r="P23" s="8" t="s">
        <v>374</v>
      </c>
      <c r="Q23" s="10" t="s">
        <v>223</v>
      </c>
      <c r="R23" s="10" t="s">
        <v>224</v>
      </c>
      <c r="S23" s="8" t="s">
        <v>375</v>
      </c>
      <c r="T23" s="10" t="s">
        <v>225</v>
      </c>
      <c r="U23" s="10" t="s">
        <v>87</v>
      </c>
      <c r="V23" s="10" t="s">
        <v>87</v>
      </c>
    </row>
    <row r="24" spans="1:22" s="10" customFormat="1" x14ac:dyDescent="0.25">
      <c r="A24" s="10" t="s">
        <v>376</v>
      </c>
      <c r="B24" s="10" t="s">
        <v>214</v>
      </c>
      <c r="C24" s="10" t="s">
        <v>215</v>
      </c>
      <c r="D24" s="10" t="s">
        <v>377</v>
      </c>
      <c r="E24" s="8" t="s">
        <v>378</v>
      </c>
      <c r="F24" s="8" t="s">
        <v>379</v>
      </c>
      <c r="G24" s="10" t="s">
        <v>219</v>
      </c>
      <c r="H24" s="8" t="s">
        <v>380</v>
      </c>
      <c r="I24" s="10" t="s">
        <v>87</v>
      </c>
      <c r="J24" s="8" t="s">
        <v>220</v>
      </c>
      <c r="K24" s="8" t="s">
        <v>87</v>
      </c>
      <c r="L24" s="8" t="s">
        <v>87</v>
      </c>
      <c r="M24" s="10" t="s">
        <v>87</v>
      </c>
      <c r="N24" s="8" t="s">
        <v>87</v>
      </c>
      <c r="O24" s="10" t="s">
        <v>21</v>
      </c>
      <c r="P24" s="8" t="s">
        <v>381</v>
      </c>
      <c r="Q24" s="10" t="s">
        <v>239</v>
      </c>
      <c r="R24" s="10" t="s">
        <v>224</v>
      </c>
      <c r="S24" s="8" t="s">
        <v>382</v>
      </c>
      <c r="T24" s="10" t="s">
        <v>225</v>
      </c>
      <c r="U24" s="10" t="s">
        <v>87</v>
      </c>
      <c r="V24" s="10" t="s">
        <v>87</v>
      </c>
    </row>
    <row r="25" spans="1:22" s="10" customFormat="1" x14ac:dyDescent="0.25">
      <c r="A25" s="10" t="s">
        <v>383</v>
      </c>
      <c r="B25" s="10" t="s">
        <v>214</v>
      </c>
      <c r="C25" s="10" t="s">
        <v>384</v>
      </c>
      <c r="D25" s="10" t="s">
        <v>385</v>
      </c>
      <c r="E25" s="8" t="s">
        <v>386</v>
      </c>
      <c r="F25" s="8" t="s">
        <v>387</v>
      </c>
      <c r="G25" s="10" t="s">
        <v>219</v>
      </c>
      <c r="H25" s="8" t="s">
        <v>364</v>
      </c>
      <c r="I25" s="10" t="s">
        <v>87</v>
      </c>
      <c r="J25" s="8" t="s">
        <v>220</v>
      </c>
      <c r="K25" s="8" t="s">
        <v>87</v>
      </c>
      <c r="L25" s="8" t="s">
        <v>87</v>
      </c>
      <c r="M25" s="10" t="s">
        <v>87</v>
      </c>
      <c r="N25" s="8" t="s">
        <v>87</v>
      </c>
      <c r="O25" s="10" t="s">
        <v>21</v>
      </c>
      <c r="P25" s="8" t="s">
        <v>388</v>
      </c>
      <c r="Q25" s="10" t="s">
        <v>223</v>
      </c>
      <c r="R25" s="10" t="s">
        <v>224</v>
      </c>
      <c r="S25" s="8" t="s">
        <v>220</v>
      </c>
      <c r="T25" s="10" t="s">
        <v>253</v>
      </c>
      <c r="U25" s="10" t="s">
        <v>87</v>
      </c>
      <c r="V25" s="10" t="s">
        <v>87</v>
      </c>
    </row>
    <row r="26" spans="1:22" s="10" customFormat="1" x14ac:dyDescent="0.25">
      <c r="A26" s="10" t="s">
        <v>389</v>
      </c>
      <c r="B26" s="10" t="s">
        <v>214</v>
      </c>
      <c r="C26" s="10" t="s">
        <v>215</v>
      </c>
      <c r="D26" s="10" t="s">
        <v>390</v>
      </c>
      <c r="E26" s="8" t="s">
        <v>391</v>
      </c>
      <c r="F26" s="8" t="s">
        <v>392</v>
      </c>
      <c r="G26" s="10" t="s">
        <v>219</v>
      </c>
      <c r="H26" s="8" t="s">
        <v>393</v>
      </c>
      <c r="I26" s="10" t="s">
        <v>394</v>
      </c>
      <c r="J26" s="8" t="s">
        <v>220</v>
      </c>
      <c r="K26" s="8" t="s">
        <v>87</v>
      </c>
      <c r="L26" s="8" t="s">
        <v>87</v>
      </c>
      <c r="M26" s="10" t="s">
        <v>87</v>
      </c>
      <c r="N26" s="8" t="s">
        <v>395</v>
      </c>
      <c r="O26" s="10" t="s">
        <v>21</v>
      </c>
      <c r="P26" s="8" t="s">
        <v>396</v>
      </c>
      <c r="Q26" s="10" t="s">
        <v>223</v>
      </c>
      <c r="R26" s="10" t="s">
        <v>224</v>
      </c>
      <c r="S26" s="8" t="s">
        <v>397</v>
      </c>
      <c r="T26" s="10" t="s">
        <v>225</v>
      </c>
      <c r="U26" s="10" t="s">
        <v>87</v>
      </c>
      <c r="V26" s="10" t="s">
        <v>87</v>
      </c>
    </row>
    <row r="27" spans="1:22" s="10" customFormat="1" x14ac:dyDescent="0.25">
      <c r="A27" s="10" t="s">
        <v>398</v>
      </c>
      <c r="B27" s="10" t="s">
        <v>399</v>
      </c>
      <c r="C27" s="10" t="s">
        <v>215</v>
      </c>
      <c r="D27" s="10" t="s">
        <v>400</v>
      </c>
      <c r="E27" s="8" t="s">
        <v>401</v>
      </c>
      <c r="F27" s="8" t="s">
        <v>402</v>
      </c>
      <c r="G27" s="10" t="s">
        <v>219</v>
      </c>
      <c r="H27" s="8" t="s">
        <v>403</v>
      </c>
      <c r="I27" s="10" t="s">
        <v>87</v>
      </c>
      <c r="J27" s="8" t="s">
        <v>404</v>
      </c>
      <c r="K27" s="8" t="s">
        <v>87</v>
      </c>
      <c r="L27" s="8" t="s">
        <v>87</v>
      </c>
      <c r="M27" s="10" t="s">
        <v>87</v>
      </c>
      <c r="N27" s="8" t="s">
        <v>87</v>
      </c>
      <c r="O27" s="10" t="s">
        <v>21</v>
      </c>
      <c r="P27" s="8" t="s">
        <v>405</v>
      </c>
      <c r="Q27" s="10" t="s">
        <v>223</v>
      </c>
      <c r="R27" s="10" t="s">
        <v>406</v>
      </c>
      <c r="S27" s="8" t="s">
        <v>306</v>
      </c>
      <c r="T27" s="10" t="s">
        <v>407</v>
      </c>
      <c r="U27" s="10" t="s">
        <v>87</v>
      </c>
      <c r="V27" s="10" t="s">
        <v>87</v>
      </c>
    </row>
    <row r="28" spans="1:22" s="10" customFormat="1" x14ac:dyDescent="0.25">
      <c r="A28" s="10" t="s">
        <v>408</v>
      </c>
      <c r="B28" s="10" t="s">
        <v>399</v>
      </c>
      <c r="C28" s="10" t="s">
        <v>215</v>
      </c>
      <c r="D28" s="10" t="s">
        <v>409</v>
      </c>
      <c r="E28" s="8" t="s">
        <v>410</v>
      </c>
      <c r="F28" s="8" t="s">
        <v>411</v>
      </c>
      <c r="G28" s="10" t="s">
        <v>219</v>
      </c>
      <c r="H28" s="8" t="s">
        <v>220</v>
      </c>
      <c r="I28" s="10" t="s">
        <v>87</v>
      </c>
      <c r="J28" s="8" t="s">
        <v>404</v>
      </c>
      <c r="K28" s="8" t="s">
        <v>87</v>
      </c>
      <c r="L28" s="8" t="s">
        <v>87</v>
      </c>
      <c r="M28" s="10" t="s">
        <v>87</v>
      </c>
      <c r="N28" s="8" t="s">
        <v>87</v>
      </c>
      <c r="O28" s="10" t="s">
        <v>21</v>
      </c>
      <c r="P28" s="8" t="s">
        <v>412</v>
      </c>
      <c r="Q28" s="10" t="s">
        <v>223</v>
      </c>
      <c r="R28" s="10" t="s">
        <v>406</v>
      </c>
      <c r="S28" s="8" t="s">
        <v>220</v>
      </c>
      <c r="T28" s="10" t="s">
        <v>407</v>
      </c>
      <c r="U28" s="10" t="s">
        <v>87</v>
      </c>
      <c r="V28" s="10" t="s">
        <v>87</v>
      </c>
    </row>
    <row r="29" spans="1:22" s="10" customFormat="1" x14ac:dyDescent="0.25">
      <c r="A29" s="10" t="s">
        <v>413</v>
      </c>
      <c r="B29" s="10" t="s">
        <v>399</v>
      </c>
      <c r="C29" s="10" t="s">
        <v>215</v>
      </c>
      <c r="D29" s="10" t="s">
        <v>414</v>
      </c>
      <c r="E29" s="8" t="s">
        <v>415</v>
      </c>
      <c r="F29" s="8" t="s">
        <v>416</v>
      </c>
      <c r="G29" s="10" t="s">
        <v>219</v>
      </c>
      <c r="H29" s="8" t="s">
        <v>417</v>
      </c>
      <c r="I29" s="10" t="s">
        <v>418</v>
      </c>
      <c r="J29" s="8" t="s">
        <v>404</v>
      </c>
      <c r="K29" s="8" t="s">
        <v>87</v>
      </c>
      <c r="L29" s="8" t="s">
        <v>87</v>
      </c>
      <c r="M29" s="10" t="s">
        <v>87</v>
      </c>
      <c r="N29" s="8" t="s">
        <v>419</v>
      </c>
      <c r="O29" s="10" t="s">
        <v>21</v>
      </c>
      <c r="P29" s="8" t="s">
        <v>420</v>
      </c>
      <c r="Q29" s="10" t="s">
        <v>223</v>
      </c>
      <c r="R29" s="10" t="s">
        <v>406</v>
      </c>
      <c r="S29" s="8" t="s">
        <v>421</v>
      </c>
      <c r="T29" s="10" t="s">
        <v>253</v>
      </c>
      <c r="U29" s="10" t="s">
        <v>87</v>
      </c>
      <c r="V29" s="10" t="s">
        <v>87</v>
      </c>
    </row>
    <row r="30" spans="1:22" s="10" customFormat="1" x14ac:dyDescent="0.25">
      <c r="A30" s="10" t="s">
        <v>422</v>
      </c>
      <c r="B30" s="10" t="s">
        <v>399</v>
      </c>
      <c r="C30" s="10" t="s">
        <v>384</v>
      </c>
      <c r="D30" s="10" t="s">
        <v>423</v>
      </c>
      <c r="E30" s="8" t="s">
        <v>424</v>
      </c>
      <c r="F30" s="8" t="s">
        <v>425</v>
      </c>
      <c r="G30" s="10" t="s">
        <v>219</v>
      </c>
      <c r="H30" s="8" t="s">
        <v>220</v>
      </c>
      <c r="I30" s="10" t="s">
        <v>87</v>
      </c>
      <c r="J30" s="8" t="s">
        <v>404</v>
      </c>
      <c r="K30" s="8" t="s">
        <v>87</v>
      </c>
      <c r="L30" s="8" t="s">
        <v>87</v>
      </c>
      <c r="M30" s="10" t="s">
        <v>87</v>
      </c>
      <c r="N30" s="8" t="s">
        <v>87</v>
      </c>
      <c r="O30" s="10" t="s">
        <v>21</v>
      </c>
      <c r="P30" s="8" t="s">
        <v>426</v>
      </c>
      <c r="Q30" s="10" t="s">
        <v>223</v>
      </c>
      <c r="R30" s="10" t="s">
        <v>406</v>
      </c>
      <c r="S30" s="8" t="s">
        <v>220</v>
      </c>
      <c r="T30" s="10" t="s">
        <v>253</v>
      </c>
      <c r="U30" s="10" t="s">
        <v>87</v>
      </c>
      <c r="V30" s="10" t="s">
        <v>87</v>
      </c>
    </row>
    <row r="31" spans="1:22" s="10" customFormat="1" x14ac:dyDescent="0.25">
      <c r="A31" s="10" t="s">
        <v>427</v>
      </c>
      <c r="B31" s="10" t="s">
        <v>399</v>
      </c>
      <c r="C31" s="10" t="s">
        <v>215</v>
      </c>
      <c r="D31" s="10" t="s">
        <v>428</v>
      </c>
      <c r="E31" s="8" t="s">
        <v>429</v>
      </c>
      <c r="F31" s="8" t="s">
        <v>430</v>
      </c>
      <c r="G31" s="10" t="s">
        <v>87</v>
      </c>
      <c r="H31" s="8" t="s">
        <v>431</v>
      </c>
      <c r="I31" s="10" t="s">
        <v>432</v>
      </c>
      <c r="J31" s="8" t="s">
        <v>404</v>
      </c>
      <c r="K31" s="8" t="s">
        <v>87</v>
      </c>
      <c r="L31" s="8" t="s">
        <v>87</v>
      </c>
      <c r="M31" s="10" t="s">
        <v>87</v>
      </c>
      <c r="N31" s="8" t="s">
        <v>433</v>
      </c>
      <c r="O31" s="10" t="s">
        <v>21</v>
      </c>
      <c r="P31" s="8" t="s">
        <v>434</v>
      </c>
      <c r="Q31" s="10" t="s">
        <v>223</v>
      </c>
      <c r="R31" s="10" t="s">
        <v>406</v>
      </c>
      <c r="S31" s="8" t="s">
        <v>435</v>
      </c>
      <c r="T31" s="10" t="s">
        <v>407</v>
      </c>
      <c r="U31" s="10" t="s">
        <v>87</v>
      </c>
      <c r="V31" s="10" t="s">
        <v>87</v>
      </c>
    </row>
    <row r="32" spans="1:22" s="10" customFormat="1" x14ac:dyDescent="0.25">
      <c r="A32" s="10" t="s">
        <v>436</v>
      </c>
      <c r="B32" s="10" t="s">
        <v>399</v>
      </c>
      <c r="C32" s="10" t="s">
        <v>215</v>
      </c>
      <c r="D32" s="10" t="s">
        <v>437</v>
      </c>
      <c r="E32" s="8" t="s">
        <v>438</v>
      </c>
      <c r="F32" s="8" t="s">
        <v>439</v>
      </c>
      <c r="G32" s="10" t="s">
        <v>87</v>
      </c>
      <c r="H32" s="8" t="s">
        <v>220</v>
      </c>
      <c r="I32" s="10" t="s">
        <v>87</v>
      </c>
      <c r="J32" s="8" t="s">
        <v>404</v>
      </c>
      <c r="K32" s="8" t="s">
        <v>87</v>
      </c>
      <c r="L32" s="8" t="s">
        <v>87</v>
      </c>
      <c r="M32" s="10" t="s">
        <v>87</v>
      </c>
      <c r="N32" s="8" t="s">
        <v>87</v>
      </c>
      <c r="O32" s="10" t="s">
        <v>21</v>
      </c>
      <c r="P32" s="8" t="s">
        <v>440</v>
      </c>
      <c r="Q32" s="10" t="s">
        <v>239</v>
      </c>
      <c r="R32" s="10" t="s">
        <v>406</v>
      </c>
      <c r="S32" s="8" t="s">
        <v>220</v>
      </c>
      <c r="T32" s="10" t="s">
        <v>407</v>
      </c>
      <c r="U32" s="10" t="s">
        <v>87</v>
      </c>
      <c r="V32" s="10" t="s">
        <v>87</v>
      </c>
    </row>
    <row r="33" spans="1:22" s="10" customFormat="1" x14ac:dyDescent="0.25">
      <c r="A33" s="10" t="s">
        <v>441</v>
      </c>
      <c r="B33" s="10" t="s">
        <v>399</v>
      </c>
      <c r="C33" s="10" t="s">
        <v>215</v>
      </c>
      <c r="D33" s="10" t="s">
        <v>442</v>
      </c>
      <c r="E33" s="8" t="s">
        <v>443</v>
      </c>
      <c r="F33" s="8" t="s">
        <v>444</v>
      </c>
      <c r="G33" s="10" t="s">
        <v>87</v>
      </c>
      <c r="H33" s="8" t="s">
        <v>445</v>
      </c>
      <c r="I33" s="10" t="s">
        <v>87</v>
      </c>
      <c r="J33" s="8" t="s">
        <v>404</v>
      </c>
      <c r="K33" s="8" t="s">
        <v>87</v>
      </c>
      <c r="L33" s="8" t="s">
        <v>87</v>
      </c>
      <c r="M33" s="10" t="s">
        <v>87</v>
      </c>
      <c r="N33" s="8" t="s">
        <v>87</v>
      </c>
      <c r="O33" s="10" t="s">
        <v>21</v>
      </c>
      <c r="P33" s="8" t="s">
        <v>446</v>
      </c>
      <c r="Q33" s="10" t="s">
        <v>239</v>
      </c>
      <c r="R33" s="10" t="s">
        <v>406</v>
      </c>
      <c r="S33" s="8" t="s">
        <v>447</v>
      </c>
      <c r="T33" s="10" t="s">
        <v>253</v>
      </c>
      <c r="U33" s="10" t="s">
        <v>87</v>
      </c>
      <c r="V33" s="10" t="s">
        <v>87</v>
      </c>
    </row>
    <row r="34" spans="1:22" s="10" customFormat="1" x14ac:dyDescent="0.25">
      <c r="A34" s="10" t="s">
        <v>448</v>
      </c>
      <c r="B34" s="10" t="s">
        <v>399</v>
      </c>
      <c r="C34" s="11" t="s">
        <v>346</v>
      </c>
      <c r="D34" s="10" t="s">
        <v>449</v>
      </c>
      <c r="E34" s="8" t="s">
        <v>450</v>
      </c>
      <c r="F34" s="8" t="s">
        <v>451</v>
      </c>
      <c r="G34" s="10" t="s">
        <v>87</v>
      </c>
      <c r="H34" s="8" t="s">
        <v>452</v>
      </c>
      <c r="I34" s="10" t="s">
        <v>453</v>
      </c>
      <c r="J34" s="8" t="s">
        <v>404</v>
      </c>
      <c r="K34" s="8" t="s">
        <v>87</v>
      </c>
      <c r="L34" s="8" t="s">
        <v>87</v>
      </c>
      <c r="M34" s="10" t="s">
        <v>87</v>
      </c>
      <c r="N34" s="8" t="s">
        <v>454</v>
      </c>
      <c r="O34" s="10" t="s">
        <v>21</v>
      </c>
      <c r="P34" s="8" t="s">
        <v>455</v>
      </c>
      <c r="Q34" s="10" t="s">
        <v>223</v>
      </c>
      <c r="R34" s="10" t="s">
        <v>406</v>
      </c>
      <c r="S34" s="8" t="s">
        <v>456</v>
      </c>
      <c r="T34" s="10" t="s">
        <v>407</v>
      </c>
      <c r="U34" s="10" t="s">
        <v>87</v>
      </c>
      <c r="V34" s="10" t="s">
        <v>87</v>
      </c>
    </row>
    <row r="35" spans="1:22" s="10" customFormat="1" x14ac:dyDescent="0.25">
      <c r="A35" s="10" t="s">
        <v>457</v>
      </c>
      <c r="B35" s="10" t="s">
        <v>399</v>
      </c>
      <c r="C35" s="11" t="s">
        <v>346</v>
      </c>
      <c r="D35" s="10" t="s">
        <v>458</v>
      </c>
      <c r="E35" s="8" t="s">
        <v>459</v>
      </c>
      <c r="F35" s="8" t="s">
        <v>460</v>
      </c>
      <c r="G35" s="10" t="s">
        <v>87</v>
      </c>
      <c r="H35" s="8" t="s">
        <v>461</v>
      </c>
      <c r="I35" s="10" t="s">
        <v>462</v>
      </c>
      <c r="J35" s="8" t="s">
        <v>404</v>
      </c>
      <c r="K35" s="8" t="s">
        <v>87</v>
      </c>
      <c r="L35" s="8" t="s">
        <v>87</v>
      </c>
      <c r="M35" s="10" t="s">
        <v>87</v>
      </c>
      <c r="N35" s="8" t="s">
        <v>87</v>
      </c>
      <c r="O35" s="10" t="s">
        <v>21</v>
      </c>
      <c r="P35" s="8" t="s">
        <v>463</v>
      </c>
      <c r="Q35" s="10" t="s">
        <v>239</v>
      </c>
      <c r="R35" s="10" t="s">
        <v>406</v>
      </c>
      <c r="S35" s="8" t="s">
        <v>464</v>
      </c>
      <c r="T35" s="10" t="s">
        <v>407</v>
      </c>
      <c r="U35" s="10" t="s">
        <v>87</v>
      </c>
      <c r="V35" s="10" t="s">
        <v>87</v>
      </c>
    </row>
    <row r="36" spans="1:22" s="10" customFormat="1" x14ac:dyDescent="0.25">
      <c r="A36" s="10" t="s">
        <v>465</v>
      </c>
      <c r="B36" s="10" t="s">
        <v>399</v>
      </c>
      <c r="C36" s="10" t="s">
        <v>215</v>
      </c>
      <c r="D36" s="10" t="s">
        <v>466</v>
      </c>
      <c r="E36" s="8" t="s">
        <v>467</v>
      </c>
      <c r="F36" s="8" t="s">
        <v>468</v>
      </c>
      <c r="G36" s="10" t="s">
        <v>87</v>
      </c>
      <c r="H36" s="8" t="s">
        <v>469</v>
      </c>
      <c r="I36" s="10" t="s">
        <v>470</v>
      </c>
      <c r="J36" s="8" t="s">
        <v>471</v>
      </c>
      <c r="K36" s="8" t="s">
        <v>87</v>
      </c>
      <c r="L36" s="8" t="s">
        <v>87</v>
      </c>
      <c r="M36" s="10" t="s">
        <v>87</v>
      </c>
      <c r="N36" s="8" t="s">
        <v>87</v>
      </c>
      <c r="O36" s="10" t="s">
        <v>21</v>
      </c>
      <c r="P36" s="8" t="s">
        <v>472</v>
      </c>
      <c r="Q36" s="10" t="s">
        <v>223</v>
      </c>
      <c r="R36" s="10" t="s">
        <v>406</v>
      </c>
      <c r="S36" s="8" t="s">
        <v>473</v>
      </c>
      <c r="T36" s="10" t="s">
        <v>407</v>
      </c>
      <c r="U36" s="10" t="s">
        <v>87</v>
      </c>
      <c r="V36" s="10" t="s">
        <v>87</v>
      </c>
    </row>
    <row r="37" spans="1:22" s="10" customFormat="1" x14ac:dyDescent="0.25">
      <c r="A37" s="10" t="s">
        <v>474</v>
      </c>
      <c r="B37" s="10" t="s">
        <v>399</v>
      </c>
      <c r="C37" s="10" t="s">
        <v>215</v>
      </c>
      <c r="D37" s="10" t="s">
        <v>475</v>
      </c>
      <c r="E37" s="8" t="s">
        <v>476</v>
      </c>
      <c r="F37" s="8" t="s">
        <v>477</v>
      </c>
      <c r="G37" s="10" t="s">
        <v>87</v>
      </c>
      <c r="H37" s="8" t="s">
        <v>478</v>
      </c>
      <c r="I37" s="10" t="s">
        <v>479</v>
      </c>
      <c r="J37" s="8" t="s">
        <v>480</v>
      </c>
      <c r="K37" s="8" t="s">
        <v>87</v>
      </c>
      <c r="L37" s="8" t="s">
        <v>87</v>
      </c>
      <c r="M37" s="10" t="s">
        <v>87</v>
      </c>
      <c r="N37" s="8" t="s">
        <v>87</v>
      </c>
      <c r="O37" s="10" t="s">
        <v>21</v>
      </c>
      <c r="P37" s="8" t="s">
        <v>481</v>
      </c>
      <c r="Q37" s="10" t="s">
        <v>239</v>
      </c>
      <c r="R37" s="10" t="s">
        <v>406</v>
      </c>
      <c r="S37" s="8" t="s">
        <v>482</v>
      </c>
      <c r="T37" s="10" t="s">
        <v>253</v>
      </c>
      <c r="U37" s="10" t="s">
        <v>87</v>
      </c>
      <c r="V37" s="10" t="s">
        <v>87</v>
      </c>
    </row>
    <row r="38" spans="1:22" s="10" customFormat="1" x14ac:dyDescent="0.25">
      <c r="A38" s="10" t="s">
        <v>483</v>
      </c>
      <c r="B38" s="10" t="s">
        <v>399</v>
      </c>
      <c r="C38" s="10" t="s">
        <v>215</v>
      </c>
      <c r="D38" s="10" t="s">
        <v>484</v>
      </c>
      <c r="E38" s="8" t="s">
        <v>485</v>
      </c>
      <c r="F38" s="8" t="s">
        <v>486</v>
      </c>
      <c r="G38" s="10" t="s">
        <v>87</v>
      </c>
      <c r="H38" s="8" t="s">
        <v>487</v>
      </c>
      <c r="I38" s="10" t="s">
        <v>488</v>
      </c>
      <c r="J38" s="8" t="s">
        <v>404</v>
      </c>
      <c r="K38" s="8" t="s">
        <v>87</v>
      </c>
      <c r="L38" s="8" t="s">
        <v>87</v>
      </c>
      <c r="M38" s="10" t="s">
        <v>87</v>
      </c>
      <c r="N38" s="8" t="s">
        <v>87</v>
      </c>
      <c r="O38" s="10" t="s">
        <v>21</v>
      </c>
      <c r="P38" s="8" t="s">
        <v>489</v>
      </c>
      <c r="Q38" s="10" t="s">
        <v>223</v>
      </c>
      <c r="R38" s="10" t="s">
        <v>406</v>
      </c>
      <c r="S38" s="8" t="s">
        <v>490</v>
      </c>
      <c r="T38" s="10" t="s">
        <v>407</v>
      </c>
      <c r="U38" s="10" t="s">
        <v>87</v>
      </c>
      <c r="V38" s="10" t="s">
        <v>87</v>
      </c>
    </row>
    <row r="39" spans="1:22" s="10" customFormat="1" x14ac:dyDescent="0.25">
      <c r="A39" s="10" t="s">
        <v>491</v>
      </c>
      <c r="B39" s="10" t="s">
        <v>399</v>
      </c>
      <c r="C39" s="11" t="s">
        <v>346</v>
      </c>
      <c r="D39" s="10" t="s">
        <v>492</v>
      </c>
      <c r="E39" s="8" t="s">
        <v>493</v>
      </c>
      <c r="F39" s="8" t="s">
        <v>494</v>
      </c>
      <c r="G39" s="10" t="s">
        <v>87</v>
      </c>
      <c r="H39" s="8" t="s">
        <v>495</v>
      </c>
      <c r="I39" s="10" t="s">
        <v>496</v>
      </c>
      <c r="J39" s="8" t="s">
        <v>497</v>
      </c>
      <c r="K39" s="8" t="s">
        <v>87</v>
      </c>
      <c r="L39" s="8" t="s">
        <v>87</v>
      </c>
      <c r="M39" s="10" t="s">
        <v>87</v>
      </c>
      <c r="N39" s="8" t="s">
        <v>498</v>
      </c>
      <c r="O39" s="10" t="s">
        <v>21</v>
      </c>
      <c r="P39" s="8" t="s">
        <v>499</v>
      </c>
      <c r="Q39" s="10" t="s">
        <v>223</v>
      </c>
      <c r="R39" s="10" t="s">
        <v>406</v>
      </c>
      <c r="S39" s="8" t="s">
        <v>500</v>
      </c>
      <c r="T39" s="10" t="s">
        <v>407</v>
      </c>
      <c r="U39" s="10" t="s">
        <v>87</v>
      </c>
      <c r="V39" s="10" t="s">
        <v>87</v>
      </c>
    </row>
    <row r="40" spans="1:22" s="10" customFormat="1" x14ac:dyDescent="0.25">
      <c r="A40" s="10" t="s">
        <v>501</v>
      </c>
      <c r="B40" s="10" t="s">
        <v>399</v>
      </c>
      <c r="C40" s="11" t="s">
        <v>346</v>
      </c>
      <c r="D40" s="10" t="s">
        <v>502</v>
      </c>
      <c r="E40" s="8" t="s">
        <v>503</v>
      </c>
      <c r="F40" s="8" t="s">
        <v>504</v>
      </c>
      <c r="G40" s="10" t="s">
        <v>87</v>
      </c>
      <c r="H40" s="8" t="s">
        <v>505</v>
      </c>
      <c r="I40" s="10" t="s">
        <v>506</v>
      </c>
      <c r="J40" s="8" t="s">
        <v>497</v>
      </c>
      <c r="K40" s="8" t="s">
        <v>87</v>
      </c>
      <c r="L40" s="8" t="s">
        <v>87</v>
      </c>
      <c r="M40" s="10" t="s">
        <v>87</v>
      </c>
      <c r="N40" s="8" t="s">
        <v>507</v>
      </c>
      <c r="O40" s="10" t="s">
        <v>21</v>
      </c>
      <c r="P40" s="8" t="s">
        <v>508</v>
      </c>
      <c r="Q40" s="10" t="s">
        <v>223</v>
      </c>
      <c r="R40" s="10" t="s">
        <v>406</v>
      </c>
      <c r="S40" s="8" t="s">
        <v>509</v>
      </c>
      <c r="T40" s="10" t="s">
        <v>407</v>
      </c>
      <c r="U40" s="10" t="s">
        <v>87</v>
      </c>
      <c r="V40" s="10" t="s">
        <v>87</v>
      </c>
    </row>
    <row r="41" spans="1:22" s="10" customFormat="1" x14ac:dyDescent="0.25">
      <c r="A41" s="10" t="s">
        <v>510</v>
      </c>
      <c r="B41" s="10" t="s">
        <v>399</v>
      </c>
      <c r="C41" s="10" t="s">
        <v>215</v>
      </c>
      <c r="D41" s="10" t="s">
        <v>511</v>
      </c>
      <c r="E41" s="8" t="s">
        <v>512</v>
      </c>
      <c r="F41" s="8" t="s">
        <v>513</v>
      </c>
      <c r="G41" s="10" t="s">
        <v>87</v>
      </c>
      <c r="H41" s="8" t="s">
        <v>514</v>
      </c>
      <c r="I41" s="10" t="s">
        <v>357</v>
      </c>
      <c r="J41" s="8" t="s">
        <v>497</v>
      </c>
      <c r="K41" s="8" t="s">
        <v>87</v>
      </c>
      <c r="L41" s="8" t="s">
        <v>87</v>
      </c>
      <c r="M41" s="10" t="s">
        <v>87</v>
      </c>
      <c r="N41" s="8" t="s">
        <v>87</v>
      </c>
      <c r="O41" s="10" t="s">
        <v>21</v>
      </c>
      <c r="P41" s="8" t="s">
        <v>515</v>
      </c>
      <c r="Q41" s="10" t="s">
        <v>223</v>
      </c>
      <c r="R41" s="10" t="s">
        <v>406</v>
      </c>
      <c r="S41" s="8" t="s">
        <v>516</v>
      </c>
      <c r="T41" s="10" t="s">
        <v>407</v>
      </c>
      <c r="U41" s="10" t="s">
        <v>87</v>
      </c>
      <c r="V41" s="10" t="s">
        <v>87</v>
      </c>
    </row>
    <row r="42" spans="1:22" s="10" customFormat="1" x14ac:dyDescent="0.25">
      <c r="A42" s="10" t="s">
        <v>517</v>
      </c>
      <c r="B42" s="10" t="s">
        <v>399</v>
      </c>
      <c r="C42" s="10" t="s">
        <v>215</v>
      </c>
      <c r="D42" s="10" t="s">
        <v>518</v>
      </c>
      <c r="E42" s="8" t="s">
        <v>519</v>
      </c>
      <c r="F42" s="8" t="s">
        <v>520</v>
      </c>
      <c r="G42" s="10" t="s">
        <v>87</v>
      </c>
      <c r="H42" s="8" t="s">
        <v>521</v>
      </c>
      <c r="I42" s="10" t="s">
        <v>522</v>
      </c>
      <c r="J42" s="8" t="s">
        <v>523</v>
      </c>
      <c r="K42" s="8" t="s">
        <v>87</v>
      </c>
      <c r="L42" s="8" t="s">
        <v>87</v>
      </c>
      <c r="M42" s="10" t="s">
        <v>87</v>
      </c>
      <c r="N42" s="8" t="s">
        <v>87</v>
      </c>
      <c r="O42" s="10" t="s">
        <v>21</v>
      </c>
      <c r="P42" s="8" t="s">
        <v>524</v>
      </c>
      <c r="Q42" s="10" t="s">
        <v>223</v>
      </c>
      <c r="R42" s="10" t="s">
        <v>406</v>
      </c>
      <c r="S42" s="8" t="s">
        <v>525</v>
      </c>
      <c r="T42" s="10" t="s">
        <v>407</v>
      </c>
      <c r="U42" s="10" t="s">
        <v>87</v>
      </c>
      <c r="V42" s="10" t="s">
        <v>87</v>
      </c>
    </row>
    <row r="43" spans="1:22" s="10" customFormat="1" x14ac:dyDescent="0.25">
      <c r="A43" s="10" t="s">
        <v>526</v>
      </c>
      <c r="B43" s="10" t="s">
        <v>399</v>
      </c>
      <c r="C43" s="11" t="s">
        <v>346</v>
      </c>
      <c r="D43" s="10" t="s">
        <v>527</v>
      </c>
      <c r="E43" s="8" t="s">
        <v>528</v>
      </c>
      <c r="F43" s="8" t="s">
        <v>529</v>
      </c>
      <c r="G43" s="10" t="s">
        <v>87</v>
      </c>
      <c r="H43" s="8" t="s">
        <v>530</v>
      </c>
      <c r="I43" s="10" t="s">
        <v>531</v>
      </c>
      <c r="J43" s="8" t="s">
        <v>404</v>
      </c>
      <c r="K43" s="8" t="s">
        <v>87</v>
      </c>
      <c r="L43" s="8" t="s">
        <v>87</v>
      </c>
      <c r="M43" s="10" t="s">
        <v>87</v>
      </c>
      <c r="N43" s="8" t="s">
        <v>532</v>
      </c>
      <c r="O43" s="10" t="s">
        <v>21</v>
      </c>
      <c r="P43" s="8" t="s">
        <v>533</v>
      </c>
      <c r="Q43" s="10" t="s">
        <v>223</v>
      </c>
      <c r="R43" s="10" t="s">
        <v>406</v>
      </c>
      <c r="S43" s="8" t="s">
        <v>534</v>
      </c>
      <c r="T43" s="10" t="s">
        <v>407</v>
      </c>
      <c r="U43" s="10" t="s">
        <v>87</v>
      </c>
      <c r="V43" s="10" t="s">
        <v>87</v>
      </c>
    </row>
    <row r="44" spans="1:22" s="10" customFormat="1" x14ac:dyDescent="0.25">
      <c r="A44" s="10" t="s">
        <v>535</v>
      </c>
      <c r="B44" s="10" t="s">
        <v>399</v>
      </c>
      <c r="C44" s="11" t="s">
        <v>346</v>
      </c>
      <c r="D44" s="10" t="s">
        <v>536</v>
      </c>
      <c r="E44" s="8" t="s">
        <v>537</v>
      </c>
      <c r="F44" s="8" t="s">
        <v>538</v>
      </c>
      <c r="G44" s="10" t="s">
        <v>87</v>
      </c>
      <c r="H44" s="8" t="s">
        <v>220</v>
      </c>
      <c r="I44" s="10" t="s">
        <v>539</v>
      </c>
      <c r="J44" s="8" t="s">
        <v>404</v>
      </c>
      <c r="K44" s="8" t="s">
        <v>87</v>
      </c>
      <c r="L44" s="8" t="s">
        <v>87</v>
      </c>
      <c r="M44" s="10" t="s">
        <v>87</v>
      </c>
      <c r="N44" s="8" t="s">
        <v>87</v>
      </c>
      <c r="O44" s="10" t="s">
        <v>21</v>
      </c>
      <c r="P44" s="8" t="s">
        <v>540</v>
      </c>
      <c r="Q44" s="10" t="s">
        <v>239</v>
      </c>
      <c r="R44" s="10" t="s">
        <v>406</v>
      </c>
      <c r="S44" s="8" t="s">
        <v>220</v>
      </c>
      <c r="T44" s="10" t="s">
        <v>407</v>
      </c>
      <c r="U44" s="10" t="s">
        <v>87</v>
      </c>
      <c r="V44" s="10" t="s">
        <v>87</v>
      </c>
    </row>
    <row r="45" spans="1:22" s="10" customFormat="1" x14ac:dyDescent="0.25">
      <c r="A45" s="10" t="s">
        <v>541</v>
      </c>
      <c r="B45" s="10" t="s">
        <v>399</v>
      </c>
      <c r="C45" s="10" t="s">
        <v>215</v>
      </c>
      <c r="D45" s="10" t="s">
        <v>542</v>
      </c>
      <c r="E45" s="8" t="s">
        <v>543</v>
      </c>
      <c r="F45" s="8" t="s">
        <v>544</v>
      </c>
      <c r="G45" s="10" t="s">
        <v>87</v>
      </c>
      <c r="H45" s="8" t="s">
        <v>545</v>
      </c>
      <c r="I45" s="10" t="s">
        <v>546</v>
      </c>
      <c r="J45" s="8" t="s">
        <v>404</v>
      </c>
      <c r="K45" s="8" t="s">
        <v>87</v>
      </c>
      <c r="L45" s="8" t="s">
        <v>87</v>
      </c>
      <c r="M45" s="10" t="s">
        <v>87</v>
      </c>
      <c r="N45" s="8" t="s">
        <v>87</v>
      </c>
      <c r="O45" s="10" t="s">
        <v>21</v>
      </c>
      <c r="P45" s="8" t="s">
        <v>547</v>
      </c>
      <c r="Q45" s="10" t="s">
        <v>223</v>
      </c>
      <c r="R45" s="10" t="s">
        <v>406</v>
      </c>
      <c r="S45" s="8" t="s">
        <v>548</v>
      </c>
      <c r="T45" s="10" t="s">
        <v>407</v>
      </c>
      <c r="U45" s="10" t="s">
        <v>87</v>
      </c>
      <c r="V45" s="10" t="s">
        <v>87</v>
      </c>
    </row>
    <row r="46" spans="1:22" s="10" customFormat="1" x14ac:dyDescent="0.25">
      <c r="A46" s="10" t="s">
        <v>549</v>
      </c>
      <c r="B46" s="10" t="s">
        <v>399</v>
      </c>
      <c r="C46" s="10" t="s">
        <v>215</v>
      </c>
      <c r="D46" s="10" t="s">
        <v>550</v>
      </c>
      <c r="E46" s="8" t="s">
        <v>551</v>
      </c>
      <c r="F46" s="8" t="s">
        <v>552</v>
      </c>
      <c r="G46" s="10" t="s">
        <v>87</v>
      </c>
      <c r="H46" s="8" t="s">
        <v>553</v>
      </c>
      <c r="I46" s="10" t="s">
        <v>554</v>
      </c>
      <c r="J46" s="8" t="s">
        <v>404</v>
      </c>
      <c r="K46" s="8" t="s">
        <v>87</v>
      </c>
      <c r="L46" s="8" t="s">
        <v>87</v>
      </c>
      <c r="M46" s="10" t="s">
        <v>87</v>
      </c>
      <c r="N46" s="8" t="s">
        <v>555</v>
      </c>
      <c r="O46" s="10" t="s">
        <v>21</v>
      </c>
      <c r="P46" s="8" t="s">
        <v>556</v>
      </c>
      <c r="Q46" s="10" t="s">
        <v>223</v>
      </c>
      <c r="R46" s="10" t="s">
        <v>406</v>
      </c>
      <c r="S46" s="8" t="s">
        <v>557</v>
      </c>
      <c r="T46" s="10" t="s">
        <v>407</v>
      </c>
      <c r="U46" s="10" t="s">
        <v>87</v>
      </c>
      <c r="V46" s="10" t="s">
        <v>87</v>
      </c>
    </row>
    <row r="47" spans="1:22" s="10" customFormat="1" x14ac:dyDescent="0.25">
      <c r="A47" s="10" t="s">
        <v>558</v>
      </c>
      <c r="B47" s="10" t="s">
        <v>399</v>
      </c>
      <c r="C47" s="10" t="s">
        <v>215</v>
      </c>
      <c r="D47" s="10" t="s">
        <v>559</v>
      </c>
      <c r="E47" s="8" t="s">
        <v>560</v>
      </c>
      <c r="F47" s="8" t="s">
        <v>561</v>
      </c>
      <c r="G47" s="10" t="s">
        <v>87</v>
      </c>
      <c r="H47" s="8" t="s">
        <v>562</v>
      </c>
      <c r="I47" s="10" t="s">
        <v>563</v>
      </c>
      <c r="J47" s="8" t="s">
        <v>404</v>
      </c>
      <c r="K47" s="8" t="s">
        <v>87</v>
      </c>
      <c r="L47" s="8" t="s">
        <v>87</v>
      </c>
      <c r="M47" s="10" t="s">
        <v>87</v>
      </c>
      <c r="N47" s="8" t="s">
        <v>564</v>
      </c>
      <c r="O47" s="10" t="s">
        <v>21</v>
      </c>
      <c r="P47" s="8" t="s">
        <v>565</v>
      </c>
      <c r="Q47" s="10" t="s">
        <v>223</v>
      </c>
      <c r="R47" s="10" t="s">
        <v>406</v>
      </c>
      <c r="S47" s="8" t="s">
        <v>566</v>
      </c>
      <c r="T47" s="10" t="s">
        <v>407</v>
      </c>
      <c r="U47" s="10" t="s">
        <v>87</v>
      </c>
      <c r="V47" s="10" t="s">
        <v>87</v>
      </c>
    </row>
    <row r="48" spans="1:22" s="10" customFormat="1" x14ac:dyDescent="0.25">
      <c r="A48" s="10" t="s">
        <v>567</v>
      </c>
      <c r="B48" s="10" t="s">
        <v>399</v>
      </c>
      <c r="C48" s="10" t="s">
        <v>215</v>
      </c>
      <c r="D48" s="10" t="s">
        <v>568</v>
      </c>
      <c r="E48" s="8" t="s">
        <v>569</v>
      </c>
      <c r="F48" s="8" t="s">
        <v>570</v>
      </c>
      <c r="G48" s="10" t="s">
        <v>87</v>
      </c>
      <c r="H48" s="8" t="s">
        <v>571</v>
      </c>
      <c r="I48" s="10" t="s">
        <v>572</v>
      </c>
      <c r="J48" s="8" t="s">
        <v>404</v>
      </c>
      <c r="K48" s="8" t="s">
        <v>87</v>
      </c>
      <c r="L48" s="8" t="s">
        <v>87</v>
      </c>
      <c r="M48" s="10" t="s">
        <v>87</v>
      </c>
      <c r="N48" s="8" t="s">
        <v>87</v>
      </c>
      <c r="O48" s="10" t="s">
        <v>21</v>
      </c>
      <c r="P48" s="8" t="s">
        <v>573</v>
      </c>
      <c r="Q48" s="10" t="s">
        <v>223</v>
      </c>
      <c r="R48" s="10" t="s">
        <v>406</v>
      </c>
      <c r="S48" s="8" t="s">
        <v>574</v>
      </c>
      <c r="T48" s="10" t="s">
        <v>253</v>
      </c>
      <c r="U48" s="10" t="s">
        <v>87</v>
      </c>
      <c r="V48" s="10" t="s">
        <v>87</v>
      </c>
    </row>
    <row r="49" spans="1:22" s="10" customFormat="1" x14ac:dyDescent="0.25">
      <c r="A49" s="10" t="s">
        <v>575</v>
      </c>
      <c r="B49" s="10" t="s">
        <v>399</v>
      </c>
      <c r="C49" s="10" t="s">
        <v>384</v>
      </c>
      <c r="D49" s="10" t="s">
        <v>576</v>
      </c>
      <c r="E49" s="8" t="s">
        <v>577</v>
      </c>
      <c r="F49" s="8" t="s">
        <v>578</v>
      </c>
      <c r="G49" s="10" t="s">
        <v>87</v>
      </c>
      <c r="H49" s="8" t="s">
        <v>220</v>
      </c>
      <c r="I49" s="10" t="s">
        <v>579</v>
      </c>
      <c r="J49" s="8" t="s">
        <v>404</v>
      </c>
      <c r="K49" s="8" t="s">
        <v>87</v>
      </c>
      <c r="L49" s="8" t="s">
        <v>87</v>
      </c>
      <c r="M49" s="10" t="s">
        <v>87</v>
      </c>
      <c r="N49" s="8" t="s">
        <v>580</v>
      </c>
      <c r="O49" s="10" t="s">
        <v>21</v>
      </c>
      <c r="P49" s="8" t="s">
        <v>581</v>
      </c>
      <c r="Q49" s="10" t="s">
        <v>223</v>
      </c>
      <c r="R49" s="10" t="s">
        <v>406</v>
      </c>
      <c r="S49" s="8" t="s">
        <v>220</v>
      </c>
      <c r="T49" s="10" t="s">
        <v>253</v>
      </c>
      <c r="U49" s="10" t="s">
        <v>87</v>
      </c>
      <c r="V49" s="10" t="s">
        <v>87</v>
      </c>
    </row>
    <row r="50" spans="1:22" s="10" customFormat="1" x14ac:dyDescent="0.25">
      <c r="A50" s="10" t="s">
        <v>582</v>
      </c>
      <c r="B50" s="10" t="s">
        <v>399</v>
      </c>
      <c r="C50" s="10" t="s">
        <v>215</v>
      </c>
      <c r="D50" s="10" t="s">
        <v>583</v>
      </c>
      <c r="E50" s="8" t="s">
        <v>584</v>
      </c>
      <c r="F50" s="8" t="s">
        <v>585</v>
      </c>
      <c r="G50" s="10" t="s">
        <v>87</v>
      </c>
      <c r="H50" s="8" t="s">
        <v>586</v>
      </c>
      <c r="I50" s="10" t="s">
        <v>357</v>
      </c>
      <c r="J50" s="8" t="s">
        <v>587</v>
      </c>
      <c r="K50" s="8" t="s">
        <v>87</v>
      </c>
      <c r="L50" s="8" t="s">
        <v>87</v>
      </c>
      <c r="M50" s="10" t="s">
        <v>87</v>
      </c>
      <c r="N50" s="8" t="s">
        <v>87</v>
      </c>
      <c r="O50" s="10" t="s">
        <v>21</v>
      </c>
      <c r="P50" s="8" t="s">
        <v>588</v>
      </c>
      <c r="Q50" s="10" t="s">
        <v>223</v>
      </c>
      <c r="R50" s="10" t="s">
        <v>406</v>
      </c>
      <c r="S50" s="8" t="s">
        <v>589</v>
      </c>
      <c r="T50" s="10" t="s">
        <v>407</v>
      </c>
      <c r="U50" s="10" t="s">
        <v>87</v>
      </c>
      <c r="V50" s="10" t="s">
        <v>87</v>
      </c>
    </row>
    <row r="51" spans="1:22" s="10" customFormat="1" x14ac:dyDescent="0.25">
      <c r="A51" s="10" t="s">
        <v>590</v>
      </c>
      <c r="B51" s="10" t="s">
        <v>399</v>
      </c>
      <c r="C51" s="10" t="s">
        <v>215</v>
      </c>
      <c r="D51" s="10" t="s">
        <v>591</v>
      </c>
      <c r="E51" s="8" t="s">
        <v>592</v>
      </c>
      <c r="F51" s="8" t="s">
        <v>593</v>
      </c>
      <c r="G51" s="10" t="s">
        <v>87</v>
      </c>
      <c r="H51" s="8" t="s">
        <v>220</v>
      </c>
      <c r="I51" s="10" t="s">
        <v>594</v>
      </c>
      <c r="J51" s="8" t="s">
        <v>595</v>
      </c>
      <c r="K51" s="8" t="s">
        <v>87</v>
      </c>
      <c r="L51" s="8" t="s">
        <v>87</v>
      </c>
      <c r="M51" s="10" t="s">
        <v>87</v>
      </c>
      <c r="N51" s="8" t="s">
        <v>87</v>
      </c>
      <c r="O51" s="10" t="s">
        <v>21</v>
      </c>
      <c r="P51" s="8" t="s">
        <v>596</v>
      </c>
      <c r="Q51" s="10" t="s">
        <v>223</v>
      </c>
      <c r="R51" s="10" t="s">
        <v>406</v>
      </c>
      <c r="S51" s="8" t="s">
        <v>597</v>
      </c>
      <c r="T51" s="10" t="s">
        <v>407</v>
      </c>
      <c r="U51" s="10" t="s">
        <v>87</v>
      </c>
      <c r="V51" s="10" t="s">
        <v>87</v>
      </c>
    </row>
    <row r="52" spans="1:22" s="10" customFormat="1" x14ac:dyDescent="0.25">
      <c r="A52" s="10" t="s">
        <v>598</v>
      </c>
      <c r="B52" s="10" t="s">
        <v>399</v>
      </c>
      <c r="C52" s="10" t="s">
        <v>215</v>
      </c>
      <c r="D52" s="10" t="s">
        <v>599</v>
      </c>
      <c r="E52" s="8" t="s">
        <v>600</v>
      </c>
      <c r="F52" s="8" t="s">
        <v>601</v>
      </c>
      <c r="G52" s="10" t="s">
        <v>87</v>
      </c>
      <c r="H52" s="8" t="s">
        <v>602</v>
      </c>
      <c r="I52" s="10" t="s">
        <v>87</v>
      </c>
      <c r="J52" s="8" t="s">
        <v>404</v>
      </c>
      <c r="K52" s="8" t="s">
        <v>87</v>
      </c>
      <c r="L52" s="8" t="s">
        <v>87</v>
      </c>
      <c r="M52" s="10" t="s">
        <v>87</v>
      </c>
      <c r="N52" s="8" t="s">
        <v>87</v>
      </c>
      <c r="O52" s="10" t="s">
        <v>21</v>
      </c>
      <c r="P52" s="8" t="s">
        <v>603</v>
      </c>
      <c r="Q52" s="10" t="s">
        <v>223</v>
      </c>
      <c r="R52" s="10" t="s">
        <v>406</v>
      </c>
      <c r="S52" s="8" t="s">
        <v>306</v>
      </c>
      <c r="T52" s="10" t="s">
        <v>407</v>
      </c>
      <c r="U52" s="10" t="s">
        <v>87</v>
      </c>
      <c r="V52" s="10" t="s">
        <v>87</v>
      </c>
    </row>
    <row r="53" spans="1:22" s="10" customFormat="1" x14ac:dyDescent="0.25">
      <c r="A53" s="10" t="s">
        <v>604</v>
      </c>
      <c r="B53" s="10" t="s">
        <v>399</v>
      </c>
      <c r="C53" s="10" t="s">
        <v>215</v>
      </c>
      <c r="D53" s="10" t="s">
        <v>605</v>
      </c>
      <c r="E53" s="8" t="s">
        <v>606</v>
      </c>
      <c r="F53" s="8" t="s">
        <v>607</v>
      </c>
      <c r="G53" s="10" t="s">
        <v>87</v>
      </c>
      <c r="H53" s="8" t="s">
        <v>608</v>
      </c>
      <c r="I53" s="10" t="s">
        <v>609</v>
      </c>
      <c r="J53" s="8" t="s">
        <v>610</v>
      </c>
      <c r="K53" s="8" t="s">
        <v>87</v>
      </c>
      <c r="L53" s="8" t="s">
        <v>87</v>
      </c>
      <c r="M53" s="10" t="s">
        <v>87</v>
      </c>
      <c r="N53" s="8" t="s">
        <v>611</v>
      </c>
      <c r="O53" s="10" t="s">
        <v>21</v>
      </c>
      <c r="P53" s="8" t="s">
        <v>612</v>
      </c>
      <c r="Q53" s="10" t="s">
        <v>223</v>
      </c>
      <c r="R53" s="10" t="s">
        <v>613</v>
      </c>
      <c r="S53" s="8" t="s">
        <v>614</v>
      </c>
      <c r="T53" s="10" t="s">
        <v>407</v>
      </c>
      <c r="U53" s="10" t="s">
        <v>87</v>
      </c>
      <c r="V53" s="10" t="s">
        <v>87</v>
      </c>
    </row>
    <row r="54" spans="1:22" s="10" customFormat="1" x14ac:dyDescent="0.25">
      <c r="A54" s="10" t="s">
        <v>615</v>
      </c>
      <c r="B54" s="10" t="s">
        <v>616</v>
      </c>
      <c r="C54" s="10" t="s">
        <v>215</v>
      </c>
      <c r="D54" s="10" t="s">
        <v>617</v>
      </c>
      <c r="E54" s="8" t="s">
        <v>618</v>
      </c>
      <c r="F54" s="8" t="s">
        <v>619</v>
      </c>
      <c r="G54" s="10" t="s">
        <v>87</v>
      </c>
      <c r="H54" s="8" t="s">
        <v>403</v>
      </c>
      <c r="I54" s="10" t="s">
        <v>594</v>
      </c>
      <c r="J54" s="8" t="s">
        <v>620</v>
      </c>
      <c r="K54" s="8" t="s">
        <v>87</v>
      </c>
      <c r="L54" s="8" t="s">
        <v>87</v>
      </c>
      <c r="M54" s="10" t="s">
        <v>87</v>
      </c>
      <c r="N54" s="8" t="s">
        <v>87</v>
      </c>
      <c r="O54" s="10" t="s">
        <v>21</v>
      </c>
      <c r="P54" s="8" t="s">
        <v>621</v>
      </c>
      <c r="Q54" s="10" t="s">
        <v>223</v>
      </c>
      <c r="R54" s="10" t="s">
        <v>406</v>
      </c>
      <c r="S54" s="8" t="s">
        <v>622</v>
      </c>
      <c r="T54" s="10" t="s">
        <v>623</v>
      </c>
      <c r="U54" s="10" t="s">
        <v>87</v>
      </c>
      <c r="V54" s="10" t="s">
        <v>87</v>
      </c>
    </row>
    <row r="55" spans="1:22" s="10" customFormat="1" x14ac:dyDescent="0.25">
      <c r="A55" s="10" t="s">
        <v>624</v>
      </c>
      <c r="B55" s="10" t="s">
        <v>616</v>
      </c>
      <c r="C55" s="10" t="s">
        <v>215</v>
      </c>
      <c r="D55" s="10" t="s">
        <v>625</v>
      </c>
      <c r="E55" s="8" t="s">
        <v>626</v>
      </c>
      <c r="F55" s="8" t="s">
        <v>627</v>
      </c>
      <c r="G55" s="10" t="s">
        <v>87</v>
      </c>
      <c r="H55" s="8" t="s">
        <v>628</v>
      </c>
      <c r="I55" s="10" t="s">
        <v>87</v>
      </c>
      <c r="J55" s="8" t="s">
        <v>404</v>
      </c>
      <c r="K55" s="8" t="s">
        <v>87</v>
      </c>
      <c r="L55" s="8" t="s">
        <v>87</v>
      </c>
      <c r="M55" s="10" t="s">
        <v>87</v>
      </c>
      <c r="N55" s="8" t="s">
        <v>87</v>
      </c>
      <c r="O55" s="10" t="s">
        <v>21</v>
      </c>
      <c r="P55" s="8" t="s">
        <v>629</v>
      </c>
      <c r="Q55" s="10" t="s">
        <v>239</v>
      </c>
      <c r="R55" s="10" t="s">
        <v>224</v>
      </c>
      <c r="S55" s="8" t="s">
        <v>630</v>
      </c>
      <c r="T55" s="10" t="s">
        <v>623</v>
      </c>
      <c r="U55" s="10" t="s">
        <v>87</v>
      </c>
      <c r="V55" s="10" t="s">
        <v>87</v>
      </c>
    </row>
    <row r="56" spans="1:22" s="10" customFormat="1" x14ac:dyDescent="0.25">
      <c r="A56" s="10" t="s">
        <v>631</v>
      </c>
      <c r="B56" s="10" t="s">
        <v>616</v>
      </c>
      <c r="C56" s="10" t="s">
        <v>215</v>
      </c>
      <c r="D56" s="10" t="s">
        <v>632</v>
      </c>
      <c r="E56" s="8" t="s">
        <v>633</v>
      </c>
      <c r="F56" s="8" t="s">
        <v>634</v>
      </c>
      <c r="G56" s="10" t="s">
        <v>87</v>
      </c>
      <c r="H56" s="8" t="s">
        <v>635</v>
      </c>
      <c r="I56" s="10" t="s">
        <v>87</v>
      </c>
      <c r="J56" s="8" t="s">
        <v>220</v>
      </c>
      <c r="K56" s="8" t="s">
        <v>87</v>
      </c>
      <c r="L56" s="8" t="s">
        <v>87</v>
      </c>
      <c r="M56" s="10" t="s">
        <v>87</v>
      </c>
      <c r="N56" s="8" t="s">
        <v>87</v>
      </c>
      <c r="O56" s="10" t="s">
        <v>21</v>
      </c>
      <c r="P56" s="8" t="s">
        <v>636</v>
      </c>
      <c r="Q56" s="10" t="s">
        <v>239</v>
      </c>
      <c r="R56" s="10" t="s">
        <v>224</v>
      </c>
      <c r="S56" s="8" t="s">
        <v>220</v>
      </c>
      <c r="T56" s="10" t="s">
        <v>623</v>
      </c>
      <c r="U56" s="10" t="s">
        <v>87</v>
      </c>
      <c r="V56" s="10" t="s">
        <v>87</v>
      </c>
    </row>
    <row r="57" spans="1:22" s="10" customFormat="1" x14ac:dyDescent="0.25">
      <c r="A57" s="10" t="s">
        <v>637</v>
      </c>
      <c r="B57" s="10" t="s">
        <v>616</v>
      </c>
      <c r="C57" s="10" t="s">
        <v>215</v>
      </c>
      <c r="D57" s="10" t="s">
        <v>638</v>
      </c>
      <c r="E57" s="8" t="s">
        <v>639</v>
      </c>
      <c r="F57" s="8" t="s">
        <v>640</v>
      </c>
      <c r="G57" s="10" t="s">
        <v>87</v>
      </c>
      <c r="H57" s="8" t="s">
        <v>641</v>
      </c>
      <c r="I57" s="10" t="s">
        <v>87</v>
      </c>
      <c r="J57" s="8" t="s">
        <v>220</v>
      </c>
      <c r="K57" s="8" t="s">
        <v>87</v>
      </c>
      <c r="L57" s="8" t="s">
        <v>87</v>
      </c>
      <c r="M57" s="10" t="s">
        <v>87</v>
      </c>
      <c r="N57" s="8" t="s">
        <v>87</v>
      </c>
      <c r="O57" s="10" t="s">
        <v>21</v>
      </c>
      <c r="P57" s="8" t="s">
        <v>642</v>
      </c>
      <c r="Q57" s="10" t="s">
        <v>239</v>
      </c>
      <c r="R57" s="10" t="s">
        <v>224</v>
      </c>
      <c r="S57" s="8" t="s">
        <v>220</v>
      </c>
      <c r="T57" s="10" t="s">
        <v>623</v>
      </c>
      <c r="U57" s="10" t="s">
        <v>87</v>
      </c>
      <c r="V57" s="10" t="s">
        <v>87</v>
      </c>
    </row>
    <row r="58" spans="1:22" s="10" customFormat="1" x14ac:dyDescent="0.25">
      <c r="A58" s="10" t="s">
        <v>643</v>
      </c>
      <c r="B58" s="10" t="s">
        <v>616</v>
      </c>
      <c r="C58" s="11" t="s">
        <v>346</v>
      </c>
      <c r="D58" s="10" t="s">
        <v>644</v>
      </c>
      <c r="E58" s="8" t="s">
        <v>645</v>
      </c>
      <c r="F58" s="8" t="s">
        <v>646</v>
      </c>
      <c r="G58" s="10" t="s">
        <v>87</v>
      </c>
      <c r="H58" s="8" t="s">
        <v>647</v>
      </c>
      <c r="I58" s="10" t="s">
        <v>87</v>
      </c>
      <c r="J58" s="8" t="s">
        <v>220</v>
      </c>
      <c r="K58" s="8" t="s">
        <v>87</v>
      </c>
      <c r="L58" s="8" t="s">
        <v>87</v>
      </c>
      <c r="M58" s="10" t="s">
        <v>87</v>
      </c>
      <c r="N58" s="8" t="s">
        <v>87</v>
      </c>
      <c r="O58" s="10" t="s">
        <v>21</v>
      </c>
      <c r="P58" s="8" t="s">
        <v>648</v>
      </c>
      <c r="Q58" s="10" t="s">
        <v>239</v>
      </c>
      <c r="R58" s="10" t="s">
        <v>224</v>
      </c>
      <c r="S58" s="8" t="s">
        <v>649</v>
      </c>
      <c r="T58" s="10" t="s">
        <v>253</v>
      </c>
      <c r="U58" s="10" t="s">
        <v>87</v>
      </c>
      <c r="V58" s="10" t="s">
        <v>87</v>
      </c>
    </row>
    <row r="59" spans="1:22" s="10" customFormat="1" x14ac:dyDescent="0.25">
      <c r="A59" s="10" t="s">
        <v>650</v>
      </c>
      <c r="B59" s="10" t="s">
        <v>616</v>
      </c>
      <c r="C59" s="11" t="s">
        <v>346</v>
      </c>
      <c r="D59" s="10" t="s">
        <v>651</v>
      </c>
      <c r="E59" s="8" t="s">
        <v>652</v>
      </c>
      <c r="F59" s="8" t="s">
        <v>653</v>
      </c>
      <c r="G59" s="10" t="s">
        <v>87</v>
      </c>
      <c r="H59" s="8" t="s">
        <v>654</v>
      </c>
      <c r="I59" s="10" t="s">
        <v>594</v>
      </c>
      <c r="J59" s="8" t="s">
        <v>655</v>
      </c>
      <c r="K59" s="8" t="s">
        <v>87</v>
      </c>
      <c r="L59" s="8" t="s">
        <v>87</v>
      </c>
      <c r="M59" s="10" t="s">
        <v>87</v>
      </c>
      <c r="N59" s="8" t="s">
        <v>87</v>
      </c>
      <c r="O59" s="10" t="s">
        <v>21</v>
      </c>
      <c r="P59" s="8" t="s">
        <v>656</v>
      </c>
      <c r="Q59" s="10" t="s">
        <v>239</v>
      </c>
      <c r="R59" s="10" t="s">
        <v>657</v>
      </c>
      <c r="S59" s="8" t="s">
        <v>658</v>
      </c>
      <c r="T59" s="10" t="s">
        <v>623</v>
      </c>
      <c r="U59" s="10" t="s">
        <v>87</v>
      </c>
      <c r="V59" s="10" t="s">
        <v>87</v>
      </c>
    </row>
    <row r="60" spans="1:22" s="10" customFormat="1" x14ac:dyDescent="0.25">
      <c r="A60" s="10" t="s">
        <v>659</v>
      </c>
      <c r="B60" s="10" t="s">
        <v>616</v>
      </c>
      <c r="C60" s="11" t="s">
        <v>346</v>
      </c>
      <c r="D60" s="10" t="s">
        <v>660</v>
      </c>
      <c r="E60" s="8" t="s">
        <v>661</v>
      </c>
      <c r="F60" s="8" t="s">
        <v>662</v>
      </c>
      <c r="G60" s="10" t="s">
        <v>87</v>
      </c>
      <c r="H60" s="8" t="s">
        <v>654</v>
      </c>
      <c r="I60" s="10" t="s">
        <v>87</v>
      </c>
      <c r="J60" s="8" t="s">
        <v>655</v>
      </c>
      <c r="K60" s="8" t="s">
        <v>87</v>
      </c>
      <c r="L60" s="8" t="s">
        <v>87</v>
      </c>
      <c r="M60" s="10" t="s">
        <v>87</v>
      </c>
      <c r="N60" s="8" t="s">
        <v>87</v>
      </c>
      <c r="O60" s="10" t="s">
        <v>21</v>
      </c>
      <c r="P60" s="8" t="s">
        <v>663</v>
      </c>
      <c r="Q60" s="10" t="s">
        <v>239</v>
      </c>
      <c r="R60" s="10" t="s">
        <v>224</v>
      </c>
      <c r="S60" s="8" t="s">
        <v>664</v>
      </c>
      <c r="T60" s="10" t="s">
        <v>623</v>
      </c>
      <c r="U60" s="10" t="s">
        <v>87</v>
      </c>
      <c r="V60" s="10" t="s">
        <v>87</v>
      </c>
    </row>
    <row r="61" spans="1:22" s="10" customFormat="1" x14ac:dyDescent="0.25">
      <c r="A61" s="10" t="s">
        <v>665</v>
      </c>
      <c r="B61" s="10" t="s">
        <v>616</v>
      </c>
      <c r="C61" s="10" t="s">
        <v>215</v>
      </c>
      <c r="D61" s="10" t="s">
        <v>666</v>
      </c>
      <c r="E61" s="8" t="s">
        <v>667</v>
      </c>
      <c r="F61" s="8" t="s">
        <v>668</v>
      </c>
      <c r="G61" s="10" t="s">
        <v>87</v>
      </c>
      <c r="H61" s="8" t="s">
        <v>654</v>
      </c>
      <c r="I61" s="10" t="s">
        <v>87</v>
      </c>
      <c r="J61" s="8" t="s">
        <v>655</v>
      </c>
      <c r="K61" s="8" t="s">
        <v>87</v>
      </c>
      <c r="L61" s="8" t="s">
        <v>87</v>
      </c>
      <c r="M61" s="10" t="s">
        <v>87</v>
      </c>
      <c r="N61" s="8" t="s">
        <v>87</v>
      </c>
      <c r="O61" s="10" t="s">
        <v>21</v>
      </c>
      <c r="P61" s="8" t="s">
        <v>669</v>
      </c>
      <c r="Q61" s="10" t="s">
        <v>223</v>
      </c>
      <c r="R61" s="10" t="s">
        <v>224</v>
      </c>
      <c r="S61" s="8" t="s">
        <v>220</v>
      </c>
      <c r="T61" s="10" t="s">
        <v>253</v>
      </c>
      <c r="U61" s="10" t="s">
        <v>87</v>
      </c>
      <c r="V61" s="10" t="s">
        <v>87</v>
      </c>
    </row>
    <row r="62" spans="1:22" s="10" customFormat="1" x14ac:dyDescent="0.25">
      <c r="A62" s="10" t="s">
        <v>670</v>
      </c>
      <c r="B62" s="10" t="s">
        <v>616</v>
      </c>
      <c r="C62" s="10" t="s">
        <v>215</v>
      </c>
      <c r="D62" s="10" t="s">
        <v>671</v>
      </c>
      <c r="E62" s="8" t="s">
        <v>672</v>
      </c>
      <c r="F62" s="8" t="s">
        <v>673</v>
      </c>
      <c r="G62" s="10" t="s">
        <v>87</v>
      </c>
      <c r="H62" s="8" t="s">
        <v>674</v>
      </c>
      <c r="I62" s="10" t="s">
        <v>87</v>
      </c>
      <c r="J62" s="8" t="s">
        <v>655</v>
      </c>
      <c r="K62" s="8" t="s">
        <v>87</v>
      </c>
      <c r="L62" s="8" t="s">
        <v>87</v>
      </c>
      <c r="M62" s="10" t="s">
        <v>87</v>
      </c>
      <c r="N62" s="8" t="s">
        <v>675</v>
      </c>
      <c r="O62" s="10" t="s">
        <v>21</v>
      </c>
      <c r="P62" s="8" t="s">
        <v>676</v>
      </c>
      <c r="Q62" s="10" t="s">
        <v>223</v>
      </c>
      <c r="R62" s="10" t="s">
        <v>224</v>
      </c>
      <c r="S62" s="8" t="s">
        <v>220</v>
      </c>
      <c r="T62" s="10" t="s">
        <v>253</v>
      </c>
      <c r="U62" s="10" t="s">
        <v>87</v>
      </c>
      <c r="V62" s="10" t="s">
        <v>87</v>
      </c>
    </row>
    <row r="63" spans="1:22" s="10" customFormat="1" x14ac:dyDescent="0.25">
      <c r="A63" s="10" t="s">
        <v>677</v>
      </c>
      <c r="B63" s="10" t="s">
        <v>616</v>
      </c>
      <c r="C63" s="10" t="s">
        <v>215</v>
      </c>
      <c r="D63" s="10" t="s">
        <v>678</v>
      </c>
      <c r="E63" s="8" t="s">
        <v>679</v>
      </c>
      <c r="F63" s="8" t="s">
        <v>680</v>
      </c>
      <c r="G63" s="10" t="s">
        <v>87</v>
      </c>
      <c r="H63" s="8" t="s">
        <v>681</v>
      </c>
      <c r="I63" s="10" t="s">
        <v>87</v>
      </c>
      <c r="J63" s="8" t="s">
        <v>655</v>
      </c>
      <c r="K63" s="8" t="s">
        <v>87</v>
      </c>
      <c r="L63" s="8" t="s">
        <v>87</v>
      </c>
      <c r="M63" s="10" t="s">
        <v>87</v>
      </c>
      <c r="N63" s="8" t="s">
        <v>87</v>
      </c>
      <c r="O63" s="10" t="s">
        <v>21</v>
      </c>
      <c r="P63" s="8" t="s">
        <v>682</v>
      </c>
      <c r="Q63" s="10" t="s">
        <v>239</v>
      </c>
      <c r="R63" s="10" t="s">
        <v>224</v>
      </c>
      <c r="S63" s="8" t="s">
        <v>220</v>
      </c>
      <c r="T63" s="10" t="s">
        <v>253</v>
      </c>
      <c r="U63" s="10" t="s">
        <v>87</v>
      </c>
      <c r="V63" s="10" t="s">
        <v>87</v>
      </c>
    </row>
    <row r="64" spans="1:22" s="10" customFormat="1" x14ac:dyDescent="0.25">
      <c r="A64" s="10" t="s">
        <v>683</v>
      </c>
      <c r="B64" s="10" t="s">
        <v>616</v>
      </c>
      <c r="C64" s="10" t="s">
        <v>215</v>
      </c>
      <c r="D64" s="10" t="s">
        <v>684</v>
      </c>
      <c r="E64" s="8" t="s">
        <v>685</v>
      </c>
      <c r="F64" s="8" t="s">
        <v>686</v>
      </c>
      <c r="G64" s="10" t="s">
        <v>87</v>
      </c>
      <c r="H64" s="8" t="s">
        <v>687</v>
      </c>
      <c r="I64" s="10" t="s">
        <v>87</v>
      </c>
      <c r="J64" s="8" t="s">
        <v>655</v>
      </c>
      <c r="K64" s="8" t="s">
        <v>87</v>
      </c>
      <c r="L64" s="8" t="s">
        <v>87</v>
      </c>
      <c r="M64" s="10" t="s">
        <v>87</v>
      </c>
      <c r="N64" s="8" t="s">
        <v>87</v>
      </c>
      <c r="O64" s="10" t="s">
        <v>21</v>
      </c>
      <c r="P64" s="8" t="s">
        <v>688</v>
      </c>
      <c r="Q64" s="10" t="s">
        <v>223</v>
      </c>
      <c r="R64" s="10" t="s">
        <v>689</v>
      </c>
      <c r="S64" s="8" t="s">
        <v>220</v>
      </c>
      <c r="T64" s="10" t="s">
        <v>623</v>
      </c>
      <c r="U64" s="10" t="s">
        <v>87</v>
      </c>
      <c r="V64" s="10" t="s">
        <v>87</v>
      </c>
    </row>
    <row r="65" spans="1:22" s="10" customFormat="1" x14ac:dyDescent="0.25">
      <c r="A65" s="10" t="s">
        <v>690</v>
      </c>
      <c r="B65" s="10" t="s">
        <v>616</v>
      </c>
      <c r="C65" s="10" t="s">
        <v>215</v>
      </c>
      <c r="D65" s="10" t="s">
        <v>691</v>
      </c>
      <c r="E65" s="8" t="s">
        <v>692</v>
      </c>
      <c r="F65" s="8" t="s">
        <v>693</v>
      </c>
      <c r="G65" s="10" t="s">
        <v>87</v>
      </c>
      <c r="H65" s="8" t="s">
        <v>687</v>
      </c>
      <c r="I65" s="10" t="s">
        <v>87</v>
      </c>
      <c r="J65" s="8" t="s">
        <v>655</v>
      </c>
      <c r="K65" s="8" t="s">
        <v>87</v>
      </c>
      <c r="L65" s="8" t="s">
        <v>87</v>
      </c>
      <c r="M65" s="10" t="s">
        <v>87</v>
      </c>
      <c r="N65" s="8" t="s">
        <v>87</v>
      </c>
      <c r="O65" s="10" t="s">
        <v>21</v>
      </c>
      <c r="P65" s="8" t="s">
        <v>694</v>
      </c>
      <c r="Q65" s="10" t="s">
        <v>223</v>
      </c>
      <c r="R65" s="10" t="s">
        <v>689</v>
      </c>
      <c r="S65" s="8" t="s">
        <v>220</v>
      </c>
      <c r="T65" s="10" t="s">
        <v>253</v>
      </c>
      <c r="U65" s="10" t="s">
        <v>87</v>
      </c>
      <c r="V65" s="10" t="s">
        <v>87</v>
      </c>
    </row>
    <row r="66" spans="1:22" s="10" customFormat="1" x14ac:dyDescent="0.25">
      <c r="A66" s="10" t="s">
        <v>695</v>
      </c>
      <c r="B66" s="10" t="s">
        <v>616</v>
      </c>
      <c r="C66" s="11" t="s">
        <v>346</v>
      </c>
      <c r="D66" s="10" t="s">
        <v>696</v>
      </c>
      <c r="E66" s="8" t="s">
        <v>697</v>
      </c>
      <c r="F66" s="8" t="s">
        <v>698</v>
      </c>
      <c r="G66" s="10" t="s">
        <v>87</v>
      </c>
      <c r="H66" s="8" t="s">
        <v>687</v>
      </c>
      <c r="I66" s="10" t="s">
        <v>87</v>
      </c>
      <c r="J66" s="8" t="s">
        <v>655</v>
      </c>
      <c r="K66" s="8" t="s">
        <v>87</v>
      </c>
      <c r="L66" s="8" t="s">
        <v>87</v>
      </c>
      <c r="M66" s="10" t="s">
        <v>87</v>
      </c>
      <c r="N66" s="8" t="s">
        <v>699</v>
      </c>
      <c r="O66" s="10" t="s">
        <v>21</v>
      </c>
      <c r="P66" s="8" t="s">
        <v>700</v>
      </c>
      <c r="Q66" s="10" t="s">
        <v>223</v>
      </c>
      <c r="R66" s="10" t="s">
        <v>701</v>
      </c>
      <c r="S66" s="8" t="s">
        <v>220</v>
      </c>
      <c r="T66" s="10" t="s">
        <v>623</v>
      </c>
      <c r="U66" s="10" t="s">
        <v>87</v>
      </c>
      <c r="V66" s="10" t="s">
        <v>87</v>
      </c>
    </row>
    <row r="67" spans="1:22" s="10" customFormat="1" x14ac:dyDescent="0.25">
      <c r="A67" s="10" t="s">
        <v>702</v>
      </c>
      <c r="B67" s="10" t="s">
        <v>616</v>
      </c>
      <c r="C67" s="11" t="s">
        <v>346</v>
      </c>
      <c r="D67" s="10" t="s">
        <v>703</v>
      </c>
      <c r="E67" s="8" t="s">
        <v>704</v>
      </c>
      <c r="F67" s="8" t="s">
        <v>705</v>
      </c>
      <c r="G67" s="10" t="s">
        <v>87</v>
      </c>
      <c r="H67" s="8" t="s">
        <v>220</v>
      </c>
      <c r="I67" s="10" t="s">
        <v>706</v>
      </c>
      <c r="J67" s="8" t="s">
        <v>220</v>
      </c>
      <c r="K67" s="8" t="s">
        <v>87</v>
      </c>
      <c r="L67" s="8" t="s">
        <v>87</v>
      </c>
      <c r="M67" s="10" t="s">
        <v>87</v>
      </c>
      <c r="N67" s="8" t="s">
        <v>87</v>
      </c>
      <c r="O67" s="10" t="s">
        <v>21</v>
      </c>
      <c r="P67" s="8" t="s">
        <v>707</v>
      </c>
      <c r="Q67" s="10" t="s">
        <v>239</v>
      </c>
      <c r="R67" s="10" t="s">
        <v>224</v>
      </c>
      <c r="S67" s="8" t="s">
        <v>220</v>
      </c>
      <c r="T67" s="10" t="s">
        <v>623</v>
      </c>
      <c r="U67" s="10" t="s">
        <v>87</v>
      </c>
      <c r="V67" s="10" t="s">
        <v>87</v>
      </c>
    </row>
    <row r="68" spans="1:22" s="10" customFormat="1" x14ac:dyDescent="0.25">
      <c r="A68" s="10" t="s">
        <v>708</v>
      </c>
      <c r="B68" s="10" t="s">
        <v>616</v>
      </c>
      <c r="C68" s="11" t="s">
        <v>346</v>
      </c>
      <c r="D68" s="10" t="s">
        <v>709</v>
      </c>
      <c r="E68" s="8" t="s">
        <v>710</v>
      </c>
      <c r="F68" s="8" t="s">
        <v>711</v>
      </c>
      <c r="G68" s="10" t="s">
        <v>87</v>
      </c>
      <c r="H68" s="8" t="s">
        <v>220</v>
      </c>
      <c r="I68" s="10" t="s">
        <v>594</v>
      </c>
      <c r="J68" s="8" t="s">
        <v>220</v>
      </c>
      <c r="K68" s="8" t="s">
        <v>87</v>
      </c>
      <c r="L68" s="8" t="s">
        <v>87</v>
      </c>
      <c r="M68" s="10" t="s">
        <v>87</v>
      </c>
      <c r="N68" s="8" t="s">
        <v>87</v>
      </c>
      <c r="O68" s="10" t="s">
        <v>21</v>
      </c>
      <c r="P68" s="8" t="s">
        <v>712</v>
      </c>
      <c r="Q68" s="10" t="s">
        <v>239</v>
      </c>
      <c r="R68" s="10" t="s">
        <v>224</v>
      </c>
      <c r="S68" s="8" t="s">
        <v>220</v>
      </c>
      <c r="T68" s="10" t="s">
        <v>623</v>
      </c>
      <c r="U68" s="10" t="s">
        <v>87</v>
      </c>
      <c r="V68" s="10" t="s">
        <v>87</v>
      </c>
    </row>
    <row r="69" spans="1:22" s="10" customFormat="1" x14ac:dyDescent="0.25">
      <c r="A69" s="10" t="s">
        <v>713</v>
      </c>
      <c r="B69" s="10" t="s">
        <v>616</v>
      </c>
      <c r="C69" s="10" t="s">
        <v>215</v>
      </c>
      <c r="D69" s="10" t="s">
        <v>714</v>
      </c>
      <c r="E69" s="8" t="s">
        <v>715</v>
      </c>
      <c r="F69" s="8" t="s">
        <v>716</v>
      </c>
      <c r="G69" s="10" t="s">
        <v>87</v>
      </c>
      <c r="H69" s="8" t="s">
        <v>654</v>
      </c>
      <c r="I69" s="10" t="s">
        <v>717</v>
      </c>
      <c r="J69" s="8" t="s">
        <v>655</v>
      </c>
      <c r="K69" s="8" t="s">
        <v>87</v>
      </c>
      <c r="L69" s="8" t="s">
        <v>87</v>
      </c>
      <c r="M69" s="10" t="s">
        <v>87</v>
      </c>
      <c r="N69" s="8" t="s">
        <v>87</v>
      </c>
      <c r="O69" s="10" t="s">
        <v>21</v>
      </c>
      <c r="P69" s="8" t="s">
        <v>718</v>
      </c>
      <c r="Q69" s="10" t="s">
        <v>223</v>
      </c>
      <c r="R69" s="10" t="s">
        <v>689</v>
      </c>
      <c r="S69" s="8" t="s">
        <v>622</v>
      </c>
      <c r="T69" s="10" t="s">
        <v>623</v>
      </c>
      <c r="U69" s="10" t="s">
        <v>87</v>
      </c>
      <c r="V69" s="10" t="s">
        <v>87</v>
      </c>
    </row>
    <row r="70" spans="1:22" s="10" customFormat="1" x14ac:dyDescent="0.25">
      <c r="A70" s="10" t="s">
        <v>719</v>
      </c>
      <c r="B70" s="10" t="s">
        <v>616</v>
      </c>
      <c r="C70" s="10" t="s">
        <v>215</v>
      </c>
      <c r="D70" s="10" t="s">
        <v>720</v>
      </c>
      <c r="E70" s="8" t="s">
        <v>721</v>
      </c>
      <c r="F70" s="8" t="s">
        <v>722</v>
      </c>
      <c r="G70" s="10" t="s">
        <v>87</v>
      </c>
      <c r="H70" s="8" t="s">
        <v>723</v>
      </c>
      <c r="I70" s="10" t="s">
        <v>594</v>
      </c>
      <c r="J70" s="8" t="s">
        <v>655</v>
      </c>
      <c r="K70" s="8" t="s">
        <v>87</v>
      </c>
      <c r="L70" s="8" t="s">
        <v>87</v>
      </c>
      <c r="M70" s="10" t="s">
        <v>87</v>
      </c>
      <c r="N70" s="8" t="s">
        <v>724</v>
      </c>
      <c r="O70" s="10" t="s">
        <v>21</v>
      </c>
      <c r="P70" s="8" t="s">
        <v>725</v>
      </c>
      <c r="Q70" s="10" t="s">
        <v>223</v>
      </c>
      <c r="R70" s="10" t="s">
        <v>726</v>
      </c>
      <c r="S70" s="8" t="s">
        <v>220</v>
      </c>
      <c r="T70" s="10" t="s">
        <v>623</v>
      </c>
      <c r="U70" s="10" t="s">
        <v>87</v>
      </c>
      <c r="V70" s="10" t="s">
        <v>87</v>
      </c>
    </row>
    <row r="71" spans="1:22" s="10" customFormat="1" x14ac:dyDescent="0.25">
      <c r="A71" s="10" t="s">
        <v>727</v>
      </c>
      <c r="B71" s="10" t="s">
        <v>616</v>
      </c>
      <c r="C71" s="10" t="s">
        <v>384</v>
      </c>
      <c r="D71" s="10" t="s">
        <v>728</v>
      </c>
      <c r="E71" s="8" t="s">
        <v>729</v>
      </c>
      <c r="F71" s="8" t="s">
        <v>730</v>
      </c>
      <c r="G71" s="10" t="s">
        <v>87</v>
      </c>
      <c r="H71" s="8" t="s">
        <v>220</v>
      </c>
      <c r="I71" s="10" t="s">
        <v>87</v>
      </c>
      <c r="J71" s="8" t="s">
        <v>220</v>
      </c>
      <c r="K71" s="8" t="s">
        <v>87</v>
      </c>
      <c r="L71" s="8" t="s">
        <v>87</v>
      </c>
      <c r="M71" s="10" t="s">
        <v>87</v>
      </c>
      <c r="N71" s="8" t="s">
        <v>731</v>
      </c>
      <c r="O71" s="10" t="s">
        <v>21</v>
      </c>
      <c r="P71" s="8" t="s">
        <v>732</v>
      </c>
      <c r="Q71" s="10" t="s">
        <v>223</v>
      </c>
      <c r="R71" s="10" t="s">
        <v>224</v>
      </c>
      <c r="S71" s="8" t="s">
        <v>220</v>
      </c>
      <c r="T71" s="10" t="s">
        <v>253</v>
      </c>
      <c r="U71" s="10" t="s">
        <v>87</v>
      </c>
      <c r="V71" s="10" t="s">
        <v>87</v>
      </c>
    </row>
    <row r="72" spans="1:22" s="10" customFormat="1" x14ac:dyDescent="0.25">
      <c r="A72" s="10" t="s">
        <v>733</v>
      </c>
      <c r="B72" s="10" t="s">
        <v>734</v>
      </c>
      <c r="C72" s="10" t="s">
        <v>215</v>
      </c>
      <c r="D72" s="10" t="s">
        <v>735</v>
      </c>
      <c r="E72" s="8" t="s">
        <v>736</v>
      </c>
      <c r="F72" s="8" t="s">
        <v>737</v>
      </c>
      <c r="G72" s="10" t="s">
        <v>87</v>
      </c>
      <c r="H72" s="8" t="s">
        <v>654</v>
      </c>
      <c r="I72" s="10" t="s">
        <v>594</v>
      </c>
      <c r="J72" s="8" t="s">
        <v>655</v>
      </c>
      <c r="K72" s="8" t="s">
        <v>87</v>
      </c>
      <c r="L72" s="8" t="s">
        <v>87</v>
      </c>
      <c r="M72" s="10" t="s">
        <v>87</v>
      </c>
      <c r="N72" s="8" t="s">
        <v>738</v>
      </c>
      <c r="O72" s="10" t="s">
        <v>21</v>
      </c>
      <c r="P72" s="8" t="s">
        <v>739</v>
      </c>
      <c r="Q72" s="10" t="s">
        <v>223</v>
      </c>
      <c r="R72" s="10" t="s">
        <v>406</v>
      </c>
      <c r="S72" s="8" t="s">
        <v>740</v>
      </c>
      <c r="T72" s="10" t="s">
        <v>741</v>
      </c>
      <c r="U72" s="10" t="s">
        <v>87</v>
      </c>
      <c r="V72" s="10" t="s">
        <v>87</v>
      </c>
    </row>
    <row r="73" spans="1:22" s="10" customFormat="1" x14ac:dyDescent="0.25">
      <c r="A73" s="10" t="s">
        <v>742</v>
      </c>
      <c r="B73" s="10" t="s">
        <v>734</v>
      </c>
      <c r="C73" s="11" t="s">
        <v>346</v>
      </c>
      <c r="D73" s="10" t="s">
        <v>743</v>
      </c>
      <c r="E73" s="8" t="s">
        <v>744</v>
      </c>
      <c r="F73" s="8" t="s">
        <v>745</v>
      </c>
      <c r="G73" s="10" t="s">
        <v>87</v>
      </c>
      <c r="H73" s="8" t="s">
        <v>654</v>
      </c>
      <c r="I73" s="10" t="s">
        <v>746</v>
      </c>
      <c r="J73" s="8" t="s">
        <v>655</v>
      </c>
      <c r="K73" s="8" t="s">
        <v>87</v>
      </c>
      <c r="L73" s="8" t="s">
        <v>87</v>
      </c>
      <c r="M73" s="10" t="s">
        <v>87</v>
      </c>
      <c r="N73" s="8" t="s">
        <v>747</v>
      </c>
      <c r="O73" s="10" t="s">
        <v>21</v>
      </c>
      <c r="P73" s="8" t="s">
        <v>748</v>
      </c>
      <c r="Q73" s="10" t="s">
        <v>223</v>
      </c>
      <c r="R73" s="10" t="s">
        <v>406</v>
      </c>
      <c r="S73" s="8" t="s">
        <v>749</v>
      </c>
      <c r="T73" s="10" t="s">
        <v>741</v>
      </c>
      <c r="U73" s="10" t="s">
        <v>87</v>
      </c>
      <c r="V73" s="10" t="s">
        <v>87</v>
      </c>
    </row>
    <row r="74" spans="1:22" s="10" customFormat="1" x14ac:dyDescent="0.25">
      <c r="A74" s="10" t="s">
        <v>750</v>
      </c>
      <c r="B74" s="10" t="s">
        <v>734</v>
      </c>
      <c r="C74" s="10" t="s">
        <v>215</v>
      </c>
      <c r="D74" s="10" t="s">
        <v>751</v>
      </c>
      <c r="E74" s="8" t="s">
        <v>752</v>
      </c>
      <c r="F74" s="8" t="s">
        <v>753</v>
      </c>
      <c r="G74" s="10" t="s">
        <v>87</v>
      </c>
      <c r="H74" s="8" t="s">
        <v>754</v>
      </c>
      <c r="I74" s="10" t="s">
        <v>594</v>
      </c>
      <c r="J74" s="8" t="s">
        <v>655</v>
      </c>
      <c r="K74" s="8" t="s">
        <v>87</v>
      </c>
      <c r="L74" s="8" t="s">
        <v>87</v>
      </c>
      <c r="M74" s="10" t="s">
        <v>87</v>
      </c>
      <c r="N74" s="8" t="s">
        <v>755</v>
      </c>
      <c r="O74" s="10" t="s">
        <v>21</v>
      </c>
      <c r="P74" s="8" t="s">
        <v>756</v>
      </c>
      <c r="Q74" s="10" t="s">
        <v>223</v>
      </c>
      <c r="R74" s="10" t="s">
        <v>406</v>
      </c>
      <c r="S74" s="8" t="s">
        <v>757</v>
      </c>
      <c r="T74" s="10" t="s">
        <v>741</v>
      </c>
      <c r="U74" s="10" t="s">
        <v>87</v>
      </c>
      <c r="V74" s="10" t="s">
        <v>87</v>
      </c>
    </row>
    <row r="75" spans="1:22" s="10" customFormat="1" x14ac:dyDescent="0.25">
      <c r="A75" s="10" t="s">
        <v>758</v>
      </c>
      <c r="B75" s="10" t="s">
        <v>734</v>
      </c>
      <c r="C75" s="10" t="s">
        <v>215</v>
      </c>
      <c r="D75" s="10" t="s">
        <v>759</v>
      </c>
      <c r="E75" s="8" t="s">
        <v>760</v>
      </c>
      <c r="F75" s="8" t="s">
        <v>761</v>
      </c>
      <c r="G75" s="10" t="s">
        <v>87</v>
      </c>
      <c r="H75" s="8" t="s">
        <v>762</v>
      </c>
      <c r="I75" s="10" t="s">
        <v>763</v>
      </c>
      <c r="J75" s="8" t="s">
        <v>764</v>
      </c>
      <c r="K75" s="8" t="s">
        <v>87</v>
      </c>
      <c r="L75" s="8" t="s">
        <v>87</v>
      </c>
      <c r="M75" s="10" t="s">
        <v>87</v>
      </c>
      <c r="N75" s="8" t="s">
        <v>87</v>
      </c>
      <c r="O75" s="10" t="s">
        <v>21</v>
      </c>
      <c r="P75" s="8" t="s">
        <v>765</v>
      </c>
      <c r="Q75" s="10" t="s">
        <v>223</v>
      </c>
      <c r="R75" s="10" t="s">
        <v>613</v>
      </c>
      <c r="S75" s="8" t="s">
        <v>766</v>
      </c>
      <c r="T75" s="10" t="s">
        <v>741</v>
      </c>
      <c r="U75" s="10" t="s">
        <v>87</v>
      </c>
      <c r="V75" s="10" t="s">
        <v>87</v>
      </c>
    </row>
    <row r="76" spans="1:22" s="10" customFormat="1" x14ac:dyDescent="0.25">
      <c r="A76" s="10" t="s">
        <v>767</v>
      </c>
      <c r="B76" s="10" t="s">
        <v>734</v>
      </c>
      <c r="C76" s="10" t="s">
        <v>215</v>
      </c>
      <c r="D76" s="10" t="s">
        <v>768</v>
      </c>
      <c r="E76" s="8" t="s">
        <v>769</v>
      </c>
      <c r="F76" s="8" t="s">
        <v>770</v>
      </c>
      <c r="G76" s="10" t="s">
        <v>87</v>
      </c>
      <c r="H76" s="8" t="s">
        <v>654</v>
      </c>
      <c r="I76" s="10" t="s">
        <v>87</v>
      </c>
      <c r="J76" s="8" t="s">
        <v>655</v>
      </c>
      <c r="K76" s="8" t="s">
        <v>87</v>
      </c>
      <c r="L76" s="8" t="s">
        <v>87</v>
      </c>
      <c r="M76" s="10" t="s">
        <v>87</v>
      </c>
      <c r="N76" s="8" t="s">
        <v>87</v>
      </c>
      <c r="O76" s="10" t="s">
        <v>21</v>
      </c>
      <c r="P76" s="8" t="s">
        <v>771</v>
      </c>
      <c r="Q76" s="10" t="s">
        <v>239</v>
      </c>
      <c r="R76" s="10" t="s">
        <v>406</v>
      </c>
      <c r="S76" s="8" t="s">
        <v>772</v>
      </c>
      <c r="T76" s="10" t="s">
        <v>741</v>
      </c>
      <c r="U76" s="10" t="s">
        <v>87</v>
      </c>
      <c r="V76" s="10" t="s">
        <v>87</v>
      </c>
    </row>
    <row r="77" spans="1:22" s="10" customFormat="1" x14ac:dyDescent="0.25">
      <c r="A77" s="10" t="s">
        <v>773</v>
      </c>
      <c r="B77" s="10" t="s">
        <v>734</v>
      </c>
      <c r="C77" s="10" t="s">
        <v>215</v>
      </c>
      <c r="D77" s="10" t="s">
        <v>774</v>
      </c>
      <c r="E77" s="8" t="s">
        <v>775</v>
      </c>
      <c r="F77" s="8" t="s">
        <v>776</v>
      </c>
      <c r="G77" s="10" t="s">
        <v>87</v>
      </c>
      <c r="H77" s="8" t="s">
        <v>654</v>
      </c>
      <c r="I77" s="10" t="s">
        <v>594</v>
      </c>
      <c r="J77" s="8" t="s">
        <v>655</v>
      </c>
      <c r="K77" s="8" t="s">
        <v>87</v>
      </c>
      <c r="L77" s="8" t="s">
        <v>87</v>
      </c>
      <c r="M77" s="10" t="s">
        <v>87</v>
      </c>
      <c r="N77" s="8" t="s">
        <v>777</v>
      </c>
      <c r="O77" s="10" t="s">
        <v>21</v>
      </c>
      <c r="P77" s="8" t="s">
        <v>778</v>
      </c>
      <c r="Q77" s="10" t="s">
        <v>223</v>
      </c>
      <c r="R77" s="10" t="s">
        <v>406</v>
      </c>
      <c r="S77" s="8" t="s">
        <v>779</v>
      </c>
      <c r="T77" s="10" t="s">
        <v>253</v>
      </c>
      <c r="U77" s="10" t="s">
        <v>87</v>
      </c>
      <c r="V77" s="10" t="s">
        <v>87</v>
      </c>
    </row>
    <row r="78" spans="1:22" s="10" customFormat="1" x14ac:dyDescent="0.25">
      <c r="A78" s="10" t="s">
        <v>780</v>
      </c>
      <c r="B78" s="10" t="s">
        <v>734</v>
      </c>
      <c r="C78" s="10" t="s">
        <v>215</v>
      </c>
      <c r="D78" s="10" t="s">
        <v>781</v>
      </c>
      <c r="E78" s="8" t="s">
        <v>782</v>
      </c>
      <c r="F78" s="8" t="s">
        <v>783</v>
      </c>
      <c r="G78" s="10" t="s">
        <v>87</v>
      </c>
      <c r="H78" s="8" t="s">
        <v>654</v>
      </c>
      <c r="I78" s="10" t="s">
        <v>594</v>
      </c>
      <c r="J78" s="8" t="s">
        <v>655</v>
      </c>
      <c r="K78" s="8" t="s">
        <v>87</v>
      </c>
      <c r="L78" s="8" t="s">
        <v>87</v>
      </c>
      <c r="M78" s="10" t="s">
        <v>87</v>
      </c>
      <c r="N78" s="8" t="s">
        <v>87</v>
      </c>
      <c r="O78" s="10" t="s">
        <v>21</v>
      </c>
      <c r="P78" s="8" t="s">
        <v>784</v>
      </c>
      <c r="Q78" s="10" t="s">
        <v>223</v>
      </c>
      <c r="R78" s="10" t="s">
        <v>406</v>
      </c>
      <c r="S78" s="8" t="s">
        <v>658</v>
      </c>
      <c r="T78" s="10" t="s">
        <v>741</v>
      </c>
      <c r="U78" s="10" t="s">
        <v>87</v>
      </c>
      <c r="V78" s="10" t="s">
        <v>87</v>
      </c>
    </row>
    <row r="79" spans="1:22" s="10" customFormat="1" x14ac:dyDescent="0.25">
      <c r="A79" s="10" t="s">
        <v>785</v>
      </c>
      <c r="B79" s="10" t="s">
        <v>734</v>
      </c>
      <c r="C79" s="10" t="s">
        <v>215</v>
      </c>
      <c r="D79" s="10" t="s">
        <v>786</v>
      </c>
      <c r="E79" s="8" t="s">
        <v>787</v>
      </c>
      <c r="F79" s="8" t="s">
        <v>788</v>
      </c>
      <c r="G79" s="10" t="s">
        <v>87</v>
      </c>
      <c r="H79" s="8" t="s">
        <v>654</v>
      </c>
      <c r="I79" s="10" t="s">
        <v>87</v>
      </c>
      <c r="J79" s="8" t="s">
        <v>655</v>
      </c>
      <c r="K79" s="8" t="s">
        <v>87</v>
      </c>
      <c r="L79" s="8" t="s">
        <v>87</v>
      </c>
      <c r="M79" s="10" t="s">
        <v>87</v>
      </c>
      <c r="N79" s="8" t="s">
        <v>87</v>
      </c>
      <c r="O79" s="10" t="s">
        <v>21</v>
      </c>
      <c r="P79" s="8" t="s">
        <v>789</v>
      </c>
      <c r="Q79" s="10" t="s">
        <v>223</v>
      </c>
      <c r="R79" s="10" t="s">
        <v>406</v>
      </c>
      <c r="S79" s="8" t="s">
        <v>658</v>
      </c>
      <c r="T79" s="10" t="s">
        <v>253</v>
      </c>
      <c r="U79" s="10" t="s">
        <v>87</v>
      </c>
      <c r="V79" s="10" t="s">
        <v>87</v>
      </c>
    </row>
    <row r="80" spans="1:22" s="10" customFormat="1" x14ac:dyDescent="0.25">
      <c r="A80" s="10" t="s">
        <v>790</v>
      </c>
      <c r="B80" s="10" t="s">
        <v>734</v>
      </c>
      <c r="C80" s="11" t="s">
        <v>346</v>
      </c>
      <c r="D80" s="10" t="s">
        <v>791</v>
      </c>
      <c r="E80" s="8" t="s">
        <v>792</v>
      </c>
      <c r="F80" s="8" t="s">
        <v>793</v>
      </c>
      <c r="G80" s="10" t="s">
        <v>87</v>
      </c>
      <c r="H80" s="8" t="s">
        <v>794</v>
      </c>
      <c r="I80" s="10" t="s">
        <v>763</v>
      </c>
      <c r="J80" s="8" t="s">
        <v>795</v>
      </c>
      <c r="K80" s="8" t="s">
        <v>87</v>
      </c>
      <c r="L80" s="8" t="s">
        <v>87</v>
      </c>
      <c r="M80" s="10" t="s">
        <v>87</v>
      </c>
      <c r="N80" s="8" t="s">
        <v>87</v>
      </c>
      <c r="O80" s="10" t="s">
        <v>21</v>
      </c>
      <c r="P80" s="8" t="s">
        <v>796</v>
      </c>
      <c r="Q80" s="10" t="s">
        <v>239</v>
      </c>
      <c r="R80" s="10" t="s">
        <v>406</v>
      </c>
      <c r="S80" s="8" t="s">
        <v>797</v>
      </c>
      <c r="T80" s="10" t="s">
        <v>741</v>
      </c>
      <c r="U80" s="10" t="s">
        <v>87</v>
      </c>
      <c r="V80" s="10" t="s">
        <v>87</v>
      </c>
    </row>
    <row r="81" spans="1:22" s="10" customFormat="1" x14ac:dyDescent="0.25">
      <c r="A81" s="10" t="s">
        <v>798</v>
      </c>
      <c r="B81" s="10" t="s">
        <v>734</v>
      </c>
      <c r="C81" s="10" t="s">
        <v>215</v>
      </c>
      <c r="D81" s="10" t="s">
        <v>799</v>
      </c>
      <c r="E81" s="8" t="s">
        <v>800</v>
      </c>
      <c r="F81" s="8" t="s">
        <v>801</v>
      </c>
      <c r="G81" s="10" t="s">
        <v>87</v>
      </c>
      <c r="H81" s="8" t="s">
        <v>802</v>
      </c>
      <c r="I81" s="10" t="s">
        <v>803</v>
      </c>
      <c r="J81" s="8" t="s">
        <v>655</v>
      </c>
      <c r="K81" s="8" t="s">
        <v>87</v>
      </c>
      <c r="L81" s="8" t="s">
        <v>87</v>
      </c>
      <c r="M81" s="10" t="s">
        <v>87</v>
      </c>
      <c r="N81" s="8" t="s">
        <v>87</v>
      </c>
      <c r="O81" s="10" t="s">
        <v>21</v>
      </c>
      <c r="P81" s="8" t="s">
        <v>804</v>
      </c>
      <c r="Q81" s="10" t="s">
        <v>223</v>
      </c>
      <c r="R81" s="10" t="s">
        <v>406</v>
      </c>
      <c r="S81" s="8" t="s">
        <v>805</v>
      </c>
      <c r="T81" s="10" t="s">
        <v>253</v>
      </c>
      <c r="U81" s="10" t="s">
        <v>87</v>
      </c>
      <c r="V81" s="10" t="s">
        <v>87</v>
      </c>
    </row>
    <row r="82" spans="1:22" s="10" customFormat="1" x14ac:dyDescent="0.25">
      <c r="A82" s="10" t="s">
        <v>806</v>
      </c>
      <c r="B82" s="10" t="s">
        <v>734</v>
      </c>
      <c r="C82" s="11" t="s">
        <v>346</v>
      </c>
      <c r="D82" s="10" t="s">
        <v>807</v>
      </c>
      <c r="E82" s="8" t="s">
        <v>808</v>
      </c>
      <c r="F82" s="8" t="s">
        <v>809</v>
      </c>
      <c r="G82" s="10" t="s">
        <v>87</v>
      </c>
      <c r="H82" s="8" t="s">
        <v>810</v>
      </c>
      <c r="I82" s="10" t="s">
        <v>811</v>
      </c>
      <c r="J82" s="8" t="s">
        <v>812</v>
      </c>
      <c r="K82" s="8" t="s">
        <v>87</v>
      </c>
      <c r="L82" s="8" t="s">
        <v>87</v>
      </c>
      <c r="M82" s="10" t="s">
        <v>87</v>
      </c>
      <c r="N82" s="8" t="s">
        <v>87</v>
      </c>
      <c r="O82" s="10" t="s">
        <v>21</v>
      </c>
      <c r="P82" s="8" t="s">
        <v>813</v>
      </c>
      <c r="Q82" s="10" t="s">
        <v>223</v>
      </c>
      <c r="R82" s="10" t="s">
        <v>406</v>
      </c>
      <c r="S82" s="8" t="s">
        <v>814</v>
      </c>
      <c r="T82" s="10" t="s">
        <v>741</v>
      </c>
      <c r="U82" s="10" t="s">
        <v>87</v>
      </c>
      <c r="V82" s="10" t="s">
        <v>87</v>
      </c>
    </row>
    <row r="83" spans="1:22" s="10" customFormat="1" x14ac:dyDescent="0.25">
      <c r="A83" s="10" t="s">
        <v>815</v>
      </c>
      <c r="B83" s="10" t="s">
        <v>734</v>
      </c>
      <c r="C83" s="10" t="s">
        <v>215</v>
      </c>
      <c r="D83" s="10" t="s">
        <v>816</v>
      </c>
      <c r="E83" s="8" t="s">
        <v>817</v>
      </c>
      <c r="F83" s="8" t="s">
        <v>818</v>
      </c>
      <c r="G83" s="10" t="s">
        <v>87</v>
      </c>
      <c r="H83" s="8" t="s">
        <v>654</v>
      </c>
      <c r="I83" s="10" t="s">
        <v>87</v>
      </c>
      <c r="J83" s="8" t="s">
        <v>655</v>
      </c>
      <c r="K83" s="8" t="s">
        <v>87</v>
      </c>
      <c r="L83" s="8" t="s">
        <v>87</v>
      </c>
      <c r="M83" s="10" t="s">
        <v>87</v>
      </c>
      <c r="N83" s="8" t="s">
        <v>87</v>
      </c>
      <c r="O83" s="10" t="s">
        <v>21</v>
      </c>
      <c r="P83" s="8" t="s">
        <v>819</v>
      </c>
      <c r="Q83" s="10" t="s">
        <v>223</v>
      </c>
      <c r="R83" s="10" t="s">
        <v>406</v>
      </c>
      <c r="S83" s="8" t="s">
        <v>220</v>
      </c>
      <c r="T83" s="10" t="s">
        <v>253</v>
      </c>
      <c r="U83" s="10" t="s">
        <v>87</v>
      </c>
      <c r="V83" s="10" t="s">
        <v>87</v>
      </c>
    </row>
    <row r="84" spans="1:22" s="10" customFormat="1" x14ac:dyDescent="0.25">
      <c r="A84" s="10" t="s">
        <v>820</v>
      </c>
      <c r="B84" s="10" t="s">
        <v>734</v>
      </c>
      <c r="C84" s="11" t="s">
        <v>346</v>
      </c>
      <c r="D84" s="10" t="s">
        <v>821</v>
      </c>
      <c r="E84" s="8" t="s">
        <v>822</v>
      </c>
      <c r="F84" s="8" t="s">
        <v>823</v>
      </c>
      <c r="G84" s="10" t="s">
        <v>87</v>
      </c>
      <c r="H84" s="8" t="s">
        <v>654</v>
      </c>
      <c r="I84" s="10" t="s">
        <v>87</v>
      </c>
      <c r="J84" s="8" t="s">
        <v>655</v>
      </c>
      <c r="K84" s="8" t="s">
        <v>87</v>
      </c>
      <c r="L84" s="8" t="s">
        <v>87</v>
      </c>
      <c r="M84" s="10" t="s">
        <v>87</v>
      </c>
      <c r="N84" s="8" t="s">
        <v>87</v>
      </c>
      <c r="O84" s="10" t="s">
        <v>21</v>
      </c>
      <c r="P84" s="8" t="s">
        <v>824</v>
      </c>
      <c r="Q84" s="10" t="s">
        <v>825</v>
      </c>
      <c r="R84" s="10" t="s">
        <v>657</v>
      </c>
      <c r="S84" s="8" t="s">
        <v>220</v>
      </c>
      <c r="T84" s="10" t="s">
        <v>741</v>
      </c>
      <c r="U84" s="10" t="s">
        <v>87</v>
      </c>
      <c r="V84" s="10" t="s">
        <v>87</v>
      </c>
    </row>
    <row r="85" spans="1:22" s="10" customFormat="1" x14ac:dyDescent="0.25">
      <c r="A85" s="10" t="s">
        <v>826</v>
      </c>
      <c r="B85" s="10" t="s">
        <v>734</v>
      </c>
      <c r="C85" s="10" t="s">
        <v>215</v>
      </c>
      <c r="D85" s="10" t="s">
        <v>827</v>
      </c>
      <c r="E85" s="8" t="s">
        <v>828</v>
      </c>
      <c r="F85" s="8" t="s">
        <v>829</v>
      </c>
      <c r="G85" s="10" t="s">
        <v>87</v>
      </c>
      <c r="H85" s="8" t="s">
        <v>830</v>
      </c>
      <c r="I85" s="10" t="s">
        <v>365</v>
      </c>
      <c r="J85" s="8" t="s">
        <v>831</v>
      </c>
      <c r="K85" s="8" t="s">
        <v>87</v>
      </c>
      <c r="L85" s="8" t="s">
        <v>87</v>
      </c>
      <c r="M85" s="10" t="s">
        <v>87</v>
      </c>
      <c r="N85" s="8" t="s">
        <v>87</v>
      </c>
      <c r="O85" s="10" t="s">
        <v>21</v>
      </c>
      <c r="P85" s="8" t="s">
        <v>832</v>
      </c>
      <c r="Q85" s="10" t="s">
        <v>246</v>
      </c>
      <c r="R85" s="10" t="s">
        <v>406</v>
      </c>
      <c r="S85" s="8" t="s">
        <v>338</v>
      </c>
      <c r="T85" s="10" t="s">
        <v>253</v>
      </c>
      <c r="U85" s="10" t="s">
        <v>87</v>
      </c>
      <c r="V85" s="10" t="s">
        <v>87</v>
      </c>
    </row>
    <row r="86" spans="1:22" s="10" customFormat="1" x14ac:dyDescent="0.25">
      <c r="A86" s="10" t="s">
        <v>833</v>
      </c>
      <c r="B86" s="10" t="s">
        <v>734</v>
      </c>
      <c r="C86" s="10" t="s">
        <v>215</v>
      </c>
      <c r="D86" s="10" t="s">
        <v>834</v>
      </c>
      <c r="E86" s="8" t="s">
        <v>835</v>
      </c>
      <c r="F86" s="8" t="s">
        <v>836</v>
      </c>
      <c r="G86" s="10" t="s">
        <v>87</v>
      </c>
      <c r="H86" s="8" t="s">
        <v>837</v>
      </c>
      <c r="I86" s="10" t="s">
        <v>594</v>
      </c>
      <c r="J86" s="8" t="s">
        <v>838</v>
      </c>
      <c r="K86" s="8" t="s">
        <v>87</v>
      </c>
      <c r="L86" s="8" t="s">
        <v>87</v>
      </c>
      <c r="M86" s="10" t="s">
        <v>87</v>
      </c>
      <c r="N86" s="8" t="s">
        <v>839</v>
      </c>
      <c r="O86" s="10" t="s">
        <v>21</v>
      </c>
      <c r="P86" s="8" t="s">
        <v>840</v>
      </c>
      <c r="Q86" s="10" t="s">
        <v>239</v>
      </c>
      <c r="R86" s="10" t="s">
        <v>406</v>
      </c>
      <c r="S86" s="8" t="s">
        <v>841</v>
      </c>
      <c r="T86" s="10" t="s">
        <v>741</v>
      </c>
      <c r="U86" s="10" t="s">
        <v>87</v>
      </c>
      <c r="V86" s="10" t="s">
        <v>87</v>
      </c>
    </row>
    <row r="87" spans="1:22" s="10" customFormat="1" x14ac:dyDescent="0.25">
      <c r="A87" s="10" t="s">
        <v>842</v>
      </c>
      <c r="B87" s="10" t="s">
        <v>734</v>
      </c>
      <c r="C87" s="11" t="s">
        <v>346</v>
      </c>
      <c r="D87" s="10" t="s">
        <v>843</v>
      </c>
      <c r="E87" s="8" t="s">
        <v>844</v>
      </c>
      <c r="F87" s="8" t="s">
        <v>845</v>
      </c>
      <c r="G87" s="10" t="s">
        <v>87</v>
      </c>
      <c r="H87" s="8" t="s">
        <v>846</v>
      </c>
      <c r="I87" s="10" t="s">
        <v>594</v>
      </c>
      <c r="J87" s="8" t="s">
        <v>838</v>
      </c>
      <c r="K87" s="8" t="s">
        <v>87</v>
      </c>
      <c r="L87" s="8" t="s">
        <v>87</v>
      </c>
      <c r="M87" s="10" t="s">
        <v>87</v>
      </c>
      <c r="N87" s="8" t="s">
        <v>847</v>
      </c>
      <c r="O87" s="10" t="s">
        <v>21</v>
      </c>
      <c r="P87" s="8" t="s">
        <v>848</v>
      </c>
      <c r="Q87" s="10" t="s">
        <v>239</v>
      </c>
      <c r="R87" s="10" t="s">
        <v>406</v>
      </c>
      <c r="S87" s="8" t="s">
        <v>779</v>
      </c>
      <c r="T87" s="10" t="s">
        <v>253</v>
      </c>
      <c r="U87" s="10" t="s">
        <v>87</v>
      </c>
      <c r="V87" s="10" t="s">
        <v>87</v>
      </c>
    </row>
    <row r="88" spans="1:22" s="10" customFormat="1" x14ac:dyDescent="0.25">
      <c r="A88" s="10" t="s">
        <v>849</v>
      </c>
      <c r="B88" s="10" t="s">
        <v>850</v>
      </c>
      <c r="C88" s="10" t="s">
        <v>215</v>
      </c>
      <c r="D88" s="10" t="s">
        <v>851</v>
      </c>
      <c r="E88" s="8" t="s">
        <v>852</v>
      </c>
      <c r="F88" s="8" t="s">
        <v>853</v>
      </c>
      <c r="G88" s="10" t="s">
        <v>87</v>
      </c>
      <c r="H88" s="8" t="s">
        <v>654</v>
      </c>
      <c r="I88" s="10" t="s">
        <v>594</v>
      </c>
      <c r="J88" s="8" t="s">
        <v>854</v>
      </c>
      <c r="K88" s="8" t="s">
        <v>87</v>
      </c>
      <c r="L88" s="8" t="s">
        <v>87</v>
      </c>
      <c r="M88" s="10" t="s">
        <v>87</v>
      </c>
      <c r="N88" s="8" t="s">
        <v>855</v>
      </c>
      <c r="O88" s="10" t="s">
        <v>21</v>
      </c>
      <c r="P88" s="8" t="s">
        <v>856</v>
      </c>
      <c r="Q88" s="10" t="s">
        <v>223</v>
      </c>
      <c r="R88" s="10" t="s">
        <v>406</v>
      </c>
      <c r="S88" s="8" t="s">
        <v>220</v>
      </c>
      <c r="T88" s="10" t="s">
        <v>857</v>
      </c>
      <c r="U88" s="10" t="s">
        <v>87</v>
      </c>
      <c r="V88" s="10" t="s">
        <v>87</v>
      </c>
    </row>
    <row r="89" spans="1:22" s="10" customFormat="1" x14ac:dyDescent="0.25">
      <c r="A89" s="10" t="s">
        <v>858</v>
      </c>
      <c r="B89" s="10" t="s">
        <v>850</v>
      </c>
      <c r="C89" s="10" t="s">
        <v>215</v>
      </c>
      <c r="D89" s="10" t="s">
        <v>859</v>
      </c>
      <c r="E89" s="8" t="s">
        <v>860</v>
      </c>
      <c r="F89" s="8" t="s">
        <v>861</v>
      </c>
      <c r="G89" s="10" t="s">
        <v>87</v>
      </c>
      <c r="H89" s="8" t="s">
        <v>654</v>
      </c>
      <c r="I89" s="10" t="s">
        <v>862</v>
      </c>
      <c r="J89" s="8" t="s">
        <v>854</v>
      </c>
      <c r="K89" s="8" t="s">
        <v>87</v>
      </c>
      <c r="L89" s="8" t="s">
        <v>87</v>
      </c>
      <c r="M89" s="10" t="s">
        <v>87</v>
      </c>
      <c r="N89" s="8" t="s">
        <v>87</v>
      </c>
      <c r="O89" s="10" t="s">
        <v>21</v>
      </c>
      <c r="P89" s="8" t="s">
        <v>863</v>
      </c>
      <c r="Q89" s="10" t="s">
        <v>223</v>
      </c>
      <c r="R89" s="10" t="s">
        <v>689</v>
      </c>
      <c r="S89" s="8" t="s">
        <v>220</v>
      </c>
      <c r="T89" s="10" t="s">
        <v>857</v>
      </c>
      <c r="U89" s="10" t="s">
        <v>87</v>
      </c>
      <c r="V89" s="10" t="s">
        <v>87</v>
      </c>
    </row>
    <row r="90" spans="1:22" s="10" customFormat="1" x14ac:dyDescent="0.25">
      <c r="A90" s="10" t="s">
        <v>864</v>
      </c>
      <c r="B90" s="10" t="s">
        <v>850</v>
      </c>
      <c r="C90" s="11" t="s">
        <v>346</v>
      </c>
      <c r="D90" s="10" t="s">
        <v>865</v>
      </c>
      <c r="E90" s="8" t="s">
        <v>866</v>
      </c>
      <c r="F90" s="8" t="s">
        <v>867</v>
      </c>
      <c r="G90" s="10" t="s">
        <v>87</v>
      </c>
      <c r="H90" s="8" t="s">
        <v>654</v>
      </c>
      <c r="I90" s="10" t="s">
        <v>868</v>
      </c>
      <c r="J90" s="8" t="s">
        <v>854</v>
      </c>
      <c r="K90" s="8" t="s">
        <v>87</v>
      </c>
      <c r="L90" s="8" t="s">
        <v>87</v>
      </c>
      <c r="M90" s="10" t="s">
        <v>87</v>
      </c>
      <c r="N90" s="8" t="s">
        <v>87</v>
      </c>
      <c r="O90" s="10" t="s">
        <v>21</v>
      </c>
      <c r="P90" s="8" t="s">
        <v>869</v>
      </c>
      <c r="Q90" s="10" t="s">
        <v>825</v>
      </c>
      <c r="R90" s="10" t="s">
        <v>689</v>
      </c>
      <c r="S90" s="8" t="s">
        <v>220</v>
      </c>
      <c r="T90" s="10" t="s">
        <v>857</v>
      </c>
      <c r="U90" s="10" t="s">
        <v>87</v>
      </c>
      <c r="V90" s="10" t="s">
        <v>87</v>
      </c>
    </row>
    <row r="91" spans="1:22" s="10" customFormat="1" x14ac:dyDescent="0.25">
      <c r="A91" s="10" t="s">
        <v>870</v>
      </c>
      <c r="B91" s="10" t="s">
        <v>850</v>
      </c>
      <c r="C91" s="11" t="s">
        <v>346</v>
      </c>
      <c r="D91" s="10" t="s">
        <v>871</v>
      </c>
      <c r="E91" s="8" t="s">
        <v>872</v>
      </c>
      <c r="F91" s="8" t="s">
        <v>823</v>
      </c>
      <c r="G91" s="10" t="s">
        <v>87</v>
      </c>
      <c r="H91" s="8" t="s">
        <v>654</v>
      </c>
      <c r="I91" s="10" t="s">
        <v>873</v>
      </c>
      <c r="J91" s="8" t="s">
        <v>854</v>
      </c>
      <c r="K91" s="8" t="s">
        <v>87</v>
      </c>
      <c r="L91" s="8" t="s">
        <v>87</v>
      </c>
      <c r="M91" s="10" t="s">
        <v>87</v>
      </c>
      <c r="N91" s="8" t="s">
        <v>87</v>
      </c>
      <c r="O91" s="10" t="s">
        <v>21</v>
      </c>
      <c r="P91" s="8" t="s">
        <v>874</v>
      </c>
      <c r="Q91" s="10" t="s">
        <v>825</v>
      </c>
      <c r="R91" s="10" t="s">
        <v>689</v>
      </c>
      <c r="S91" s="8" t="s">
        <v>220</v>
      </c>
      <c r="T91" s="10" t="s">
        <v>857</v>
      </c>
      <c r="U91" s="10" t="s">
        <v>87</v>
      </c>
      <c r="V91" s="10" t="s">
        <v>87</v>
      </c>
    </row>
    <row r="92" spans="1:22" s="10" customFormat="1" x14ac:dyDescent="0.25">
      <c r="A92" s="10" t="s">
        <v>875</v>
      </c>
      <c r="B92" s="10" t="s">
        <v>850</v>
      </c>
      <c r="C92" s="11" t="s">
        <v>346</v>
      </c>
      <c r="D92" s="10" t="s">
        <v>876</v>
      </c>
      <c r="E92" s="8" t="s">
        <v>877</v>
      </c>
      <c r="F92" s="8" t="s">
        <v>878</v>
      </c>
      <c r="G92" s="10" t="s">
        <v>87</v>
      </c>
      <c r="H92" s="8" t="s">
        <v>654</v>
      </c>
      <c r="I92" s="10" t="s">
        <v>879</v>
      </c>
      <c r="J92" s="8" t="s">
        <v>854</v>
      </c>
      <c r="K92" s="8" t="s">
        <v>87</v>
      </c>
      <c r="L92" s="8" t="s">
        <v>87</v>
      </c>
      <c r="M92" s="10" t="s">
        <v>87</v>
      </c>
      <c r="N92" s="8" t="s">
        <v>880</v>
      </c>
      <c r="O92" s="10" t="s">
        <v>21</v>
      </c>
      <c r="P92" s="8" t="s">
        <v>881</v>
      </c>
      <c r="Q92" s="10" t="s">
        <v>825</v>
      </c>
      <c r="R92" s="10" t="s">
        <v>689</v>
      </c>
      <c r="S92" s="8" t="s">
        <v>220</v>
      </c>
      <c r="T92" s="10" t="s">
        <v>857</v>
      </c>
      <c r="U92" s="10" t="s">
        <v>87</v>
      </c>
      <c r="V92" s="10" t="s">
        <v>87</v>
      </c>
    </row>
    <row r="93" spans="1:22" s="10" customFormat="1" x14ac:dyDescent="0.25">
      <c r="A93" s="10" t="s">
        <v>882</v>
      </c>
      <c r="B93" s="10" t="s">
        <v>850</v>
      </c>
      <c r="C93" s="10" t="s">
        <v>215</v>
      </c>
      <c r="D93" s="10" t="s">
        <v>883</v>
      </c>
      <c r="E93" s="8" t="s">
        <v>884</v>
      </c>
      <c r="F93" s="8" t="s">
        <v>861</v>
      </c>
      <c r="G93" s="10" t="s">
        <v>87</v>
      </c>
      <c r="H93" s="8" t="s">
        <v>654</v>
      </c>
      <c r="I93" s="10" t="s">
        <v>862</v>
      </c>
      <c r="J93" s="8" t="s">
        <v>854</v>
      </c>
      <c r="K93" s="8" t="s">
        <v>87</v>
      </c>
      <c r="L93" s="8" t="s">
        <v>87</v>
      </c>
      <c r="M93" s="10" t="s">
        <v>87</v>
      </c>
      <c r="N93" s="8" t="s">
        <v>87</v>
      </c>
      <c r="O93" s="10" t="s">
        <v>21</v>
      </c>
      <c r="P93" s="8" t="s">
        <v>885</v>
      </c>
      <c r="Q93" s="10" t="s">
        <v>223</v>
      </c>
      <c r="R93" s="10" t="s">
        <v>657</v>
      </c>
      <c r="S93" s="8" t="s">
        <v>220</v>
      </c>
      <c r="T93" s="10" t="s">
        <v>857</v>
      </c>
      <c r="U93" s="10" t="s">
        <v>87</v>
      </c>
      <c r="V93" s="10" t="s">
        <v>87</v>
      </c>
    </row>
    <row r="94" spans="1:22" s="10" customFormat="1" x14ac:dyDescent="0.25">
      <c r="A94" s="10" t="s">
        <v>886</v>
      </c>
      <c r="B94" s="10" t="s">
        <v>850</v>
      </c>
      <c r="C94" s="11" t="s">
        <v>346</v>
      </c>
      <c r="D94" s="10" t="s">
        <v>887</v>
      </c>
      <c r="E94" s="8" t="s">
        <v>888</v>
      </c>
      <c r="F94" s="8" t="s">
        <v>889</v>
      </c>
      <c r="G94" s="10" t="s">
        <v>87</v>
      </c>
      <c r="H94" s="8" t="s">
        <v>654</v>
      </c>
      <c r="I94" s="10" t="s">
        <v>890</v>
      </c>
      <c r="J94" s="8" t="s">
        <v>854</v>
      </c>
      <c r="K94" s="8" t="s">
        <v>87</v>
      </c>
      <c r="L94" s="8" t="s">
        <v>87</v>
      </c>
      <c r="M94" s="10" t="s">
        <v>87</v>
      </c>
      <c r="N94" s="8" t="s">
        <v>87</v>
      </c>
      <c r="O94" s="10" t="s">
        <v>21</v>
      </c>
      <c r="P94" s="8" t="s">
        <v>891</v>
      </c>
      <c r="Q94" s="10" t="s">
        <v>825</v>
      </c>
      <c r="R94" s="10" t="s">
        <v>657</v>
      </c>
      <c r="S94" s="8" t="s">
        <v>220</v>
      </c>
      <c r="T94" s="10" t="s">
        <v>857</v>
      </c>
      <c r="U94" s="10" t="s">
        <v>87</v>
      </c>
      <c r="V94" s="10" t="s">
        <v>87</v>
      </c>
    </row>
    <row r="95" spans="1:22" s="10" customFormat="1" x14ac:dyDescent="0.25">
      <c r="A95" s="10" t="s">
        <v>892</v>
      </c>
      <c r="B95" s="10" t="s">
        <v>850</v>
      </c>
      <c r="C95" s="10" t="s">
        <v>215</v>
      </c>
      <c r="D95" s="10" t="s">
        <v>893</v>
      </c>
      <c r="E95" s="8" t="s">
        <v>894</v>
      </c>
      <c r="F95" s="8" t="s">
        <v>861</v>
      </c>
      <c r="G95" s="10" t="s">
        <v>87</v>
      </c>
      <c r="H95" s="8" t="s">
        <v>654</v>
      </c>
      <c r="I95" s="10" t="s">
        <v>895</v>
      </c>
      <c r="J95" s="8" t="s">
        <v>854</v>
      </c>
      <c r="K95" s="8" t="s">
        <v>87</v>
      </c>
      <c r="L95" s="8" t="s">
        <v>87</v>
      </c>
      <c r="M95" s="10" t="s">
        <v>87</v>
      </c>
      <c r="N95" s="8" t="s">
        <v>87</v>
      </c>
      <c r="O95" s="10" t="s">
        <v>21</v>
      </c>
      <c r="P95" s="8" t="s">
        <v>896</v>
      </c>
      <c r="Q95" s="10" t="s">
        <v>223</v>
      </c>
      <c r="R95" s="10" t="s">
        <v>897</v>
      </c>
      <c r="S95" s="8" t="s">
        <v>220</v>
      </c>
      <c r="T95" s="10" t="s">
        <v>857</v>
      </c>
      <c r="U95" s="10" t="s">
        <v>87</v>
      </c>
      <c r="V95" s="10" t="s">
        <v>87</v>
      </c>
    </row>
    <row r="96" spans="1:22" s="10" customFormat="1" x14ac:dyDescent="0.25">
      <c r="A96" s="10" t="s">
        <v>898</v>
      </c>
      <c r="B96" s="10" t="s">
        <v>850</v>
      </c>
      <c r="C96" s="11" t="s">
        <v>346</v>
      </c>
      <c r="D96" s="10" t="s">
        <v>899</v>
      </c>
      <c r="E96" s="8" t="s">
        <v>900</v>
      </c>
      <c r="F96" s="8" t="s">
        <v>889</v>
      </c>
      <c r="G96" s="10" t="s">
        <v>87</v>
      </c>
      <c r="H96" s="8" t="s">
        <v>654</v>
      </c>
      <c r="I96" s="10" t="s">
        <v>901</v>
      </c>
      <c r="J96" s="8" t="s">
        <v>854</v>
      </c>
      <c r="K96" s="8" t="s">
        <v>87</v>
      </c>
      <c r="L96" s="8" t="s">
        <v>87</v>
      </c>
      <c r="M96" s="10" t="s">
        <v>87</v>
      </c>
      <c r="N96" s="8" t="s">
        <v>87</v>
      </c>
      <c r="O96" s="10" t="s">
        <v>21</v>
      </c>
      <c r="P96" s="8" t="s">
        <v>902</v>
      </c>
      <c r="Q96" s="10" t="s">
        <v>825</v>
      </c>
      <c r="R96" s="10" t="s">
        <v>897</v>
      </c>
      <c r="S96" s="8" t="s">
        <v>220</v>
      </c>
      <c r="T96" s="10" t="s">
        <v>857</v>
      </c>
      <c r="U96" s="10" t="s">
        <v>87</v>
      </c>
      <c r="V96" s="10" t="s">
        <v>87</v>
      </c>
    </row>
    <row r="97" spans="1:22" s="10" customFormat="1" x14ac:dyDescent="0.25">
      <c r="A97" s="10" t="s">
        <v>903</v>
      </c>
      <c r="B97" s="10" t="s">
        <v>850</v>
      </c>
      <c r="C97" s="10" t="s">
        <v>215</v>
      </c>
      <c r="D97" s="10" t="s">
        <v>904</v>
      </c>
      <c r="E97" s="8" t="s">
        <v>905</v>
      </c>
      <c r="F97" s="8" t="s">
        <v>906</v>
      </c>
      <c r="G97" s="10" t="s">
        <v>87</v>
      </c>
      <c r="H97" s="8" t="s">
        <v>654</v>
      </c>
      <c r="I97" s="10" t="s">
        <v>907</v>
      </c>
      <c r="J97" s="8" t="s">
        <v>854</v>
      </c>
      <c r="K97" s="8" t="s">
        <v>87</v>
      </c>
      <c r="L97" s="8" t="s">
        <v>87</v>
      </c>
      <c r="M97" s="10" t="s">
        <v>87</v>
      </c>
      <c r="N97" s="8" t="s">
        <v>87</v>
      </c>
      <c r="O97" s="10" t="s">
        <v>21</v>
      </c>
      <c r="P97" s="8" t="s">
        <v>908</v>
      </c>
      <c r="Q97" s="10" t="s">
        <v>223</v>
      </c>
      <c r="R97" s="10" t="s">
        <v>909</v>
      </c>
      <c r="S97" s="8" t="s">
        <v>220</v>
      </c>
      <c r="T97" s="10" t="s">
        <v>857</v>
      </c>
      <c r="U97" s="10" t="s">
        <v>87</v>
      </c>
      <c r="V97" s="10" t="s">
        <v>87</v>
      </c>
    </row>
    <row r="98" spans="1:22" s="10" customFormat="1" x14ac:dyDescent="0.25">
      <c r="A98" s="10" t="s">
        <v>910</v>
      </c>
      <c r="B98" s="10" t="s">
        <v>850</v>
      </c>
      <c r="C98" s="11" t="s">
        <v>346</v>
      </c>
      <c r="D98" s="10" t="s">
        <v>911</v>
      </c>
      <c r="E98" s="8" t="s">
        <v>912</v>
      </c>
      <c r="F98" s="8" t="s">
        <v>889</v>
      </c>
      <c r="G98" s="10" t="s">
        <v>87</v>
      </c>
      <c r="H98" s="8" t="s">
        <v>654</v>
      </c>
      <c r="I98" s="10" t="s">
        <v>913</v>
      </c>
      <c r="J98" s="8" t="s">
        <v>854</v>
      </c>
      <c r="K98" s="8" t="s">
        <v>87</v>
      </c>
      <c r="L98" s="8" t="s">
        <v>87</v>
      </c>
      <c r="M98" s="10" t="s">
        <v>87</v>
      </c>
      <c r="N98" s="8" t="s">
        <v>87</v>
      </c>
      <c r="O98" s="10" t="s">
        <v>21</v>
      </c>
      <c r="P98" s="8" t="s">
        <v>914</v>
      </c>
      <c r="Q98" s="10" t="s">
        <v>825</v>
      </c>
      <c r="R98" s="10" t="s">
        <v>909</v>
      </c>
      <c r="S98" s="8" t="s">
        <v>220</v>
      </c>
      <c r="T98" s="10" t="s">
        <v>857</v>
      </c>
      <c r="U98" s="10" t="s">
        <v>87</v>
      </c>
      <c r="V98" s="10" t="s">
        <v>87</v>
      </c>
    </row>
    <row r="99" spans="1:22" s="10" customFormat="1" x14ac:dyDescent="0.25">
      <c r="A99" s="10" t="s">
        <v>915</v>
      </c>
      <c r="B99" s="10" t="s">
        <v>850</v>
      </c>
      <c r="C99" s="10" t="s">
        <v>215</v>
      </c>
      <c r="D99" s="10" t="s">
        <v>916</v>
      </c>
      <c r="E99" s="8" t="s">
        <v>917</v>
      </c>
      <c r="F99" s="8" t="s">
        <v>918</v>
      </c>
      <c r="G99" s="10" t="s">
        <v>87</v>
      </c>
      <c r="H99" s="8" t="s">
        <v>654</v>
      </c>
      <c r="I99" s="10" t="s">
        <v>919</v>
      </c>
      <c r="J99" s="8" t="s">
        <v>854</v>
      </c>
      <c r="K99" s="8" t="s">
        <v>87</v>
      </c>
      <c r="L99" s="8" t="s">
        <v>87</v>
      </c>
      <c r="M99" s="10" t="s">
        <v>87</v>
      </c>
      <c r="N99" s="8" t="s">
        <v>87</v>
      </c>
      <c r="O99" s="10" t="s">
        <v>21</v>
      </c>
      <c r="P99" s="8" t="s">
        <v>920</v>
      </c>
      <c r="Q99" s="10" t="s">
        <v>223</v>
      </c>
      <c r="R99" s="10" t="s">
        <v>921</v>
      </c>
      <c r="S99" s="8" t="s">
        <v>220</v>
      </c>
      <c r="T99" s="10" t="s">
        <v>857</v>
      </c>
      <c r="U99" s="10" t="s">
        <v>87</v>
      </c>
      <c r="V99" s="10" t="s">
        <v>87</v>
      </c>
    </row>
    <row r="100" spans="1:22" s="10" customFormat="1" x14ac:dyDescent="0.25">
      <c r="A100" s="10" t="s">
        <v>922</v>
      </c>
      <c r="B100" s="10" t="s">
        <v>850</v>
      </c>
      <c r="C100" s="10" t="s">
        <v>215</v>
      </c>
      <c r="D100" s="10" t="s">
        <v>923</v>
      </c>
      <c r="E100" s="8" t="s">
        <v>924</v>
      </c>
      <c r="F100" s="8" t="s">
        <v>925</v>
      </c>
      <c r="G100" s="10" t="s">
        <v>87</v>
      </c>
      <c r="H100" s="8" t="s">
        <v>654</v>
      </c>
      <c r="I100" s="10" t="s">
        <v>919</v>
      </c>
      <c r="J100" s="8" t="s">
        <v>854</v>
      </c>
      <c r="K100" s="8" t="s">
        <v>87</v>
      </c>
      <c r="L100" s="8" t="s">
        <v>87</v>
      </c>
      <c r="M100" s="10" t="s">
        <v>87</v>
      </c>
      <c r="N100" s="8" t="s">
        <v>926</v>
      </c>
      <c r="O100" s="10" t="s">
        <v>21</v>
      </c>
      <c r="P100" s="8" t="s">
        <v>927</v>
      </c>
      <c r="Q100" s="10" t="s">
        <v>223</v>
      </c>
      <c r="R100" s="10" t="s">
        <v>928</v>
      </c>
      <c r="S100" s="8" t="s">
        <v>220</v>
      </c>
      <c r="T100" s="10" t="s">
        <v>857</v>
      </c>
      <c r="U100" s="10" t="s">
        <v>87</v>
      </c>
      <c r="V100" s="10" t="s">
        <v>87</v>
      </c>
    </row>
    <row r="101" spans="1:22" s="10" customFormat="1" x14ac:dyDescent="0.25">
      <c r="A101" s="10" t="s">
        <v>929</v>
      </c>
      <c r="B101" s="10" t="s">
        <v>850</v>
      </c>
      <c r="C101" s="11" t="s">
        <v>346</v>
      </c>
      <c r="D101" s="10" t="s">
        <v>930</v>
      </c>
      <c r="E101" s="8" t="s">
        <v>931</v>
      </c>
      <c r="F101" s="8" t="s">
        <v>932</v>
      </c>
      <c r="G101" s="10" t="s">
        <v>87</v>
      </c>
      <c r="H101" s="8" t="s">
        <v>654</v>
      </c>
      <c r="I101" s="10" t="s">
        <v>933</v>
      </c>
      <c r="J101" s="8" t="s">
        <v>854</v>
      </c>
      <c r="K101" s="8" t="s">
        <v>87</v>
      </c>
      <c r="L101" s="8" t="s">
        <v>87</v>
      </c>
      <c r="M101" s="10" t="s">
        <v>87</v>
      </c>
      <c r="N101" s="8" t="s">
        <v>87</v>
      </c>
      <c r="O101" s="10" t="s">
        <v>21</v>
      </c>
      <c r="P101" s="8" t="s">
        <v>934</v>
      </c>
      <c r="Q101" s="10" t="s">
        <v>825</v>
      </c>
      <c r="R101" s="10" t="s">
        <v>921</v>
      </c>
      <c r="S101" s="8" t="s">
        <v>220</v>
      </c>
      <c r="T101" s="10" t="s">
        <v>857</v>
      </c>
      <c r="U101" s="10" t="s">
        <v>87</v>
      </c>
      <c r="V101" s="10" t="s">
        <v>87</v>
      </c>
    </row>
    <row r="102" spans="1:22" s="10" customFormat="1" x14ac:dyDescent="0.25">
      <c r="A102" s="10" t="s">
        <v>935</v>
      </c>
      <c r="B102" s="10" t="s">
        <v>850</v>
      </c>
      <c r="C102" s="10" t="s">
        <v>215</v>
      </c>
      <c r="D102" s="10" t="s">
        <v>936</v>
      </c>
      <c r="E102" s="8" t="s">
        <v>937</v>
      </c>
      <c r="F102" s="8" t="s">
        <v>918</v>
      </c>
      <c r="G102" s="10" t="s">
        <v>87</v>
      </c>
      <c r="H102" s="8" t="s">
        <v>654</v>
      </c>
      <c r="I102" s="10" t="s">
        <v>938</v>
      </c>
      <c r="J102" s="8" t="s">
        <v>854</v>
      </c>
      <c r="K102" s="8" t="s">
        <v>87</v>
      </c>
      <c r="L102" s="8" t="s">
        <v>87</v>
      </c>
      <c r="M102" s="10" t="s">
        <v>87</v>
      </c>
      <c r="N102" s="8" t="s">
        <v>87</v>
      </c>
      <c r="O102" s="10" t="s">
        <v>21</v>
      </c>
      <c r="P102" s="8" t="s">
        <v>939</v>
      </c>
      <c r="Q102" s="10" t="s">
        <v>223</v>
      </c>
      <c r="R102" s="10" t="s">
        <v>940</v>
      </c>
      <c r="S102" s="8" t="s">
        <v>220</v>
      </c>
      <c r="T102" s="10" t="s">
        <v>857</v>
      </c>
      <c r="U102" s="10" t="s">
        <v>87</v>
      </c>
      <c r="V102" s="10" t="s">
        <v>87</v>
      </c>
    </row>
    <row r="103" spans="1:22" s="10" customFormat="1" x14ac:dyDescent="0.25">
      <c r="A103" s="10" t="s">
        <v>941</v>
      </c>
      <c r="B103" s="10" t="s">
        <v>850</v>
      </c>
      <c r="C103" s="11" t="s">
        <v>346</v>
      </c>
      <c r="D103" s="10" t="s">
        <v>942</v>
      </c>
      <c r="E103" s="8" t="s">
        <v>943</v>
      </c>
      <c r="F103" s="8" t="s">
        <v>932</v>
      </c>
      <c r="G103" s="10" t="s">
        <v>87</v>
      </c>
      <c r="H103" s="8" t="s">
        <v>654</v>
      </c>
      <c r="I103" s="10" t="s">
        <v>944</v>
      </c>
      <c r="J103" s="8" t="s">
        <v>854</v>
      </c>
      <c r="K103" s="8" t="s">
        <v>87</v>
      </c>
      <c r="L103" s="8" t="s">
        <v>87</v>
      </c>
      <c r="M103" s="10" t="s">
        <v>87</v>
      </c>
      <c r="N103" s="8" t="s">
        <v>87</v>
      </c>
      <c r="O103" s="10" t="s">
        <v>21</v>
      </c>
      <c r="P103" s="8" t="s">
        <v>945</v>
      </c>
      <c r="Q103" s="10" t="s">
        <v>825</v>
      </c>
      <c r="R103" s="10" t="s">
        <v>940</v>
      </c>
      <c r="S103" s="8" t="s">
        <v>220</v>
      </c>
      <c r="T103" s="10" t="s">
        <v>857</v>
      </c>
      <c r="U103" s="10" t="s">
        <v>87</v>
      </c>
      <c r="V103" s="10" t="s">
        <v>87</v>
      </c>
    </row>
    <row r="104" spans="1:22" s="10" customFormat="1" x14ac:dyDescent="0.25">
      <c r="A104" s="10" t="s">
        <v>946</v>
      </c>
      <c r="B104" s="10" t="s">
        <v>850</v>
      </c>
      <c r="C104" s="10" t="s">
        <v>215</v>
      </c>
      <c r="D104" s="10" t="s">
        <v>947</v>
      </c>
      <c r="E104" s="8" t="s">
        <v>948</v>
      </c>
      <c r="F104" s="8" t="s">
        <v>861</v>
      </c>
      <c r="G104" s="10" t="s">
        <v>87</v>
      </c>
      <c r="H104" s="8" t="s">
        <v>654</v>
      </c>
      <c r="I104" s="10" t="s">
        <v>949</v>
      </c>
      <c r="J104" s="8" t="s">
        <v>854</v>
      </c>
      <c r="K104" s="8" t="s">
        <v>87</v>
      </c>
      <c r="L104" s="8" t="s">
        <v>87</v>
      </c>
      <c r="M104" s="10" t="s">
        <v>87</v>
      </c>
      <c r="N104" s="8" t="s">
        <v>87</v>
      </c>
      <c r="O104" s="10" t="s">
        <v>21</v>
      </c>
      <c r="P104" s="8" t="s">
        <v>950</v>
      </c>
      <c r="Q104" s="10" t="s">
        <v>223</v>
      </c>
      <c r="R104" s="10" t="s">
        <v>951</v>
      </c>
      <c r="S104" s="8" t="s">
        <v>220</v>
      </c>
      <c r="T104" s="10" t="s">
        <v>857</v>
      </c>
      <c r="U104" s="10" t="s">
        <v>87</v>
      </c>
      <c r="V104" s="10" t="s">
        <v>87</v>
      </c>
    </row>
    <row r="105" spans="1:22" s="10" customFormat="1" x14ac:dyDescent="0.25">
      <c r="A105" s="10" t="s">
        <v>952</v>
      </c>
      <c r="B105" s="10" t="s">
        <v>850</v>
      </c>
      <c r="C105" s="11" t="s">
        <v>346</v>
      </c>
      <c r="D105" s="10" t="s">
        <v>953</v>
      </c>
      <c r="E105" s="8" t="s">
        <v>954</v>
      </c>
      <c r="F105" s="8" t="s">
        <v>932</v>
      </c>
      <c r="G105" s="10" t="s">
        <v>87</v>
      </c>
      <c r="H105" s="8" t="s">
        <v>654</v>
      </c>
      <c r="I105" s="10" t="s">
        <v>955</v>
      </c>
      <c r="J105" s="8" t="s">
        <v>854</v>
      </c>
      <c r="K105" s="8" t="s">
        <v>87</v>
      </c>
      <c r="L105" s="8" t="s">
        <v>87</v>
      </c>
      <c r="M105" s="10" t="s">
        <v>87</v>
      </c>
      <c r="N105" s="8" t="s">
        <v>87</v>
      </c>
      <c r="O105" s="10" t="s">
        <v>21</v>
      </c>
      <c r="P105" s="8" t="s">
        <v>956</v>
      </c>
      <c r="Q105" s="10" t="s">
        <v>825</v>
      </c>
      <c r="R105" s="10" t="s">
        <v>951</v>
      </c>
      <c r="S105" s="8" t="s">
        <v>220</v>
      </c>
      <c r="T105" s="10" t="s">
        <v>857</v>
      </c>
      <c r="U105" s="10" t="s">
        <v>87</v>
      </c>
      <c r="V105" s="10" t="s">
        <v>87</v>
      </c>
    </row>
    <row r="106" spans="1:22" s="10" customFormat="1" x14ac:dyDescent="0.25">
      <c r="A106" s="10" t="s">
        <v>957</v>
      </c>
      <c r="B106" s="10" t="s">
        <v>850</v>
      </c>
      <c r="C106" s="11" t="s">
        <v>346</v>
      </c>
      <c r="D106" s="10" t="s">
        <v>958</v>
      </c>
      <c r="E106" s="8" t="s">
        <v>959</v>
      </c>
      <c r="F106" s="8" t="s">
        <v>960</v>
      </c>
      <c r="G106" s="10" t="s">
        <v>87</v>
      </c>
      <c r="H106" s="8" t="s">
        <v>654</v>
      </c>
      <c r="I106" s="10" t="s">
        <v>949</v>
      </c>
      <c r="J106" s="8" t="s">
        <v>854</v>
      </c>
      <c r="K106" s="8" t="s">
        <v>87</v>
      </c>
      <c r="L106" s="8" t="s">
        <v>87</v>
      </c>
      <c r="M106" s="10" t="s">
        <v>87</v>
      </c>
      <c r="N106" s="8" t="s">
        <v>961</v>
      </c>
      <c r="O106" s="10" t="s">
        <v>21</v>
      </c>
      <c r="P106" s="8" t="s">
        <v>962</v>
      </c>
      <c r="Q106" s="10" t="s">
        <v>825</v>
      </c>
      <c r="R106" s="10" t="s">
        <v>963</v>
      </c>
      <c r="S106" s="8" t="s">
        <v>220</v>
      </c>
      <c r="T106" s="10" t="s">
        <v>857</v>
      </c>
      <c r="U106" s="10" t="s">
        <v>87</v>
      </c>
      <c r="V106" s="10" t="s">
        <v>87</v>
      </c>
    </row>
    <row r="107" spans="1:22" s="10" customFormat="1" x14ac:dyDescent="0.25">
      <c r="A107" s="10" t="s">
        <v>964</v>
      </c>
      <c r="B107" s="10" t="s">
        <v>850</v>
      </c>
      <c r="C107" s="10" t="s">
        <v>215</v>
      </c>
      <c r="D107" s="10" t="s">
        <v>965</v>
      </c>
      <c r="E107" s="8" t="s">
        <v>966</v>
      </c>
      <c r="F107" s="8" t="s">
        <v>861</v>
      </c>
      <c r="G107" s="10" t="s">
        <v>87</v>
      </c>
      <c r="H107" s="8" t="s">
        <v>654</v>
      </c>
      <c r="I107" s="10" t="s">
        <v>873</v>
      </c>
      <c r="J107" s="8" t="s">
        <v>854</v>
      </c>
      <c r="K107" s="8" t="s">
        <v>87</v>
      </c>
      <c r="L107" s="8" t="s">
        <v>87</v>
      </c>
      <c r="M107" s="10" t="s">
        <v>87</v>
      </c>
      <c r="N107" s="8" t="s">
        <v>87</v>
      </c>
      <c r="O107" s="10" t="s">
        <v>21</v>
      </c>
      <c r="P107" s="8" t="s">
        <v>967</v>
      </c>
      <c r="Q107" s="10" t="s">
        <v>223</v>
      </c>
      <c r="R107" s="10" t="s">
        <v>968</v>
      </c>
      <c r="S107" s="8" t="s">
        <v>220</v>
      </c>
      <c r="T107" s="10" t="s">
        <v>857</v>
      </c>
      <c r="U107" s="10" t="s">
        <v>87</v>
      </c>
      <c r="V107" s="10" t="s">
        <v>87</v>
      </c>
    </row>
    <row r="108" spans="1:22" s="10" customFormat="1" x14ac:dyDescent="0.25">
      <c r="A108" s="10" t="s">
        <v>969</v>
      </c>
      <c r="B108" s="10" t="s">
        <v>850</v>
      </c>
      <c r="C108" s="11" t="s">
        <v>346</v>
      </c>
      <c r="D108" s="10" t="s">
        <v>970</v>
      </c>
      <c r="E108" s="8" t="s">
        <v>971</v>
      </c>
      <c r="F108" s="8" t="s">
        <v>889</v>
      </c>
      <c r="G108" s="10" t="s">
        <v>87</v>
      </c>
      <c r="H108" s="8" t="s">
        <v>654</v>
      </c>
      <c r="I108" s="10" t="s">
        <v>862</v>
      </c>
      <c r="J108" s="8" t="s">
        <v>854</v>
      </c>
      <c r="K108" s="8" t="s">
        <v>87</v>
      </c>
      <c r="L108" s="8" t="s">
        <v>87</v>
      </c>
      <c r="M108" s="10" t="s">
        <v>87</v>
      </c>
      <c r="N108" s="8" t="s">
        <v>87</v>
      </c>
      <c r="O108" s="10" t="s">
        <v>21</v>
      </c>
      <c r="P108" s="8" t="s">
        <v>972</v>
      </c>
      <c r="Q108" s="10" t="s">
        <v>825</v>
      </c>
      <c r="R108" s="10" t="s">
        <v>968</v>
      </c>
      <c r="S108" s="8" t="s">
        <v>220</v>
      </c>
      <c r="T108" s="10" t="s">
        <v>857</v>
      </c>
      <c r="U108" s="10" t="s">
        <v>87</v>
      </c>
      <c r="V108" s="10" t="s">
        <v>87</v>
      </c>
    </row>
    <row r="109" spans="1:22" s="10" customFormat="1" x14ac:dyDescent="0.25">
      <c r="A109" s="10" t="s">
        <v>973</v>
      </c>
      <c r="B109" s="10" t="s">
        <v>850</v>
      </c>
      <c r="C109" s="10" t="s">
        <v>215</v>
      </c>
      <c r="D109" s="10" t="s">
        <v>974</v>
      </c>
      <c r="E109" s="8" t="s">
        <v>975</v>
      </c>
      <c r="F109" s="8" t="s">
        <v>861</v>
      </c>
      <c r="G109" s="10" t="s">
        <v>87</v>
      </c>
      <c r="H109" s="8" t="s">
        <v>654</v>
      </c>
      <c r="I109" s="10" t="s">
        <v>976</v>
      </c>
      <c r="J109" s="8" t="s">
        <v>854</v>
      </c>
      <c r="K109" s="8" t="s">
        <v>87</v>
      </c>
      <c r="L109" s="8" t="s">
        <v>87</v>
      </c>
      <c r="M109" s="10" t="s">
        <v>87</v>
      </c>
      <c r="N109" s="8" t="s">
        <v>87</v>
      </c>
      <c r="O109" s="10" t="s">
        <v>21</v>
      </c>
      <c r="P109" s="8" t="s">
        <v>977</v>
      </c>
      <c r="Q109" s="10" t="s">
        <v>223</v>
      </c>
      <c r="R109" s="10" t="s">
        <v>978</v>
      </c>
      <c r="S109" s="8" t="s">
        <v>220</v>
      </c>
      <c r="T109" s="10" t="s">
        <v>857</v>
      </c>
      <c r="U109" s="10" t="s">
        <v>87</v>
      </c>
      <c r="V109" s="10" t="s">
        <v>87</v>
      </c>
    </row>
    <row r="110" spans="1:22" s="10" customFormat="1" x14ac:dyDescent="0.25">
      <c r="A110" s="10" t="s">
        <v>979</v>
      </c>
      <c r="B110" s="10" t="s">
        <v>850</v>
      </c>
      <c r="C110" s="11" t="s">
        <v>346</v>
      </c>
      <c r="D110" s="10" t="s">
        <v>980</v>
      </c>
      <c r="E110" s="8" t="s">
        <v>981</v>
      </c>
      <c r="F110" s="8" t="s">
        <v>932</v>
      </c>
      <c r="G110" s="10" t="s">
        <v>87</v>
      </c>
      <c r="H110" s="8" t="s">
        <v>654</v>
      </c>
      <c r="I110" s="10" t="s">
        <v>862</v>
      </c>
      <c r="J110" s="8" t="s">
        <v>854</v>
      </c>
      <c r="K110" s="8" t="s">
        <v>87</v>
      </c>
      <c r="L110" s="8" t="s">
        <v>87</v>
      </c>
      <c r="M110" s="10" t="s">
        <v>87</v>
      </c>
      <c r="N110" s="8" t="s">
        <v>87</v>
      </c>
      <c r="O110" s="10" t="s">
        <v>21</v>
      </c>
      <c r="P110" s="8" t="s">
        <v>982</v>
      </c>
      <c r="Q110" s="10" t="s">
        <v>825</v>
      </c>
      <c r="R110" s="10" t="s">
        <v>978</v>
      </c>
      <c r="S110" s="8" t="s">
        <v>220</v>
      </c>
      <c r="T110" s="10" t="s">
        <v>857</v>
      </c>
      <c r="U110" s="10" t="s">
        <v>87</v>
      </c>
      <c r="V110" s="10" t="s">
        <v>87</v>
      </c>
    </row>
    <row r="111" spans="1:22" s="10" customFormat="1" x14ac:dyDescent="0.25">
      <c r="A111" s="10" t="s">
        <v>983</v>
      </c>
      <c r="B111" s="10" t="s">
        <v>850</v>
      </c>
      <c r="C111" s="11" t="s">
        <v>346</v>
      </c>
      <c r="D111" s="10" t="s">
        <v>984</v>
      </c>
      <c r="E111" s="8" t="s">
        <v>985</v>
      </c>
      <c r="F111" s="8" t="s">
        <v>986</v>
      </c>
      <c r="G111" s="10" t="s">
        <v>87</v>
      </c>
      <c r="H111" s="8" t="s">
        <v>654</v>
      </c>
      <c r="I111" s="10" t="s">
        <v>868</v>
      </c>
      <c r="J111" s="8" t="s">
        <v>854</v>
      </c>
      <c r="K111" s="8" t="s">
        <v>87</v>
      </c>
      <c r="L111" s="8" t="s">
        <v>87</v>
      </c>
      <c r="M111" s="10" t="s">
        <v>87</v>
      </c>
      <c r="N111" s="8" t="s">
        <v>87</v>
      </c>
      <c r="O111" s="10" t="s">
        <v>21</v>
      </c>
      <c r="P111" s="8" t="s">
        <v>987</v>
      </c>
      <c r="Q111" s="10" t="s">
        <v>825</v>
      </c>
      <c r="R111" s="10" t="s">
        <v>988</v>
      </c>
      <c r="S111" s="8" t="s">
        <v>220</v>
      </c>
      <c r="T111" s="10" t="s">
        <v>857</v>
      </c>
      <c r="U111" s="10" t="s">
        <v>87</v>
      </c>
      <c r="V111" s="10" t="s">
        <v>87</v>
      </c>
    </row>
    <row r="112" spans="1:22" s="10" customFormat="1" x14ac:dyDescent="0.25">
      <c r="A112" s="10" t="s">
        <v>989</v>
      </c>
      <c r="B112" s="10" t="s">
        <v>850</v>
      </c>
      <c r="C112" s="11" t="s">
        <v>346</v>
      </c>
      <c r="D112" s="10" t="s">
        <v>990</v>
      </c>
      <c r="E112" s="8" t="s">
        <v>991</v>
      </c>
      <c r="F112" s="8" t="s">
        <v>992</v>
      </c>
      <c r="G112" s="10" t="s">
        <v>87</v>
      </c>
      <c r="H112" s="8" t="s">
        <v>654</v>
      </c>
      <c r="I112" s="10" t="s">
        <v>993</v>
      </c>
      <c r="J112" s="8" t="s">
        <v>854</v>
      </c>
      <c r="K112" s="8" t="s">
        <v>87</v>
      </c>
      <c r="L112" s="8" t="s">
        <v>87</v>
      </c>
      <c r="M112" s="10" t="s">
        <v>87</v>
      </c>
      <c r="N112" s="8" t="s">
        <v>87</v>
      </c>
      <c r="O112" s="10" t="s">
        <v>21</v>
      </c>
      <c r="P112" s="8" t="s">
        <v>994</v>
      </c>
      <c r="Q112" s="10" t="s">
        <v>825</v>
      </c>
      <c r="R112" s="10" t="s">
        <v>995</v>
      </c>
      <c r="S112" s="8" t="s">
        <v>220</v>
      </c>
      <c r="T112" s="10" t="s">
        <v>857</v>
      </c>
      <c r="U112" s="10" t="s">
        <v>87</v>
      </c>
      <c r="V112" s="10" t="s">
        <v>87</v>
      </c>
    </row>
    <row r="113" spans="1:22" s="10" customFormat="1" x14ac:dyDescent="0.25">
      <c r="A113" s="10" t="s">
        <v>996</v>
      </c>
      <c r="B113" s="10" t="s">
        <v>850</v>
      </c>
      <c r="C113" s="11" t="s">
        <v>346</v>
      </c>
      <c r="D113" s="10" t="s">
        <v>997</v>
      </c>
      <c r="E113" s="8" t="s">
        <v>998</v>
      </c>
      <c r="F113" s="8" t="s">
        <v>999</v>
      </c>
      <c r="G113" s="10" t="s">
        <v>87</v>
      </c>
      <c r="H113" s="8" t="s">
        <v>654</v>
      </c>
      <c r="I113" s="10" t="s">
        <v>1000</v>
      </c>
      <c r="J113" s="8" t="s">
        <v>854</v>
      </c>
      <c r="K113" s="8" t="s">
        <v>87</v>
      </c>
      <c r="L113" s="8" t="s">
        <v>87</v>
      </c>
      <c r="M113" s="10" t="s">
        <v>87</v>
      </c>
      <c r="N113" s="8" t="s">
        <v>87</v>
      </c>
      <c r="O113" s="10" t="s">
        <v>21</v>
      </c>
      <c r="P113" s="8" t="s">
        <v>1001</v>
      </c>
      <c r="Q113" s="10" t="s">
        <v>825</v>
      </c>
      <c r="R113" s="10" t="s">
        <v>1002</v>
      </c>
      <c r="S113" s="8" t="s">
        <v>220</v>
      </c>
      <c r="T113" s="10" t="s">
        <v>857</v>
      </c>
      <c r="U113" s="10" t="s">
        <v>87</v>
      </c>
      <c r="V113" s="10" t="s">
        <v>87</v>
      </c>
    </row>
    <row r="114" spans="1:22" s="10" customFormat="1" x14ac:dyDescent="0.25">
      <c r="A114" s="10" t="s">
        <v>1003</v>
      </c>
      <c r="B114" s="10" t="s">
        <v>850</v>
      </c>
      <c r="C114" s="10" t="s">
        <v>215</v>
      </c>
      <c r="D114" s="10" t="s">
        <v>1004</v>
      </c>
      <c r="E114" s="8" t="s">
        <v>1005</v>
      </c>
      <c r="F114" s="8" t="s">
        <v>1006</v>
      </c>
      <c r="G114" s="10" t="s">
        <v>87</v>
      </c>
      <c r="H114" s="8" t="s">
        <v>723</v>
      </c>
      <c r="I114" s="10" t="s">
        <v>594</v>
      </c>
      <c r="J114" s="8" t="s">
        <v>854</v>
      </c>
      <c r="K114" s="8" t="s">
        <v>87</v>
      </c>
      <c r="L114" s="8" t="s">
        <v>87</v>
      </c>
      <c r="M114" s="10" t="s">
        <v>87</v>
      </c>
      <c r="N114" s="8" t="s">
        <v>1007</v>
      </c>
      <c r="O114" s="10" t="s">
        <v>21</v>
      </c>
      <c r="P114" s="8" t="s">
        <v>1008</v>
      </c>
      <c r="Q114" s="10" t="s">
        <v>223</v>
      </c>
      <c r="R114" s="10" t="s">
        <v>726</v>
      </c>
      <c r="S114" s="8" t="s">
        <v>220</v>
      </c>
      <c r="T114" s="10" t="s">
        <v>857</v>
      </c>
      <c r="U114" s="10" t="s">
        <v>87</v>
      </c>
      <c r="V114" s="10" t="s">
        <v>87</v>
      </c>
    </row>
    <row r="115" spans="1:22" s="10" customFormat="1" x14ac:dyDescent="0.25">
      <c r="A115" s="10" t="s">
        <v>1009</v>
      </c>
      <c r="B115" s="10" t="s">
        <v>850</v>
      </c>
      <c r="C115" s="11" t="s">
        <v>346</v>
      </c>
      <c r="D115" s="10" t="s">
        <v>1010</v>
      </c>
      <c r="E115" s="8" t="s">
        <v>1011</v>
      </c>
      <c r="F115" s="8" t="s">
        <v>1012</v>
      </c>
      <c r="G115" s="10" t="s">
        <v>87</v>
      </c>
      <c r="H115" s="8" t="s">
        <v>654</v>
      </c>
      <c r="I115" s="10" t="s">
        <v>1013</v>
      </c>
      <c r="J115" s="8" t="s">
        <v>854</v>
      </c>
      <c r="K115" s="8" t="s">
        <v>87</v>
      </c>
      <c r="L115" s="8" t="s">
        <v>87</v>
      </c>
      <c r="M115" s="10" t="s">
        <v>87</v>
      </c>
      <c r="N115" s="8" t="s">
        <v>87</v>
      </c>
      <c r="O115" s="10" t="s">
        <v>21</v>
      </c>
      <c r="P115" s="8" t="s">
        <v>1014</v>
      </c>
      <c r="Q115" s="10" t="s">
        <v>825</v>
      </c>
      <c r="R115" s="10" t="s">
        <v>406</v>
      </c>
      <c r="S115" s="8" t="s">
        <v>220</v>
      </c>
      <c r="T115" s="10" t="s">
        <v>857</v>
      </c>
      <c r="U115" s="10" t="s">
        <v>87</v>
      </c>
      <c r="V115" s="10" t="s">
        <v>87</v>
      </c>
    </row>
    <row r="116" spans="1:22" s="10" customFormat="1" x14ac:dyDescent="0.25">
      <c r="A116" s="10" t="s">
        <v>1015</v>
      </c>
      <c r="B116" s="10" t="s">
        <v>850</v>
      </c>
      <c r="C116" s="11" t="s">
        <v>346</v>
      </c>
      <c r="D116" s="10" t="s">
        <v>1016</v>
      </c>
      <c r="E116" s="8" t="s">
        <v>1017</v>
      </c>
      <c r="F116" s="8" t="s">
        <v>889</v>
      </c>
      <c r="G116" s="10" t="s">
        <v>87</v>
      </c>
      <c r="H116" s="8" t="s">
        <v>723</v>
      </c>
      <c r="I116" s="10" t="s">
        <v>1013</v>
      </c>
      <c r="J116" s="8" t="s">
        <v>854</v>
      </c>
      <c r="K116" s="8" t="s">
        <v>87</v>
      </c>
      <c r="L116" s="8" t="s">
        <v>87</v>
      </c>
      <c r="M116" s="10" t="s">
        <v>87</v>
      </c>
      <c r="N116" s="8" t="s">
        <v>87</v>
      </c>
      <c r="O116" s="10" t="s">
        <v>21</v>
      </c>
      <c r="P116" s="8" t="s">
        <v>1018</v>
      </c>
      <c r="Q116" s="10" t="s">
        <v>825</v>
      </c>
      <c r="R116" s="10" t="s">
        <v>726</v>
      </c>
      <c r="S116" s="8" t="s">
        <v>220</v>
      </c>
      <c r="T116" s="10" t="s">
        <v>857</v>
      </c>
      <c r="U116" s="10" t="s">
        <v>87</v>
      </c>
      <c r="V116" s="10" t="s">
        <v>87</v>
      </c>
    </row>
    <row r="117" spans="1:22" s="10" customFormat="1" x14ac:dyDescent="0.25">
      <c r="A117" s="10" t="s">
        <v>1019</v>
      </c>
      <c r="B117" s="10" t="s">
        <v>850</v>
      </c>
      <c r="C117" s="10" t="s">
        <v>215</v>
      </c>
      <c r="D117" s="10" t="s">
        <v>1020</v>
      </c>
      <c r="E117" s="8" t="s">
        <v>1021</v>
      </c>
      <c r="F117" s="8" t="s">
        <v>861</v>
      </c>
      <c r="G117" s="10" t="s">
        <v>87</v>
      </c>
      <c r="H117" s="8" t="s">
        <v>654</v>
      </c>
      <c r="I117" s="10" t="s">
        <v>1013</v>
      </c>
      <c r="J117" s="8" t="s">
        <v>1022</v>
      </c>
      <c r="K117" s="8" t="s">
        <v>87</v>
      </c>
      <c r="L117" s="8" t="s">
        <v>87</v>
      </c>
      <c r="M117" s="10" t="s">
        <v>87</v>
      </c>
      <c r="N117" s="8" t="s">
        <v>87</v>
      </c>
      <c r="O117" s="10" t="s">
        <v>21</v>
      </c>
      <c r="P117" s="8" t="s">
        <v>1023</v>
      </c>
      <c r="Q117" s="10" t="s">
        <v>223</v>
      </c>
      <c r="R117" s="10" t="s">
        <v>1024</v>
      </c>
      <c r="S117" s="8" t="s">
        <v>220</v>
      </c>
      <c r="T117" s="10" t="s">
        <v>857</v>
      </c>
      <c r="U117" s="10" t="s">
        <v>87</v>
      </c>
      <c r="V117" s="10" t="s">
        <v>87</v>
      </c>
    </row>
    <row r="118" spans="1:22" s="10" customFormat="1" x14ac:dyDescent="0.25">
      <c r="A118" s="10" t="s">
        <v>1025</v>
      </c>
      <c r="B118" s="10" t="s">
        <v>850</v>
      </c>
      <c r="C118" s="11" t="s">
        <v>346</v>
      </c>
      <c r="D118" s="10" t="s">
        <v>1026</v>
      </c>
      <c r="E118" s="8" t="s">
        <v>1027</v>
      </c>
      <c r="F118" s="8" t="s">
        <v>1028</v>
      </c>
      <c r="G118" s="10" t="s">
        <v>87</v>
      </c>
      <c r="H118" s="8" t="s">
        <v>654</v>
      </c>
      <c r="I118" s="10" t="s">
        <v>873</v>
      </c>
      <c r="J118" s="8" t="s">
        <v>854</v>
      </c>
      <c r="K118" s="8" t="s">
        <v>87</v>
      </c>
      <c r="L118" s="8" t="s">
        <v>87</v>
      </c>
      <c r="M118" s="10" t="s">
        <v>87</v>
      </c>
      <c r="N118" s="8" t="s">
        <v>1029</v>
      </c>
      <c r="O118" s="10" t="s">
        <v>21</v>
      </c>
      <c r="P118" s="8" t="s">
        <v>1030</v>
      </c>
      <c r="Q118" s="10" t="s">
        <v>239</v>
      </c>
      <c r="R118" s="10" t="s">
        <v>657</v>
      </c>
      <c r="S118" s="8" t="s">
        <v>220</v>
      </c>
      <c r="T118" s="10" t="s">
        <v>857</v>
      </c>
      <c r="U118" s="10" t="s">
        <v>87</v>
      </c>
      <c r="V118" s="10" t="s">
        <v>87</v>
      </c>
    </row>
    <row r="119" spans="1:22" s="10" customFormat="1" x14ac:dyDescent="0.25">
      <c r="A119" s="10" t="s">
        <v>1031</v>
      </c>
      <c r="B119" s="10" t="s">
        <v>850</v>
      </c>
      <c r="C119" s="10" t="s">
        <v>215</v>
      </c>
      <c r="D119" s="10" t="s">
        <v>1032</v>
      </c>
      <c r="E119" s="8" t="s">
        <v>1033</v>
      </c>
      <c r="F119" s="8" t="s">
        <v>1034</v>
      </c>
      <c r="G119" s="10" t="s">
        <v>87</v>
      </c>
      <c r="H119" s="8" t="s">
        <v>654</v>
      </c>
      <c r="I119" s="10" t="s">
        <v>594</v>
      </c>
      <c r="J119" s="8" t="s">
        <v>854</v>
      </c>
      <c r="K119" s="8" t="s">
        <v>87</v>
      </c>
      <c r="L119" s="8" t="s">
        <v>87</v>
      </c>
      <c r="M119" s="10" t="s">
        <v>87</v>
      </c>
      <c r="N119" s="8" t="s">
        <v>777</v>
      </c>
      <c r="O119" s="10" t="s">
        <v>21</v>
      </c>
      <c r="P119" s="8" t="s">
        <v>1035</v>
      </c>
      <c r="Q119" s="10" t="s">
        <v>223</v>
      </c>
      <c r="R119" s="10" t="s">
        <v>406</v>
      </c>
      <c r="S119" s="8" t="s">
        <v>779</v>
      </c>
      <c r="T119" s="10" t="s">
        <v>857</v>
      </c>
      <c r="U119" s="10" t="s">
        <v>87</v>
      </c>
      <c r="V119" s="10" t="s">
        <v>87</v>
      </c>
    </row>
    <row r="120" spans="1:22" s="10" customFormat="1" x14ac:dyDescent="0.25">
      <c r="A120" s="10" t="s">
        <v>1036</v>
      </c>
      <c r="B120" s="10" t="s">
        <v>850</v>
      </c>
      <c r="C120" s="10" t="s">
        <v>215</v>
      </c>
      <c r="D120" s="10" t="s">
        <v>1037</v>
      </c>
      <c r="E120" s="8" t="s">
        <v>1038</v>
      </c>
      <c r="F120" s="8" t="s">
        <v>1039</v>
      </c>
      <c r="G120" s="10" t="s">
        <v>87</v>
      </c>
      <c r="H120" s="8" t="s">
        <v>1040</v>
      </c>
      <c r="I120" s="10" t="s">
        <v>539</v>
      </c>
      <c r="J120" s="8" t="s">
        <v>1041</v>
      </c>
      <c r="K120" s="8" t="s">
        <v>87</v>
      </c>
      <c r="L120" s="8" t="s">
        <v>87</v>
      </c>
      <c r="M120" s="10" t="s">
        <v>87</v>
      </c>
      <c r="N120" s="8" t="s">
        <v>1042</v>
      </c>
      <c r="O120" s="10" t="s">
        <v>21</v>
      </c>
      <c r="P120" s="8" t="s">
        <v>1043</v>
      </c>
      <c r="Q120" s="10" t="s">
        <v>223</v>
      </c>
      <c r="R120" s="10" t="s">
        <v>406</v>
      </c>
      <c r="S120" s="8" t="s">
        <v>1044</v>
      </c>
      <c r="T120" s="10" t="s">
        <v>857</v>
      </c>
      <c r="U120" s="10" t="s">
        <v>87</v>
      </c>
      <c r="V120" s="10" t="s">
        <v>87</v>
      </c>
    </row>
    <row r="121" spans="1:22" s="10" customFormat="1" x14ac:dyDescent="0.25">
      <c r="A121" s="10" t="s">
        <v>1045</v>
      </c>
      <c r="B121" s="10" t="s">
        <v>850</v>
      </c>
      <c r="C121" s="11" t="s">
        <v>346</v>
      </c>
      <c r="D121" s="10" t="s">
        <v>1046</v>
      </c>
      <c r="E121" s="8" t="s">
        <v>1047</v>
      </c>
      <c r="F121" s="8" t="s">
        <v>1048</v>
      </c>
      <c r="G121" s="10" t="s">
        <v>87</v>
      </c>
      <c r="H121" s="8" t="s">
        <v>1049</v>
      </c>
      <c r="I121" s="10" t="s">
        <v>594</v>
      </c>
      <c r="J121" s="8" t="s">
        <v>1041</v>
      </c>
      <c r="K121" s="8" t="s">
        <v>87</v>
      </c>
      <c r="L121" s="8" t="s">
        <v>87</v>
      </c>
      <c r="M121" s="10" t="s">
        <v>87</v>
      </c>
      <c r="N121" s="8" t="s">
        <v>1050</v>
      </c>
      <c r="O121" s="10" t="s">
        <v>21</v>
      </c>
      <c r="P121" s="8" t="s">
        <v>1051</v>
      </c>
      <c r="Q121" s="10" t="s">
        <v>239</v>
      </c>
      <c r="R121" s="10" t="s">
        <v>657</v>
      </c>
      <c r="S121" s="8" t="s">
        <v>1044</v>
      </c>
      <c r="T121" s="10" t="s">
        <v>857</v>
      </c>
      <c r="U121" s="10" t="s">
        <v>87</v>
      </c>
      <c r="V121" s="10" t="s">
        <v>87</v>
      </c>
    </row>
    <row r="122" spans="1:22" s="10" customFormat="1" x14ac:dyDescent="0.25">
      <c r="A122" s="10" t="s">
        <v>1052</v>
      </c>
      <c r="B122" s="10" t="s">
        <v>850</v>
      </c>
      <c r="C122" s="11" t="s">
        <v>346</v>
      </c>
      <c r="D122" s="10" t="s">
        <v>1053</v>
      </c>
      <c r="E122" s="8" t="s">
        <v>1054</v>
      </c>
      <c r="F122" s="8" t="s">
        <v>1055</v>
      </c>
      <c r="G122" s="10" t="s">
        <v>87</v>
      </c>
      <c r="H122" s="8" t="s">
        <v>1056</v>
      </c>
      <c r="I122" s="10" t="s">
        <v>539</v>
      </c>
      <c r="J122" s="8" t="s">
        <v>1041</v>
      </c>
      <c r="K122" s="8" t="s">
        <v>87</v>
      </c>
      <c r="L122" s="8" t="s">
        <v>87</v>
      </c>
      <c r="M122" s="10" t="s">
        <v>87</v>
      </c>
      <c r="N122" s="8" t="s">
        <v>87</v>
      </c>
      <c r="O122" s="10" t="s">
        <v>21</v>
      </c>
      <c r="P122" s="8" t="s">
        <v>1057</v>
      </c>
      <c r="Q122" s="10" t="s">
        <v>239</v>
      </c>
      <c r="R122" s="10" t="s">
        <v>657</v>
      </c>
      <c r="S122" s="8" t="s">
        <v>1044</v>
      </c>
      <c r="T122" s="10" t="s">
        <v>857</v>
      </c>
      <c r="U122" s="10" t="s">
        <v>87</v>
      </c>
      <c r="V122" s="10" t="s">
        <v>87</v>
      </c>
    </row>
    <row r="123" spans="1:22" s="10" customFormat="1" x14ac:dyDescent="0.25">
      <c r="A123" s="10" t="s">
        <v>1058</v>
      </c>
      <c r="B123" s="10" t="s">
        <v>850</v>
      </c>
      <c r="C123" s="11" t="s">
        <v>346</v>
      </c>
      <c r="D123" s="10" t="s">
        <v>1059</v>
      </c>
      <c r="E123" s="8" t="s">
        <v>1060</v>
      </c>
      <c r="F123" s="8" t="s">
        <v>1061</v>
      </c>
      <c r="G123" s="10" t="s">
        <v>87</v>
      </c>
      <c r="H123" s="8" t="s">
        <v>654</v>
      </c>
      <c r="I123" s="10" t="s">
        <v>594</v>
      </c>
      <c r="J123" s="8" t="s">
        <v>1041</v>
      </c>
      <c r="K123" s="8" t="s">
        <v>87</v>
      </c>
      <c r="L123" s="8" t="s">
        <v>87</v>
      </c>
      <c r="M123" s="10" t="s">
        <v>87</v>
      </c>
      <c r="N123" s="8" t="s">
        <v>87</v>
      </c>
      <c r="O123" s="10" t="s">
        <v>21</v>
      </c>
      <c r="P123" s="8" t="s">
        <v>1062</v>
      </c>
      <c r="Q123" s="10" t="s">
        <v>223</v>
      </c>
      <c r="R123" s="10" t="s">
        <v>689</v>
      </c>
      <c r="S123" s="8" t="s">
        <v>1063</v>
      </c>
      <c r="T123" s="10" t="s">
        <v>857</v>
      </c>
      <c r="U123" s="10" t="s">
        <v>87</v>
      </c>
      <c r="V123" s="10" t="s">
        <v>87</v>
      </c>
    </row>
    <row r="124" spans="1:22" s="10" customFormat="1" x14ac:dyDescent="0.25">
      <c r="A124" s="10" t="s">
        <v>1064</v>
      </c>
      <c r="B124" s="10" t="s">
        <v>850</v>
      </c>
      <c r="C124" s="10" t="s">
        <v>215</v>
      </c>
      <c r="D124" s="10" t="s">
        <v>1065</v>
      </c>
      <c r="E124" s="8" t="s">
        <v>1066</v>
      </c>
      <c r="F124" s="8" t="s">
        <v>1067</v>
      </c>
      <c r="G124" s="10" t="s">
        <v>87</v>
      </c>
      <c r="H124" s="8" t="s">
        <v>654</v>
      </c>
      <c r="I124" s="10" t="s">
        <v>873</v>
      </c>
      <c r="J124" s="8" t="s">
        <v>854</v>
      </c>
      <c r="K124" s="8" t="s">
        <v>87</v>
      </c>
      <c r="L124" s="8" t="s">
        <v>87</v>
      </c>
      <c r="M124" s="10" t="s">
        <v>87</v>
      </c>
      <c r="N124" s="8" t="s">
        <v>1068</v>
      </c>
      <c r="O124" s="10" t="s">
        <v>21</v>
      </c>
      <c r="P124" s="8" t="s">
        <v>1069</v>
      </c>
      <c r="Q124" s="10" t="s">
        <v>239</v>
      </c>
      <c r="R124" s="10" t="s">
        <v>657</v>
      </c>
      <c r="S124" s="8" t="s">
        <v>220</v>
      </c>
      <c r="T124" s="10" t="s">
        <v>857</v>
      </c>
      <c r="U124" s="10" t="s">
        <v>87</v>
      </c>
      <c r="V124" s="10" t="s">
        <v>87</v>
      </c>
    </row>
    <row r="125" spans="1:22" s="10" customFormat="1" x14ac:dyDescent="0.25">
      <c r="A125" s="10" t="s">
        <v>1070</v>
      </c>
      <c r="B125" s="10" t="s">
        <v>850</v>
      </c>
      <c r="C125" s="10" t="s">
        <v>215</v>
      </c>
      <c r="D125" s="10" t="s">
        <v>1071</v>
      </c>
      <c r="E125" s="8" t="s">
        <v>1072</v>
      </c>
      <c r="F125" s="8" t="s">
        <v>1073</v>
      </c>
      <c r="G125" s="10" t="s">
        <v>87</v>
      </c>
      <c r="H125" s="8" t="s">
        <v>654</v>
      </c>
      <c r="I125" s="10" t="s">
        <v>873</v>
      </c>
      <c r="J125" s="8" t="s">
        <v>854</v>
      </c>
      <c r="K125" s="8" t="s">
        <v>87</v>
      </c>
      <c r="L125" s="8" t="s">
        <v>87</v>
      </c>
      <c r="M125" s="10" t="s">
        <v>87</v>
      </c>
      <c r="N125" s="8" t="s">
        <v>87</v>
      </c>
      <c r="O125" s="10" t="s">
        <v>21</v>
      </c>
      <c r="P125" s="8" t="s">
        <v>1074</v>
      </c>
      <c r="Q125" s="10" t="s">
        <v>239</v>
      </c>
      <c r="R125" s="10" t="s">
        <v>657</v>
      </c>
      <c r="S125" s="8" t="s">
        <v>220</v>
      </c>
      <c r="T125" s="10" t="s">
        <v>857</v>
      </c>
      <c r="U125" s="10" t="s">
        <v>87</v>
      </c>
      <c r="V125" s="10" t="s">
        <v>87</v>
      </c>
    </row>
    <row r="126" spans="1:22" s="10" customFormat="1" x14ac:dyDescent="0.25">
      <c r="A126" s="10" t="s">
        <v>1075</v>
      </c>
      <c r="B126" s="10" t="s">
        <v>850</v>
      </c>
      <c r="C126" s="10" t="s">
        <v>215</v>
      </c>
      <c r="D126" s="10" t="s">
        <v>1076</v>
      </c>
      <c r="E126" s="8" t="s">
        <v>1077</v>
      </c>
      <c r="F126" s="8" t="s">
        <v>1078</v>
      </c>
      <c r="G126" s="10" t="s">
        <v>87</v>
      </c>
      <c r="H126" s="8" t="s">
        <v>220</v>
      </c>
      <c r="I126" s="10" t="s">
        <v>87</v>
      </c>
      <c r="J126" s="8" t="s">
        <v>220</v>
      </c>
      <c r="K126" s="8" t="s">
        <v>87</v>
      </c>
      <c r="L126" s="8" t="s">
        <v>87</v>
      </c>
      <c r="M126" s="10" t="s">
        <v>87</v>
      </c>
      <c r="N126" s="8" t="s">
        <v>87</v>
      </c>
      <c r="O126" s="10" t="s">
        <v>21</v>
      </c>
      <c r="P126" s="8" t="s">
        <v>1079</v>
      </c>
      <c r="Q126" s="10" t="s">
        <v>239</v>
      </c>
      <c r="R126" s="10" t="s">
        <v>689</v>
      </c>
      <c r="S126" s="8" t="s">
        <v>220</v>
      </c>
      <c r="T126" s="10" t="s">
        <v>857</v>
      </c>
      <c r="U126" s="10" t="s">
        <v>87</v>
      </c>
      <c r="V126" s="10" t="s">
        <v>87</v>
      </c>
    </row>
    <row r="127" spans="1:22" s="10" customFormat="1" x14ac:dyDescent="0.25">
      <c r="A127" s="10" t="s">
        <v>1080</v>
      </c>
      <c r="B127" s="10" t="s">
        <v>850</v>
      </c>
      <c r="C127" s="10" t="s">
        <v>215</v>
      </c>
      <c r="D127" s="10" t="s">
        <v>1081</v>
      </c>
      <c r="E127" s="8" t="s">
        <v>1082</v>
      </c>
      <c r="F127" s="8" t="s">
        <v>1083</v>
      </c>
      <c r="G127" s="10" t="s">
        <v>87</v>
      </c>
      <c r="H127" s="8" t="s">
        <v>723</v>
      </c>
      <c r="I127" s="10" t="s">
        <v>594</v>
      </c>
      <c r="J127" s="8" t="s">
        <v>854</v>
      </c>
      <c r="K127" s="8" t="s">
        <v>87</v>
      </c>
      <c r="L127" s="8" t="s">
        <v>87</v>
      </c>
      <c r="M127" s="10" t="s">
        <v>87</v>
      </c>
      <c r="N127" s="8" t="s">
        <v>87</v>
      </c>
      <c r="O127" s="10" t="s">
        <v>21</v>
      </c>
      <c r="P127" s="8" t="s">
        <v>1084</v>
      </c>
      <c r="Q127" s="10" t="s">
        <v>223</v>
      </c>
      <c r="R127" s="10" t="s">
        <v>726</v>
      </c>
      <c r="S127" s="8" t="s">
        <v>220</v>
      </c>
      <c r="T127" s="10" t="s">
        <v>857</v>
      </c>
      <c r="U127" s="10" t="s">
        <v>87</v>
      </c>
      <c r="V127" s="10" t="s">
        <v>87</v>
      </c>
    </row>
    <row r="128" spans="1:22" s="10" customFormat="1" x14ac:dyDescent="0.25">
      <c r="A128" s="10" t="s">
        <v>1085</v>
      </c>
      <c r="B128" s="10" t="s">
        <v>850</v>
      </c>
      <c r="C128" s="10" t="s">
        <v>215</v>
      </c>
      <c r="D128" s="10" t="s">
        <v>1086</v>
      </c>
      <c r="E128" s="8" t="s">
        <v>1087</v>
      </c>
      <c r="F128" s="8" t="s">
        <v>1088</v>
      </c>
      <c r="G128" s="10" t="s">
        <v>87</v>
      </c>
      <c r="H128" s="8" t="s">
        <v>654</v>
      </c>
      <c r="I128" s="10" t="s">
        <v>594</v>
      </c>
      <c r="J128" s="8" t="s">
        <v>854</v>
      </c>
      <c r="K128" s="8" t="s">
        <v>87</v>
      </c>
      <c r="L128" s="8" t="s">
        <v>87</v>
      </c>
      <c r="M128" s="10" t="s">
        <v>87</v>
      </c>
      <c r="N128" s="8" t="s">
        <v>87</v>
      </c>
      <c r="O128" s="10" t="s">
        <v>21</v>
      </c>
      <c r="P128" s="8" t="s">
        <v>1089</v>
      </c>
      <c r="Q128" s="10" t="s">
        <v>223</v>
      </c>
      <c r="R128" s="10" t="s">
        <v>657</v>
      </c>
      <c r="S128" s="8" t="s">
        <v>220</v>
      </c>
      <c r="T128" s="10" t="s">
        <v>857</v>
      </c>
      <c r="U128" s="10" t="s">
        <v>87</v>
      </c>
      <c r="V128" s="10" t="s">
        <v>87</v>
      </c>
    </row>
    <row r="129" spans="1:22" s="10" customFormat="1" x14ac:dyDescent="0.25">
      <c r="A129" s="10" t="s">
        <v>1090</v>
      </c>
      <c r="B129" s="10" t="s">
        <v>850</v>
      </c>
      <c r="C129" s="11" t="s">
        <v>346</v>
      </c>
      <c r="D129" s="10" t="s">
        <v>1091</v>
      </c>
      <c r="E129" s="8" t="s">
        <v>1092</v>
      </c>
      <c r="F129" s="8" t="s">
        <v>1093</v>
      </c>
      <c r="G129" s="10" t="s">
        <v>87</v>
      </c>
      <c r="H129" s="8" t="s">
        <v>1094</v>
      </c>
      <c r="I129" s="10" t="s">
        <v>1095</v>
      </c>
      <c r="J129" s="8" t="s">
        <v>854</v>
      </c>
      <c r="K129" s="8" t="s">
        <v>87</v>
      </c>
      <c r="L129" s="8" t="s">
        <v>87</v>
      </c>
      <c r="M129" s="10" t="s">
        <v>87</v>
      </c>
      <c r="N129" s="8" t="s">
        <v>1096</v>
      </c>
      <c r="O129" s="10" t="s">
        <v>21</v>
      </c>
      <c r="P129" s="8" t="s">
        <v>1097</v>
      </c>
      <c r="Q129" s="10" t="s">
        <v>239</v>
      </c>
      <c r="R129" s="10" t="s">
        <v>406</v>
      </c>
      <c r="S129" s="8" t="s">
        <v>1098</v>
      </c>
      <c r="T129" s="10" t="s">
        <v>857</v>
      </c>
      <c r="U129" s="10" t="s">
        <v>87</v>
      </c>
      <c r="V129" s="10" t="s">
        <v>87</v>
      </c>
    </row>
    <row r="130" spans="1:22" s="10" customFormat="1" x14ac:dyDescent="0.25">
      <c r="A130" s="10" t="s">
        <v>1099</v>
      </c>
      <c r="B130" s="10" t="s">
        <v>850</v>
      </c>
      <c r="C130" s="11" t="s">
        <v>346</v>
      </c>
      <c r="D130" s="10" t="s">
        <v>1100</v>
      </c>
      <c r="E130" s="8" t="s">
        <v>1101</v>
      </c>
      <c r="F130" s="8" t="s">
        <v>1102</v>
      </c>
      <c r="G130" s="10" t="s">
        <v>87</v>
      </c>
      <c r="H130" s="8" t="s">
        <v>1103</v>
      </c>
      <c r="I130" s="10" t="s">
        <v>1104</v>
      </c>
      <c r="J130" s="8" t="s">
        <v>854</v>
      </c>
      <c r="K130" s="8" t="s">
        <v>87</v>
      </c>
      <c r="L130" s="8" t="s">
        <v>87</v>
      </c>
      <c r="M130" s="10" t="s">
        <v>87</v>
      </c>
      <c r="N130" s="8" t="s">
        <v>87</v>
      </c>
      <c r="O130" s="10" t="s">
        <v>21</v>
      </c>
      <c r="P130" s="8" t="s">
        <v>1105</v>
      </c>
      <c r="Q130" s="10" t="s">
        <v>239</v>
      </c>
      <c r="R130" s="10" t="s">
        <v>406</v>
      </c>
      <c r="S130" s="8" t="s">
        <v>1098</v>
      </c>
      <c r="T130" s="10" t="s">
        <v>857</v>
      </c>
      <c r="U130" s="10" t="s">
        <v>87</v>
      </c>
      <c r="V130" s="10" t="s">
        <v>87</v>
      </c>
    </row>
    <row r="131" spans="1:22" s="10" customFormat="1" x14ac:dyDescent="0.25">
      <c r="A131" s="10" t="s">
        <v>1106</v>
      </c>
      <c r="B131" s="10" t="s">
        <v>850</v>
      </c>
      <c r="C131" s="11" t="s">
        <v>346</v>
      </c>
      <c r="D131" s="10" t="s">
        <v>1107</v>
      </c>
      <c r="E131" s="8" t="s">
        <v>1108</v>
      </c>
      <c r="F131" s="8" t="s">
        <v>1109</v>
      </c>
      <c r="G131" s="10" t="s">
        <v>87</v>
      </c>
      <c r="H131" s="8" t="s">
        <v>1110</v>
      </c>
      <c r="I131" s="10" t="s">
        <v>594</v>
      </c>
      <c r="J131" s="8" t="s">
        <v>854</v>
      </c>
      <c r="K131" s="8" t="s">
        <v>87</v>
      </c>
      <c r="L131" s="8" t="s">
        <v>87</v>
      </c>
      <c r="M131" s="10" t="s">
        <v>87</v>
      </c>
      <c r="N131" s="8" t="s">
        <v>87</v>
      </c>
      <c r="O131" s="10" t="s">
        <v>21</v>
      </c>
      <c r="P131" s="8" t="s">
        <v>1111</v>
      </c>
      <c r="Q131" s="10" t="s">
        <v>239</v>
      </c>
      <c r="R131" s="10" t="s">
        <v>1110</v>
      </c>
      <c r="S131" s="8" t="s">
        <v>220</v>
      </c>
      <c r="T131" s="10" t="s">
        <v>857</v>
      </c>
      <c r="U131" s="10" t="s">
        <v>87</v>
      </c>
      <c r="V131" s="10" t="s">
        <v>87</v>
      </c>
    </row>
    <row r="132" spans="1:22" s="10" customFormat="1" x14ac:dyDescent="0.25">
      <c r="A132" s="10" t="s">
        <v>1112</v>
      </c>
      <c r="B132" s="10" t="s">
        <v>850</v>
      </c>
      <c r="C132" s="11" t="s">
        <v>346</v>
      </c>
      <c r="D132" s="10" t="s">
        <v>1113</v>
      </c>
      <c r="E132" s="8" t="s">
        <v>1114</v>
      </c>
      <c r="F132" s="8" t="s">
        <v>1115</v>
      </c>
      <c r="G132" s="10" t="s">
        <v>87</v>
      </c>
      <c r="H132" s="8" t="s">
        <v>654</v>
      </c>
      <c r="I132" s="10" t="s">
        <v>873</v>
      </c>
      <c r="J132" s="8" t="s">
        <v>854</v>
      </c>
      <c r="K132" s="8" t="s">
        <v>87</v>
      </c>
      <c r="L132" s="8" t="s">
        <v>87</v>
      </c>
      <c r="M132" s="10" t="s">
        <v>87</v>
      </c>
      <c r="N132" s="8" t="s">
        <v>87</v>
      </c>
      <c r="O132" s="10" t="s">
        <v>21</v>
      </c>
      <c r="P132" s="8" t="s">
        <v>1116</v>
      </c>
      <c r="Q132" s="10" t="s">
        <v>239</v>
      </c>
      <c r="R132" s="10" t="s">
        <v>657</v>
      </c>
      <c r="S132" s="8" t="s">
        <v>220</v>
      </c>
      <c r="T132" s="10" t="s">
        <v>857</v>
      </c>
      <c r="U132" s="10" t="s">
        <v>87</v>
      </c>
      <c r="V132" s="10" t="s">
        <v>87</v>
      </c>
    </row>
    <row r="133" spans="1:22" s="10" customFormat="1" x14ac:dyDescent="0.25">
      <c r="A133" s="10" t="s">
        <v>1117</v>
      </c>
      <c r="B133" s="10" t="s">
        <v>1118</v>
      </c>
      <c r="C133" s="11" t="s">
        <v>346</v>
      </c>
      <c r="D133" s="10" t="s">
        <v>1119</v>
      </c>
      <c r="E133" s="8" t="s">
        <v>1120</v>
      </c>
      <c r="F133" s="8" t="s">
        <v>1121</v>
      </c>
      <c r="G133" s="10" t="s">
        <v>87</v>
      </c>
      <c r="H133" s="8" t="s">
        <v>654</v>
      </c>
      <c r="I133" s="10" t="s">
        <v>1122</v>
      </c>
      <c r="J133" s="8" t="s">
        <v>1123</v>
      </c>
      <c r="K133" s="8" t="s">
        <v>87</v>
      </c>
      <c r="L133" s="8" t="s">
        <v>87</v>
      </c>
      <c r="M133" s="10" t="s">
        <v>87</v>
      </c>
      <c r="N133" s="8" t="s">
        <v>1124</v>
      </c>
      <c r="O133" s="10" t="s">
        <v>21</v>
      </c>
      <c r="P133" s="8" t="s">
        <v>1125</v>
      </c>
      <c r="Q133" s="10" t="s">
        <v>825</v>
      </c>
      <c r="R133" s="10" t="s">
        <v>897</v>
      </c>
      <c r="S133" s="8" t="s">
        <v>1044</v>
      </c>
      <c r="T133" s="10" t="s">
        <v>1126</v>
      </c>
      <c r="U133" s="10" t="s">
        <v>87</v>
      </c>
      <c r="V133" s="10" t="s">
        <v>87</v>
      </c>
    </row>
    <row r="134" spans="1:22" s="10" customFormat="1" x14ac:dyDescent="0.25">
      <c r="A134" s="10" t="s">
        <v>1127</v>
      </c>
      <c r="B134" s="10" t="s">
        <v>1118</v>
      </c>
      <c r="C134" s="11" t="s">
        <v>346</v>
      </c>
      <c r="D134" s="10" t="s">
        <v>1128</v>
      </c>
      <c r="E134" s="8" t="s">
        <v>1129</v>
      </c>
      <c r="F134" s="8" t="s">
        <v>1130</v>
      </c>
      <c r="G134" s="10" t="s">
        <v>87</v>
      </c>
      <c r="H134" s="8" t="s">
        <v>654</v>
      </c>
      <c r="I134" s="10" t="s">
        <v>1131</v>
      </c>
      <c r="J134" s="8" t="s">
        <v>1123</v>
      </c>
      <c r="K134" s="8" t="s">
        <v>87</v>
      </c>
      <c r="L134" s="8" t="s">
        <v>87</v>
      </c>
      <c r="M134" s="10" t="s">
        <v>87</v>
      </c>
      <c r="N134" s="8" t="s">
        <v>1132</v>
      </c>
      <c r="O134" s="10" t="s">
        <v>21</v>
      </c>
      <c r="P134" s="8" t="s">
        <v>1133</v>
      </c>
      <c r="Q134" s="10" t="s">
        <v>825</v>
      </c>
      <c r="R134" s="10" t="s">
        <v>897</v>
      </c>
      <c r="S134" s="8" t="s">
        <v>1044</v>
      </c>
      <c r="T134" s="10" t="s">
        <v>1126</v>
      </c>
      <c r="U134" s="10" t="s">
        <v>87</v>
      </c>
      <c r="V134" s="10" t="s">
        <v>87</v>
      </c>
    </row>
    <row r="135" spans="1:22" s="10" customFormat="1" x14ac:dyDescent="0.25">
      <c r="A135" s="10" t="s">
        <v>1134</v>
      </c>
      <c r="B135" s="10" t="s">
        <v>1118</v>
      </c>
      <c r="C135" s="10" t="s">
        <v>215</v>
      </c>
      <c r="D135" s="10" t="s">
        <v>1135</v>
      </c>
      <c r="E135" s="8" t="s">
        <v>1136</v>
      </c>
      <c r="F135" s="8" t="s">
        <v>1137</v>
      </c>
      <c r="G135" s="10" t="s">
        <v>87</v>
      </c>
      <c r="H135" s="8" t="s">
        <v>654</v>
      </c>
      <c r="I135" s="10" t="s">
        <v>1138</v>
      </c>
      <c r="J135" s="8" t="s">
        <v>1123</v>
      </c>
      <c r="K135" s="8" t="s">
        <v>87</v>
      </c>
      <c r="L135" s="8" t="s">
        <v>87</v>
      </c>
      <c r="M135" s="10" t="s">
        <v>87</v>
      </c>
      <c r="N135" s="8" t="s">
        <v>87</v>
      </c>
      <c r="O135" s="10" t="s">
        <v>21</v>
      </c>
      <c r="P135" s="8" t="s">
        <v>1139</v>
      </c>
      <c r="Q135" s="10" t="s">
        <v>223</v>
      </c>
      <c r="R135" s="10" t="s">
        <v>689</v>
      </c>
      <c r="S135" s="8" t="s">
        <v>1044</v>
      </c>
      <c r="T135" s="10" t="s">
        <v>1126</v>
      </c>
      <c r="U135" s="10" t="s">
        <v>87</v>
      </c>
      <c r="V135" s="10" t="s">
        <v>87</v>
      </c>
    </row>
    <row r="136" spans="1:22" s="10" customFormat="1" x14ac:dyDescent="0.25">
      <c r="A136" s="10" t="s">
        <v>1140</v>
      </c>
      <c r="B136" s="10" t="s">
        <v>1118</v>
      </c>
      <c r="C136" s="11" t="s">
        <v>346</v>
      </c>
      <c r="D136" s="10" t="s">
        <v>1141</v>
      </c>
      <c r="E136" s="8" t="s">
        <v>1142</v>
      </c>
      <c r="F136" s="8" t="s">
        <v>1143</v>
      </c>
      <c r="G136" s="10" t="s">
        <v>87</v>
      </c>
      <c r="H136" s="8" t="s">
        <v>654</v>
      </c>
      <c r="I136" s="10" t="s">
        <v>539</v>
      </c>
      <c r="J136" s="8" t="s">
        <v>1144</v>
      </c>
      <c r="K136" s="8" t="s">
        <v>87</v>
      </c>
      <c r="L136" s="8" t="s">
        <v>87</v>
      </c>
      <c r="M136" s="10" t="s">
        <v>87</v>
      </c>
      <c r="N136" s="8" t="s">
        <v>87</v>
      </c>
      <c r="O136" s="10" t="s">
        <v>21</v>
      </c>
      <c r="P136" s="8" t="s">
        <v>1145</v>
      </c>
      <c r="Q136" s="10" t="s">
        <v>825</v>
      </c>
      <c r="R136" s="10" t="s">
        <v>657</v>
      </c>
      <c r="S136" s="8" t="s">
        <v>1044</v>
      </c>
      <c r="T136" s="10" t="s">
        <v>1126</v>
      </c>
      <c r="U136" s="10" t="s">
        <v>87</v>
      </c>
      <c r="V136" s="10" t="s">
        <v>87</v>
      </c>
    </row>
    <row r="137" spans="1:22" s="10" customFormat="1" x14ac:dyDescent="0.25">
      <c r="A137" s="10" t="s">
        <v>1146</v>
      </c>
      <c r="B137" s="10" t="s">
        <v>1118</v>
      </c>
      <c r="C137" s="11" t="s">
        <v>346</v>
      </c>
      <c r="D137" s="10" t="s">
        <v>1147</v>
      </c>
      <c r="E137" s="8" t="s">
        <v>1148</v>
      </c>
      <c r="F137" s="8" t="s">
        <v>1149</v>
      </c>
      <c r="G137" s="10" t="s">
        <v>87</v>
      </c>
      <c r="H137" s="8" t="s">
        <v>1150</v>
      </c>
      <c r="I137" s="10" t="s">
        <v>1151</v>
      </c>
      <c r="J137" s="8" t="s">
        <v>1123</v>
      </c>
      <c r="K137" s="8" t="s">
        <v>87</v>
      </c>
      <c r="L137" s="8" t="s">
        <v>87</v>
      </c>
      <c r="M137" s="10" t="s">
        <v>87</v>
      </c>
      <c r="N137" s="8" t="s">
        <v>1152</v>
      </c>
      <c r="O137" s="10" t="s">
        <v>21</v>
      </c>
      <c r="P137" s="8" t="s">
        <v>1153</v>
      </c>
      <c r="Q137" s="10" t="s">
        <v>825</v>
      </c>
      <c r="R137" s="10" t="s">
        <v>1154</v>
      </c>
      <c r="S137" s="8" t="s">
        <v>1044</v>
      </c>
      <c r="T137" s="10" t="s">
        <v>1126</v>
      </c>
      <c r="U137" s="10" t="s">
        <v>87</v>
      </c>
      <c r="V137" s="10" t="s">
        <v>87</v>
      </c>
    </row>
    <row r="138" spans="1:22" s="10" customFormat="1" x14ac:dyDescent="0.25">
      <c r="A138" s="10" t="s">
        <v>1155</v>
      </c>
      <c r="B138" s="10" t="s">
        <v>1118</v>
      </c>
      <c r="C138" s="11" t="s">
        <v>346</v>
      </c>
      <c r="D138" s="10" t="s">
        <v>1156</v>
      </c>
      <c r="E138" s="8" t="s">
        <v>1157</v>
      </c>
      <c r="F138" s="8" t="s">
        <v>1158</v>
      </c>
      <c r="G138" s="10" t="s">
        <v>87</v>
      </c>
      <c r="H138" s="8" t="s">
        <v>654</v>
      </c>
      <c r="I138" s="10" t="s">
        <v>594</v>
      </c>
      <c r="J138" s="8" t="s">
        <v>1159</v>
      </c>
      <c r="K138" s="8" t="s">
        <v>87</v>
      </c>
      <c r="L138" s="8" t="s">
        <v>87</v>
      </c>
      <c r="M138" s="10" t="s">
        <v>87</v>
      </c>
      <c r="N138" s="8" t="s">
        <v>1160</v>
      </c>
      <c r="O138" s="10" t="s">
        <v>21</v>
      </c>
      <c r="P138" s="8" t="s">
        <v>1161</v>
      </c>
      <c r="Q138" s="10" t="s">
        <v>239</v>
      </c>
      <c r="R138" s="10" t="s">
        <v>1024</v>
      </c>
      <c r="S138" s="8" t="s">
        <v>589</v>
      </c>
      <c r="T138" s="10" t="s">
        <v>1126</v>
      </c>
      <c r="U138" s="10" t="s">
        <v>87</v>
      </c>
      <c r="V138" s="10" t="s">
        <v>87</v>
      </c>
    </row>
    <row r="139" spans="1:22" s="10" customFormat="1" x14ac:dyDescent="0.25">
      <c r="A139" s="10" t="s">
        <v>1162</v>
      </c>
      <c r="B139" s="10" t="s">
        <v>1118</v>
      </c>
      <c r="C139" s="11" t="s">
        <v>346</v>
      </c>
      <c r="D139" s="10" t="s">
        <v>1163</v>
      </c>
      <c r="E139" s="8" t="s">
        <v>1164</v>
      </c>
      <c r="F139" s="8" t="s">
        <v>1165</v>
      </c>
      <c r="G139" s="10" t="s">
        <v>87</v>
      </c>
      <c r="H139" s="8" t="s">
        <v>654</v>
      </c>
      <c r="I139" s="10" t="s">
        <v>1122</v>
      </c>
      <c r="J139" s="8" t="s">
        <v>1123</v>
      </c>
      <c r="K139" s="8" t="s">
        <v>87</v>
      </c>
      <c r="L139" s="8" t="s">
        <v>87</v>
      </c>
      <c r="M139" s="10" t="s">
        <v>87</v>
      </c>
      <c r="N139" s="8" t="s">
        <v>1166</v>
      </c>
      <c r="O139" s="10" t="s">
        <v>21</v>
      </c>
      <c r="P139" s="8" t="s">
        <v>1167</v>
      </c>
      <c r="Q139" s="10" t="s">
        <v>239</v>
      </c>
      <c r="R139" s="10" t="s">
        <v>897</v>
      </c>
      <c r="S139" s="8" t="s">
        <v>1168</v>
      </c>
      <c r="T139" s="10" t="s">
        <v>1126</v>
      </c>
      <c r="U139" s="10" t="s">
        <v>87</v>
      </c>
      <c r="V139" s="10" t="s">
        <v>87</v>
      </c>
    </row>
    <row r="140" spans="1:22" s="10" customFormat="1" x14ac:dyDescent="0.25">
      <c r="A140" s="10" t="s">
        <v>1169</v>
      </c>
      <c r="B140" s="10" t="s">
        <v>1118</v>
      </c>
      <c r="C140" s="11" t="s">
        <v>346</v>
      </c>
      <c r="D140" s="10" t="s">
        <v>1170</v>
      </c>
      <c r="E140" s="8" t="s">
        <v>1171</v>
      </c>
      <c r="F140" s="8" t="s">
        <v>1172</v>
      </c>
      <c r="G140" s="10" t="s">
        <v>87</v>
      </c>
      <c r="H140" s="8" t="s">
        <v>1173</v>
      </c>
      <c r="I140" s="10" t="s">
        <v>594</v>
      </c>
      <c r="J140" s="8" t="s">
        <v>1123</v>
      </c>
      <c r="K140" s="8" t="s">
        <v>87</v>
      </c>
      <c r="L140" s="8" t="s">
        <v>87</v>
      </c>
      <c r="M140" s="10" t="s">
        <v>87</v>
      </c>
      <c r="N140" s="8" t="s">
        <v>87</v>
      </c>
      <c r="O140" s="10" t="s">
        <v>21</v>
      </c>
      <c r="P140" s="8" t="s">
        <v>1174</v>
      </c>
      <c r="Q140" s="10" t="s">
        <v>825</v>
      </c>
      <c r="R140" s="10" t="s">
        <v>1175</v>
      </c>
      <c r="S140" s="8" t="s">
        <v>1044</v>
      </c>
      <c r="T140" s="10" t="s">
        <v>253</v>
      </c>
      <c r="U140" s="10" t="s">
        <v>87</v>
      </c>
      <c r="V140" s="10" t="s">
        <v>87</v>
      </c>
    </row>
    <row r="141" spans="1:22" s="10" customFormat="1" x14ac:dyDescent="0.25">
      <c r="A141" s="10" t="s">
        <v>1176</v>
      </c>
      <c r="B141" s="10" t="s">
        <v>1118</v>
      </c>
      <c r="C141" s="11" t="s">
        <v>346</v>
      </c>
      <c r="D141" s="10" t="s">
        <v>1177</v>
      </c>
      <c r="E141" s="8" t="s">
        <v>1178</v>
      </c>
      <c r="F141" s="8" t="s">
        <v>1179</v>
      </c>
      <c r="G141" s="10" t="s">
        <v>87</v>
      </c>
      <c r="H141" s="8" t="s">
        <v>1180</v>
      </c>
      <c r="I141" s="10" t="s">
        <v>879</v>
      </c>
      <c r="J141" s="8" t="s">
        <v>1123</v>
      </c>
      <c r="K141" s="8" t="s">
        <v>87</v>
      </c>
      <c r="L141" s="8" t="s">
        <v>87</v>
      </c>
      <c r="M141" s="10" t="s">
        <v>87</v>
      </c>
      <c r="N141" s="8" t="s">
        <v>87</v>
      </c>
      <c r="O141" s="10" t="s">
        <v>21</v>
      </c>
      <c r="P141" s="8" t="s">
        <v>1181</v>
      </c>
      <c r="Q141" s="10" t="s">
        <v>825</v>
      </c>
      <c r="R141" s="10" t="s">
        <v>1175</v>
      </c>
      <c r="S141" s="8" t="s">
        <v>1044</v>
      </c>
      <c r="T141" s="10" t="s">
        <v>253</v>
      </c>
      <c r="U141" s="10" t="s">
        <v>87</v>
      </c>
      <c r="V141" s="10" t="s">
        <v>87</v>
      </c>
    </row>
    <row r="142" spans="1:22" s="10" customFormat="1" x14ac:dyDescent="0.25">
      <c r="A142" s="10" t="s">
        <v>1182</v>
      </c>
      <c r="B142" s="10" t="s">
        <v>1118</v>
      </c>
      <c r="C142" s="10" t="s">
        <v>215</v>
      </c>
      <c r="D142" s="10" t="s">
        <v>1183</v>
      </c>
      <c r="E142" s="8" t="s">
        <v>1184</v>
      </c>
      <c r="F142" s="8" t="s">
        <v>1185</v>
      </c>
      <c r="G142" s="10" t="s">
        <v>87</v>
      </c>
      <c r="H142" s="8" t="s">
        <v>1186</v>
      </c>
      <c r="I142" s="10" t="s">
        <v>594</v>
      </c>
      <c r="J142" s="8" t="s">
        <v>1041</v>
      </c>
      <c r="K142" s="8" t="s">
        <v>87</v>
      </c>
      <c r="L142" s="8" t="s">
        <v>87</v>
      </c>
      <c r="M142" s="10" t="s">
        <v>87</v>
      </c>
      <c r="N142" s="8" t="s">
        <v>87</v>
      </c>
      <c r="O142" s="10" t="s">
        <v>21</v>
      </c>
      <c r="P142" s="8" t="s">
        <v>1187</v>
      </c>
      <c r="Q142" s="10" t="s">
        <v>223</v>
      </c>
      <c r="R142" s="10" t="s">
        <v>1188</v>
      </c>
      <c r="S142" s="8" t="s">
        <v>1044</v>
      </c>
      <c r="T142" s="10" t="s">
        <v>1126</v>
      </c>
      <c r="U142" s="10" t="s">
        <v>87</v>
      </c>
      <c r="V142" s="10" t="s">
        <v>87</v>
      </c>
    </row>
    <row r="143" spans="1:22" s="10" customFormat="1" x14ac:dyDescent="0.25">
      <c r="A143" s="10" t="s">
        <v>1189</v>
      </c>
      <c r="B143" s="10" t="s">
        <v>1118</v>
      </c>
      <c r="C143" s="10" t="s">
        <v>215</v>
      </c>
      <c r="D143" s="10" t="s">
        <v>1190</v>
      </c>
      <c r="E143" s="8" t="s">
        <v>1191</v>
      </c>
      <c r="F143" s="8" t="s">
        <v>1192</v>
      </c>
      <c r="G143" s="10" t="s">
        <v>87</v>
      </c>
      <c r="H143" s="8" t="s">
        <v>1193</v>
      </c>
      <c r="I143" s="10" t="s">
        <v>594</v>
      </c>
      <c r="J143" s="8" t="s">
        <v>1041</v>
      </c>
      <c r="K143" s="8" t="s">
        <v>87</v>
      </c>
      <c r="L143" s="8" t="s">
        <v>87</v>
      </c>
      <c r="M143" s="10" t="s">
        <v>87</v>
      </c>
      <c r="N143" s="8" t="s">
        <v>1194</v>
      </c>
      <c r="O143" s="10" t="s">
        <v>21</v>
      </c>
      <c r="P143" s="8" t="s">
        <v>1195</v>
      </c>
      <c r="Q143" s="10" t="s">
        <v>223</v>
      </c>
      <c r="R143" s="10" t="s">
        <v>1188</v>
      </c>
      <c r="S143" s="8" t="s">
        <v>1044</v>
      </c>
      <c r="T143" s="10" t="s">
        <v>1126</v>
      </c>
      <c r="U143" s="10" t="s">
        <v>87</v>
      </c>
      <c r="V143" s="10" t="s">
        <v>87</v>
      </c>
    </row>
    <row r="144" spans="1:22" s="10" customFormat="1" x14ac:dyDescent="0.25">
      <c r="A144" s="10" t="s">
        <v>1196</v>
      </c>
      <c r="B144" s="10" t="s">
        <v>1118</v>
      </c>
      <c r="C144" s="10" t="s">
        <v>215</v>
      </c>
      <c r="D144" s="10" t="s">
        <v>1197</v>
      </c>
      <c r="E144" s="8" t="s">
        <v>1198</v>
      </c>
      <c r="F144" s="8" t="s">
        <v>1199</v>
      </c>
      <c r="G144" s="10" t="s">
        <v>87</v>
      </c>
      <c r="H144" s="8" t="s">
        <v>1193</v>
      </c>
      <c r="I144" s="10" t="s">
        <v>1200</v>
      </c>
      <c r="J144" s="8" t="s">
        <v>1041</v>
      </c>
      <c r="K144" s="8" t="s">
        <v>87</v>
      </c>
      <c r="L144" s="8" t="s">
        <v>87</v>
      </c>
      <c r="M144" s="10" t="s">
        <v>87</v>
      </c>
      <c r="N144" s="8" t="s">
        <v>87</v>
      </c>
      <c r="O144" s="10" t="s">
        <v>21</v>
      </c>
      <c r="P144" s="8" t="s">
        <v>1201</v>
      </c>
      <c r="Q144" s="10" t="s">
        <v>223</v>
      </c>
      <c r="R144" s="10" t="s">
        <v>1188</v>
      </c>
      <c r="S144" s="8" t="s">
        <v>1044</v>
      </c>
      <c r="T144" s="10" t="s">
        <v>253</v>
      </c>
      <c r="U144" s="10" t="s">
        <v>87</v>
      </c>
      <c r="V144" s="10" t="s">
        <v>87</v>
      </c>
    </row>
    <row r="145" spans="1:22" s="10" customFormat="1" x14ac:dyDescent="0.25">
      <c r="A145" s="10" t="s">
        <v>1202</v>
      </c>
      <c r="B145" s="10" t="s">
        <v>1203</v>
      </c>
      <c r="C145" s="10" t="s">
        <v>215</v>
      </c>
      <c r="D145" s="10" t="s">
        <v>1204</v>
      </c>
      <c r="E145" s="8" t="s">
        <v>1205</v>
      </c>
      <c r="F145" s="8" t="s">
        <v>861</v>
      </c>
      <c r="G145" s="10" t="s">
        <v>87</v>
      </c>
      <c r="H145" s="8" t="s">
        <v>364</v>
      </c>
      <c r="I145" s="10" t="s">
        <v>594</v>
      </c>
      <c r="J145" s="8" t="s">
        <v>831</v>
      </c>
      <c r="K145" s="8" t="s">
        <v>87</v>
      </c>
      <c r="L145" s="8" t="s">
        <v>87</v>
      </c>
      <c r="M145" s="10" t="s">
        <v>87</v>
      </c>
      <c r="N145" s="8" t="s">
        <v>87</v>
      </c>
      <c r="O145" s="10" t="s">
        <v>21</v>
      </c>
      <c r="P145" s="8" t="s">
        <v>1206</v>
      </c>
      <c r="Q145" s="10" t="s">
        <v>223</v>
      </c>
      <c r="R145" s="10" t="s">
        <v>406</v>
      </c>
      <c r="S145" s="8" t="s">
        <v>589</v>
      </c>
      <c r="T145" s="10" t="s">
        <v>1207</v>
      </c>
      <c r="U145" s="10" t="s">
        <v>87</v>
      </c>
      <c r="V145" s="10" t="s">
        <v>87</v>
      </c>
    </row>
    <row r="146" spans="1:22" s="10" customFormat="1" x14ac:dyDescent="0.25">
      <c r="A146" s="10" t="s">
        <v>1208</v>
      </c>
      <c r="B146" s="10" t="s">
        <v>1203</v>
      </c>
      <c r="C146" s="11" t="s">
        <v>346</v>
      </c>
      <c r="D146" s="10" t="s">
        <v>1209</v>
      </c>
      <c r="E146" s="8" t="s">
        <v>1210</v>
      </c>
      <c r="F146" s="8" t="s">
        <v>1211</v>
      </c>
      <c r="G146" s="10" t="s">
        <v>87</v>
      </c>
      <c r="H146" s="8" t="s">
        <v>1212</v>
      </c>
      <c r="I146" s="10" t="s">
        <v>594</v>
      </c>
      <c r="J146" s="8" t="s">
        <v>831</v>
      </c>
      <c r="K146" s="8" t="s">
        <v>87</v>
      </c>
      <c r="L146" s="8" t="s">
        <v>87</v>
      </c>
      <c r="M146" s="10" t="s">
        <v>87</v>
      </c>
      <c r="N146" s="8" t="s">
        <v>87</v>
      </c>
      <c r="O146" s="10" t="s">
        <v>21</v>
      </c>
      <c r="P146" s="8" t="s">
        <v>1213</v>
      </c>
      <c r="Q146" s="10" t="s">
        <v>239</v>
      </c>
      <c r="R146" s="10" t="s">
        <v>613</v>
      </c>
      <c r="S146" s="8" t="s">
        <v>589</v>
      </c>
      <c r="T146" s="10" t="s">
        <v>1207</v>
      </c>
      <c r="U146" s="10" t="s">
        <v>87</v>
      </c>
      <c r="V146" s="10" t="s">
        <v>87</v>
      </c>
    </row>
    <row r="147" spans="1:22" s="10" customFormat="1" x14ac:dyDescent="0.25">
      <c r="A147" s="10" t="s">
        <v>1214</v>
      </c>
      <c r="B147" s="10" t="s">
        <v>1203</v>
      </c>
      <c r="C147" s="11" t="s">
        <v>346</v>
      </c>
      <c r="D147" s="10" t="s">
        <v>1215</v>
      </c>
      <c r="E147" s="8" t="s">
        <v>1216</v>
      </c>
      <c r="F147" s="8" t="s">
        <v>1217</v>
      </c>
      <c r="G147" s="10" t="s">
        <v>87</v>
      </c>
      <c r="H147" s="8" t="s">
        <v>1212</v>
      </c>
      <c r="I147" s="10" t="s">
        <v>594</v>
      </c>
      <c r="J147" s="8" t="s">
        <v>831</v>
      </c>
      <c r="K147" s="8" t="s">
        <v>87</v>
      </c>
      <c r="L147" s="8" t="s">
        <v>87</v>
      </c>
      <c r="M147" s="10" t="s">
        <v>87</v>
      </c>
      <c r="N147" s="8" t="s">
        <v>1218</v>
      </c>
      <c r="O147" s="10" t="s">
        <v>21</v>
      </c>
      <c r="P147" s="8" t="s">
        <v>1219</v>
      </c>
      <c r="Q147" s="10" t="s">
        <v>239</v>
      </c>
      <c r="R147" s="10" t="s">
        <v>613</v>
      </c>
      <c r="S147" s="8" t="s">
        <v>220</v>
      </c>
      <c r="T147" s="10" t="s">
        <v>1207</v>
      </c>
      <c r="U147" s="10" t="s">
        <v>87</v>
      </c>
      <c r="V147" s="10" t="s">
        <v>87</v>
      </c>
    </row>
    <row r="148" spans="1:22" s="10" customFormat="1" x14ac:dyDescent="0.25">
      <c r="A148" s="10" t="s">
        <v>1220</v>
      </c>
      <c r="B148" s="10" t="s">
        <v>1203</v>
      </c>
      <c r="C148" s="10" t="s">
        <v>215</v>
      </c>
      <c r="D148" s="10" t="s">
        <v>1221</v>
      </c>
      <c r="E148" s="8" t="s">
        <v>1222</v>
      </c>
      <c r="F148" s="8" t="s">
        <v>1223</v>
      </c>
      <c r="G148" s="10" t="s">
        <v>87</v>
      </c>
      <c r="H148" s="8" t="s">
        <v>1224</v>
      </c>
      <c r="I148" s="10" t="s">
        <v>594</v>
      </c>
      <c r="J148" s="8" t="s">
        <v>1225</v>
      </c>
      <c r="K148" s="8" t="s">
        <v>87</v>
      </c>
      <c r="L148" s="8" t="s">
        <v>87</v>
      </c>
      <c r="M148" s="10" t="s">
        <v>87</v>
      </c>
      <c r="N148" s="8" t="s">
        <v>1226</v>
      </c>
      <c r="O148" s="10" t="s">
        <v>21</v>
      </c>
      <c r="P148" s="8" t="s">
        <v>1227</v>
      </c>
      <c r="Q148" s="10" t="s">
        <v>223</v>
      </c>
      <c r="R148" s="10" t="s">
        <v>1228</v>
      </c>
      <c r="S148" s="8" t="s">
        <v>338</v>
      </c>
      <c r="T148" s="10" t="s">
        <v>1207</v>
      </c>
      <c r="U148" s="10" t="s">
        <v>87</v>
      </c>
      <c r="V148" s="10" t="s">
        <v>87</v>
      </c>
    </row>
    <row r="149" spans="1:22" s="10" customFormat="1" x14ac:dyDescent="0.25">
      <c r="A149" s="10" t="s">
        <v>1229</v>
      </c>
      <c r="B149" s="10" t="s">
        <v>1203</v>
      </c>
      <c r="C149" s="11" t="s">
        <v>346</v>
      </c>
      <c r="D149" s="10" t="s">
        <v>1230</v>
      </c>
      <c r="E149" s="8" t="s">
        <v>1231</v>
      </c>
      <c r="F149" s="8" t="s">
        <v>1232</v>
      </c>
      <c r="G149" s="10" t="s">
        <v>87</v>
      </c>
      <c r="H149" s="8" t="s">
        <v>1233</v>
      </c>
      <c r="I149" s="10" t="s">
        <v>594</v>
      </c>
      <c r="J149" s="8" t="s">
        <v>1225</v>
      </c>
      <c r="K149" s="8" t="s">
        <v>87</v>
      </c>
      <c r="L149" s="8" t="s">
        <v>87</v>
      </c>
      <c r="M149" s="10" t="s">
        <v>87</v>
      </c>
      <c r="N149" s="8" t="s">
        <v>1234</v>
      </c>
      <c r="O149" s="10" t="s">
        <v>21</v>
      </c>
      <c r="P149" s="8" t="s">
        <v>1235</v>
      </c>
      <c r="Q149" s="10" t="s">
        <v>239</v>
      </c>
      <c r="R149" s="10" t="s">
        <v>1228</v>
      </c>
      <c r="S149" s="8" t="s">
        <v>338</v>
      </c>
      <c r="T149" s="10" t="s">
        <v>1207</v>
      </c>
      <c r="U149" s="10" t="s">
        <v>87</v>
      </c>
      <c r="V149" s="10" t="s">
        <v>87</v>
      </c>
    </row>
    <row r="150" spans="1:22" s="10" customFormat="1" x14ac:dyDescent="0.25">
      <c r="A150" s="10" t="s">
        <v>1236</v>
      </c>
      <c r="B150" s="10" t="s">
        <v>1203</v>
      </c>
      <c r="C150" s="11" t="s">
        <v>346</v>
      </c>
      <c r="D150" s="10" t="s">
        <v>1237</v>
      </c>
      <c r="E150" s="8" t="s">
        <v>1238</v>
      </c>
      <c r="F150" s="8" t="s">
        <v>1239</v>
      </c>
      <c r="G150" s="10" t="s">
        <v>87</v>
      </c>
      <c r="H150" s="8" t="s">
        <v>1240</v>
      </c>
      <c r="I150" s="10" t="s">
        <v>1241</v>
      </c>
      <c r="J150" s="8" t="s">
        <v>1242</v>
      </c>
      <c r="K150" s="8" t="s">
        <v>87</v>
      </c>
      <c r="L150" s="8" t="s">
        <v>87</v>
      </c>
      <c r="M150" s="10" t="s">
        <v>87</v>
      </c>
      <c r="N150" s="8" t="s">
        <v>1243</v>
      </c>
      <c r="O150" s="10" t="s">
        <v>21</v>
      </c>
      <c r="P150" s="8" t="s">
        <v>1244</v>
      </c>
      <c r="Q150" s="10" t="s">
        <v>239</v>
      </c>
      <c r="R150" s="10" t="s">
        <v>406</v>
      </c>
      <c r="S150" s="8" t="s">
        <v>1245</v>
      </c>
      <c r="T150" s="10" t="s">
        <v>1207</v>
      </c>
      <c r="U150" s="10" t="s">
        <v>87</v>
      </c>
      <c r="V150" s="10" t="s">
        <v>87</v>
      </c>
    </row>
    <row r="151" spans="1:22" s="10" customFormat="1" x14ac:dyDescent="0.25">
      <c r="A151" s="10" t="s">
        <v>1246</v>
      </c>
      <c r="B151" s="10" t="s">
        <v>1203</v>
      </c>
      <c r="C151" s="11" t="s">
        <v>346</v>
      </c>
      <c r="D151" s="10" t="s">
        <v>1247</v>
      </c>
      <c r="E151" s="8" t="s">
        <v>1248</v>
      </c>
      <c r="F151" s="8" t="s">
        <v>1249</v>
      </c>
      <c r="G151" s="10" t="s">
        <v>87</v>
      </c>
      <c r="H151" s="8" t="s">
        <v>1250</v>
      </c>
      <c r="I151" s="10" t="s">
        <v>1241</v>
      </c>
      <c r="J151" s="8" t="s">
        <v>1251</v>
      </c>
      <c r="K151" s="8" t="s">
        <v>87</v>
      </c>
      <c r="L151" s="8" t="s">
        <v>87</v>
      </c>
      <c r="M151" s="10" t="s">
        <v>87</v>
      </c>
      <c r="N151" s="8" t="s">
        <v>87</v>
      </c>
      <c r="O151" s="10" t="s">
        <v>21</v>
      </c>
      <c r="P151" s="8" t="s">
        <v>1252</v>
      </c>
      <c r="Q151" s="10" t="s">
        <v>239</v>
      </c>
      <c r="R151" s="10" t="s">
        <v>406</v>
      </c>
      <c r="S151" s="8" t="s">
        <v>1253</v>
      </c>
      <c r="T151" s="10" t="s">
        <v>1207</v>
      </c>
      <c r="U151" s="10" t="s">
        <v>87</v>
      </c>
      <c r="V151" s="10" t="s">
        <v>87</v>
      </c>
    </row>
    <row r="152" spans="1:22" s="10" customFormat="1" x14ac:dyDescent="0.25">
      <c r="A152" s="10" t="s">
        <v>1254</v>
      </c>
      <c r="B152" s="10" t="s">
        <v>1203</v>
      </c>
      <c r="C152" s="11" t="s">
        <v>346</v>
      </c>
      <c r="D152" s="10" t="s">
        <v>1255</v>
      </c>
      <c r="E152" s="8" t="s">
        <v>1256</v>
      </c>
      <c r="F152" s="8" t="s">
        <v>1257</v>
      </c>
      <c r="G152" s="10" t="s">
        <v>87</v>
      </c>
      <c r="H152" s="8" t="s">
        <v>1258</v>
      </c>
      <c r="I152" s="10" t="s">
        <v>594</v>
      </c>
      <c r="J152" s="8" t="s">
        <v>1225</v>
      </c>
      <c r="K152" s="8" t="s">
        <v>87</v>
      </c>
      <c r="L152" s="8" t="s">
        <v>87</v>
      </c>
      <c r="M152" s="10" t="s">
        <v>87</v>
      </c>
      <c r="N152" s="8" t="s">
        <v>1259</v>
      </c>
      <c r="O152" s="10" t="s">
        <v>21</v>
      </c>
      <c r="P152" s="8" t="s">
        <v>1260</v>
      </c>
      <c r="Q152" s="10" t="s">
        <v>239</v>
      </c>
      <c r="R152" s="10" t="s">
        <v>613</v>
      </c>
      <c r="S152" s="8" t="s">
        <v>338</v>
      </c>
      <c r="T152" s="10" t="s">
        <v>1207</v>
      </c>
      <c r="U152" s="10" t="s">
        <v>87</v>
      </c>
      <c r="V152" s="10" t="s">
        <v>87</v>
      </c>
    </row>
    <row r="153" spans="1:22" s="10" customFormat="1" x14ac:dyDescent="0.25">
      <c r="A153" s="10" t="s">
        <v>1261</v>
      </c>
      <c r="B153" s="10" t="s">
        <v>1203</v>
      </c>
      <c r="C153" s="10" t="s">
        <v>215</v>
      </c>
      <c r="D153" s="10" t="s">
        <v>1262</v>
      </c>
      <c r="E153" s="8" t="s">
        <v>1263</v>
      </c>
      <c r="F153" s="8" t="s">
        <v>1264</v>
      </c>
      <c r="G153" s="10" t="s">
        <v>87</v>
      </c>
      <c r="H153" s="8" t="s">
        <v>1258</v>
      </c>
      <c r="I153" s="10" t="s">
        <v>594</v>
      </c>
      <c r="J153" s="8" t="s">
        <v>1225</v>
      </c>
      <c r="K153" s="8" t="s">
        <v>87</v>
      </c>
      <c r="L153" s="8" t="s">
        <v>87</v>
      </c>
      <c r="M153" s="10" t="s">
        <v>87</v>
      </c>
      <c r="N153" s="8" t="s">
        <v>87</v>
      </c>
      <c r="O153" s="10" t="s">
        <v>21</v>
      </c>
      <c r="P153" s="8" t="s">
        <v>1265</v>
      </c>
      <c r="Q153" s="10" t="s">
        <v>223</v>
      </c>
      <c r="R153" s="10" t="s">
        <v>613</v>
      </c>
      <c r="S153" s="8" t="s">
        <v>220</v>
      </c>
      <c r="T153" s="10" t="s">
        <v>1207</v>
      </c>
      <c r="U153" s="10" t="s">
        <v>87</v>
      </c>
      <c r="V153" s="10" t="s">
        <v>87</v>
      </c>
    </row>
    <row r="154" spans="1:22" s="10" customFormat="1" x14ac:dyDescent="0.25">
      <c r="A154" s="10" t="s">
        <v>1266</v>
      </c>
      <c r="B154" s="10" t="s">
        <v>1203</v>
      </c>
      <c r="C154" s="10" t="s">
        <v>215</v>
      </c>
      <c r="D154" s="10" t="s">
        <v>1267</v>
      </c>
      <c r="E154" s="8" t="s">
        <v>1268</v>
      </c>
      <c r="F154" s="8" t="s">
        <v>1269</v>
      </c>
      <c r="G154" s="10" t="s">
        <v>87</v>
      </c>
      <c r="H154" s="8" t="s">
        <v>1270</v>
      </c>
      <c r="I154" s="10" t="s">
        <v>594</v>
      </c>
      <c r="J154" s="8" t="s">
        <v>1225</v>
      </c>
      <c r="K154" s="8" t="s">
        <v>87</v>
      </c>
      <c r="L154" s="8" t="s">
        <v>87</v>
      </c>
      <c r="M154" s="10" t="s">
        <v>87</v>
      </c>
      <c r="N154" s="8" t="s">
        <v>87</v>
      </c>
      <c r="O154" s="10" t="s">
        <v>21</v>
      </c>
      <c r="P154" s="8" t="s">
        <v>1271</v>
      </c>
      <c r="Q154" s="10" t="s">
        <v>239</v>
      </c>
      <c r="R154" s="10" t="s">
        <v>613</v>
      </c>
      <c r="S154" s="8" t="s">
        <v>338</v>
      </c>
      <c r="T154" s="10" t="s">
        <v>253</v>
      </c>
      <c r="U154" s="10" t="s">
        <v>87</v>
      </c>
      <c r="V154" s="10" t="s">
        <v>87</v>
      </c>
    </row>
    <row r="155" spans="1:22" s="10" customFormat="1" x14ac:dyDescent="0.25">
      <c r="A155" s="10" t="s">
        <v>1272</v>
      </c>
      <c r="B155" s="10" t="s">
        <v>1203</v>
      </c>
      <c r="C155" s="10" t="s">
        <v>215</v>
      </c>
      <c r="D155" s="10" t="s">
        <v>1273</v>
      </c>
      <c r="E155" s="8" t="s">
        <v>1274</v>
      </c>
      <c r="F155" s="8" t="s">
        <v>1275</v>
      </c>
      <c r="G155" s="10" t="s">
        <v>87</v>
      </c>
      <c r="H155" s="8" t="s">
        <v>1212</v>
      </c>
      <c r="I155" s="10" t="s">
        <v>594</v>
      </c>
      <c r="J155" s="8" t="s">
        <v>831</v>
      </c>
      <c r="K155" s="8" t="s">
        <v>87</v>
      </c>
      <c r="L155" s="8" t="s">
        <v>87</v>
      </c>
      <c r="M155" s="10" t="s">
        <v>87</v>
      </c>
      <c r="N155" s="8" t="s">
        <v>87</v>
      </c>
      <c r="O155" s="10" t="s">
        <v>21</v>
      </c>
      <c r="P155" s="8" t="s">
        <v>1276</v>
      </c>
      <c r="Q155" s="10" t="s">
        <v>223</v>
      </c>
      <c r="R155" s="10" t="s">
        <v>613</v>
      </c>
      <c r="S155" s="8" t="s">
        <v>220</v>
      </c>
      <c r="T155" s="10" t="s">
        <v>253</v>
      </c>
      <c r="U155" s="10" t="s">
        <v>87</v>
      </c>
      <c r="V155" s="10" t="s">
        <v>87</v>
      </c>
    </row>
    <row r="156" spans="1:22" s="10" customFormat="1" x14ac:dyDescent="0.25">
      <c r="A156" s="10" t="s">
        <v>1277</v>
      </c>
      <c r="B156" s="10" t="s">
        <v>1203</v>
      </c>
      <c r="C156" s="11" t="s">
        <v>346</v>
      </c>
      <c r="D156" s="10" t="s">
        <v>1278</v>
      </c>
      <c r="E156" s="8" t="s">
        <v>1279</v>
      </c>
      <c r="F156" s="8" t="s">
        <v>1280</v>
      </c>
      <c r="G156" s="10" t="s">
        <v>87</v>
      </c>
      <c r="H156" s="8" t="s">
        <v>220</v>
      </c>
      <c r="I156" s="10" t="s">
        <v>594</v>
      </c>
      <c r="J156" s="8" t="s">
        <v>831</v>
      </c>
      <c r="K156" s="8" t="s">
        <v>87</v>
      </c>
      <c r="L156" s="8" t="s">
        <v>87</v>
      </c>
      <c r="M156" s="10" t="s">
        <v>87</v>
      </c>
      <c r="N156" s="8" t="s">
        <v>1281</v>
      </c>
      <c r="O156" s="10" t="s">
        <v>21</v>
      </c>
      <c r="P156" s="8" t="s">
        <v>1282</v>
      </c>
      <c r="Q156" s="10" t="s">
        <v>239</v>
      </c>
      <c r="R156" s="10" t="s">
        <v>406</v>
      </c>
      <c r="S156" s="8" t="s">
        <v>1283</v>
      </c>
      <c r="T156" s="10" t="s">
        <v>253</v>
      </c>
      <c r="U156" s="10" t="s">
        <v>87</v>
      </c>
      <c r="V156" s="10" t="s">
        <v>87</v>
      </c>
    </row>
    <row r="157" spans="1:22" s="10" customFormat="1" x14ac:dyDescent="0.25">
      <c r="A157" s="10" t="s">
        <v>1284</v>
      </c>
      <c r="B157" s="10" t="s">
        <v>1285</v>
      </c>
      <c r="C157" s="11" t="s">
        <v>346</v>
      </c>
      <c r="D157" s="10" t="s">
        <v>1286</v>
      </c>
      <c r="E157" s="8" t="s">
        <v>1287</v>
      </c>
      <c r="F157" s="8" t="s">
        <v>1288</v>
      </c>
      <c r="G157" s="10" t="s">
        <v>87</v>
      </c>
      <c r="H157" s="8" t="s">
        <v>1289</v>
      </c>
      <c r="I157" s="10" t="s">
        <v>706</v>
      </c>
      <c r="J157" s="8" t="s">
        <v>1290</v>
      </c>
      <c r="K157" s="8" t="s">
        <v>87</v>
      </c>
      <c r="L157" s="8" t="s">
        <v>87</v>
      </c>
      <c r="M157" s="10" t="s">
        <v>87</v>
      </c>
      <c r="N157" s="8" t="s">
        <v>87</v>
      </c>
      <c r="O157" s="10" t="s">
        <v>21</v>
      </c>
      <c r="P157" s="8" t="s">
        <v>1291</v>
      </c>
      <c r="Q157" s="10" t="s">
        <v>239</v>
      </c>
      <c r="R157" s="10" t="s">
        <v>689</v>
      </c>
      <c r="S157" s="8" t="s">
        <v>1292</v>
      </c>
      <c r="T157" s="10" t="s">
        <v>1293</v>
      </c>
      <c r="U157" s="10" t="s">
        <v>87</v>
      </c>
      <c r="V157" s="10" t="s">
        <v>87</v>
      </c>
    </row>
    <row r="158" spans="1:22" s="10" customFormat="1" x14ac:dyDescent="0.25">
      <c r="A158" s="10" t="s">
        <v>1294</v>
      </c>
      <c r="B158" s="10" t="s">
        <v>1285</v>
      </c>
      <c r="C158" s="11" t="s">
        <v>346</v>
      </c>
      <c r="D158" s="10" t="s">
        <v>1295</v>
      </c>
      <c r="E158" s="8" t="s">
        <v>1296</v>
      </c>
      <c r="F158" s="8" t="s">
        <v>1297</v>
      </c>
      <c r="G158" s="10" t="s">
        <v>87</v>
      </c>
      <c r="H158" s="8" t="s">
        <v>1298</v>
      </c>
      <c r="I158" s="10" t="s">
        <v>706</v>
      </c>
      <c r="J158" s="8" t="s">
        <v>1290</v>
      </c>
      <c r="K158" s="8" t="s">
        <v>87</v>
      </c>
      <c r="L158" s="8" t="s">
        <v>87</v>
      </c>
      <c r="M158" s="10" t="s">
        <v>87</v>
      </c>
      <c r="N158" s="8" t="s">
        <v>1299</v>
      </c>
      <c r="O158" s="10" t="s">
        <v>21</v>
      </c>
      <c r="P158" s="8" t="s">
        <v>1300</v>
      </c>
      <c r="Q158" s="10" t="s">
        <v>239</v>
      </c>
      <c r="R158" s="10" t="s">
        <v>689</v>
      </c>
      <c r="S158" s="8" t="s">
        <v>220</v>
      </c>
      <c r="T158" s="10" t="s">
        <v>1293</v>
      </c>
      <c r="U158" s="10" t="s">
        <v>87</v>
      </c>
      <c r="V158" s="10" t="s">
        <v>87</v>
      </c>
    </row>
    <row r="159" spans="1:22" s="10" customFormat="1" x14ac:dyDescent="0.25">
      <c r="A159" s="10" t="s">
        <v>1301</v>
      </c>
      <c r="B159" s="10" t="s">
        <v>1285</v>
      </c>
      <c r="C159" s="11" t="s">
        <v>346</v>
      </c>
      <c r="D159" s="10" t="s">
        <v>168</v>
      </c>
      <c r="E159" s="8" t="s">
        <v>1302</v>
      </c>
      <c r="F159" s="8" t="s">
        <v>1303</v>
      </c>
      <c r="G159" s="10" t="s">
        <v>87</v>
      </c>
      <c r="H159" s="8" t="s">
        <v>220</v>
      </c>
      <c r="I159" s="10" t="s">
        <v>594</v>
      </c>
      <c r="J159" s="8" t="s">
        <v>1290</v>
      </c>
      <c r="K159" s="8" t="s">
        <v>87</v>
      </c>
      <c r="L159" s="8" t="s">
        <v>87</v>
      </c>
      <c r="M159" s="10" t="s">
        <v>87</v>
      </c>
      <c r="N159" s="8" t="s">
        <v>1304</v>
      </c>
      <c r="O159" s="10" t="s">
        <v>21</v>
      </c>
      <c r="P159" s="8" t="s">
        <v>1305</v>
      </c>
      <c r="Q159" s="10" t="s">
        <v>239</v>
      </c>
      <c r="R159" s="10" t="s">
        <v>689</v>
      </c>
      <c r="S159" s="8" t="s">
        <v>1306</v>
      </c>
      <c r="T159" s="10" t="s">
        <v>1293</v>
      </c>
      <c r="U159" s="10" t="s">
        <v>87</v>
      </c>
      <c r="V159" s="10" t="s">
        <v>87</v>
      </c>
    </row>
    <row r="160" spans="1:22" s="10" customFormat="1" x14ac:dyDescent="0.25">
      <c r="A160" s="10" t="s">
        <v>1307</v>
      </c>
      <c r="B160" s="10" t="s">
        <v>1285</v>
      </c>
      <c r="C160" s="11" t="s">
        <v>346</v>
      </c>
      <c r="D160" s="10" t="s">
        <v>1308</v>
      </c>
      <c r="E160" s="8" t="s">
        <v>1309</v>
      </c>
      <c r="F160" s="8" t="s">
        <v>1310</v>
      </c>
      <c r="G160" s="10" t="s">
        <v>87</v>
      </c>
      <c r="H160" s="8" t="s">
        <v>220</v>
      </c>
      <c r="I160" s="10" t="s">
        <v>539</v>
      </c>
      <c r="J160" s="8" t="s">
        <v>1290</v>
      </c>
      <c r="K160" s="8" t="s">
        <v>87</v>
      </c>
      <c r="L160" s="8" t="s">
        <v>87</v>
      </c>
      <c r="M160" s="10" t="s">
        <v>87</v>
      </c>
      <c r="N160" s="8" t="s">
        <v>87</v>
      </c>
      <c r="O160" s="10" t="s">
        <v>21</v>
      </c>
      <c r="P160" s="8" t="s">
        <v>1311</v>
      </c>
      <c r="Q160" s="10" t="s">
        <v>239</v>
      </c>
      <c r="R160" s="10" t="s">
        <v>951</v>
      </c>
      <c r="S160" s="8" t="s">
        <v>1312</v>
      </c>
      <c r="T160" s="10" t="s">
        <v>1293</v>
      </c>
      <c r="U160" s="10" t="s">
        <v>87</v>
      </c>
      <c r="V160" s="10" t="s">
        <v>87</v>
      </c>
    </row>
    <row r="161" spans="1:22" s="10" customFormat="1" x14ac:dyDescent="0.25">
      <c r="A161" s="10" t="s">
        <v>1313</v>
      </c>
      <c r="B161" s="10" t="s">
        <v>1285</v>
      </c>
      <c r="C161" s="11" t="s">
        <v>346</v>
      </c>
      <c r="D161" s="10" t="s">
        <v>1314</v>
      </c>
      <c r="E161" s="8" t="s">
        <v>1315</v>
      </c>
      <c r="F161" s="8" t="s">
        <v>1316</v>
      </c>
      <c r="G161" s="10" t="s">
        <v>87</v>
      </c>
      <c r="H161" s="8" t="s">
        <v>220</v>
      </c>
      <c r="I161" s="10" t="s">
        <v>993</v>
      </c>
      <c r="J161" s="8" t="s">
        <v>1290</v>
      </c>
      <c r="K161" s="8" t="s">
        <v>87</v>
      </c>
      <c r="L161" s="8" t="s">
        <v>87</v>
      </c>
      <c r="M161" s="10" t="s">
        <v>87</v>
      </c>
      <c r="N161" s="8" t="s">
        <v>1317</v>
      </c>
      <c r="O161" s="10" t="s">
        <v>21</v>
      </c>
      <c r="P161" s="8" t="s">
        <v>1318</v>
      </c>
      <c r="Q161" s="10" t="s">
        <v>239</v>
      </c>
      <c r="R161" s="10" t="s">
        <v>995</v>
      </c>
      <c r="S161" s="8" t="s">
        <v>1319</v>
      </c>
      <c r="T161" s="10" t="s">
        <v>1293</v>
      </c>
      <c r="U161" s="10" t="s">
        <v>87</v>
      </c>
      <c r="V161" s="10" t="s">
        <v>87</v>
      </c>
    </row>
    <row r="162" spans="1:22" s="10" customFormat="1" x14ac:dyDescent="0.25">
      <c r="A162" s="10" t="s">
        <v>1320</v>
      </c>
      <c r="B162" s="10" t="s">
        <v>1285</v>
      </c>
      <c r="C162" s="11" t="s">
        <v>346</v>
      </c>
      <c r="D162" s="10" t="s">
        <v>1321</v>
      </c>
      <c r="E162" s="8" t="s">
        <v>1322</v>
      </c>
      <c r="F162" s="8" t="s">
        <v>1323</v>
      </c>
      <c r="G162" s="10" t="s">
        <v>87</v>
      </c>
      <c r="H162" s="8" t="s">
        <v>220</v>
      </c>
      <c r="I162" s="10" t="s">
        <v>993</v>
      </c>
      <c r="J162" s="8" t="s">
        <v>1290</v>
      </c>
      <c r="K162" s="8" t="s">
        <v>87</v>
      </c>
      <c r="L162" s="8" t="s">
        <v>87</v>
      </c>
      <c r="M162" s="10" t="s">
        <v>87</v>
      </c>
      <c r="N162" s="8" t="s">
        <v>1324</v>
      </c>
      <c r="O162" s="10" t="s">
        <v>21</v>
      </c>
      <c r="P162" s="8" t="s">
        <v>1325</v>
      </c>
      <c r="Q162" s="10" t="s">
        <v>239</v>
      </c>
      <c r="R162" s="10" t="s">
        <v>995</v>
      </c>
      <c r="S162" s="8" t="s">
        <v>1326</v>
      </c>
      <c r="T162" s="10" t="s">
        <v>1293</v>
      </c>
      <c r="U162" s="10" t="s">
        <v>87</v>
      </c>
      <c r="V162" s="10" t="s">
        <v>87</v>
      </c>
    </row>
    <row r="163" spans="1:22" s="10" customFormat="1" x14ac:dyDescent="0.25">
      <c r="A163" s="10" t="s">
        <v>1327</v>
      </c>
      <c r="B163" s="10" t="s">
        <v>1285</v>
      </c>
      <c r="C163" s="11" t="s">
        <v>346</v>
      </c>
      <c r="D163" s="10" t="s">
        <v>1328</v>
      </c>
      <c r="E163" s="8" t="s">
        <v>1329</v>
      </c>
      <c r="F163" s="8" t="s">
        <v>1323</v>
      </c>
      <c r="G163" s="10" t="s">
        <v>87</v>
      </c>
      <c r="H163" s="8" t="s">
        <v>220</v>
      </c>
      <c r="I163" s="10" t="s">
        <v>479</v>
      </c>
      <c r="J163" s="8" t="s">
        <v>1290</v>
      </c>
      <c r="K163" s="8" t="s">
        <v>87</v>
      </c>
      <c r="L163" s="8" t="s">
        <v>87</v>
      </c>
      <c r="M163" s="10" t="s">
        <v>87</v>
      </c>
      <c r="N163" s="8" t="s">
        <v>87</v>
      </c>
      <c r="O163" s="10" t="s">
        <v>21</v>
      </c>
      <c r="P163" s="8" t="s">
        <v>1330</v>
      </c>
      <c r="Q163" s="10" t="s">
        <v>239</v>
      </c>
      <c r="R163" s="10" t="s">
        <v>689</v>
      </c>
      <c r="S163" s="8" t="s">
        <v>1331</v>
      </c>
      <c r="T163" s="10" t="s">
        <v>1293</v>
      </c>
      <c r="U163" s="10" t="s">
        <v>87</v>
      </c>
      <c r="V163" s="10" t="s">
        <v>87</v>
      </c>
    </row>
    <row r="164" spans="1:22" s="10" customFormat="1" x14ac:dyDescent="0.25">
      <c r="A164" s="10" t="s">
        <v>1332</v>
      </c>
      <c r="B164" s="10" t="s">
        <v>1285</v>
      </c>
      <c r="C164" s="11" t="s">
        <v>346</v>
      </c>
      <c r="D164" s="10" t="s">
        <v>1333</v>
      </c>
      <c r="E164" s="8" t="s">
        <v>1334</v>
      </c>
      <c r="F164" s="8" t="s">
        <v>1323</v>
      </c>
      <c r="G164" s="10" t="s">
        <v>87</v>
      </c>
      <c r="H164" s="8" t="s">
        <v>220</v>
      </c>
      <c r="I164" s="10" t="s">
        <v>1335</v>
      </c>
      <c r="J164" s="8" t="s">
        <v>1290</v>
      </c>
      <c r="K164" s="8" t="s">
        <v>87</v>
      </c>
      <c r="L164" s="8" t="s">
        <v>87</v>
      </c>
      <c r="M164" s="10" t="s">
        <v>87</v>
      </c>
      <c r="N164" s="8" t="s">
        <v>87</v>
      </c>
      <c r="O164" s="10" t="s">
        <v>21</v>
      </c>
      <c r="P164" s="8" t="s">
        <v>1336</v>
      </c>
      <c r="Q164" s="10" t="s">
        <v>239</v>
      </c>
      <c r="R164" s="10" t="s">
        <v>689</v>
      </c>
      <c r="S164" s="8" t="s">
        <v>1337</v>
      </c>
      <c r="T164" s="10" t="s">
        <v>1293</v>
      </c>
      <c r="U164" s="10" t="s">
        <v>87</v>
      </c>
      <c r="V164" s="10" t="s">
        <v>87</v>
      </c>
    </row>
    <row r="165" spans="1:22" s="10" customFormat="1" x14ac:dyDescent="0.25">
      <c r="A165" s="10" t="s">
        <v>1338</v>
      </c>
      <c r="B165" s="10" t="s">
        <v>1285</v>
      </c>
      <c r="C165" s="11" t="s">
        <v>346</v>
      </c>
      <c r="D165" s="10" t="s">
        <v>1339</v>
      </c>
      <c r="E165" s="8" t="s">
        <v>1340</v>
      </c>
      <c r="F165" s="8" t="s">
        <v>1341</v>
      </c>
      <c r="G165" s="10" t="s">
        <v>87</v>
      </c>
      <c r="H165" s="8" t="s">
        <v>220</v>
      </c>
      <c r="I165" s="10" t="s">
        <v>955</v>
      </c>
      <c r="J165" s="8" t="s">
        <v>1290</v>
      </c>
      <c r="K165" s="8" t="s">
        <v>87</v>
      </c>
      <c r="L165" s="8" t="s">
        <v>87</v>
      </c>
      <c r="M165" s="10" t="s">
        <v>87</v>
      </c>
      <c r="N165" s="8" t="s">
        <v>87</v>
      </c>
      <c r="O165" s="10" t="s">
        <v>21</v>
      </c>
      <c r="P165" s="8" t="s">
        <v>1342</v>
      </c>
      <c r="Q165" s="10" t="s">
        <v>239</v>
      </c>
      <c r="R165" s="10" t="s">
        <v>406</v>
      </c>
      <c r="S165" s="8" t="s">
        <v>772</v>
      </c>
      <c r="T165" s="10" t="s">
        <v>1293</v>
      </c>
      <c r="U165" s="10" t="s">
        <v>87</v>
      </c>
      <c r="V165" s="10" t="s">
        <v>87</v>
      </c>
    </row>
    <row r="166" spans="1:22" s="10" customFormat="1" x14ac:dyDescent="0.25">
      <c r="A166" s="10" t="s">
        <v>1343</v>
      </c>
      <c r="B166" s="10" t="s">
        <v>1285</v>
      </c>
      <c r="C166" s="11" t="s">
        <v>346</v>
      </c>
      <c r="D166" s="10" t="s">
        <v>1344</v>
      </c>
      <c r="E166" s="8" t="s">
        <v>1345</v>
      </c>
      <c r="F166" s="8" t="s">
        <v>1346</v>
      </c>
      <c r="G166" s="10" t="s">
        <v>87</v>
      </c>
      <c r="H166" s="8" t="s">
        <v>1347</v>
      </c>
      <c r="I166" s="10" t="s">
        <v>594</v>
      </c>
      <c r="J166" s="8" t="s">
        <v>1290</v>
      </c>
      <c r="K166" s="8" t="s">
        <v>87</v>
      </c>
      <c r="L166" s="8" t="s">
        <v>87</v>
      </c>
      <c r="M166" s="10" t="s">
        <v>87</v>
      </c>
      <c r="N166" s="8" t="s">
        <v>87</v>
      </c>
      <c r="O166" s="10" t="s">
        <v>21</v>
      </c>
      <c r="P166" s="8" t="s">
        <v>1348</v>
      </c>
      <c r="Q166" s="10" t="s">
        <v>239</v>
      </c>
      <c r="R166" s="10" t="s">
        <v>689</v>
      </c>
      <c r="S166" s="8" t="s">
        <v>1349</v>
      </c>
      <c r="T166" s="10" t="s">
        <v>1293</v>
      </c>
      <c r="U166" s="10" t="s">
        <v>87</v>
      </c>
      <c r="V166" s="10" t="s">
        <v>87</v>
      </c>
    </row>
    <row r="167" spans="1:22" s="10" customFormat="1" x14ac:dyDescent="0.25">
      <c r="A167" s="10" t="s">
        <v>1350</v>
      </c>
      <c r="B167" s="10" t="s">
        <v>1285</v>
      </c>
      <c r="C167" s="11" t="s">
        <v>346</v>
      </c>
      <c r="D167" s="10" t="s">
        <v>1351</v>
      </c>
      <c r="E167" s="8" t="s">
        <v>1352</v>
      </c>
      <c r="F167" s="8" t="s">
        <v>1353</v>
      </c>
      <c r="G167" s="10" t="s">
        <v>87</v>
      </c>
      <c r="H167" s="8" t="s">
        <v>1298</v>
      </c>
      <c r="I167" s="10" t="s">
        <v>706</v>
      </c>
      <c r="J167" s="8" t="s">
        <v>1290</v>
      </c>
      <c r="K167" s="8" t="s">
        <v>87</v>
      </c>
      <c r="L167" s="8" t="s">
        <v>87</v>
      </c>
      <c r="M167" s="10" t="s">
        <v>87</v>
      </c>
      <c r="N167" s="8" t="s">
        <v>87</v>
      </c>
      <c r="O167" s="10" t="s">
        <v>21</v>
      </c>
      <c r="P167" s="8" t="s">
        <v>1354</v>
      </c>
      <c r="Q167" s="10" t="s">
        <v>239</v>
      </c>
      <c r="R167" s="10" t="s">
        <v>689</v>
      </c>
      <c r="S167" s="8" t="s">
        <v>1355</v>
      </c>
      <c r="T167" s="10" t="s">
        <v>1293</v>
      </c>
      <c r="U167" s="10" t="s">
        <v>87</v>
      </c>
      <c r="V167" s="10" t="s">
        <v>87</v>
      </c>
    </row>
    <row r="168" spans="1:22" s="10" customFormat="1" x14ac:dyDescent="0.25">
      <c r="A168" s="10" t="s">
        <v>1356</v>
      </c>
      <c r="B168" s="10" t="s">
        <v>1285</v>
      </c>
      <c r="C168" s="11" t="s">
        <v>346</v>
      </c>
      <c r="D168" s="10" t="s">
        <v>1357</v>
      </c>
      <c r="E168" s="8" t="s">
        <v>1358</v>
      </c>
      <c r="F168" s="8" t="s">
        <v>1359</v>
      </c>
      <c r="G168" s="10" t="s">
        <v>87</v>
      </c>
      <c r="H168" s="8" t="s">
        <v>654</v>
      </c>
      <c r="I168" s="10" t="s">
        <v>594</v>
      </c>
      <c r="J168" s="8" t="s">
        <v>1290</v>
      </c>
      <c r="K168" s="8" t="s">
        <v>87</v>
      </c>
      <c r="L168" s="8" t="s">
        <v>87</v>
      </c>
      <c r="M168" s="10" t="s">
        <v>87</v>
      </c>
      <c r="N168" s="8" t="s">
        <v>1360</v>
      </c>
      <c r="O168" s="10" t="s">
        <v>21</v>
      </c>
      <c r="P168" s="8" t="s">
        <v>1361</v>
      </c>
      <c r="Q168" s="10" t="s">
        <v>239</v>
      </c>
      <c r="R168" s="10" t="s">
        <v>689</v>
      </c>
      <c r="S168" s="8" t="s">
        <v>749</v>
      </c>
      <c r="T168" s="10" t="s">
        <v>1293</v>
      </c>
      <c r="U168" s="10" t="s">
        <v>87</v>
      </c>
      <c r="V168" s="10" t="s">
        <v>87</v>
      </c>
    </row>
    <row r="169" spans="1:22" s="10" customFormat="1" x14ac:dyDescent="0.25">
      <c r="A169" s="10" t="s">
        <v>1362</v>
      </c>
      <c r="B169" s="10" t="s">
        <v>1285</v>
      </c>
      <c r="C169" s="11" t="s">
        <v>346</v>
      </c>
      <c r="D169" s="10" t="s">
        <v>1363</v>
      </c>
      <c r="E169" s="8" t="s">
        <v>1364</v>
      </c>
      <c r="F169" s="8" t="s">
        <v>1365</v>
      </c>
      <c r="G169" s="10" t="s">
        <v>87</v>
      </c>
      <c r="H169" s="8" t="s">
        <v>220</v>
      </c>
      <c r="I169" s="10" t="s">
        <v>594</v>
      </c>
      <c r="J169" s="8" t="s">
        <v>1366</v>
      </c>
      <c r="K169" s="8" t="s">
        <v>87</v>
      </c>
      <c r="L169" s="8" t="s">
        <v>87</v>
      </c>
      <c r="M169" s="10" t="s">
        <v>87</v>
      </c>
      <c r="N169" s="8" t="s">
        <v>1367</v>
      </c>
      <c r="O169" s="10" t="s">
        <v>21</v>
      </c>
      <c r="P169" s="8" t="s">
        <v>1368</v>
      </c>
      <c r="Q169" s="10" t="s">
        <v>239</v>
      </c>
      <c r="R169" s="10" t="s">
        <v>220</v>
      </c>
      <c r="S169" s="8" t="s">
        <v>220</v>
      </c>
      <c r="T169" s="10" t="s">
        <v>1293</v>
      </c>
      <c r="U169" s="10" t="s">
        <v>87</v>
      </c>
      <c r="V169" s="10" t="s">
        <v>87</v>
      </c>
    </row>
    <row r="170" spans="1:22" s="10" customFormat="1" x14ac:dyDescent="0.25">
      <c r="A170" s="10" t="s">
        <v>1369</v>
      </c>
      <c r="B170" s="10" t="s">
        <v>1285</v>
      </c>
      <c r="C170" s="11" t="s">
        <v>346</v>
      </c>
      <c r="D170" s="10" t="s">
        <v>1370</v>
      </c>
      <c r="E170" s="8" t="s">
        <v>1371</v>
      </c>
      <c r="F170" s="8" t="s">
        <v>1372</v>
      </c>
      <c r="G170" s="10" t="s">
        <v>87</v>
      </c>
      <c r="H170" s="8" t="s">
        <v>1373</v>
      </c>
      <c r="I170" s="10" t="s">
        <v>594</v>
      </c>
      <c r="J170" s="8" t="s">
        <v>1290</v>
      </c>
      <c r="K170" s="8" t="s">
        <v>87</v>
      </c>
      <c r="L170" s="8" t="s">
        <v>87</v>
      </c>
      <c r="M170" s="10" t="s">
        <v>87</v>
      </c>
      <c r="N170" s="8" t="s">
        <v>1374</v>
      </c>
      <c r="O170" s="10" t="s">
        <v>21</v>
      </c>
      <c r="P170" s="8" t="s">
        <v>1375</v>
      </c>
      <c r="Q170" s="10" t="s">
        <v>239</v>
      </c>
      <c r="R170" s="10" t="s">
        <v>689</v>
      </c>
      <c r="S170" s="8" t="s">
        <v>220</v>
      </c>
      <c r="T170" s="10" t="s">
        <v>253</v>
      </c>
      <c r="U170" s="10" t="s">
        <v>87</v>
      </c>
      <c r="V170" s="10" t="s">
        <v>87</v>
      </c>
    </row>
    <row r="171" spans="1:22" s="10" customFormat="1" x14ac:dyDescent="0.25">
      <c r="A171" s="10" t="s">
        <v>1376</v>
      </c>
      <c r="B171" s="10" t="s">
        <v>1285</v>
      </c>
      <c r="C171" s="11" t="s">
        <v>346</v>
      </c>
      <c r="D171" s="10" t="s">
        <v>1377</v>
      </c>
      <c r="E171" s="8" t="s">
        <v>1378</v>
      </c>
      <c r="F171" s="8" t="s">
        <v>1379</v>
      </c>
      <c r="G171" s="10" t="s">
        <v>87</v>
      </c>
      <c r="H171" s="8" t="s">
        <v>220</v>
      </c>
      <c r="I171" s="10" t="s">
        <v>594</v>
      </c>
      <c r="J171" s="8" t="s">
        <v>1290</v>
      </c>
      <c r="K171" s="8" t="s">
        <v>87</v>
      </c>
      <c r="L171" s="8" t="s">
        <v>87</v>
      </c>
      <c r="M171" s="10" t="s">
        <v>87</v>
      </c>
      <c r="N171" s="8" t="s">
        <v>87</v>
      </c>
      <c r="O171" s="10" t="s">
        <v>21</v>
      </c>
      <c r="P171" s="8" t="s">
        <v>1380</v>
      </c>
      <c r="Q171" s="10" t="s">
        <v>239</v>
      </c>
      <c r="R171" s="10" t="s">
        <v>689</v>
      </c>
      <c r="S171" s="8" t="s">
        <v>220</v>
      </c>
      <c r="T171" s="10" t="s">
        <v>253</v>
      </c>
      <c r="U171" s="10" t="s">
        <v>87</v>
      </c>
      <c r="V171" s="10" t="s">
        <v>87</v>
      </c>
    </row>
    <row r="172" spans="1:22" s="10" customFormat="1" x14ac:dyDescent="0.25">
      <c r="A172" s="10" t="s">
        <v>1381</v>
      </c>
      <c r="B172" s="10" t="s">
        <v>1285</v>
      </c>
      <c r="C172" s="11" t="s">
        <v>346</v>
      </c>
      <c r="D172" s="10" t="s">
        <v>1382</v>
      </c>
      <c r="E172" s="8" t="s">
        <v>1383</v>
      </c>
      <c r="F172" s="8" t="s">
        <v>1384</v>
      </c>
      <c r="G172" s="10" t="s">
        <v>87</v>
      </c>
      <c r="H172" s="8" t="s">
        <v>1385</v>
      </c>
      <c r="I172" s="10" t="s">
        <v>539</v>
      </c>
      <c r="J172" s="8" t="s">
        <v>1290</v>
      </c>
      <c r="K172" s="8" t="s">
        <v>87</v>
      </c>
      <c r="L172" s="8" t="s">
        <v>87</v>
      </c>
      <c r="M172" s="10" t="s">
        <v>87</v>
      </c>
      <c r="N172" s="8" t="s">
        <v>1386</v>
      </c>
      <c r="O172" s="10" t="s">
        <v>21</v>
      </c>
      <c r="P172" s="8" t="s">
        <v>1387</v>
      </c>
      <c r="Q172" s="10" t="s">
        <v>239</v>
      </c>
      <c r="R172" s="10" t="s">
        <v>1388</v>
      </c>
      <c r="S172" s="8" t="s">
        <v>1389</v>
      </c>
      <c r="T172" s="10" t="s">
        <v>1293</v>
      </c>
      <c r="U172" s="10" t="s">
        <v>87</v>
      </c>
      <c r="V172" s="10" t="s">
        <v>87</v>
      </c>
    </row>
    <row r="173" spans="1:22" s="10" customFormat="1" x14ac:dyDescent="0.25">
      <c r="A173" s="10" t="s">
        <v>1390</v>
      </c>
      <c r="B173" s="10" t="s">
        <v>1391</v>
      </c>
      <c r="C173" s="10" t="s">
        <v>215</v>
      </c>
      <c r="D173" s="10" t="s">
        <v>1392</v>
      </c>
      <c r="E173" s="8" t="s">
        <v>1393</v>
      </c>
      <c r="F173" s="8" t="s">
        <v>1394</v>
      </c>
      <c r="G173" s="10" t="s">
        <v>87</v>
      </c>
      <c r="H173" s="8" t="s">
        <v>220</v>
      </c>
      <c r="I173" s="10" t="s">
        <v>594</v>
      </c>
      <c r="J173" s="8" t="s">
        <v>1395</v>
      </c>
      <c r="K173" s="8" t="s">
        <v>87</v>
      </c>
      <c r="L173" s="8" t="s">
        <v>87</v>
      </c>
      <c r="M173" s="10" t="s">
        <v>87</v>
      </c>
      <c r="N173" s="8" t="s">
        <v>87</v>
      </c>
      <c r="O173" s="10" t="s">
        <v>21</v>
      </c>
      <c r="P173" s="8" t="s">
        <v>1396</v>
      </c>
      <c r="Q173" s="10" t="s">
        <v>223</v>
      </c>
      <c r="R173" s="10" t="s">
        <v>406</v>
      </c>
      <c r="S173" s="8" t="s">
        <v>220</v>
      </c>
      <c r="T173" s="10" t="s">
        <v>1397</v>
      </c>
      <c r="U173" s="10" t="s">
        <v>87</v>
      </c>
      <c r="V173" s="10" t="s">
        <v>87</v>
      </c>
    </row>
    <row r="174" spans="1:22" s="10" customFormat="1" x14ac:dyDescent="0.25">
      <c r="A174" s="10" t="s">
        <v>1398</v>
      </c>
      <c r="B174" s="10" t="s">
        <v>1391</v>
      </c>
      <c r="C174" s="10" t="s">
        <v>215</v>
      </c>
      <c r="D174" s="10" t="s">
        <v>1399</v>
      </c>
      <c r="E174" s="8" t="s">
        <v>1400</v>
      </c>
      <c r="F174" s="8" t="s">
        <v>1401</v>
      </c>
      <c r="G174" s="10" t="s">
        <v>87</v>
      </c>
      <c r="H174" s="8" t="s">
        <v>1402</v>
      </c>
      <c r="I174" s="10" t="s">
        <v>594</v>
      </c>
      <c r="J174" s="8" t="s">
        <v>1403</v>
      </c>
      <c r="K174" s="8" t="s">
        <v>87</v>
      </c>
      <c r="L174" s="8" t="s">
        <v>87</v>
      </c>
      <c r="M174" s="10" t="s">
        <v>87</v>
      </c>
      <c r="N174" s="8" t="s">
        <v>87</v>
      </c>
      <c r="O174" s="10" t="s">
        <v>21</v>
      </c>
      <c r="P174" s="8" t="s">
        <v>1404</v>
      </c>
      <c r="Q174" s="10" t="s">
        <v>223</v>
      </c>
      <c r="R174" s="10" t="s">
        <v>406</v>
      </c>
      <c r="S174" s="8" t="s">
        <v>1405</v>
      </c>
      <c r="T174" s="10" t="s">
        <v>1397</v>
      </c>
      <c r="U174" s="10" t="s">
        <v>87</v>
      </c>
      <c r="V174" s="10" t="s">
        <v>87</v>
      </c>
    </row>
    <row r="175" spans="1:22" s="10" customFormat="1" x14ac:dyDescent="0.25">
      <c r="A175" s="10" t="s">
        <v>1406</v>
      </c>
      <c r="B175" s="10" t="s">
        <v>1391</v>
      </c>
      <c r="C175" s="10" t="s">
        <v>215</v>
      </c>
      <c r="D175" s="10" t="s">
        <v>1407</v>
      </c>
      <c r="E175" s="8" t="s">
        <v>1408</v>
      </c>
      <c r="F175" s="8" t="s">
        <v>1409</v>
      </c>
      <c r="G175" s="10" t="s">
        <v>87</v>
      </c>
      <c r="H175" s="8" t="s">
        <v>220</v>
      </c>
      <c r="I175" s="10" t="s">
        <v>879</v>
      </c>
      <c r="J175" s="8" t="s">
        <v>1395</v>
      </c>
      <c r="K175" s="8" t="s">
        <v>87</v>
      </c>
      <c r="L175" s="8" t="s">
        <v>87</v>
      </c>
      <c r="M175" s="10" t="s">
        <v>87</v>
      </c>
      <c r="N175" s="8" t="s">
        <v>87</v>
      </c>
      <c r="O175" s="10" t="s">
        <v>21</v>
      </c>
      <c r="P175" s="8" t="s">
        <v>1410</v>
      </c>
      <c r="Q175" s="10" t="s">
        <v>223</v>
      </c>
      <c r="R175" s="10" t="s">
        <v>406</v>
      </c>
      <c r="S175" s="8" t="s">
        <v>220</v>
      </c>
      <c r="T175" s="10" t="s">
        <v>253</v>
      </c>
      <c r="U175" s="10" t="s">
        <v>87</v>
      </c>
      <c r="V175" s="10" t="s">
        <v>87</v>
      </c>
    </row>
    <row r="176" spans="1:22" s="10" customFormat="1" x14ac:dyDescent="0.25">
      <c r="A176" s="10" t="s">
        <v>1411</v>
      </c>
      <c r="B176" s="10" t="s">
        <v>1391</v>
      </c>
      <c r="C176" s="11" t="s">
        <v>346</v>
      </c>
      <c r="D176" s="10" t="s">
        <v>1412</v>
      </c>
      <c r="E176" s="8" t="s">
        <v>1413</v>
      </c>
      <c r="F176" s="8" t="s">
        <v>932</v>
      </c>
      <c r="G176" s="10" t="s">
        <v>87</v>
      </c>
      <c r="H176" s="8" t="s">
        <v>654</v>
      </c>
      <c r="I176" s="10" t="s">
        <v>87</v>
      </c>
      <c r="J176" s="8" t="s">
        <v>1395</v>
      </c>
      <c r="K176" s="8" t="s">
        <v>87</v>
      </c>
      <c r="L176" s="8" t="s">
        <v>87</v>
      </c>
      <c r="M176" s="10" t="s">
        <v>87</v>
      </c>
      <c r="N176" s="8" t="s">
        <v>87</v>
      </c>
      <c r="O176" s="10" t="s">
        <v>21</v>
      </c>
      <c r="P176" s="8" t="s">
        <v>1414</v>
      </c>
      <c r="Q176" s="10" t="s">
        <v>825</v>
      </c>
      <c r="R176" s="10" t="s">
        <v>689</v>
      </c>
      <c r="S176" s="8" t="s">
        <v>220</v>
      </c>
      <c r="T176" s="10" t="s">
        <v>1397</v>
      </c>
      <c r="U176" s="10" t="s">
        <v>87</v>
      </c>
      <c r="V176" s="10" t="s">
        <v>87</v>
      </c>
    </row>
    <row r="177" spans="1:22" s="10" customFormat="1" x14ac:dyDescent="0.25">
      <c r="A177" s="10" t="s">
        <v>1415</v>
      </c>
      <c r="B177" s="10" t="s">
        <v>1391</v>
      </c>
      <c r="C177" s="11" t="s">
        <v>346</v>
      </c>
      <c r="D177" s="10" t="s">
        <v>1416</v>
      </c>
      <c r="E177" s="8" t="s">
        <v>1417</v>
      </c>
      <c r="F177" s="8" t="s">
        <v>1418</v>
      </c>
      <c r="G177" s="10" t="s">
        <v>87</v>
      </c>
      <c r="H177" s="8" t="s">
        <v>1419</v>
      </c>
      <c r="I177" s="10" t="s">
        <v>1420</v>
      </c>
      <c r="J177" s="8" t="s">
        <v>1395</v>
      </c>
      <c r="K177" s="8" t="s">
        <v>87</v>
      </c>
      <c r="L177" s="8" t="s">
        <v>87</v>
      </c>
      <c r="M177" s="10" t="s">
        <v>87</v>
      </c>
      <c r="N177" s="8" t="s">
        <v>1421</v>
      </c>
      <c r="O177" s="10" t="s">
        <v>21</v>
      </c>
      <c r="P177" s="8" t="s">
        <v>1422</v>
      </c>
      <c r="Q177" s="10" t="s">
        <v>239</v>
      </c>
      <c r="R177" s="10" t="s">
        <v>406</v>
      </c>
      <c r="S177" s="8" t="s">
        <v>1423</v>
      </c>
      <c r="T177" s="10" t="s">
        <v>1397</v>
      </c>
      <c r="U177" s="10" t="s">
        <v>87</v>
      </c>
      <c r="V177" s="10" t="s">
        <v>87</v>
      </c>
    </row>
    <row r="178" spans="1:22" s="10" customFormat="1" x14ac:dyDescent="0.25">
      <c r="A178" s="10" t="s">
        <v>1424</v>
      </c>
      <c r="B178" s="10" t="s">
        <v>1391</v>
      </c>
      <c r="C178" s="10" t="s">
        <v>215</v>
      </c>
      <c r="D178" s="10" t="s">
        <v>1425</v>
      </c>
      <c r="E178" s="8" t="s">
        <v>1426</v>
      </c>
      <c r="F178" s="8" t="s">
        <v>918</v>
      </c>
      <c r="G178" s="10" t="s">
        <v>87</v>
      </c>
      <c r="H178" s="8" t="s">
        <v>220</v>
      </c>
      <c r="I178" s="10" t="s">
        <v>594</v>
      </c>
      <c r="J178" s="8" t="s">
        <v>1395</v>
      </c>
      <c r="K178" s="8" t="s">
        <v>87</v>
      </c>
      <c r="L178" s="8" t="s">
        <v>87</v>
      </c>
      <c r="M178" s="10" t="s">
        <v>87</v>
      </c>
      <c r="N178" s="8" t="s">
        <v>87</v>
      </c>
      <c r="O178" s="10" t="s">
        <v>21</v>
      </c>
      <c r="P178" s="8" t="s">
        <v>1427</v>
      </c>
      <c r="Q178" s="10" t="s">
        <v>223</v>
      </c>
      <c r="R178" s="10" t="s">
        <v>406</v>
      </c>
      <c r="S178" s="8" t="s">
        <v>220</v>
      </c>
      <c r="T178" s="10" t="s">
        <v>253</v>
      </c>
      <c r="U178" s="10" t="s">
        <v>87</v>
      </c>
      <c r="V178" s="10" t="s">
        <v>87</v>
      </c>
    </row>
  </sheetData>
  <autoFilter ref="A1:V178"/>
  <conditionalFormatting sqref="G2:G178">
    <cfRule type="cellIs" dxfId="10" priority="1" operator="equal">
      <formula>"PASS"</formula>
    </cfRule>
    <cfRule type="cellIs" dxfId="11" priority="2" operator="equal">
      <formula>"FAIL"</formula>
    </cfRule>
    <cfRule type="cellIs" dxfId="12" priority="3" operator="equal">
      <formula>"BLOCKED"</formula>
    </cfRule>
  </conditionalFormatting>
  <conditionalFormatting sqref="A2:V178">
    <cfRule type="expression" dxfId="13" priority="10">
      <formula>$G2="FAIL"</formula>
    </cfRule>
  </conditionalFormatting>
  <dataValidations count="8">
    <dataValidation type="list" allowBlank="1" showErrorMessage="1" errorStyle="warning" errorTitle="Not a valid value" error="Choose one of: P1, P2, P3" sqref="C10:C178">
      <formula1>"P1,P2,P3"</formula1>
    </dataValidation>
    <dataValidation type="list" allowBlank="1" showErrorMessage="1" errorStyle="warning" errorTitle="Not a valid value" error="Choose one of: P1, P2, P3" sqref="C2:C178">
      <formula1>"P1,P2,P3"</formula1>
    </dataValidation>
    <dataValidation type="list" allowBlank="1" showErrorMessage="1" errorStyle="warning" errorTitle="Not a valid value" error="Choose one of: PASS, FAIL, BLOCKED, N/A" sqref="G10:G178">
      <formula1>"PASS,FAIL,BLOCKED,N/A"</formula1>
    </dataValidation>
    <dataValidation type="list" allowBlank="1" showErrorMessage="1" errorStyle="warning" errorTitle="Not a valid value" error="Choose one of: PASS, FAIL, BLOCKED, N/A" sqref="G2:G178">
      <formula1>"PASS,FAIL,BLOCKED,N/A"</formula1>
    </dataValidation>
    <dataValidation type="list" allowBlank="1" showErrorMessage="1" errorStyle="warning" errorTitle="Not a valid value" error="Choose one of: Y, N" sqref="M10:M178">
      <formula1>"Y,N"</formula1>
    </dataValidation>
    <dataValidation type="list" allowBlank="1" showErrorMessage="1" errorStyle="warning" errorTitle="Not a valid value" error="Choose one of: Y, N" sqref="M2:M178">
      <formula1>"Y,N"</formula1>
    </dataValidation>
    <dataValidation type="list" allowBlank="1" showErrorMessage="1" errorStyle="warning" errorTitle="Not a valid value" error="Choose one of: Positive, Negative, Boundary, RBAC, Cross-Module" sqref="Q10:Q178">
      <formula1>"Positive,Negative,Boundary,RBAC,Cross-Module"</formula1>
    </dataValidation>
    <dataValidation type="list" allowBlank="1" showErrorMessage="1" errorStyle="warning" errorTitle="Not a valid value" error="Choose one of: Positive, Negative, Boundary, RBAC, Cross-Module" sqref="Q2:Q178">
      <formula1>"Positive,Negative,Boundary,RBAC,Cross-Module"</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57"/>
  <sheetViews>
    <sheetView workbookViewId="0">
      <pane xSplit="1" ySplit="1" topLeftCell="B2" activePane="bottomRight" state="frozen"/>
      <selection pane="bottomRight"/>
    </sheetView>
  </sheetViews>
  <sheetFormatPr defaultRowHeight="18" outlineLevelRow="0" outlineLevelCol="0" x14ac:dyDescent="55" customHeight="1"/>
  <cols>
    <col min="1" max="1" width="16" customWidth="1"/>
    <col min="2" max="2" width="20" customWidth="1"/>
    <col min="4" max="4" width="46" customWidth="1"/>
    <col min="5" max="5" width="68" customWidth="1"/>
    <col min="6" max="6" width="52" customWidth="1"/>
    <col min="7" max="7" width="15" customWidth="1"/>
    <col min="8" max="8" width="30" customWidth="1"/>
    <col min="9" max="9" width="22" customWidth="1"/>
    <col min="10" max="10" width="30" customWidth="1"/>
    <col min="11" max="12" width="46" customWidth="1"/>
    <col min="13" max="13" width="13" customWidth="1"/>
    <col min="14" max="14" width="36" customWidth="1"/>
    <col min="15" max="15" width="16" customWidth="1"/>
    <col min="16" max="16" width="68" customWidth="1"/>
    <col min="17" max="17" width="12" customWidth="1"/>
    <col min="18" max="18" width="20" customWidth="1"/>
    <col min="19" max="19" width="40" customWidth="1"/>
    <col min="20" max="20" width="48" customWidth="1"/>
    <col min="21" max="21" width="14" customWidth="1"/>
    <col min="22" max="22" width="18" customWidth="1"/>
  </cols>
  <sheetData>
    <row r="1" ht="34" customHeight="1" spans="1:22" x14ac:dyDescent="0.25">
      <c r="A1" s="1" t="s">
        <v>192</v>
      </c>
      <c r="B1" s="1" t="s">
        <v>193</v>
      </c>
      <c r="C1" s="1" t="s">
        <v>194</v>
      </c>
      <c r="D1" s="1" t="s">
        <v>195</v>
      </c>
      <c r="E1" s="1" t="s">
        <v>196</v>
      </c>
      <c r="F1" s="1" t="s">
        <v>197</v>
      </c>
      <c r="G1" s="1" t="s">
        <v>198</v>
      </c>
      <c r="H1" s="1" t="s">
        <v>199</v>
      </c>
      <c r="I1" s="1" t="s">
        <v>200</v>
      </c>
      <c r="J1" s="1" t="s">
        <v>201</v>
      </c>
      <c r="K1" s="1" t="s">
        <v>202</v>
      </c>
      <c r="L1" s="1" t="s">
        <v>203</v>
      </c>
      <c r="M1" s="1" t="s">
        <v>204</v>
      </c>
      <c r="N1" s="1" t="s">
        <v>205</v>
      </c>
      <c r="O1" s="1" t="s">
        <v>19</v>
      </c>
      <c r="P1" s="1" t="s">
        <v>206</v>
      </c>
      <c r="Q1" s="1" t="s">
        <v>207</v>
      </c>
      <c r="R1" s="1" t="s">
        <v>208</v>
      </c>
      <c r="S1" s="1" t="s">
        <v>209</v>
      </c>
      <c r="T1" s="1" t="s">
        <v>210</v>
      </c>
      <c r="U1" s="1" t="s">
        <v>211</v>
      </c>
      <c r="V1" s="1" t="s">
        <v>212</v>
      </c>
    </row>
    <row r="2" spans="1:22" s="10" customFormat="1" x14ac:dyDescent="0.25">
      <c r="A2" s="10" t="s">
        <v>1428</v>
      </c>
      <c r="B2" s="10" t="s">
        <v>1429</v>
      </c>
      <c r="C2" s="10" t="s">
        <v>215</v>
      </c>
      <c r="D2" s="10" t="s">
        <v>1430</v>
      </c>
      <c r="E2" s="8" t="s">
        <v>1431</v>
      </c>
      <c r="F2" s="8" t="s">
        <v>1432</v>
      </c>
      <c r="G2" s="10" t="s">
        <v>3</v>
      </c>
      <c r="H2" s="8" t="s">
        <v>1433</v>
      </c>
      <c r="I2" s="10" t="s">
        <v>357</v>
      </c>
      <c r="J2" s="8" t="s">
        <v>1434</v>
      </c>
      <c r="K2" s="8" t="s">
        <v>1435</v>
      </c>
      <c r="L2" s="8" t="s">
        <v>87</v>
      </c>
      <c r="M2" s="10" t="s">
        <v>1436</v>
      </c>
      <c r="N2" s="8" t="s">
        <v>87</v>
      </c>
      <c r="O2" s="10" t="s">
        <v>22</v>
      </c>
      <c r="P2" s="8" t="s">
        <v>1437</v>
      </c>
      <c r="Q2" s="10" t="s">
        <v>223</v>
      </c>
      <c r="R2" s="10" t="s">
        <v>1438</v>
      </c>
      <c r="S2" s="8" t="s">
        <v>1439</v>
      </c>
      <c r="T2" s="10" t="s">
        <v>1440</v>
      </c>
      <c r="U2" s="10" t="s">
        <v>87</v>
      </c>
      <c r="V2" s="10" t="s">
        <v>87</v>
      </c>
    </row>
    <row r="3" spans="1:22" s="10" customFormat="1" x14ac:dyDescent="0.25">
      <c r="A3" s="10" t="s">
        <v>1441</v>
      </c>
      <c r="B3" s="10" t="s">
        <v>1429</v>
      </c>
      <c r="C3" s="11" t="s">
        <v>346</v>
      </c>
      <c r="D3" s="10" t="s">
        <v>1442</v>
      </c>
      <c r="E3" s="8" t="s">
        <v>1443</v>
      </c>
      <c r="F3" s="8" t="s">
        <v>1444</v>
      </c>
      <c r="G3" s="10" t="s">
        <v>3</v>
      </c>
      <c r="H3" s="8" t="s">
        <v>1445</v>
      </c>
      <c r="I3" s="10" t="s">
        <v>357</v>
      </c>
      <c r="J3" s="8" t="s">
        <v>220</v>
      </c>
      <c r="K3" s="8" t="s">
        <v>1435</v>
      </c>
      <c r="L3" s="8" t="s">
        <v>87</v>
      </c>
      <c r="M3" s="10" t="s">
        <v>1436</v>
      </c>
      <c r="N3" s="8" t="s">
        <v>87</v>
      </c>
      <c r="O3" s="10" t="s">
        <v>22</v>
      </c>
      <c r="P3" s="8" t="s">
        <v>1446</v>
      </c>
      <c r="Q3" s="10" t="s">
        <v>1447</v>
      </c>
      <c r="R3" s="10" t="s">
        <v>1438</v>
      </c>
      <c r="S3" s="8" t="s">
        <v>1448</v>
      </c>
      <c r="T3" s="10" t="s">
        <v>1440</v>
      </c>
      <c r="U3" s="10" t="s">
        <v>87</v>
      </c>
      <c r="V3" s="10" t="s">
        <v>87</v>
      </c>
    </row>
    <row r="4" spans="1:22" s="10" customFormat="1" x14ac:dyDescent="0.25">
      <c r="A4" s="10" t="s">
        <v>1449</v>
      </c>
      <c r="B4" s="10" t="s">
        <v>1429</v>
      </c>
      <c r="C4" s="10" t="s">
        <v>384</v>
      </c>
      <c r="D4" s="10" t="s">
        <v>1450</v>
      </c>
      <c r="E4" s="8" t="s">
        <v>1451</v>
      </c>
      <c r="F4" s="8" t="s">
        <v>1452</v>
      </c>
      <c r="G4" s="10" t="s">
        <v>4</v>
      </c>
      <c r="H4" s="8" t="s">
        <v>1453</v>
      </c>
      <c r="I4" s="10" t="s">
        <v>1454</v>
      </c>
      <c r="J4" s="8" t="s">
        <v>220</v>
      </c>
      <c r="K4" s="8" t="s">
        <v>1455</v>
      </c>
      <c r="L4" s="8" t="s">
        <v>87</v>
      </c>
      <c r="M4" s="10" t="s">
        <v>1456</v>
      </c>
      <c r="N4" s="8" t="s">
        <v>87</v>
      </c>
      <c r="O4" s="10" t="s">
        <v>22</v>
      </c>
      <c r="P4" s="8" t="s">
        <v>1457</v>
      </c>
      <c r="Q4" s="10" t="s">
        <v>223</v>
      </c>
      <c r="R4" s="10" t="s">
        <v>1438</v>
      </c>
      <c r="S4" s="8" t="s">
        <v>1439</v>
      </c>
      <c r="T4" s="10" t="s">
        <v>1440</v>
      </c>
      <c r="U4" s="10" t="s">
        <v>87</v>
      </c>
      <c r="V4" s="10" t="s">
        <v>87</v>
      </c>
    </row>
    <row r="5" spans="1:22" s="10" customFormat="1" x14ac:dyDescent="0.25">
      <c r="A5" s="10" t="s">
        <v>1458</v>
      </c>
      <c r="B5" s="10" t="s">
        <v>1429</v>
      </c>
      <c r="C5" s="10" t="s">
        <v>384</v>
      </c>
      <c r="D5" s="10" t="s">
        <v>1459</v>
      </c>
      <c r="E5" s="8" t="s">
        <v>1460</v>
      </c>
      <c r="F5" s="8" t="s">
        <v>1461</v>
      </c>
      <c r="G5" s="10" t="s">
        <v>4</v>
      </c>
      <c r="H5" s="8" t="s">
        <v>1462</v>
      </c>
      <c r="I5" s="10" t="s">
        <v>357</v>
      </c>
      <c r="J5" s="8" t="s">
        <v>220</v>
      </c>
      <c r="K5" s="8" t="s">
        <v>1463</v>
      </c>
      <c r="L5" s="8" t="s">
        <v>87</v>
      </c>
      <c r="M5" s="10" t="s">
        <v>1456</v>
      </c>
      <c r="N5" s="8" t="s">
        <v>87</v>
      </c>
      <c r="O5" s="10" t="s">
        <v>22</v>
      </c>
      <c r="P5" s="8" t="s">
        <v>1464</v>
      </c>
      <c r="Q5" s="10" t="s">
        <v>223</v>
      </c>
      <c r="R5" s="10" t="s">
        <v>1438</v>
      </c>
      <c r="S5" s="8" t="s">
        <v>1439</v>
      </c>
      <c r="T5" s="10" t="s">
        <v>1440</v>
      </c>
      <c r="U5" s="10" t="s">
        <v>87</v>
      </c>
      <c r="V5" s="10" t="s">
        <v>87</v>
      </c>
    </row>
    <row r="6" spans="1:22" s="10" customFormat="1" x14ac:dyDescent="0.25">
      <c r="A6" s="10" t="s">
        <v>1465</v>
      </c>
      <c r="B6" s="10" t="s">
        <v>1429</v>
      </c>
      <c r="C6" s="10" t="s">
        <v>215</v>
      </c>
      <c r="D6" s="10" t="s">
        <v>1466</v>
      </c>
      <c r="E6" s="8" t="s">
        <v>1467</v>
      </c>
      <c r="F6" s="8" t="s">
        <v>1468</v>
      </c>
      <c r="G6" s="10" t="s">
        <v>3</v>
      </c>
      <c r="H6" s="8" t="s">
        <v>1469</v>
      </c>
      <c r="I6" s="10" t="s">
        <v>1470</v>
      </c>
      <c r="J6" s="8" t="s">
        <v>220</v>
      </c>
      <c r="K6" s="8" t="s">
        <v>1435</v>
      </c>
      <c r="L6" s="8" t="s">
        <v>87</v>
      </c>
      <c r="M6" s="10" t="s">
        <v>1436</v>
      </c>
      <c r="N6" s="8" t="s">
        <v>87</v>
      </c>
      <c r="O6" s="10" t="s">
        <v>22</v>
      </c>
      <c r="P6" s="8" t="s">
        <v>1471</v>
      </c>
      <c r="Q6" s="10" t="s">
        <v>223</v>
      </c>
      <c r="R6" s="10" t="s">
        <v>1438</v>
      </c>
      <c r="S6" s="8" t="s">
        <v>1472</v>
      </c>
      <c r="T6" s="10" t="s">
        <v>1440</v>
      </c>
      <c r="U6" s="10" t="s">
        <v>87</v>
      </c>
      <c r="V6" s="10" t="s">
        <v>87</v>
      </c>
    </row>
    <row r="7" spans="1:22" s="10" customFormat="1" x14ac:dyDescent="0.25">
      <c r="A7" s="10" t="s">
        <v>1473</v>
      </c>
      <c r="B7" s="10" t="s">
        <v>1429</v>
      </c>
      <c r="C7" s="10" t="s">
        <v>215</v>
      </c>
      <c r="D7" s="10" t="s">
        <v>1474</v>
      </c>
      <c r="E7" s="8" t="s">
        <v>1475</v>
      </c>
      <c r="F7" s="8" t="s">
        <v>1476</v>
      </c>
      <c r="G7" s="10" t="s">
        <v>3</v>
      </c>
      <c r="H7" s="8" t="s">
        <v>1477</v>
      </c>
      <c r="I7" s="10" t="s">
        <v>907</v>
      </c>
      <c r="J7" s="8" t="s">
        <v>220</v>
      </c>
      <c r="K7" s="8" t="s">
        <v>1435</v>
      </c>
      <c r="L7" s="8" t="s">
        <v>87</v>
      </c>
      <c r="M7" s="10" t="s">
        <v>1436</v>
      </c>
      <c r="N7" s="8" t="s">
        <v>87</v>
      </c>
      <c r="O7" s="10" t="s">
        <v>22</v>
      </c>
      <c r="P7" s="8" t="s">
        <v>1478</v>
      </c>
      <c r="Q7" s="10" t="s">
        <v>223</v>
      </c>
      <c r="R7" s="10" t="s">
        <v>1438</v>
      </c>
      <c r="S7" s="8" t="s">
        <v>1479</v>
      </c>
      <c r="T7" s="10" t="s">
        <v>1440</v>
      </c>
      <c r="U7" s="10" t="s">
        <v>87</v>
      </c>
      <c r="V7" s="10" t="s">
        <v>87</v>
      </c>
    </row>
    <row r="8" spans="1:22" s="10" customFormat="1" x14ac:dyDescent="0.25">
      <c r="A8" s="10" t="s">
        <v>1480</v>
      </c>
      <c r="B8" s="10" t="s">
        <v>1429</v>
      </c>
      <c r="C8" s="10" t="s">
        <v>215</v>
      </c>
      <c r="D8" s="10" t="s">
        <v>1481</v>
      </c>
      <c r="E8" s="8" t="s">
        <v>1482</v>
      </c>
      <c r="F8" s="8" t="s">
        <v>1483</v>
      </c>
      <c r="G8" s="10" t="s">
        <v>3</v>
      </c>
      <c r="H8" s="8" t="s">
        <v>1484</v>
      </c>
      <c r="I8" s="10" t="s">
        <v>919</v>
      </c>
      <c r="J8" s="8" t="s">
        <v>220</v>
      </c>
      <c r="K8" s="8" t="s">
        <v>1435</v>
      </c>
      <c r="L8" s="8" t="s">
        <v>87</v>
      </c>
      <c r="M8" s="10" t="s">
        <v>1436</v>
      </c>
      <c r="N8" s="8" t="s">
        <v>87</v>
      </c>
      <c r="O8" s="10" t="s">
        <v>22</v>
      </c>
      <c r="P8" s="8" t="s">
        <v>1485</v>
      </c>
      <c r="Q8" s="10" t="s">
        <v>223</v>
      </c>
      <c r="R8" s="10" t="s">
        <v>1438</v>
      </c>
      <c r="S8" s="8" t="s">
        <v>1479</v>
      </c>
      <c r="T8" s="10" t="s">
        <v>1440</v>
      </c>
      <c r="U8" s="10" t="s">
        <v>87</v>
      </c>
      <c r="V8" s="10" t="s">
        <v>87</v>
      </c>
    </row>
    <row r="9" spans="1:22" s="10" customFormat="1" x14ac:dyDescent="0.25">
      <c r="A9" s="10" t="s">
        <v>1486</v>
      </c>
      <c r="B9" s="10" t="s">
        <v>1429</v>
      </c>
      <c r="C9" s="10" t="s">
        <v>215</v>
      </c>
      <c r="D9" s="10" t="s">
        <v>1487</v>
      </c>
      <c r="E9" s="8" t="s">
        <v>1488</v>
      </c>
      <c r="F9" s="8" t="s">
        <v>1489</v>
      </c>
      <c r="G9" s="10" t="s">
        <v>3</v>
      </c>
      <c r="H9" s="8" t="s">
        <v>1490</v>
      </c>
      <c r="I9" s="10" t="s">
        <v>1491</v>
      </c>
      <c r="J9" s="8" t="s">
        <v>220</v>
      </c>
      <c r="K9" s="8" t="s">
        <v>1435</v>
      </c>
      <c r="L9" s="8" t="s">
        <v>87</v>
      </c>
      <c r="M9" s="10" t="s">
        <v>1436</v>
      </c>
      <c r="N9" s="8" t="s">
        <v>87</v>
      </c>
      <c r="O9" s="10" t="s">
        <v>22</v>
      </c>
      <c r="P9" s="8" t="s">
        <v>1492</v>
      </c>
      <c r="Q9" s="10" t="s">
        <v>223</v>
      </c>
      <c r="R9" s="10" t="s">
        <v>1438</v>
      </c>
      <c r="S9" s="8" t="s">
        <v>1479</v>
      </c>
      <c r="T9" s="10" t="s">
        <v>1440</v>
      </c>
      <c r="U9" s="10" t="s">
        <v>87</v>
      </c>
      <c r="V9" s="10" t="s">
        <v>87</v>
      </c>
    </row>
    <row r="10" spans="1:22" s="10" customFormat="1" x14ac:dyDescent="0.25">
      <c r="A10" s="10" t="s">
        <v>1493</v>
      </c>
      <c r="B10" s="10" t="s">
        <v>1429</v>
      </c>
      <c r="C10" s="10" t="s">
        <v>215</v>
      </c>
      <c r="D10" s="10" t="s">
        <v>1494</v>
      </c>
      <c r="E10" s="8" t="s">
        <v>1495</v>
      </c>
      <c r="F10" s="8" t="s">
        <v>1496</v>
      </c>
      <c r="G10" s="10" t="s">
        <v>3</v>
      </c>
      <c r="H10" s="8" t="s">
        <v>1497</v>
      </c>
      <c r="I10" s="10" t="s">
        <v>938</v>
      </c>
      <c r="J10" s="8" t="s">
        <v>220</v>
      </c>
      <c r="K10" s="8" t="s">
        <v>1435</v>
      </c>
      <c r="L10" s="8" t="s">
        <v>87</v>
      </c>
      <c r="M10" s="10" t="s">
        <v>1436</v>
      </c>
      <c r="N10" s="8" t="s">
        <v>87</v>
      </c>
      <c r="O10" s="10" t="s">
        <v>22</v>
      </c>
      <c r="P10" s="8" t="s">
        <v>1498</v>
      </c>
      <c r="Q10" s="10" t="s">
        <v>223</v>
      </c>
      <c r="R10" s="10" t="s">
        <v>1438</v>
      </c>
      <c r="S10" s="8" t="s">
        <v>1479</v>
      </c>
      <c r="T10" s="10" t="s">
        <v>1440</v>
      </c>
      <c r="U10" s="10" t="s">
        <v>87</v>
      </c>
      <c r="V10" s="10" t="s">
        <v>87</v>
      </c>
    </row>
    <row r="11" spans="1:22" s="10" customFormat="1" x14ac:dyDescent="0.25">
      <c r="A11" s="10" t="s">
        <v>1499</v>
      </c>
      <c r="B11" s="10" t="s">
        <v>1429</v>
      </c>
      <c r="C11" s="10" t="s">
        <v>215</v>
      </c>
      <c r="D11" s="10" t="s">
        <v>1500</v>
      </c>
      <c r="E11" s="8" t="s">
        <v>1501</v>
      </c>
      <c r="F11" s="8" t="s">
        <v>1502</v>
      </c>
      <c r="G11" s="10" t="s">
        <v>3</v>
      </c>
      <c r="H11" s="8" t="s">
        <v>1503</v>
      </c>
      <c r="I11" s="10" t="s">
        <v>1504</v>
      </c>
      <c r="J11" s="8" t="s">
        <v>220</v>
      </c>
      <c r="K11" s="8" t="s">
        <v>1435</v>
      </c>
      <c r="L11" s="8" t="s">
        <v>87</v>
      </c>
      <c r="M11" s="10" t="s">
        <v>1436</v>
      </c>
      <c r="N11" s="8" t="s">
        <v>87</v>
      </c>
      <c r="O11" s="10" t="s">
        <v>22</v>
      </c>
      <c r="P11" s="8" t="s">
        <v>1505</v>
      </c>
      <c r="Q11" s="10" t="s">
        <v>223</v>
      </c>
      <c r="R11" s="10" t="s">
        <v>1438</v>
      </c>
      <c r="S11" s="8" t="s">
        <v>1479</v>
      </c>
      <c r="T11" s="10" t="s">
        <v>1440</v>
      </c>
      <c r="U11" s="10" t="s">
        <v>87</v>
      </c>
      <c r="V11" s="10" t="s">
        <v>87</v>
      </c>
    </row>
    <row r="12" spans="1:22" s="10" customFormat="1" x14ac:dyDescent="0.25">
      <c r="A12" s="10" t="s">
        <v>1506</v>
      </c>
      <c r="B12" s="10" t="s">
        <v>1429</v>
      </c>
      <c r="C12" s="10" t="s">
        <v>215</v>
      </c>
      <c r="D12" s="10" t="s">
        <v>1507</v>
      </c>
      <c r="E12" s="8" t="s">
        <v>1508</v>
      </c>
      <c r="F12" s="8" t="s">
        <v>1509</v>
      </c>
      <c r="G12" s="10" t="s">
        <v>3</v>
      </c>
      <c r="H12" s="8" t="s">
        <v>1510</v>
      </c>
      <c r="I12" s="10" t="s">
        <v>1511</v>
      </c>
      <c r="J12" s="8" t="s">
        <v>220</v>
      </c>
      <c r="K12" s="8" t="s">
        <v>1435</v>
      </c>
      <c r="L12" s="8" t="s">
        <v>87</v>
      </c>
      <c r="M12" s="10" t="s">
        <v>1436</v>
      </c>
      <c r="N12" s="8" t="s">
        <v>87</v>
      </c>
      <c r="O12" s="10" t="s">
        <v>22</v>
      </c>
      <c r="P12" s="8" t="s">
        <v>1512</v>
      </c>
      <c r="Q12" s="10" t="s">
        <v>223</v>
      </c>
      <c r="R12" s="10" t="s">
        <v>1438</v>
      </c>
      <c r="S12" s="8" t="s">
        <v>1479</v>
      </c>
      <c r="T12" s="10" t="s">
        <v>1440</v>
      </c>
      <c r="U12" s="10" t="s">
        <v>87</v>
      </c>
      <c r="V12" s="10" t="s">
        <v>87</v>
      </c>
    </row>
    <row r="13" spans="1:22" s="10" customFormat="1" x14ac:dyDescent="0.25">
      <c r="A13" s="10" t="s">
        <v>1513</v>
      </c>
      <c r="B13" s="10" t="s">
        <v>1429</v>
      </c>
      <c r="C13" s="10" t="s">
        <v>215</v>
      </c>
      <c r="D13" s="10" t="s">
        <v>1514</v>
      </c>
      <c r="E13" s="8" t="s">
        <v>1515</v>
      </c>
      <c r="F13" s="8" t="s">
        <v>1516</v>
      </c>
      <c r="G13" s="10" t="s">
        <v>3</v>
      </c>
      <c r="H13" s="8" t="s">
        <v>1517</v>
      </c>
      <c r="I13" s="10" t="s">
        <v>868</v>
      </c>
      <c r="J13" s="8" t="s">
        <v>220</v>
      </c>
      <c r="K13" s="8" t="s">
        <v>1435</v>
      </c>
      <c r="L13" s="8" t="s">
        <v>87</v>
      </c>
      <c r="M13" s="10" t="s">
        <v>1436</v>
      </c>
      <c r="N13" s="8" t="s">
        <v>87</v>
      </c>
      <c r="O13" s="10" t="s">
        <v>22</v>
      </c>
      <c r="P13" s="8" t="s">
        <v>1518</v>
      </c>
      <c r="Q13" s="10" t="s">
        <v>223</v>
      </c>
      <c r="R13" s="10" t="s">
        <v>1438</v>
      </c>
      <c r="S13" s="8" t="s">
        <v>1479</v>
      </c>
      <c r="T13" s="10" t="s">
        <v>1440</v>
      </c>
      <c r="U13" s="10" t="s">
        <v>87</v>
      </c>
      <c r="V13" s="10" t="s">
        <v>87</v>
      </c>
    </row>
    <row r="14" spans="1:22" s="10" customFormat="1" x14ac:dyDescent="0.25">
      <c r="A14" s="10" t="s">
        <v>1519</v>
      </c>
      <c r="B14" s="10" t="s">
        <v>1429</v>
      </c>
      <c r="C14" s="10" t="s">
        <v>215</v>
      </c>
      <c r="D14" s="10" t="s">
        <v>1520</v>
      </c>
      <c r="E14" s="8" t="s">
        <v>1521</v>
      </c>
      <c r="F14" s="8" t="s">
        <v>1522</v>
      </c>
      <c r="G14" s="10" t="s">
        <v>3</v>
      </c>
      <c r="H14" s="8" t="s">
        <v>1523</v>
      </c>
      <c r="I14" s="10" t="s">
        <v>1524</v>
      </c>
      <c r="J14" s="8" t="s">
        <v>220</v>
      </c>
      <c r="K14" s="8" t="s">
        <v>1435</v>
      </c>
      <c r="L14" s="8" t="s">
        <v>87</v>
      </c>
      <c r="M14" s="10" t="s">
        <v>1436</v>
      </c>
      <c r="N14" s="8" t="s">
        <v>87</v>
      </c>
      <c r="O14" s="10" t="s">
        <v>22</v>
      </c>
      <c r="P14" s="8" t="s">
        <v>1525</v>
      </c>
      <c r="Q14" s="10" t="s">
        <v>223</v>
      </c>
      <c r="R14" s="10" t="s">
        <v>1438</v>
      </c>
      <c r="S14" s="8" t="s">
        <v>1479</v>
      </c>
      <c r="T14" s="10" t="s">
        <v>1440</v>
      </c>
      <c r="U14" s="10" t="s">
        <v>87</v>
      </c>
      <c r="V14" s="10" t="s">
        <v>87</v>
      </c>
    </row>
    <row r="15" spans="1:22" s="10" customFormat="1" x14ac:dyDescent="0.25">
      <c r="A15" s="10" t="s">
        <v>1526</v>
      </c>
      <c r="B15" s="10" t="s">
        <v>1429</v>
      </c>
      <c r="C15" s="10" t="s">
        <v>384</v>
      </c>
      <c r="D15" s="10" t="s">
        <v>1527</v>
      </c>
      <c r="E15" s="8" t="s">
        <v>1528</v>
      </c>
      <c r="F15" s="8" t="s">
        <v>1529</v>
      </c>
      <c r="G15" s="10" t="s">
        <v>3</v>
      </c>
      <c r="H15" s="8" t="s">
        <v>1530</v>
      </c>
      <c r="I15" s="10" t="s">
        <v>479</v>
      </c>
      <c r="J15" s="8" t="s">
        <v>220</v>
      </c>
      <c r="K15" s="8" t="s">
        <v>1435</v>
      </c>
      <c r="L15" s="8" t="s">
        <v>87</v>
      </c>
      <c r="M15" s="10" t="s">
        <v>1436</v>
      </c>
      <c r="N15" s="8" t="s">
        <v>87</v>
      </c>
      <c r="O15" s="10" t="s">
        <v>22</v>
      </c>
      <c r="P15" s="8" t="s">
        <v>1531</v>
      </c>
      <c r="Q15" s="10" t="s">
        <v>223</v>
      </c>
      <c r="R15" s="10" t="s">
        <v>1438</v>
      </c>
      <c r="S15" s="8" t="s">
        <v>1479</v>
      </c>
      <c r="T15" s="10" t="s">
        <v>1440</v>
      </c>
      <c r="U15" s="10" t="s">
        <v>87</v>
      </c>
      <c r="V15" s="10" t="s">
        <v>87</v>
      </c>
    </row>
    <row r="16" spans="1:22" s="10" customFormat="1" x14ac:dyDescent="0.25">
      <c r="A16" s="10" t="s">
        <v>1532</v>
      </c>
      <c r="B16" s="10" t="s">
        <v>1429</v>
      </c>
      <c r="C16" s="10" t="s">
        <v>384</v>
      </c>
      <c r="D16" s="10" t="s">
        <v>1533</v>
      </c>
      <c r="E16" s="8" t="s">
        <v>1534</v>
      </c>
      <c r="F16" s="8" t="s">
        <v>1535</v>
      </c>
      <c r="G16" s="10" t="s">
        <v>3</v>
      </c>
      <c r="H16" s="8" t="s">
        <v>1536</v>
      </c>
      <c r="I16" s="10" t="s">
        <v>1537</v>
      </c>
      <c r="J16" s="8" t="s">
        <v>220</v>
      </c>
      <c r="K16" s="8" t="s">
        <v>1435</v>
      </c>
      <c r="L16" s="8" t="s">
        <v>87</v>
      </c>
      <c r="M16" s="10" t="s">
        <v>1436</v>
      </c>
      <c r="N16" s="8" t="s">
        <v>87</v>
      </c>
      <c r="O16" s="10" t="s">
        <v>22</v>
      </c>
      <c r="P16" s="8" t="s">
        <v>1538</v>
      </c>
      <c r="Q16" s="10" t="s">
        <v>223</v>
      </c>
      <c r="R16" s="10" t="s">
        <v>1438</v>
      </c>
      <c r="S16" s="8" t="s">
        <v>1479</v>
      </c>
      <c r="T16" s="10" t="s">
        <v>1440</v>
      </c>
      <c r="U16" s="10" t="s">
        <v>87</v>
      </c>
      <c r="V16" s="10" t="s">
        <v>87</v>
      </c>
    </row>
    <row r="17" spans="1:22" s="10" customFormat="1" x14ac:dyDescent="0.25">
      <c r="A17" s="10" t="s">
        <v>1539</v>
      </c>
      <c r="B17" s="10" t="s">
        <v>1429</v>
      </c>
      <c r="C17" s="10" t="s">
        <v>384</v>
      </c>
      <c r="D17" s="10" t="s">
        <v>1540</v>
      </c>
      <c r="E17" s="8" t="s">
        <v>1541</v>
      </c>
      <c r="F17" s="8" t="s">
        <v>1542</v>
      </c>
      <c r="G17" s="10" t="s">
        <v>3</v>
      </c>
      <c r="H17" s="8" t="s">
        <v>1543</v>
      </c>
      <c r="I17" s="10" t="s">
        <v>357</v>
      </c>
      <c r="J17" s="8" t="s">
        <v>220</v>
      </c>
      <c r="K17" s="8" t="s">
        <v>1435</v>
      </c>
      <c r="L17" s="8" t="s">
        <v>87</v>
      </c>
      <c r="M17" s="10" t="s">
        <v>1436</v>
      </c>
      <c r="N17" s="8" t="s">
        <v>87</v>
      </c>
      <c r="O17" s="10" t="s">
        <v>22</v>
      </c>
      <c r="P17" s="8" t="s">
        <v>1544</v>
      </c>
      <c r="Q17" s="10" t="s">
        <v>239</v>
      </c>
      <c r="R17" s="10" t="s">
        <v>1438</v>
      </c>
      <c r="S17" s="8" t="s">
        <v>1479</v>
      </c>
      <c r="T17" s="10" t="s">
        <v>1440</v>
      </c>
      <c r="U17" s="10" t="s">
        <v>87</v>
      </c>
      <c r="V17" s="10" t="s">
        <v>87</v>
      </c>
    </row>
    <row r="18" spans="1:22" s="10" customFormat="1" x14ac:dyDescent="0.25">
      <c r="A18" s="10" t="s">
        <v>1545</v>
      </c>
      <c r="B18" s="10" t="s">
        <v>1429</v>
      </c>
      <c r="C18" s="10" t="s">
        <v>384</v>
      </c>
      <c r="D18" s="10" t="s">
        <v>1546</v>
      </c>
      <c r="E18" s="8" t="s">
        <v>1547</v>
      </c>
      <c r="F18" s="8" t="s">
        <v>1548</v>
      </c>
      <c r="G18" s="10" t="s">
        <v>3</v>
      </c>
      <c r="H18" s="8" t="s">
        <v>1549</v>
      </c>
      <c r="I18" s="10" t="s">
        <v>919</v>
      </c>
      <c r="J18" s="8" t="s">
        <v>220</v>
      </c>
      <c r="K18" s="8" t="s">
        <v>1435</v>
      </c>
      <c r="L18" s="8" t="s">
        <v>87</v>
      </c>
      <c r="M18" s="10" t="s">
        <v>1436</v>
      </c>
      <c r="N18" s="8" t="s">
        <v>87</v>
      </c>
      <c r="O18" s="10" t="s">
        <v>22</v>
      </c>
      <c r="P18" s="8" t="s">
        <v>1550</v>
      </c>
      <c r="Q18" s="10" t="s">
        <v>223</v>
      </c>
      <c r="R18" s="10" t="s">
        <v>1438</v>
      </c>
      <c r="S18" s="8" t="s">
        <v>1479</v>
      </c>
      <c r="T18" s="10" t="s">
        <v>1440</v>
      </c>
      <c r="U18" s="10" t="s">
        <v>87</v>
      </c>
      <c r="V18" s="10" t="s">
        <v>87</v>
      </c>
    </row>
    <row r="19" spans="1:22" s="10" customFormat="1" x14ac:dyDescent="0.25">
      <c r="A19" s="10" t="s">
        <v>1551</v>
      </c>
      <c r="B19" s="10" t="s">
        <v>1429</v>
      </c>
      <c r="C19" s="10" t="s">
        <v>215</v>
      </c>
      <c r="D19" s="10" t="s">
        <v>1552</v>
      </c>
      <c r="E19" s="8" t="s">
        <v>1553</v>
      </c>
      <c r="F19" s="8" t="s">
        <v>1554</v>
      </c>
      <c r="G19" s="10" t="s">
        <v>3</v>
      </c>
      <c r="H19" s="8" t="s">
        <v>1555</v>
      </c>
      <c r="I19" s="10" t="s">
        <v>1556</v>
      </c>
      <c r="J19" s="8" t="s">
        <v>220</v>
      </c>
      <c r="K19" s="8" t="s">
        <v>1435</v>
      </c>
      <c r="L19" s="8" t="s">
        <v>87</v>
      </c>
      <c r="M19" s="10" t="s">
        <v>1436</v>
      </c>
      <c r="N19" s="8" t="s">
        <v>87</v>
      </c>
      <c r="O19" s="10" t="s">
        <v>22</v>
      </c>
      <c r="P19" s="8" t="s">
        <v>1557</v>
      </c>
      <c r="Q19" s="10" t="s">
        <v>1447</v>
      </c>
      <c r="R19" s="10" t="s">
        <v>1438</v>
      </c>
      <c r="S19" s="8" t="s">
        <v>1558</v>
      </c>
      <c r="T19" s="10" t="s">
        <v>1440</v>
      </c>
      <c r="U19" s="10" t="s">
        <v>87</v>
      </c>
      <c r="V19" s="10" t="s">
        <v>87</v>
      </c>
    </row>
    <row r="20" spans="1:22" s="10" customFormat="1" x14ac:dyDescent="0.25">
      <c r="A20" s="10" t="s">
        <v>1559</v>
      </c>
      <c r="B20" s="10" t="s">
        <v>1429</v>
      </c>
      <c r="C20" s="10" t="s">
        <v>384</v>
      </c>
      <c r="D20" s="10" t="s">
        <v>1560</v>
      </c>
      <c r="E20" s="8" t="s">
        <v>1561</v>
      </c>
      <c r="F20" s="8" t="s">
        <v>1562</v>
      </c>
      <c r="G20" s="10" t="s">
        <v>3</v>
      </c>
      <c r="H20" s="8" t="s">
        <v>1477</v>
      </c>
      <c r="I20" s="10" t="s">
        <v>907</v>
      </c>
      <c r="J20" s="8" t="s">
        <v>220</v>
      </c>
      <c r="K20" s="8" t="s">
        <v>1435</v>
      </c>
      <c r="L20" s="8" t="s">
        <v>87</v>
      </c>
      <c r="M20" s="10" t="s">
        <v>1436</v>
      </c>
      <c r="N20" s="8" t="s">
        <v>87</v>
      </c>
      <c r="O20" s="10" t="s">
        <v>22</v>
      </c>
      <c r="P20" s="8" t="s">
        <v>1563</v>
      </c>
      <c r="Q20" s="10" t="s">
        <v>246</v>
      </c>
      <c r="R20" s="10" t="s">
        <v>1438</v>
      </c>
      <c r="S20" s="8" t="s">
        <v>1479</v>
      </c>
      <c r="T20" s="10" t="s">
        <v>1440</v>
      </c>
      <c r="U20" s="10" t="s">
        <v>87</v>
      </c>
      <c r="V20" s="10" t="s">
        <v>87</v>
      </c>
    </row>
    <row r="21" spans="1:22" s="10" customFormat="1" x14ac:dyDescent="0.25">
      <c r="A21" s="10" t="s">
        <v>1564</v>
      </c>
      <c r="B21" s="10" t="s">
        <v>1429</v>
      </c>
      <c r="C21" s="10" t="s">
        <v>384</v>
      </c>
      <c r="D21" s="10" t="s">
        <v>1565</v>
      </c>
      <c r="E21" s="8" t="s">
        <v>1566</v>
      </c>
      <c r="F21" s="8" t="s">
        <v>1567</v>
      </c>
      <c r="G21" s="10" t="s">
        <v>3</v>
      </c>
      <c r="H21" s="8" t="s">
        <v>1568</v>
      </c>
      <c r="I21" s="10" t="s">
        <v>357</v>
      </c>
      <c r="J21" s="8" t="s">
        <v>220</v>
      </c>
      <c r="K21" s="8" t="s">
        <v>1435</v>
      </c>
      <c r="L21" s="8" t="s">
        <v>87</v>
      </c>
      <c r="M21" s="10" t="s">
        <v>1436</v>
      </c>
      <c r="N21" s="8" t="s">
        <v>87</v>
      </c>
      <c r="O21" s="10" t="s">
        <v>22</v>
      </c>
      <c r="P21" s="8" t="s">
        <v>1569</v>
      </c>
      <c r="Q21" s="10" t="s">
        <v>223</v>
      </c>
      <c r="R21" s="10" t="s">
        <v>1438</v>
      </c>
      <c r="S21" s="8" t="s">
        <v>1479</v>
      </c>
      <c r="T21" s="10" t="s">
        <v>1440</v>
      </c>
      <c r="U21" s="10" t="s">
        <v>87</v>
      </c>
      <c r="V21" s="10" t="s">
        <v>87</v>
      </c>
    </row>
    <row r="22" spans="1:22" s="10" customFormat="1" x14ac:dyDescent="0.25">
      <c r="A22" s="10" t="s">
        <v>1570</v>
      </c>
      <c r="B22" s="10" t="s">
        <v>1571</v>
      </c>
      <c r="C22" s="10" t="s">
        <v>215</v>
      </c>
      <c r="D22" s="10" t="s">
        <v>1572</v>
      </c>
      <c r="E22" s="8" t="s">
        <v>1573</v>
      </c>
      <c r="F22" s="8" t="s">
        <v>1574</v>
      </c>
      <c r="G22" s="10" t="s">
        <v>3</v>
      </c>
      <c r="H22" s="8" t="s">
        <v>1575</v>
      </c>
      <c r="I22" s="10" t="s">
        <v>1576</v>
      </c>
      <c r="J22" s="8" t="s">
        <v>1577</v>
      </c>
      <c r="K22" s="8" t="s">
        <v>1435</v>
      </c>
      <c r="L22" s="8" t="s">
        <v>87</v>
      </c>
      <c r="M22" s="10" t="s">
        <v>1436</v>
      </c>
      <c r="N22" s="8" t="s">
        <v>87</v>
      </c>
      <c r="O22" s="10" t="s">
        <v>22</v>
      </c>
      <c r="P22" s="8" t="s">
        <v>1578</v>
      </c>
      <c r="Q22" s="10" t="s">
        <v>223</v>
      </c>
      <c r="R22" s="10" t="s">
        <v>1438</v>
      </c>
      <c r="S22" s="8" t="s">
        <v>1439</v>
      </c>
      <c r="T22" s="10" t="s">
        <v>1579</v>
      </c>
      <c r="U22" s="10" t="s">
        <v>87</v>
      </c>
      <c r="V22" s="10" t="s">
        <v>87</v>
      </c>
    </row>
    <row r="23" spans="1:22" s="10" customFormat="1" x14ac:dyDescent="0.25">
      <c r="A23" s="10" t="s">
        <v>1580</v>
      </c>
      <c r="B23" s="10" t="s">
        <v>1571</v>
      </c>
      <c r="C23" s="11" t="s">
        <v>346</v>
      </c>
      <c r="D23" s="10" t="s">
        <v>1581</v>
      </c>
      <c r="E23" s="8" t="s">
        <v>1582</v>
      </c>
      <c r="F23" s="8" t="s">
        <v>1583</v>
      </c>
      <c r="G23" s="10" t="s">
        <v>3</v>
      </c>
      <c r="H23" s="8" t="s">
        <v>1584</v>
      </c>
      <c r="I23" s="10" t="s">
        <v>1576</v>
      </c>
      <c r="J23" s="8" t="s">
        <v>1577</v>
      </c>
      <c r="K23" s="8" t="s">
        <v>1435</v>
      </c>
      <c r="L23" s="8" t="s">
        <v>87</v>
      </c>
      <c r="M23" s="10" t="s">
        <v>1436</v>
      </c>
      <c r="N23" s="8" t="s">
        <v>87</v>
      </c>
      <c r="O23" s="10" t="s">
        <v>22</v>
      </c>
      <c r="P23" s="8" t="s">
        <v>1585</v>
      </c>
      <c r="Q23" s="10" t="s">
        <v>246</v>
      </c>
      <c r="R23" s="10" t="s">
        <v>1438</v>
      </c>
      <c r="S23" s="8" t="s">
        <v>1586</v>
      </c>
      <c r="T23" s="10" t="s">
        <v>1579</v>
      </c>
      <c r="U23" s="10" t="s">
        <v>87</v>
      </c>
      <c r="V23" s="10" t="s">
        <v>87</v>
      </c>
    </row>
    <row r="24" spans="1:22" s="10" customFormat="1" x14ac:dyDescent="0.25">
      <c r="A24" s="10" t="s">
        <v>1587</v>
      </c>
      <c r="B24" s="10" t="s">
        <v>1571</v>
      </c>
      <c r="C24" s="10" t="s">
        <v>215</v>
      </c>
      <c r="D24" s="10" t="s">
        <v>1588</v>
      </c>
      <c r="E24" s="8" t="s">
        <v>1589</v>
      </c>
      <c r="F24" s="8" t="s">
        <v>1590</v>
      </c>
      <c r="G24" s="10" t="s">
        <v>3</v>
      </c>
      <c r="H24" s="8" t="s">
        <v>1591</v>
      </c>
      <c r="I24" s="10" t="s">
        <v>357</v>
      </c>
      <c r="J24" s="8" t="s">
        <v>1577</v>
      </c>
      <c r="K24" s="8" t="s">
        <v>1435</v>
      </c>
      <c r="L24" s="8" t="s">
        <v>87</v>
      </c>
      <c r="M24" s="10" t="s">
        <v>1436</v>
      </c>
      <c r="N24" s="8" t="s">
        <v>87</v>
      </c>
      <c r="O24" s="10" t="s">
        <v>22</v>
      </c>
      <c r="P24" s="8" t="s">
        <v>1592</v>
      </c>
      <c r="Q24" s="10" t="s">
        <v>246</v>
      </c>
      <c r="R24" s="10" t="s">
        <v>1438</v>
      </c>
      <c r="S24" s="8" t="s">
        <v>1593</v>
      </c>
      <c r="T24" s="10" t="s">
        <v>1579</v>
      </c>
      <c r="U24" s="10" t="s">
        <v>87</v>
      </c>
      <c r="V24" s="10" t="s">
        <v>87</v>
      </c>
    </row>
    <row r="25" spans="1:22" s="10" customFormat="1" x14ac:dyDescent="0.25">
      <c r="A25" s="10" t="s">
        <v>1594</v>
      </c>
      <c r="B25" s="10" t="s">
        <v>1571</v>
      </c>
      <c r="C25" s="10" t="s">
        <v>215</v>
      </c>
      <c r="D25" s="10" t="s">
        <v>1595</v>
      </c>
      <c r="E25" s="8" t="s">
        <v>1596</v>
      </c>
      <c r="F25" s="8" t="s">
        <v>1597</v>
      </c>
      <c r="G25" s="10" t="s">
        <v>3</v>
      </c>
      <c r="H25" s="8" t="s">
        <v>1598</v>
      </c>
      <c r="I25" s="10" t="s">
        <v>1599</v>
      </c>
      <c r="J25" s="8" t="s">
        <v>1577</v>
      </c>
      <c r="K25" s="8" t="s">
        <v>1435</v>
      </c>
      <c r="L25" s="8" t="s">
        <v>87</v>
      </c>
      <c r="M25" s="10" t="s">
        <v>1436</v>
      </c>
      <c r="N25" s="8" t="s">
        <v>87</v>
      </c>
      <c r="O25" s="10" t="s">
        <v>22</v>
      </c>
      <c r="P25" s="8" t="s">
        <v>1600</v>
      </c>
      <c r="Q25" s="10" t="s">
        <v>246</v>
      </c>
      <c r="R25" s="10" t="s">
        <v>1438</v>
      </c>
      <c r="S25" s="8" t="s">
        <v>1593</v>
      </c>
      <c r="T25" s="10" t="s">
        <v>1579</v>
      </c>
      <c r="U25" s="10" t="s">
        <v>87</v>
      </c>
      <c r="V25" s="10" t="s">
        <v>87</v>
      </c>
    </row>
    <row r="26" spans="1:22" s="10" customFormat="1" x14ac:dyDescent="0.25">
      <c r="A26" s="10" t="s">
        <v>1601</v>
      </c>
      <c r="B26" s="10" t="s">
        <v>1571</v>
      </c>
      <c r="C26" s="10" t="s">
        <v>215</v>
      </c>
      <c r="D26" s="10" t="s">
        <v>1602</v>
      </c>
      <c r="E26" s="8" t="s">
        <v>1603</v>
      </c>
      <c r="F26" s="8" t="s">
        <v>1604</v>
      </c>
      <c r="G26" s="10" t="s">
        <v>4</v>
      </c>
      <c r="H26" s="8" t="s">
        <v>1605</v>
      </c>
      <c r="I26" s="10" t="s">
        <v>1606</v>
      </c>
      <c r="J26" s="8" t="s">
        <v>1577</v>
      </c>
      <c r="K26" s="8" t="s">
        <v>1607</v>
      </c>
      <c r="L26" s="8" t="s">
        <v>87</v>
      </c>
      <c r="M26" s="10" t="s">
        <v>1456</v>
      </c>
      <c r="N26" s="8" t="s">
        <v>87</v>
      </c>
      <c r="O26" s="10" t="s">
        <v>22</v>
      </c>
      <c r="P26" s="8" t="s">
        <v>1608</v>
      </c>
      <c r="Q26" s="10" t="s">
        <v>246</v>
      </c>
      <c r="R26" s="10" t="s">
        <v>1438</v>
      </c>
      <c r="S26" s="8" t="s">
        <v>1593</v>
      </c>
      <c r="T26" s="10" t="s">
        <v>1579</v>
      </c>
      <c r="U26" s="10" t="s">
        <v>87</v>
      </c>
      <c r="V26" s="10" t="s">
        <v>87</v>
      </c>
    </row>
    <row r="27" spans="1:22" s="10" customFormat="1" x14ac:dyDescent="0.25">
      <c r="A27" s="10" t="s">
        <v>1609</v>
      </c>
      <c r="B27" s="10" t="s">
        <v>1571</v>
      </c>
      <c r="C27" s="10" t="s">
        <v>215</v>
      </c>
      <c r="D27" s="10" t="s">
        <v>1610</v>
      </c>
      <c r="E27" s="8" t="s">
        <v>1611</v>
      </c>
      <c r="F27" s="8" t="s">
        <v>1612</v>
      </c>
      <c r="G27" s="10" t="s">
        <v>3</v>
      </c>
      <c r="H27" s="8" t="s">
        <v>1613</v>
      </c>
      <c r="I27" s="10" t="s">
        <v>1614</v>
      </c>
      <c r="J27" s="8" t="s">
        <v>1577</v>
      </c>
      <c r="K27" s="8" t="s">
        <v>1435</v>
      </c>
      <c r="L27" s="8" t="s">
        <v>87</v>
      </c>
      <c r="M27" s="10" t="s">
        <v>1436</v>
      </c>
      <c r="N27" s="8" t="s">
        <v>87</v>
      </c>
      <c r="O27" s="10" t="s">
        <v>22</v>
      </c>
      <c r="P27" s="8" t="s">
        <v>1615</v>
      </c>
      <c r="Q27" s="10" t="s">
        <v>246</v>
      </c>
      <c r="R27" s="10" t="s">
        <v>1438</v>
      </c>
      <c r="S27" s="8" t="s">
        <v>1593</v>
      </c>
      <c r="T27" s="10" t="s">
        <v>1579</v>
      </c>
      <c r="U27" s="10" t="s">
        <v>87</v>
      </c>
      <c r="V27" s="10" t="s">
        <v>87</v>
      </c>
    </row>
    <row r="28" spans="1:22" s="10" customFormat="1" x14ac:dyDescent="0.25">
      <c r="A28" s="10" t="s">
        <v>1616</v>
      </c>
      <c r="B28" s="10" t="s">
        <v>1571</v>
      </c>
      <c r="C28" s="10" t="s">
        <v>215</v>
      </c>
      <c r="D28" s="10" t="s">
        <v>1617</v>
      </c>
      <c r="E28" s="8" t="s">
        <v>1618</v>
      </c>
      <c r="F28" s="8" t="s">
        <v>1619</v>
      </c>
      <c r="G28" s="10" t="s">
        <v>3</v>
      </c>
      <c r="H28" s="8" t="s">
        <v>1620</v>
      </c>
      <c r="I28" s="10" t="s">
        <v>1621</v>
      </c>
      <c r="J28" s="8" t="s">
        <v>1577</v>
      </c>
      <c r="K28" s="8" t="s">
        <v>1435</v>
      </c>
      <c r="L28" s="8" t="s">
        <v>87</v>
      </c>
      <c r="M28" s="10" t="s">
        <v>1436</v>
      </c>
      <c r="N28" s="8" t="s">
        <v>87</v>
      </c>
      <c r="O28" s="10" t="s">
        <v>22</v>
      </c>
      <c r="P28" s="8" t="s">
        <v>1622</v>
      </c>
      <c r="Q28" s="10" t="s">
        <v>246</v>
      </c>
      <c r="R28" s="10" t="s">
        <v>1438</v>
      </c>
      <c r="S28" s="8" t="s">
        <v>1593</v>
      </c>
      <c r="T28" s="10" t="s">
        <v>1579</v>
      </c>
      <c r="U28" s="10" t="s">
        <v>87</v>
      </c>
      <c r="V28" s="10" t="s">
        <v>87</v>
      </c>
    </row>
    <row r="29" spans="1:22" s="10" customFormat="1" x14ac:dyDescent="0.25">
      <c r="A29" s="10" t="s">
        <v>1623</v>
      </c>
      <c r="B29" s="10" t="s">
        <v>1571</v>
      </c>
      <c r="C29" s="10" t="s">
        <v>215</v>
      </c>
      <c r="D29" s="10" t="s">
        <v>1624</v>
      </c>
      <c r="E29" s="8" t="s">
        <v>1625</v>
      </c>
      <c r="F29" s="8" t="s">
        <v>1626</v>
      </c>
      <c r="G29" s="10" t="s">
        <v>3</v>
      </c>
      <c r="H29" s="8" t="s">
        <v>1627</v>
      </c>
      <c r="I29" s="10" t="s">
        <v>1628</v>
      </c>
      <c r="J29" s="8" t="s">
        <v>1577</v>
      </c>
      <c r="K29" s="8" t="s">
        <v>1435</v>
      </c>
      <c r="L29" s="8" t="s">
        <v>87</v>
      </c>
      <c r="M29" s="10" t="s">
        <v>1436</v>
      </c>
      <c r="N29" s="8" t="s">
        <v>87</v>
      </c>
      <c r="O29" s="10" t="s">
        <v>22</v>
      </c>
      <c r="P29" s="8" t="s">
        <v>1629</v>
      </c>
      <c r="Q29" s="10" t="s">
        <v>246</v>
      </c>
      <c r="R29" s="10" t="s">
        <v>1438</v>
      </c>
      <c r="S29" s="8" t="s">
        <v>1593</v>
      </c>
      <c r="T29" s="10" t="s">
        <v>1579</v>
      </c>
      <c r="U29" s="10" t="s">
        <v>87</v>
      </c>
      <c r="V29" s="10" t="s">
        <v>87</v>
      </c>
    </row>
    <row r="30" spans="1:22" s="10" customFormat="1" x14ac:dyDescent="0.25">
      <c r="A30" s="10" t="s">
        <v>1630</v>
      </c>
      <c r="B30" s="10" t="s">
        <v>1571</v>
      </c>
      <c r="C30" s="11" t="s">
        <v>346</v>
      </c>
      <c r="D30" s="10" t="s">
        <v>1631</v>
      </c>
      <c r="E30" s="8" t="s">
        <v>1632</v>
      </c>
      <c r="F30" s="8" t="s">
        <v>1633</v>
      </c>
      <c r="G30" s="10" t="s">
        <v>3</v>
      </c>
      <c r="H30" s="8" t="s">
        <v>1575</v>
      </c>
      <c r="I30" s="10" t="s">
        <v>1576</v>
      </c>
      <c r="J30" s="8" t="s">
        <v>1577</v>
      </c>
      <c r="K30" s="8" t="s">
        <v>1435</v>
      </c>
      <c r="L30" s="8" t="s">
        <v>87</v>
      </c>
      <c r="M30" s="10" t="s">
        <v>1436</v>
      </c>
      <c r="N30" s="8" t="s">
        <v>87</v>
      </c>
      <c r="O30" s="10" t="s">
        <v>22</v>
      </c>
      <c r="P30" s="8" t="s">
        <v>1634</v>
      </c>
      <c r="Q30" s="10" t="s">
        <v>223</v>
      </c>
      <c r="R30" s="10" t="s">
        <v>1438</v>
      </c>
      <c r="S30" s="8" t="s">
        <v>1635</v>
      </c>
      <c r="T30" s="10" t="s">
        <v>1579</v>
      </c>
      <c r="U30" s="10" t="s">
        <v>87</v>
      </c>
      <c r="V30" s="10" t="s">
        <v>87</v>
      </c>
    </row>
    <row r="31" spans="1:22" s="10" customFormat="1" x14ac:dyDescent="0.25">
      <c r="A31" s="10" t="s">
        <v>1636</v>
      </c>
      <c r="B31" s="10" t="s">
        <v>1571</v>
      </c>
      <c r="C31" s="10" t="s">
        <v>215</v>
      </c>
      <c r="D31" s="10" t="s">
        <v>1637</v>
      </c>
      <c r="E31" s="8" t="s">
        <v>1638</v>
      </c>
      <c r="F31" s="8" t="s">
        <v>1639</v>
      </c>
      <c r="G31" s="10" t="s">
        <v>3</v>
      </c>
      <c r="H31" s="8" t="s">
        <v>1640</v>
      </c>
      <c r="I31" s="10" t="s">
        <v>357</v>
      </c>
      <c r="J31" s="8" t="s">
        <v>1577</v>
      </c>
      <c r="K31" s="8" t="s">
        <v>1435</v>
      </c>
      <c r="L31" s="8" t="s">
        <v>87</v>
      </c>
      <c r="M31" s="10" t="s">
        <v>1436</v>
      </c>
      <c r="N31" s="8" t="s">
        <v>87</v>
      </c>
      <c r="O31" s="10" t="s">
        <v>22</v>
      </c>
      <c r="P31" s="8" t="s">
        <v>1641</v>
      </c>
      <c r="Q31" s="10" t="s">
        <v>239</v>
      </c>
      <c r="R31" s="10" t="s">
        <v>1438</v>
      </c>
      <c r="S31" s="8" t="s">
        <v>1642</v>
      </c>
      <c r="T31" s="10" t="s">
        <v>1579</v>
      </c>
      <c r="U31" s="10" t="s">
        <v>87</v>
      </c>
      <c r="V31" s="10" t="s">
        <v>87</v>
      </c>
    </row>
    <row r="32" spans="1:22" s="10" customFormat="1" x14ac:dyDescent="0.25">
      <c r="A32" s="10" t="s">
        <v>1643</v>
      </c>
      <c r="B32" s="10" t="s">
        <v>1571</v>
      </c>
      <c r="C32" s="10" t="s">
        <v>215</v>
      </c>
      <c r="D32" s="10" t="s">
        <v>1644</v>
      </c>
      <c r="E32" s="8" t="s">
        <v>1645</v>
      </c>
      <c r="F32" s="8" t="s">
        <v>1646</v>
      </c>
      <c r="G32" s="10" t="s">
        <v>3</v>
      </c>
      <c r="H32" s="8" t="s">
        <v>1640</v>
      </c>
      <c r="I32" s="10" t="s">
        <v>357</v>
      </c>
      <c r="J32" s="8" t="s">
        <v>1577</v>
      </c>
      <c r="K32" s="8" t="s">
        <v>1435</v>
      </c>
      <c r="L32" s="8" t="s">
        <v>87</v>
      </c>
      <c r="M32" s="10" t="s">
        <v>1436</v>
      </c>
      <c r="N32" s="8" t="s">
        <v>87</v>
      </c>
      <c r="O32" s="10" t="s">
        <v>22</v>
      </c>
      <c r="P32" s="8" t="s">
        <v>1647</v>
      </c>
      <c r="Q32" s="10" t="s">
        <v>223</v>
      </c>
      <c r="R32" s="10" t="s">
        <v>1438</v>
      </c>
      <c r="S32" s="8" t="s">
        <v>1648</v>
      </c>
      <c r="T32" s="10" t="s">
        <v>1579</v>
      </c>
      <c r="U32" s="10" t="s">
        <v>87</v>
      </c>
      <c r="V32" s="10" t="s">
        <v>87</v>
      </c>
    </row>
    <row r="33" spans="1:22" s="10" customFormat="1" x14ac:dyDescent="0.25">
      <c r="A33" s="10" t="s">
        <v>1649</v>
      </c>
      <c r="B33" s="10" t="s">
        <v>1571</v>
      </c>
      <c r="C33" s="11" t="s">
        <v>346</v>
      </c>
      <c r="D33" s="10" t="s">
        <v>1650</v>
      </c>
      <c r="E33" s="8" t="s">
        <v>1651</v>
      </c>
      <c r="F33" s="8" t="s">
        <v>1652</v>
      </c>
      <c r="G33" s="10" t="s">
        <v>3</v>
      </c>
      <c r="H33" s="8" t="s">
        <v>1653</v>
      </c>
      <c r="I33" s="10" t="s">
        <v>1654</v>
      </c>
      <c r="J33" s="8" t="s">
        <v>1655</v>
      </c>
      <c r="K33" s="8" t="s">
        <v>1435</v>
      </c>
      <c r="L33" s="8" t="s">
        <v>87</v>
      </c>
      <c r="M33" s="10" t="s">
        <v>1436</v>
      </c>
      <c r="N33" s="8" t="s">
        <v>87</v>
      </c>
      <c r="O33" s="10" t="s">
        <v>22</v>
      </c>
      <c r="P33" s="8" t="s">
        <v>1656</v>
      </c>
      <c r="Q33" s="10" t="s">
        <v>1447</v>
      </c>
      <c r="R33" s="10" t="s">
        <v>1657</v>
      </c>
      <c r="S33" s="8" t="s">
        <v>1658</v>
      </c>
      <c r="T33" s="10" t="s">
        <v>1579</v>
      </c>
      <c r="U33" s="10" t="s">
        <v>87</v>
      </c>
      <c r="V33" s="10" t="s">
        <v>87</v>
      </c>
    </row>
    <row r="34" spans="1:22" s="10" customFormat="1" x14ac:dyDescent="0.25">
      <c r="A34" s="10" t="s">
        <v>1659</v>
      </c>
      <c r="B34" s="10" t="s">
        <v>1571</v>
      </c>
      <c r="C34" s="11" t="s">
        <v>346</v>
      </c>
      <c r="D34" s="10" t="s">
        <v>1660</v>
      </c>
      <c r="E34" s="8" t="s">
        <v>1661</v>
      </c>
      <c r="F34" s="8" t="s">
        <v>1662</v>
      </c>
      <c r="G34" s="10" t="s">
        <v>4</v>
      </c>
      <c r="H34" s="8" t="s">
        <v>1663</v>
      </c>
      <c r="I34" s="10" t="s">
        <v>357</v>
      </c>
      <c r="J34" s="8" t="s">
        <v>1664</v>
      </c>
      <c r="K34" s="8" t="s">
        <v>1665</v>
      </c>
      <c r="L34" s="8" t="s">
        <v>1666</v>
      </c>
      <c r="M34" s="10" t="s">
        <v>1456</v>
      </c>
      <c r="N34" s="8" t="s">
        <v>87</v>
      </c>
      <c r="O34" s="10" t="s">
        <v>22</v>
      </c>
      <c r="P34" s="8" t="s">
        <v>1667</v>
      </c>
      <c r="Q34" s="10" t="s">
        <v>825</v>
      </c>
      <c r="R34" s="10" t="s">
        <v>1668</v>
      </c>
      <c r="S34" s="8" t="s">
        <v>1669</v>
      </c>
      <c r="T34" s="10" t="s">
        <v>1579</v>
      </c>
      <c r="U34" s="10" t="s">
        <v>87</v>
      </c>
      <c r="V34" s="10" t="s">
        <v>87</v>
      </c>
    </row>
    <row r="35" spans="1:22" s="10" customFormat="1" x14ac:dyDescent="0.25">
      <c r="A35" s="10" t="s">
        <v>1670</v>
      </c>
      <c r="B35" s="10" t="s">
        <v>1571</v>
      </c>
      <c r="C35" s="10" t="s">
        <v>215</v>
      </c>
      <c r="D35" s="10" t="s">
        <v>1671</v>
      </c>
      <c r="E35" s="8" t="s">
        <v>1672</v>
      </c>
      <c r="F35" s="8" t="s">
        <v>1673</v>
      </c>
      <c r="G35" s="10" t="s">
        <v>3</v>
      </c>
      <c r="H35" s="8" t="s">
        <v>1640</v>
      </c>
      <c r="I35" s="10" t="s">
        <v>357</v>
      </c>
      <c r="J35" s="8" t="s">
        <v>1577</v>
      </c>
      <c r="K35" s="8" t="s">
        <v>1435</v>
      </c>
      <c r="L35" s="8" t="s">
        <v>87</v>
      </c>
      <c r="M35" s="10" t="s">
        <v>1436</v>
      </c>
      <c r="N35" s="8" t="s">
        <v>87</v>
      </c>
      <c r="O35" s="10" t="s">
        <v>22</v>
      </c>
      <c r="P35" s="8" t="s">
        <v>1674</v>
      </c>
      <c r="Q35" s="10" t="s">
        <v>223</v>
      </c>
      <c r="R35" s="10" t="s">
        <v>1438</v>
      </c>
      <c r="S35" s="8" t="s">
        <v>1635</v>
      </c>
      <c r="T35" s="10" t="s">
        <v>1579</v>
      </c>
      <c r="U35" s="10" t="s">
        <v>87</v>
      </c>
      <c r="V35" s="10" t="s">
        <v>87</v>
      </c>
    </row>
    <row r="36" spans="1:22" s="10" customFormat="1" x14ac:dyDescent="0.25">
      <c r="A36" s="10" t="s">
        <v>1675</v>
      </c>
      <c r="B36" s="10" t="s">
        <v>1571</v>
      </c>
      <c r="C36" s="10" t="s">
        <v>215</v>
      </c>
      <c r="D36" s="10" t="s">
        <v>1676</v>
      </c>
      <c r="E36" s="8" t="s">
        <v>1677</v>
      </c>
      <c r="F36" s="8" t="s">
        <v>1678</v>
      </c>
      <c r="G36" s="10" t="s">
        <v>3</v>
      </c>
      <c r="H36" s="8" t="s">
        <v>1679</v>
      </c>
      <c r="I36" s="10" t="s">
        <v>357</v>
      </c>
      <c r="J36" s="8" t="s">
        <v>1577</v>
      </c>
      <c r="K36" s="8" t="s">
        <v>1435</v>
      </c>
      <c r="L36" s="8" t="s">
        <v>87</v>
      </c>
      <c r="M36" s="10" t="s">
        <v>1436</v>
      </c>
      <c r="N36" s="8" t="s">
        <v>87</v>
      </c>
      <c r="O36" s="10" t="s">
        <v>22</v>
      </c>
      <c r="P36" s="8" t="s">
        <v>1680</v>
      </c>
      <c r="Q36" s="10" t="s">
        <v>246</v>
      </c>
      <c r="R36" s="10" t="s">
        <v>1438</v>
      </c>
      <c r="S36" s="8" t="s">
        <v>1681</v>
      </c>
      <c r="T36" s="10" t="s">
        <v>1579</v>
      </c>
      <c r="U36" s="10" t="s">
        <v>87</v>
      </c>
      <c r="V36" s="10" t="s">
        <v>87</v>
      </c>
    </row>
    <row r="37" spans="1:22" s="10" customFormat="1" x14ac:dyDescent="0.25">
      <c r="A37" s="10" t="s">
        <v>1682</v>
      </c>
      <c r="B37" s="10" t="s">
        <v>1571</v>
      </c>
      <c r="C37" s="11" t="s">
        <v>346</v>
      </c>
      <c r="D37" s="10" t="s">
        <v>1683</v>
      </c>
      <c r="E37" s="8" t="s">
        <v>1684</v>
      </c>
      <c r="F37" s="8" t="s">
        <v>1685</v>
      </c>
      <c r="G37" s="10" t="s">
        <v>4</v>
      </c>
      <c r="H37" s="8" t="s">
        <v>1686</v>
      </c>
      <c r="I37" s="10" t="s">
        <v>1687</v>
      </c>
      <c r="J37" s="8" t="s">
        <v>1577</v>
      </c>
      <c r="K37" s="8" t="s">
        <v>1688</v>
      </c>
      <c r="L37" s="8" t="s">
        <v>87</v>
      </c>
      <c r="M37" s="10" t="s">
        <v>1456</v>
      </c>
      <c r="N37" s="8" t="s">
        <v>87</v>
      </c>
      <c r="O37" s="10" t="s">
        <v>22</v>
      </c>
      <c r="P37" s="8" t="s">
        <v>1689</v>
      </c>
      <c r="Q37" s="10" t="s">
        <v>1447</v>
      </c>
      <c r="R37" s="10" t="s">
        <v>1438</v>
      </c>
      <c r="S37" s="8" t="s">
        <v>1690</v>
      </c>
      <c r="T37" s="10" t="s">
        <v>1579</v>
      </c>
      <c r="U37" s="10" t="s">
        <v>87</v>
      </c>
      <c r="V37" s="10" t="s">
        <v>87</v>
      </c>
    </row>
    <row r="38" spans="1:22" s="10" customFormat="1" x14ac:dyDescent="0.25">
      <c r="A38" s="10" t="s">
        <v>1691</v>
      </c>
      <c r="B38" s="10" t="s">
        <v>1571</v>
      </c>
      <c r="C38" s="11" t="s">
        <v>346</v>
      </c>
      <c r="D38" s="10" t="s">
        <v>1692</v>
      </c>
      <c r="E38" s="8" t="s">
        <v>1693</v>
      </c>
      <c r="F38" s="8" t="s">
        <v>1694</v>
      </c>
      <c r="G38" s="10" t="s">
        <v>3</v>
      </c>
      <c r="H38" s="8" t="s">
        <v>1695</v>
      </c>
      <c r="I38" s="10" t="s">
        <v>1628</v>
      </c>
      <c r="J38" s="8" t="s">
        <v>1577</v>
      </c>
      <c r="K38" s="8" t="s">
        <v>1435</v>
      </c>
      <c r="L38" s="8" t="s">
        <v>87</v>
      </c>
      <c r="M38" s="10" t="s">
        <v>1436</v>
      </c>
      <c r="N38" s="8" t="s">
        <v>87</v>
      </c>
      <c r="O38" s="10" t="s">
        <v>22</v>
      </c>
      <c r="P38" s="8" t="s">
        <v>1696</v>
      </c>
      <c r="Q38" s="10" t="s">
        <v>1447</v>
      </c>
      <c r="R38" s="10" t="s">
        <v>1438</v>
      </c>
      <c r="S38" s="8" t="s">
        <v>1697</v>
      </c>
      <c r="T38" s="10" t="s">
        <v>1579</v>
      </c>
      <c r="U38" s="10" t="s">
        <v>87</v>
      </c>
      <c r="V38" s="10" t="s">
        <v>87</v>
      </c>
    </row>
    <row r="39" spans="1:22" s="10" customFormat="1" x14ac:dyDescent="0.25">
      <c r="A39" s="10" t="s">
        <v>1698</v>
      </c>
      <c r="B39" s="10" t="s">
        <v>1571</v>
      </c>
      <c r="C39" s="11" t="s">
        <v>346</v>
      </c>
      <c r="D39" s="10" t="s">
        <v>1699</v>
      </c>
      <c r="E39" s="8" t="s">
        <v>1700</v>
      </c>
      <c r="F39" s="8" t="s">
        <v>1701</v>
      </c>
      <c r="G39" s="10" t="s">
        <v>3</v>
      </c>
      <c r="H39" s="8" t="s">
        <v>1575</v>
      </c>
      <c r="I39" s="10" t="s">
        <v>1576</v>
      </c>
      <c r="J39" s="8" t="s">
        <v>1577</v>
      </c>
      <c r="K39" s="8" t="s">
        <v>1435</v>
      </c>
      <c r="L39" s="8" t="s">
        <v>87</v>
      </c>
      <c r="M39" s="10" t="s">
        <v>1436</v>
      </c>
      <c r="N39" s="8" t="s">
        <v>87</v>
      </c>
      <c r="O39" s="10" t="s">
        <v>22</v>
      </c>
      <c r="P39" s="8" t="s">
        <v>1702</v>
      </c>
      <c r="Q39" s="10" t="s">
        <v>223</v>
      </c>
      <c r="R39" s="10" t="s">
        <v>1438</v>
      </c>
      <c r="S39" s="8" t="s">
        <v>1703</v>
      </c>
      <c r="T39" s="10" t="s">
        <v>1579</v>
      </c>
      <c r="U39" s="10" t="s">
        <v>87</v>
      </c>
      <c r="V39" s="10" t="s">
        <v>87</v>
      </c>
    </row>
    <row r="40" spans="1:22" s="10" customFormat="1" x14ac:dyDescent="0.25">
      <c r="A40" s="10" t="s">
        <v>1704</v>
      </c>
      <c r="B40" s="10" t="s">
        <v>1571</v>
      </c>
      <c r="C40" s="10" t="s">
        <v>215</v>
      </c>
      <c r="D40" s="10" t="s">
        <v>1705</v>
      </c>
      <c r="E40" s="8" t="s">
        <v>1706</v>
      </c>
      <c r="F40" s="8" t="s">
        <v>1707</v>
      </c>
      <c r="G40" s="10" t="s">
        <v>3</v>
      </c>
      <c r="H40" s="8" t="s">
        <v>1708</v>
      </c>
      <c r="I40" s="10" t="s">
        <v>357</v>
      </c>
      <c r="J40" s="8" t="s">
        <v>1577</v>
      </c>
      <c r="K40" s="8" t="s">
        <v>1435</v>
      </c>
      <c r="L40" s="8" t="s">
        <v>87</v>
      </c>
      <c r="M40" s="10" t="s">
        <v>1436</v>
      </c>
      <c r="N40" s="8" t="s">
        <v>87</v>
      </c>
      <c r="O40" s="10" t="s">
        <v>22</v>
      </c>
      <c r="P40" s="8" t="s">
        <v>1709</v>
      </c>
      <c r="Q40" s="10" t="s">
        <v>223</v>
      </c>
      <c r="R40" s="10" t="s">
        <v>1438</v>
      </c>
      <c r="S40" s="8" t="s">
        <v>1710</v>
      </c>
      <c r="T40" s="10" t="s">
        <v>1579</v>
      </c>
      <c r="U40" s="10" t="s">
        <v>87</v>
      </c>
      <c r="V40" s="10" t="s">
        <v>87</v>
      </c>
    </row>
    <row r="41" spans="1:22" s="10" customFormat="1" x14ac:dyDescent="0.25">
      <c r="A41" s="10" t="s">
        <v>1711</v>
      </c>
      <c r="B41" s="10" t="s">
        <v>1571</v>
      </c>
      <c r="C41" s="10" t="s">
        <v>215</v>
      </c>
      <c r="D41" s="10" t="s">
        <v>1712</v>
      </c>
      <c r="E41" s="8" t="s">
        <v>1713</v>
      </c>
      <c r="F41" s="8" t="s">
        <v>1714</v>
      </c>
      <c r="G41" s="10" t="s">
        <v>3</v>
      </c>
      <c r="H41" s="8" t="s">
        <v>1715</v>
      </c>
      <c r="I41" s="10" t="s">
        <v>357</v>
      </c>
      <c r="J41" s="8" t="s">
        <v>1577</v>
      </c>
      <c r="K41" s="8" t="s">
        <v>1435</v>
      </c>
      <c r="L41" s="8" t="s">
        <v>87</v>
      </c>
      <c r="M41" s="10" t="s">
        <v>1436</v>
      </c>
      <c r="N41" s="8" t="s">
        <v>87</v>
      </c>
      <c r="O41" s="10" t="s">
        <v>22</v>
      </c>
      <c r="P41" s="8" t="s">
        <v>1716</v>
      </c>
      <c r="Q41" s="10" t="s">
        <v>223</v>
      </c>
      <c r="R41" s="10" t="s">
        <v>1438</v>
      </c>
      <c r="S41" s="8" t="s">
        <v>1717</v>
      </c>
      <c r="T41" s="10" t="s">
        <v>1579</v>
      </c>
      <c r="U41" s="10" t="s">
        <v>87</v>
      </c>
      <c r="V41" s="10" t="s">
        <v>87</v>
      </c>
    </row>
    <row r="42" spans="1:22" s="10" customFormat="1" x14ac:dyDescent="0.25">
      <c r="A42" s="10" t="s">
        <v>1718</v>
      </c>
      <c r="B42" s="10" t="s">
        <v>1571</v>
      </c>
      <c r="C42" s="10" t="s">
        <v>215</v>
      </c>
      <c r="D42" s="10" t="s">
        <v>1719</v>
      </c>
      <c r="E42" s="8" t="s">
        <v>1720</v>
      </c>
      <c r="F42" s="8" t="s">
        <v>1721</v>
      </c>
      <c r="G42" s="10" t="s">
        <v>3</v>
      </c>
      <c r="H42" s="8" t="s">
        <v>1722</v>
      </c>
      <c r="I42" s="10" t="s">
        <v>357</v>
      </c>
      <c r="J42" s="8" t="s">
        <v>1577</v>
      </c>
      <c r="K42" s="8" t="s">
        <v>1435</v>
      </c>
      <c r="L42" s="8" t="s">
        <v>87</v>
      </c>
      <c r="M42" s="10" t="s">
        <v>1436</v>
      </c>
      <c r="N42" s="8" t="s">
        <v>87</v>
      </c>
      <c r="O42" s="10" t="s">
        <v>22</v>
      </c>
      <c r="P42" s="8" t="s">
        <v>1723</v>
      </c>
      <c r="Q42" s="10" t="s">
        <v>223</v>
      </c>
      <c r="R42" s="10" t="s">
        <v>1438</v>
      </c>
      <c r="S42" s="8" t="s">
        <v>1724</v>
      </c>
      <c r="T42" s="10" t="s">
        <v>1579</v>
      </c>
      <c r="U42" s="10" t="s">
        <v>87</v>
      </c>
      <c r="V42" s="10" t="s">
        <v>87</v>
      </c>
    </row>
    <row r="43" spans="1:22" s="10" customFormat="1" x14ac:dyDescent="0.25">
      <c r="A43" s="10" t="s">
        <v>1725</v>
      </c>
      <c r="B43" s="10" t="s">
        <v>1571</v>
      </c>
      <c r="C43" s="10" t="s">
        <v>215</v>
      </c>
      <c r="D43" s="10" t="s">
        <v>1726</v>
      </c>
      <c r="E43" s="8" t="s">
        <v>1727</v>
      </c>
      <c r="F43" s="8" t="s">
        <v>1728</v>
      </c>
      <c r="G43" s="10" t="s">
        <v>3</v>
      </c>
      <c r="H43" s="8" t="s">
        <v>1729</v>
      </c>
      <c r="I43" s="10" t="s">
        <v>357</v>
      </c>
      <c r="J43" s="8" t="s">
        <v>1577</v>
      </c>
      <c r="K43" s="8" t="s">
        <v>1435</v>
      </c>
      <c r="L43" s="8" t="s">
        <v>87</v>
      </c>
      <c r="M43" s="10" t="s">
        <v>1436</v>
      </c>
      <c r="N43" s="8" t="s">
        <v>87</v>
      </c>
      <c r="O43" s="10" t="s">
        <v>22</v>
      </c>
      <c r="P43" s="8" t="s">
        <v>1730</v>
      </c>
      <c r="Q43" s="10" t="s">
        <v>223</v>
      </c>
      <c r="R43" s="10" t="s">
        <v>1438</v>
      </c>
      <c r="S43" s="8" t="s">
        <v>1731</v>
      </c>
      <c r="T43" s="10" t="s">
        <v>1579</v>
      </c>
      <c r="U43" s="10" t="s">
        <v>87</v>
      </c>
      <c r="V43" s="10" t="s">
        <v>87</v>
      </c>
    </row>
    <row r="44" spans="1:22" s="10" customFormat="1" x14ac:dyDescent="0.25">
      <c r="A44" s="10" t="s">
        <v>1732</v>
      </c>
      <c r="B44" s="10" t="s">
        <v>1571</v>
      </c>
      <c r="C44" s="10" t="s">
        <v>215</v>
      </c>
      <c r="D44" s="10" t="s">
        <v>1733</v>
      </c>
      <c r="E44" s="8" t="s">
        <v>1734</v>
      </c>
      <c r="F44" s="8" t="s">
        <v>1735</v>
      </c>
      <c r="G44" s="10" t="s">
        <v>3</v>
      </c>
      <c r="H44" s="8" t="s">
        <v>1736</v>
      </c>
      <c r="I44" s="10" t="s">
        <v>357</v>
      </c>
      <c r="J44" s="8" t="s">
        <v>1577</v>
      </c>
      <c r="K44" s="8" t="s">
        <v>1435</v>
      </c>
      <c r="L44" s="8" t="s">
        <v>87</v>
      </c>
      <c r="M44" s="10" t="s">
        <v>1436</v>
      </c>
      <c r="N44" s="8" t="s">
        <v>87</v>
      </c>
      <c r="O44" s="10" t="s">
        <v>22</v>
      </c>
      <c r="P44" s="8" t="s">
        <v>1737</v>
      </c>
      <c r="Q44" s="10" t="s">
        <v>223</v>
      </c>
      <c r="R44" s="10" t="s">
        <v>1438</v>
      </c>
      <c r="S44" s="8" t="s">
        <v>1738</v>
      </c>
      <c r="T44" s="10" t="s">
        <v>1579</v>
      </c>
      <c r="U44" s="10" t="s">
        <v>87</v>
      </c>
      <c r="V44" s="10" t="s">
        <v>87</v>
      </c>
    </row>
    <row r="45" spans="1:22" s="10" customFormat="1" x14ac:dyDescent="0.25">
      <c r="A45" s="10" t="s">
        <v>1739</v>
      </c>
      <c r="B45" s="10" t="s">
        <v>1571</v>
      </c>
      <c r="C45" s="10" t="s">
        <v>215</v>
      </c>
      <c r="D45" s="10" t="s">
        <v>1740</v>
      </c>
      <c r="E45" s="8" t="s">
        <v>1741</v>
      </c>
      <c r="F45" s="8" t="s">
        <v>1742</v>
      </c>
      <c r="G45" s="10" t="s">
        <v>3</v>
      </c>
      <c r="H45" s="8" t="s">
        <v>1743</v>
      </c>
      <c r="I45" s="10" t="s">
        <v>357</v>
      </c>
      <c r="J45" s="8" t="s">
        <v>1577</v>
      </c>
      <c r="K45" s="8" t="s">
        <v>1435</v>
      </c>
      <c r="L45" s="8" t="s">
        <v>87</v>
      </c>
      <c r="M45" s="10" t="s">
        <v>1436</v>
      </c>
      <c r="N45" s="8" t="s">
        <v>87</v>
      </c>
      <c r="O45" s="10" t="s">
        <v>22</v>
      </c>
      <c r="P45" s="8" t="s">
        <v>1744</v>
      </c>
      <c r="Q45" s="10" t="s">
        <v>223</v>
      </c>
      <c r="R45" s="10" t="s">
        <v>1438</v>
      </c>
      <c r="S45" s="8" t="s">
        <v>1745</v>
      </c>
      <c r="T45" s="10" t="s">
        <v>1579</v>
      </c>
      <c r="U45" s="10" t="s">
        <v>87</v>
      </c>
      <c r="V45" s="10" t="s">
        <v>87</v>
      </c>
    </row>
    <row r="46" spans="1:22" s="10" customFormat="1" x14ac:dyDescent="0.25">
      <c r="A46" s="10" t="s">
        <v>1746</v>
      </c>
      <c r="B46" s="10" t="s">
        <v>1571</v>
      </c>
      <c r="C46" s="10" t="s">
        <v>215</v>
      </c>
      <c r="D46" s="10" t="s">
        <v>1747</v>
      </c>
      <c r="E46" s="8" t="s">
        <v>1748</v>
      </c>
      <c r="F46" s="8" t="s">
        <v>1749</v>
      </c>
      <c r="G46" s="10" t="s">
        <v>3</v>
      </c>
      <c r="H46" s="8" t="s">
        <v>1750</v>
      </c>
      <c r="I46" s="10" t="s">
        <v>357</v>
      </c>
      <c r="J46" s="8" t="s">
        <v>1577</v>
      </c>
      <c r="K46" s="8" t="s">
        <v>1435</v>
      </c>
      <c r="L46" s="8" t="s">
        <v>87</v>
      </c>
      <c r="M46" s="10" t="s">
        <v>1436</v>
      </c>
      <c r="N46" s="8" t="s">
        <v>87</v>
      </c>
      <c r="O46" s="10" t="s">
        <v>22</v>
      </c>
      <c r="P46" s="8" t="s">
        <v>1751</v>
      </c>
      <c r="Q46" s="10" t="s">
        <v>223</v>
      </c>
      <c r="R46" s="10" t="s">
        <v>1438</v>
      </c>
      <c r="S46" s="8" t="s">
        <v>1752</v>
      </c>
      <c r="T46" s="10" t="s">
        <v>1579</v>
      </c>
      <c r="U46" s="10" t="s">
        <v>87</v>
      </c>
      <c r="V46" s="10" t="s">
        <v>87</v>
      </c>
    </row>
    <row r="47" spans="1:22" s="10" customFormat="1" x14ac:dyDescent="0.25">
      <c r="A47" s="10" t="s">
        <v>1753</v>
      </c>
      <c r="B47" s="10" t="s">
        <v>1571</v>
      </c>
      <c r="C47" s="11" t="s">
        <v>346</v>
      </c>
      <c r="D47" s="10" t="s">
        <v>1754</v>
      </c>
      <c r="E47" s="8" t="s">
        <v>1755</v>
      </c>
      <c r="F47" s="8" t="s">
        <v>1756</v>
      </c>
      <c r="G47" s="10" t="s">
        <v>3</v>
      </c>
      <c r="H47" s="8" t="s">
        <v>1757</v>
      </c>
      <c r="I47" s="10" t="s">
        <v>1599</v>
      </c>
      <c r="J47" s="8" t="s">
        <v>1577</v>
      </c>
      <c r="K47" s="8" t="s">
        <v>1435</v>
      </c>
      <c r="L47" s="8" t="s">
        <v>87</v>
      </c>
      <c r="M47" s="10" t="s">
        <v>1436</v>
      </c>
      <c r="N47" s="8" t="s">
        <v>87</v>
      </c>
      <c r="O47" s="10" t="s">
        <v>22</v>
      </c>
      <c r="P47" s="8" t="s">
        <v>1758</v>
      </c>
      <c r="Q47" s="10" t="s">
        <v>223</v>
      </c>
      <c r="R47" s="10" t="s">
        <v>1438</v>
      </c>
      <c r="S47" s="8" t="s">
        <v>1759</v>
      </c>
      <c r="T47" s="10" t="s">
        <v>1579</v>
      </c>
      <c r="U47" s="10" t="s">
        <v>87</v>
      </c>
      <c r="V47" s="10" t="s">
        <v>87</v>
      </c>
    </row>
    <row r="48" spans="1:22" s="10" customFormat="1" x14ac:dyDescent="0.25">
      <c r="A48" s="10" t="s">
        <v>1760</v>
      </c>
      <c r="B48" s="10" t="s">
        <v>1571</v>
      </c>
      <c r="C48" s="10" t="s">
        <v>215</v>
      </c>
      <c r="D48" s="10" t="s">
        <v>1761</v>
      </c>
      <c r="E48" s="8" t="s">
        <v>1762</v>
      </c>
      <c r="F48" s="8" t="s">
        <v>1763</v>
      </c>
      <c r="G48" s="10" t="s">
        <v>3</v>
      </c>
      <c r="H48" s="8" t="s">
        <v>1764</v>
      </c>
      <c r="I48" s="10" t="s">
        <v>1599</v>
      </c>
      <c r="J48" s="8" t="s">
        <v>1577</v>
      </c>
      <c r="K48" s="8" t="s">
        <v>1435</v>
      </c>
      <c r="L48" s="8" t="s">
        <v>87</v>
      </c>
      <c r="M48" s="10" t="s">
        <v>1436</v>
      </c>
      <c r="N48" s="8" t="s">
        <v>87</v>
      </c>
      <c r="O48" s="10" t="s">
        <v>22</v>
      </c>
      <c r="P48" s="8" t="s">
        <v>1765</v>
      </c>
      <c r="Q48" s="10" t="s">
        <v>223</v>
      </c>
      <c r="R48" s="10" t="s">
        <v>1438</v>
      </c>
      <c r="S48" s="8" t="s">
        <v>1766</v>
      </c>
      <c r="T48" s="10" t="s">
        <v>1579</v>
      </c>
      <c r="U48" s="10" t="s">
        <v>87</v>
      </c>
      <c r="V48" s="10" t="s">
        <v>87</v>
      </c>
    </row>
    <row r="49" spans="1:22" s="10" customFormat="1" x14ac:dyDescent="0.25">
      <c r="A49" s="10" t="s">
        <v>1767</v>
      </c>
      <c r="B49" s="10" t="s">
        <v>1571</v>
      </c>
      <c r="C49" s="10" t="s">
        <v>215</v>
      </c>
      <c r="D49" s="10" t="s">
        <v>1768</v>
      </c>
      <c r="E49" s="8" t="s">
        <v>1769</v>
      </c>
      <c r="F49" s="8" t="s">
        <v>1770</v>
      </c>
      <c r="G49" s="10" t="s">
        <v>3</v>
      </c>
      <c r="H49" s="8" t="s">
        <v>1771</v>
      </c>
      <c r="I49" s="10" t="s">
        <v>1599</v>
      </c>
      <c r="J49" s="8" t="s">
        <v>1577</v>
      </c>
      <c r="K49" s="8" t="s">
        <v>1435</v>
      </c>
      <c r="L49" s="8" t="s">
        <v>87</v>
      </c>
      <c r="M49" s="10" t="s">
        <v>1436</v>
      </c>
      <c r="N49" s="8" t="s">
        <v>87</v>
      </c>
      <c r="O49" s="10" t="s">
        <v>22</v>
      </c>
      <c r="P49" s="8" t="s">
        <v>1772</v>
      </c>
      <c r="Q49" s="10" t="s">
        <v>223</v>
      </c>
      <c r="R49" s="10" t="s">
        <v>1438</v>
      </c>
      <c r="S49" s="8" t="s">
        <v>1773</v>
      </c>
      <c r="T49" s="10" t="s">
        <v>1579</v>
      </c>
      <c r="U49" s="10" t="s">
        <v>87</v>
      </c>
      <c r="V49" s="10" t="s">
        <v>87</v>
      </c>
    </row>
    <row r="50" spans="1:22" s="10" customFormat="1" x14ac:dyDescent="0.25">
      <c r="A50" s="10" t="s">
        <v>1774</v>
      </c>
      <c r="B50" s="10" t="s">
        <v>1571</v>
      </c>
      <c r="C50" s="10" t="s">
        <v>215</v>
      </c>
      <c r="D50" s="10" t="s">
        <v>1775</v>
      </c>
      <c r="E50" s="8" t="s">
        <v>1776</v>
      </c>
      <c r="F50" s="8" t="s">
        <v>1777</v>
      </c>
      <c r="G50" s="10" t="s">
        <v>3</v>
      </c>
      <c r="H50" s="8" t="s">
        <v>1778</v>
      </c>
      <c r="I50" s="10" t="s">
        <v>1606</v>
      </c>
      <c r="J50" s="8" t="s">
        <v>1577</v>
      </c>
      <c r="K50" s="8" t="s">
        <v>1435</v>
      </c>
      <c r="L50" s="8" t="s">
        <v>87</v>
      </c>
      <c r="M50" s="10" t="s">
        <v>1436</v>
      </c>
      <c r="N50" s="8" t="s">
        <v>87</v>
      </c>
      <c r="O50" s="10" t="s">
        <v>22</v>
      </c>
      <c r="P50" s="8" t="s">
        <v>1779</v>
      </c>
      <c r="Q50" s="10" t="s">
        <v>223</v>
      </c>
      <c r="R50" s="10" t="s">
        <v>1438</v>
      </c>
      <c r="S50" s="8" t="s">
        <v>1780</v>
      </c>
      <c r="T50" s="10" t="s">
        <v>1579</v>
      </c>
      <c r="U50" s="10" t="s">
        <v>87</v>
      </c>
      <c r="V50" s="10" t="s">
        <v>87</v>
      </c>
    </row>
    <row r="51" spans="1:22" s="10" customFormat="1" x14ac:dyDescent="0.25">
      <c r="A51" s="10" t="s">
        <v>1781</v>
      </c>
      <c r="B51" s="10" t="s">
        <v>1571</v>
      </c>
      <c r="C51" s="10" t="s">
        <v>215</v>
      </c>
      <c r="D51" s="10" t="s">
        <v>1782</v>
      </c>
      <c r="E51" s="8" t="s">
        <v>1783</v>
      </c>
      <c r="F51" s="8" t="s">
        <v>1784</v>
      </c>
      <c r="G51" s="10" t="s">
        <v>3</v>
      </c>
      <c r="H51" s="8" t="s">
        <v>1785</v>
      </c>
      <c r="I51" s="10" t="s">
        <v>1606</v>
      </c>
      <c r="J51" s="8" t="s">
        <v>1577</v>
      </c>
      <c r="K51" s="8" t="s">
        <v>1435</v>
      </c>
      <c r="L51" s="8" t="s">
        <v>87</v>
      </c>
      <c r="M51" s="10" t="s">
        <v>1436</v>
      </c>
      <c r="N51" s="8" t="s">
        <v>87</v>
      </c>
      <c r="O51" s="10" t="s">
        <v>22</v>
      </c>
      <c r="P51" s="8" t="s">
        <v>1779</v>
      </c>
      <c r="Q51" s="10" t="s">
        <v>223</v>
      </c>
      <c r="R51" s="10" t="s">
        <v>1438</v>
      </c>
      <c r="S51" s="8" t="s">
        <v>1635</v>
      </c>
      <c r="T51" s="10" t="s">
        <v>1579</v>
      </c>
      <c r="U51" s="10" t="s">
        <v>87</v>
      </c>
      <c r="V51" s="10" t="s">
        <v>87</v>
      </c>
    </row>
    <row r="52" spans="1:22" s="10" customFormat="1" x14ac:dyDescent="0.25">
      <c r="A52" s="10" t="s">
        <v>1786</v>
      </c>
      <c r="B52" s="10" t="s">
        <v>1571</v>
      </c>
      <c r="C52" s="11" t="s">
        <v>346</v>
      </c>
      <c r="D52" s="10" t="s">
        <v>1787</v>
      </c>
      <c r="E52" s="8" t="s">
        <v>1788</v>
      </c>
      <c r="F52" s="8" t="s">
        <v>1789</v>
      </c>
      <c r="G52" s="10" t="s">
        <v>3</v>
      </c>
      <c r="H52" s="8" t="s">
        <v>1790</v>
      </c>
      <c r="I52" s="10" t="s">
        <v>1614</v>
      </c>
      <c r="J52" s="8" t="s">
        <v>1577</v>
      </c>
      <c r="K52" s="8" t="s">
        <v>1435</v>
      </c>
      <c r="L52" s="8" t="s">
        <v>87</v>
      </c>
      <c r="M52" s="10" t="s">
        <v>1436</v>
      </c>
      <c r="N52" s="8" t="s">
        <v>87</v>
      </c>
      <c r="O52" s="10" t="s">
        <v>22</v>
      </c>
      <c r="P52" s="8" t="s">
        <v>1791</v>
      </c>
      <c r="Q52" s="10" t="s">
        <v>223</v>
      </c>
      <c r="R52" s="10" t="s">
        <v>1438</v>
      </c>
      <c r="S52" s="8" t="s">
        <v>1792</v>
      </c>
      <c r="T52" s="10" t="s">
        <v>1579</v>
      </c>
      <c r="U52" s="10" t="s">
        <v>87</v>
      </c>
      <c r="V52" s="10" t="s">
        <v>87</v>
      </c>
    </row>
    <row r="53" spans="1:22" s="10" customFormat="1" x14ac:dyDescent="0.25">
      <c r="A53" s="10" t="s">
        <v>1793</v>
      </c>
      <c r="B53" s="10" t="s">
        <v>1571</v>
      </c>
      <c r="C53" s="10" t="s">
        <v>384</v>
      </c>
      <c r="D53" s="10" t="s">
        <v>1794</v>
      </c>
      <c r="E53" s="8" t="s">
        <v>1795</v>
      </c>
      <c r="F53" s="8" t="s">
        <v>1796</v>
      </c>
      <c r="G53" s="10" t="s">
        <v>3</v>
      </c>
      <c r="H53" s="8" t="s">
        <v>1797</v>
      </c>
      <c r="I53" s="10" t="s">
        <v>1614</v>
      </c>
      <c r="J53" s="8" t="s">
        <v>1577</v>
      </c>
      <c r="K53" s="8" t="s">
        <v>1435</v>
      </c>
      <c r="L53" s="8" t="s">
        <v>87</v>
      </c>
      <c r="M53" s="10" t="s">
        <v>1436</v>
      </c>
      <c r="N53" s="8" t="s">
        <v>87</v>
      </c>
      <c r="O53" s="10" t="s">
        <v>22</v>
      </c>
      <c r="P53" s="8" t="s">
        <v>1798</v>
      </c>
      <c r="Q53" s="10" t="s">
        <v>223</v>
      </c>
      <c r="R53" s="10" t="s">
        <v>1438</v>
      </c>
      <c r="S53" s="8" t="s">
        <v>1799</v>
      </c>
      <c r="T53" s="10" t="s">
        <v>1579</v>
      </c>
      <c r="U53" s="10" t="s">
        <v>87</v>
      </c>
      <c r="V53" s="10" t="s">
        <v>87</v>
      </c>
    </row>
    <row r="54" spans="1:22" s="10" customFormat="1" x14ac:dyDescent="0.25">
      <c r="A54" s="10" t="s">
        <v>1800</v>
      </c>
      <c r="B54" s="10" t="s">
        <v>1571</v>
      </c>
      <c r="C54" s="10" t="s">
        <v>384</v>
      </c>
      <c r="D54" s="10" t="s">
        <v>1801</v>
      </c>
      <c r="E54" s="8" t="s">
        <v>1802</v>
      </c>
      <c r="F54" s="8" t="s">
        <v>1803</v>
      </c>
      <c r="G54" s="10" t="s">
        <v>3</v>
      </c>
      <c r="H54" s="8" t="s">
        <v>1804</v>
      </c>
      <c r="I54" s="10" t="s">
        <v>1614</v>
      </c>
      <c r="J54" s="8" t="s">
        <v>1577</v>
      </c>
      <c r="K54" s="8" t="s">
        <v>1435</v>
      </c>
      <c r="L54" s="8" t="s">
        <v>87</v>
      </c>
      <c r="M54" s="10" t="s">
        <v>1436</v>
      </c>
      <c r="N54" s="8" t="s">
        <v>87</v>
      </c>
      <c r="O54" s="10" t="s">
        <v>22</v>
      </c>
      <c r="P54" s="8" t="s">
        <v>1805</v>
      </c>
      <c r="Q54" s="10" t="s">
        <v>223</v>
      </c>
      <c r="R54" s="10" t="s">
        <v>1438</v>
      </c>
      <c r="S54" s="8" t="s">
        <v>1806</v>
      </c>
      <c r="T54" s="10" t="s">
        <v>1579</v>
      </c>
      <c r="U54" s="10" t="s">
        <v>87</v>
      </c>
      <c r="V54" s="10" t="s">
        <v>87</v>
      </c>
    </row>
    <row r="55" spans="1:22" s="10" customFormat="1" x14ac:dyDescent="0.25">
      <c r="A55" s="10" t="s">
        <v>1807</v>
      </c>
      <c r="B55" s="10" t="s">
        <v>1571</v>
      </c>
      <c r="C55" s="10" t="s">
        <v>384</v>
      </c>
      <c r="D55" s="10" t="s">
        <v>1808</v>
      </c>
      <c r="E55" s="8" t="s">
        <v>1809</v>
      </c>
      <c r="F55" s="8" t="s">
        <v>1810</v>
      </c>
      <c r="G55" s="10" t="s">
        <v>3</v>
      </c>
      <c r="H55" s="8" t="s">
        <v>1811</v>
      </c>
      <c r="I55" s="10" t="s">
        <v>1614</v>
      </c>
      <c r="J55" s="8" t="s">
        <v>1577</v>
      </c>
      <c r="K55" s="8" t="s">
        <v>1435</v>
      </c>
      <c r="L55" s="8" t="s">
        <v>87</v>
      </c>
      <c r="M55" s="10" t="s">
        <v>1436</v>
      </c>
      <c r="N55" s="8" t="s">
        <v>87</v>
      </c>
      <c r="O55" s="10" t="s">
        <v>22</v>
      </c>
      <c r="P55" s="8" t="s">
        <v>1812</v>
      </c>
      <c r="Q55" s="10" t="s">
        <v>223</v>
      </c>
      <c r="R55" s="10" t="s">
        <v>1438</v>
      </c>
      <c r="S55" s="8" t="s">
        <v>1813</v>
      </c>
      <c r="T55" s="10" t="s">
        <v>1579</v>
      </c>
      <c r="U55" s="10" t="s">
        <v>87</v>
      </c>
      <c r="V55" s="10" t="s">
        <v>87</v>
      </c>
    </row>
    <row r="56" spans="1:22" s="10" customFormat="1" x14ac:dyDescent="0.25">
      <c r="A56" s="10" t="s">
        <v>1814</v>
      </c>
      <c r="B56" s="10" t="s">
        <v>1571</v>
      </c>
      <c r="C56" s="11" t="s">
        <v>346</v>
      </c>
      <c r="D56" s="10" t="s">
        <v>1815</v>
      </c>
      <c r="E56" s="8" t="s">
        <v>1816</v>
      </c>
      <c r="F56" s="8" t="s">
        <v>1817</v>
      </c>
      <c r="G56" s="10" t="s">
        <v>3</v>
      </c>
      <c r="H56" s="8" t="s">
        <v>1818</v>
      </c>
      <c r="I56" s="10" t="s">
        <v>1819</v>
      </c>
      <c r="J56" s="8" t="s">
        <v>1577</v>
      </c>
      <c r="K56" s="8" t="s">
        <v>1435</v>
      </c>
      <c r="L56" s="8" t="s">
        <v>87</v>
      </c>
      <c r="M56" s="10" t="s">
        <v>1436</v>
      </c>
      <c r="N56" s="8" t="s">
        <v>87</v>
      </c>
      <c r="O56" s="10" t="s">
        <v>22</v>
      </c>
      <c r="P56" s="8" t="s">
        <v>1820</v>
      </c>
      <c r="Q56" s="10" t="s">
        <v>223</v>
      </c>
      <c r="R56" s="10" t="s">
        <v>1438</v>
      </c>
      <c r="S56" s="8" t="s">
        <v>1821</v>
      </c>
      <c r="T56" s="10" t="s">
        <v>1579</v>
      </c>
      <c r="U56" s="10" t="s">
        <v>87</v>
      </c>
      <c r="V56" s="10" t="s">
        <v>87</v>
      </c>
    </row>
    <row r="57" spans="1:22" s="10" customFormat="1" x14ac:dyDescent="0.25">
      <c r="A57" s="10" t="s">
        <v>1822</v>
      </c>
      <c r="B57" s="10" t="s">
        <v>1571</v>
      </c>
      <c r="C57" s="10" t="s">
        <v>384</v>
      </c>
      <c r="D57" s="10" t="s">
        <v>1823</v>
      </c>
      <c r="E57" s="8" t="s">
        <v>1824</v>
      </c>
      <c r="F57" s="8" t="s">
        <v>1825</v>
      </c>
      <c r="G57" s="10" t="s">
        <v>3</v>
      </c>
      <c r="H57" s="8" t="s">
        <v>1826</v>
      </c>
      <c r="I57" s="10" t="s">
        <v>1819</v>
      </c>
      <c r="J57" s="8" t="s">
        <v>1577</v>
      </c>
      <c r="K57" s="8" t="s">
        <v>1435</v>
      </c>
      <c r="L57" s="8" t="s">
        <v>87</v>
      </c>
      <c r="M57" s="10" t="s">
        <v>1436</v>
      </c>
      <c r="N57" s="8" t="s">
        <v>87</v>
      </c>
      <c r="O57" s="10" t="s">
        <v>22</v>
      </c>
      <c r="P57" s="8" t="s">
        <v>1827</v>
      </c>
      <c r="Q57" s="10" t="s">
        <v>223</v>
      </c>
      <c r="R57" s="10" t="s">
        <v>1438</v>
      </c>
      <c r="S57" s="8" t="s">
        <v>1828</v>
      </c>
      <c r="T57" s="10" t="s">
        <v>1579</v>
      </c>
      <c r="U57" s="10" t="s">
        <v>87</v>
      </c>
      <c r="V57" s="10" t="s">
        <v>87</v>
      </c>
    </row>
    <row r="58" spans="1:22" s="10" customFormat="1" x14ac:dyDescent="0.25">
      <c r="A58" s="10" t="s">
        <v>1829</v>
      </c>
      <c r="B58" s="10" t="s">
        <v>1571</v>
      </c>
      <c r="C58" s="10" t="s">
        <v>384</v>
      </c>
      <c r="D58" s="10" t="s">
        <v>1830</v>
      </c>
      <c r="E58" s="8" t="s">
        <v>1831</v>
      </c>
      <c r="F58" s="8" t="s">
        <v>1832</v>
      </c>
      <c r="G58" s="10" t="s">
        <v>3</v>
      </c>
      <c r="H58" s="8" t="s">
        <v>1833</v>
      </c>
      <c r="I58" s="10" t="s">
        <v>1819</v>
      </c>
      <c r="J58" s="8" t="s">
        <v>1577</v>
      </c>
      <c r="K58" s="8" t="s">
        <v>1435</v>
      </c>
      <c r="L58" s="8" t="s">
        <v>87</v>
      </c>
      <c r="M58" s="10" t="s">
        <v>1436</v>
      </c>
      <c r="N58" s="8" t="s">
        <v>87</v>
      </c>
      <c r="O58" s="10" t="s">
        <v>22</v>
      </c>
      <c r="P58" s="8" t="s">
        <v>1834</v>
      </c>
      <c r="Q58" s="10" t="s">
        <v>223</v>
      </c>
      <c r="R58" s="10" t="s">
        <v>1438</v>
      </c>
      <c r="S58" s="8" t="s">
        <v>1835</v>
      </c>
      <c r="T58" s="10" t="s">
        <v>1579</v>
      </c>
      <c r="U58" s="10" t="s">
        <v>87</v>
      </c>
      <c r="V58" s="10" t="s">
        <v>87</v>
      </c>
    </row>
    <row r="59" spans="1:22" s="10" customFormat="1" x14ac:dyDescent="0.25">
      <c r="A59" s="10" t="s">
        <v>1836</v>
      </c>
      <c r="B59" s="10" t="s">
        <v>1571</v>
      </c>
      <c r="C59" s="10" t="s">
        <v>384</v>
      </c>
      <c r="D59" s="10" t="s">
        <v>1837</v>
      </c>
      <c r="E59" s="8" t="s">
        <v>1838</v>
      </c>
      <c r="F59" s="8" t="s">
        <v>1839</v>
      </c>
      <c r="G59" s="10" t="s">
        <v>3</v>
      </c>
      <c r="H59" s="8" t="s">
        <v>1840</v>
      </c>
      <c r="I59" s="10" t="s">
        <v>1819</v>
      </c>
      <c r="J59" s="8" t="s">
        <v>1577</v>
      </c>
      <c r="K59" s="8" t="s">
        <v>1435</v>
      </c>
      <c r="L59" s="8" t="s">
        <v>87</v>
      </c>
      <c r="M59" s="10" t="s">
        <v>1436</v>
      </c>
      <c r="N59" s="8" t="s">
        <v>87</v>
      </c>
      <c r="O59" s="10" t="s">
        <v>22</v>
      </c>
      <c r="P59" s="8" t="s">
        <v>1841</v>
      </c>
      <c r="Q59" s="10" t="s">
        <v>223</v>
      </c>
      <c r="R59" s="10" t="s">
        <v>1438</v>
      </c>
      <c r="S59" s="8" t="s">
        <v>1842</v>
      </c>
      <c r="T59" s="10" t="s">
        <v>1579</v>
      </c>
      <c r="U59" s="10" t="s">
        <v>87</v>
      </c>
      <c r="V59" s="10" t="s">
        <v>87</v>
      </c>
    </row>
    <row r="60" spans="1:22" s="10" customFormat="1" x14ac:dyDescent="0.25">
      <c r="A60" s="10" t="s">
        <v>1843</v>
      </c>
      <c r="B60" s="10" t="s">
        <v>1571</v>
      </c>
      <c r="C60" s="11" t="s">
        <v>346</v>
      </c>
      <c r="D60" s="10" t="s">
        <v>1844</v>
      </c>
      <c r="E60" s="8" t="s">
        <v>1845</v>
      </c>
      <c r="F60" s="8" t="s">
        <v>1846</v>
      </c>
      <c r="G60" s="10" t="s">
        <v>3</v>
      </c>
      <c r="H60" s="8" t="s">
        <v>1847</v>
      </c>
      <c r="I60" s="10" t="s">
        <v>1628</v>
      </c>
      <c r="J60" s="8" t="s">
        <v>1577</v>
      </c>
      <c r="K60" s="8" t="s">
        <v>1435</v>
      </c>
      <c r="L60" s="8" t="s">
        <v>87</v>
      </c>
      <c r="M60" s="10" t="s">
        <v>1436</v>
      </c>
      <c r="N60" s="8" t="s">
        <v>87</v>
      </c>
      <c r="O60" s="10" t="s">
        <v>22</v>
      </c>
      <c r="P60" s="8" t="s">
        <v>1848</v>
      </c>
      <c r="Q60" s="10" t="s">
        <v>223</v>
      </c>
      <c r="R60" s="10" t="s">
        <v>1438</v>
      </c>
      <c r="S60" s="8" t="s">
        <v>1849</v>
      </c>
      <c r="T60" s="10" t="s">
        <v>1579</v>
      </c>
      <c r="U60" s="10" t="s">
        <v>87</v>
      </c>
      <c r="V60" s="10" t="s">
        <v>87</v>
      </c>
    </row>
    <row r="61" spans="1:22" s="10" customFormat="1" x14ac:dyDescent="0.25">
      <c r="A61" s="10" t="s">
        <v>1850</v>
      </c>
      <c r="B61" s="10" t="s">
        <v>1571</v>
      </c>
      <c r="C61" s="10" t="s">
        <v>384</v>
      </c>
      <c r="D61" s="10" t="s">
        <v>1851</v>
      </c>
      <c r="E61" s="8" t="s">
        <v>1852</v>
      </c>
      <c r="F61" s="8" t="s">
        <v>1853</v>
      </c>
      <c r="G61" s="10" t="s">
        <v>3</v>
      </c>
      <c r="H61" s="8" t="s">
        <v>1854</v>
      </c>
      <c r="I61" s="10" t="s">
        <v>1628</v>
      </c>
      <c r="J61" s="8" t="s">
        <v>1577</v>
      </c>
      <c r="K61" s="8" t="s">
        <v>1435</v>
      </c>
      <c r="L61" s="8" t="s">
        <v>87</v>
      </c>
      <c r="M61" s="10" t="s">
        <v>1436</v>
      </c>
      <c r="N61" s="8" t="s">
        <v>87</v>
      </c>
      <c r="O61" s="10" t="s">
        <v>22</v>
      </c>
      <c r="P61" s="8" t="s">
        <v>1855</v>
      </c>
      <c r="Q61" s="10" t="s">
        <v>223</v>
      </c>
      <c r="R61" s="10" t="s">
        <v>1438</v>
      </c>
      <c r="S61" s="8" t="s">
        <v>1856</v>
      </c>
      <c r="T61" s="10" t="s">
        <v>1579</v>
      </c>
      <c r="U61" s="10" t="s">
        <v>87</v>
      </c>
      <c r="V61" s="10" t="s">
        <v>87</v>
      </c>
    </row>
    <row r="62" spans="1:22" s="10" customFormat="1" x14ac:dyDescent="0.25">
      <c r="A62" s="10" t="s">
        <v>1857</v>
      </c>
      <c r="B62" s="10" t="s">
        <v>1571</v>
      </c>
      <c r="C62" s="10" t="s">
        <v>215</v>
      </c>
      <c r="D62" s="10" t="s">
        <v>1858</v>
      </c>
      <c r="E62" s="8" t="s">
        <v>1859</v>
      </c>
      <c r="F62" s="8" t="s">
        <v>1860</v>
      </c>
      <c r="G62" s="10" t="s">
        <v>4</v>
      </c>
      <c r="H62" s="8" t="s">
        <v>1861</v>
      </c>
      <c r="I62" s="10" t="s">
        <v>1862</v>
      </c>
      <c r="J62" s="8" t="s">
        <v>1863</v>
      </c>
      <c r="K62" s="8" t="s">
        <v>1864</v>
      </c>
      <c r="L62" s="8" t="s">
        <v>87</v>
      </c>
      <c r="M62" s="10" t="s">
        <v>1456</v>
      </c>
      <c r="N62" s="8" t="s">
        <v>87</v>
      </c>
      <c r="O62" s="10" t="s">
        <v>22</v>
      </c>
      <c r="P62" s="8" t="s">
        <v>1865</v>
      </c>
      <c r="Q62" s="10" t="s">
        <v>223</v>
      </c>
      <c r="R62" s="10" t="s">
        <v>1438</v>
      </c>
      <c r="S62" s="8" t="s">
        <v>1866</v>
      </c>
      <c r="T62" s="10" t="s">
        <v>1867</v>
      </c>
      <c r="U62" s="10" t="s">
        <v>87</v>
      </c>
      <c r="V62" s="10" t="s">
        <v>87</v>
      </c>
    </row>
    <row r="63" spans="1:22" s="10" customFormat="1" x14ac:dyDescent="0.25">
      <c r="A63" s="10" t="s">
        <v>1868</v>
      </c>
      <c r="B63" s="10" t="s">
        <v>1571</v>
      </c>
      <c r="C63" s="11" t="s">
        <v>346</v>
      </c>
      <c r="D63" s="10" t="s">
        <v>1869</v>
      </c>
      <c r="E63" s="8" t="s">
        <v>1870</v>
      </c>
      <c r="F63" s="8" t="s">
        <v>1871</v>
      </c>
      <c r="G63" s="10" t="s">
        <v>4</v>
      </c>
      <c r="H63" s="8" t="s">
        <v>1872</v>
      </c>
      <c r="I63" s="10" t="s">
        <v>1862</v>
      </c>
      <c r="J63" s="8" t="s">
        <v>1863</v>
      </c>
      <c r="K63" s="8" t="s">
        <v>1873</v>
      </c>
      <c r="L63" s="8" t="s">
        <v>87</v>
      </c>
      <c r="M63" s="10" t="s">
        <v>1456</v>
      </c>
      <c r="N63" s="8" t="s">
        <v>87</v>
      </c>
      <c r="O63" s="10" t="s">
        <v>22</v>
      </c>
      <c r="P63" s="8" t="s">
        <v>1874</v>
      </c>
      <c r="Q63" s="10" t="s">
        <v>239</v>
      </c>
      <c r="R63" s="10" t="s">
        <v>1438</v>
      </c>
      <c r="S63" s="8" t="s">
        <v>1875</v>
      </c>
      <c r="T63" s="10" t="s">
        <v>1867</v>
      </c>
      <c r="U63" s="10" t="s">
        <v>87</v>
      </c>
      <c r="V63" s="10" t="s">
        <v>87</v>
      </c>
    </row>
    <row r="64" spans="1:22" s="10" customFormat="1" x14ac:dyDescent="0.25">
      <c r="A64" s="10" t="s">
        <v>1876</v>
      </c>
      <c r="B64" s="10" t="s">
        <v>1571</v>
      </c>
      <c r="C64" s="11" t="s">
        <v>346</v>
      </c>
      <c r="D64" s="10" t="s">
        <v>1877</v>
      </c>
      <c r="E64" s="8" t="s">
        <v>1878</v>
      </c>
      <c r="F64" s="8" t="s">
        <v>1879</v>
      </c>
      <c r="G64" s="10" t="s">
        <v>4</v>
      </c>
      <c r="H64" s="8" t="s">
        <v>1880</v>
      </c>
      <c r="I64" s="10" t="s">
        <v>1881</v>
      </c>
      <c r="J64" s="8" t="s">
        <v>1863</v>
      </c>
      <c r="K64" s="8" t="s">
        <v>1873</v>
      </c>
      <c r="L64" s="8" t="s">
        <v>87</v>
      </c>
      <c r="M64" s="10" t="s">
        <v>1456</v>
      </c>
      <c r="N64" s="8" t="s">
        <v>87</v>
      </c>
      <c r="O64" s="10" t="s">
        <v>22</v>
      </c>
      <c r="P64" s="8" t="s">
        <v>1882</v>
      </c>
      <c r="Q64" s="10" t="s">
        <v>223</v>
      </c>
      <c r="R64" s="10" t="s">
        <v>1438</v>
      </c>
      <c r="S64" s="8" t="s">
        <v>1883</v>
      </c>
      <c r="T64" s="10" t="s">
        <v>1867</v>
      </c>
      <c r="U64" s="10" t="s">
        <v>87</v>
      </c>
      <c r="V64" s="10" t="s">
        <v>87</v>
      </c>
    </row>
    <row r="65" spans="1:22" s="10" customFormat="1" x14ac:dyDescent="0.25">
      <c r="A65" s="10" t="s">
        <v>1884</v>
      </c>
      <c r="B65" s="10" t="s">
        <v>1571</v>
      </c>
      <c r="C65" s="11" t="s">
        <v>346</v>
      </c>
      <c r="D65" s="10" t="s">
        <v>1885</v>
      </c>
      <c r="E65" s="8" t="s">
        <v>1886</v>
      </c>
      <c r="F65" s="8" t="s">
        <v>1887</v>
      </c>
      <c r="G65" s="10" t="s">
        <v>4</v>
      </c>
      <c r="H65" s="8" t="s">
        <v>1888</v>
      </c>
      <c r="I65" s="10" t="s">
        <v>1889</v>
      </c>
      <c r="J65" s="8" t="s">
        <v>1863</v>
      </c>
      <c r="K65" s="8" t="s">
        <v>1873</v>
      </c>
      <c r="L65" s="8" t="s">
        <v>87</v>
      </c>
      <c r="M65" s="10" t="s">
        <v>1456</v>
      </c>
      <c r="N65" s="8" t="s">
        <v>87</v>
      </c>
      <c r="O65" s="10" t="s">
        <v>22</v>
      </c>
      <c r="P65" s="8" t="s">
        <v>1890</v>
      </c>
      <c r="Q65" s="10" t="s">
        <v>239</v>
      </c>
      <c r="R65" s="10" t="s">
        <v>1438</v>
      </c>
      <c r="S65" s="8" t="s">
        <v>1891</v>
      </c>
      <c r="T65" s="10" t="s">
        <v>1867</v>
      </c>
      <c r="U65" s="10" t="s">
        <v>87</v>
      </c>
      <c r="V65" s="10" t="s">
        <v>87</v>
      </c>
    </row>
    <row r="66" spans="1:22" s="10" customFormat="1" x14ac:dyDescent="0.25">
      <c r="A66" s="10" t="s">
        <v>1892</v>
      </c>
      <c r="B66" s="10" t="s">
        <v>1571</v>
      </c>
      <c r="C66" s="11" t="s">
        <v>346</v>
      </c>
      <c r="D66" s="10" t="s">
        <v>1893</v>
      </c>
      <c r="E66" s="8" t="s">
        <v>1894</v>
      </c>
      <c r="F66" s="8" t="s">
        <v>1895</v>
      </c>
      <c r="G66" s="10" t="s">
        <v>4</v>
      </c>
      <c r="H66" s="8" t="s">
        <v>1896</v>
      </c>
      <c r="I66" s="10" t="s">
        <v>1889</v>
      </c>
      <c r="J66" s="8" t="s">
        <v>1863</v>
      </c>
      <c r="K66" s="8" t="s">
        <v>1873</v>
      </c>
      <c r="L66" s="8" t="s">
        <v>87</v>
      </c>
      <c r="M66" s="10" t="s">
        <v>1456</v>
      </c>
      <c r="N66" s="8" t="s">
        <v>87</v>
      </c>
      <c r="O66" s="10" t="s">
        <v>22</v>
      </c>
      <c r="P66" s="8" t="s">
        <v>1897</v>
      </c>
      <c r="Q66" s="10" t="s">
        <v>239</v>
      </c>
      <c r="R66" s="10" t="s">
        <v>1438</v>
      </c>
      <c r="S66" s="8" t="s">
        <v>1898</v>
      </c>
      <c r="T66" s="10" t="s">
        <v>1867</v>
      </c>
      <c r="U66" s="10" t="s">
        <v>87</v>
      </c>
      <c r="V66" s="10" t="s">
        <v>87</v>
      </c>
    </row>
    <row r="67" spans="1:22" s="10" customFormat="1" x14ac:dyDescent="0.25">
      <c r="A67" s="10" t="s">
        <v>1899</v>
      </c>
      <c r="B67" s="10" t="s">
        <v>1571</v>
      </c>
      <c r="C67" s="10" t="s">
        <v>215</v>
      </c>
      <c r="D67" s="10" t="s">
        <v>1900</v>
      </c>
      <c r="E67" s="8" t="s">
        <v>1901</v>
      </c>
      <c r="F67" s="8" t="s">
        <v>1902</v>
      </c>
      <c r="G67" s="10" t="s">
        <v>4</v>
      </c>
      <c r="H67" s="8" t="s">
        <v>1903</v>
      </c>
      <c r="I67" s="10" t="s">
        <v>1889</v>
      </c>
      <c r="J67" s="8" t="s">
        <v>1863</v>
      </c>
      <c r="K67" s="8" t="s">
        <v>1873</v>
      </c>
      <c r="L67" s="8" t="s">
        <v>87</v>
      </c>
      <c r="M67" s="10" t="s">
        <v>1456</v>
      </c>
      <c r="N67" s="8" t="s">
        <v>87</v>
      </c>
      <c r="O67" s="10" t="s">
        <v>22</v>
      </c>
      <c r="P67" s="8" t="s">
        <v>1904</v>
      </c>
      <c r="Q67" s="10" t="s">
        <v>246</v>
      </c>
      <c r="R67" s="10" t="s">
        <v>1438</v>
      </c>
      <c r="S67" s="8" t="s">
        <v>1905</v>
      </c>
      <c r="T67" s="10" t="s">
        <v>1867</v>
      </c>
      <c r="U67" s="10" t="s">
        <v>87</v>
      </c>
      <c r="V67" s="10" t="s">
        <v>87</v>
      </c>
    </row>
    <row r="68" spans="1:22" s="10" customFormat="1" x14ac:dyDescent="0.25">
      <c r="A68" s="10" t="s">
        <v>1906</v>
      </c>
      <c r="B68" s="10" t="s">
        <v>1571</v>
      </c>
      <c r="C68" s="10" t="s">
        <v>384</v>
      </c>
      <c r="D68" s="10" t="s">
        <v>1907</v>
      </c>
      <c r="E68" s="8" t="s">
        <v>1908</v>
      </c>
      <c r="F68" s="8" t="s">
        <v>1909</v>
      </c>
      <c r="G68" s="10" t="s">
        <v>3</v>
      </c>
      <c r="H68" s="8" t="s">
        <v>1888</v>
      </c>
      <c r="I68" s="10" t="s">
        <v>1889</v>
      </c>
      <c r="J68" s="8" t="s">
        <v>1863</v>
      </c>
      <c r="K68" s="8" t="s">
        <v>1435</v>
      </c>
      <c r="L68" s="8" t="s">
        <v>87</v>
      </c>
      <c r="M68" s="10" t="s">
        <v>1436</v>
      </c>
      <c r="N68" s="8" t="s">
        <v>87</v>
      </c>
      <c r="O68" s="10" t="s">
        <v>22</v>
      </c>
      <c r="P68" s="8" t="s">
        <v>1910</v>
      </c>
      <c r="Q68" s="10" t="s">
        <v>239</v>
      </c>
      <c r="R68" s="10" t="s">
        <v>1438</v>
      </c>
      <c r="S68" s="8" t="s">
        <v>1911</v>
      </c>
      <c r="T68" s="10" t="s">
        <v>1867</v>
      </c>
      <c r="U68" s="10" t="s">
        <v>87</v>
      </c>
      <c r="V68" s="10" t="s">
        <v>87</v>
      </c>
    </row>
    <row r="69" spans="1:22" s="10" customFormat="1" x14ac:dyDescent="0.25">
      <c r="A69" s="10" t="s">
        <v>1912</v>
      </c>
      <c r="B69" s="10" t="s">
        <v>1571</v>
      </c>
      <c r="C69" s="10" t="s">
        <v>215</v>
      </c>
      <c r="D69" s="10" t="s">
        <v>1913</v>
      </c>
      <c r="E69" s="8" t="s">
        <v>1914</v>
      </c>
      <c r="F69" s="8" t="s">
        <v>1915</v>
      </c>
      <c r="G69" s="10" t="s">
        <v>4</v>
      </c>
      <c r="H69" s="8" t="s">
        <v>1916</v>
      </c>
      <c r="I69" s="10" t="s">
        <v>1917</v>
      </c>
      <c r="J69" s="8" t="s">
        <v>1863</v>
      </c>
      <c r="K69" s="8" t="s">
        <v>1873</v>
      </c>
      <c r="L69" s="8" t="s">
        <v>87</v>
      </c>
      <c r="M69" s="10" t="s">
        <v>1456</v>
      </c>
      <c r="N69" s="8" t="s">
        <v>87</v>
      </c>
      <c r="O69" s="10" t="s">
        <v>22</v>
      </c>
      <c r="P69" s="8" t="s">
        <v>1918</v>
      </c>
      <c r="Q69" s="10" t="s">
        <v>223</v>
      </c>
      <c r="R69" s="10" t="s">
        <v>1438</v>
      </c>
      <c r="S69" s="8" t="s">
        <v>1919</v>
      </c>
      <c r="T69" s="10" t="s">
        <v>1867</v>
      </c>
      <c r="U69" s="10" t="s">
        <v>87</v>
      </c>
      <c r="V69" s="10" t="s">
        <v>87</v>
      </c>
    </row>
    <row r="70" spans="1:22" s="10" customFormat="1" x14ac:dyDescent="0.25">
      <c r="A70" s="10" t="s">
        <v>1920</v>
      </c>
      <c r="B70" s="10" t="s">
        <v>1571</v>
      </c>
      <c r="C70" s="11" t="s">
        <v>346</v>
      </c>
      <c r="D70" s="10" t="s">
        <v>1921</v>
      </c>
      <c r="E70" s="8" t="s">
        <v>1922</v>
      </c>
      <c r="F70" s="8" t="s">
        <v>1923</v>
      </c>
      <c r="G70" s="10" t="s">
        <v>4</v>
      </c>
      <c r="H70" s="8" t="s">
        <v>1924</v>
      </c>
      <c r="I70" s="10" t="s">
        <v>1917</v>
      </c>
      <c r="J70" s="8" t="s">
        <v>1863</v>
      </c>
      <c r="K70" s="8" t="s">
        <v>1873</v>
      </c>
      <c r="L70" s="8" t="s">
        <v>87</v>
      </c>
      <c r="M70" s="10" t="s">
        <v>1456</v>
      </c>
      <c r="N70" s="8" t="s">
        <v>87</v>
      </c>
      <c r="O70" s="10" t="s">
        <v>22</v>
      </c>
      <c r="P70" s="8" t="s">
        <v>1925</v>
      </c>
      <c r="Q70" s="10" t="s">
        <v>239</v>
      </c>
      <c r="R70" s="10" t="s">
        <v>1438</v>
      </c>
      <c r="S70" s="8" t="s">
        <v>1926</v>
      </c>
      <c r="T70" s="10" t="s">
        <v>1867</v>
      </c>
      <c r="U70" s="10" t="s">
        <v>87</v>
      </c>
      <c r="V70" s="10" t="s">
        <v>87</v>
      </c>
    </row>
    <row r="71" spans="1:22" s="10" customFormat="1" x14ac:dyDescent="0.25">
      <c r="A71" s="10" t="s">
        <v>1927</v>
      </c>
      <c r="B71" s="10" t="s">
        <v>1571</v>
      </c>
      <c r="C71" s="11" t="s">
        <v>346</v>
      </c>
      <c r="D71" s="10" t="s">
        <v>1928</v>
      </c>
      <c r="E71" s="8" t="s">
        <v>1929</v>
      </c>
      <c r="F71" s="8" t="s">
        <v>1930</v>
      </c>
      <c r="G71" s="10" t="s">
        <v>4</v>
      </c>
      <c r="H71" s="8" t="s">
        <v>1931</v>
      </c>
      <c r="I71" s="10" t="s">
        <v>1917</v>
      </c>
      <c r="J71" s="8" t="s">
        <v>1863</v>
      </c>
      <c r="K71" s="8" t="s">
        <v>1873</v>
      </c>
      <c r="L71" s="8" t="s">
        <v>87</v>
      </c>
      <c r="M71" s="10" t="s">
        <v>1456</v>
      </c>
      <c r="N71" s="8" t="s">
        <v>87</v>
      </c>
      <c r="O71" s="10" t="s">
        <v>22</v>
      </c>
      <c r="P71" s="8" t="s">
        <v>1932</v>
      </c>
      <c r="Q71" s="10" t="s">
        <v>239</v>
      </c>
      <c r="R71" s="10" t="s">
        <v>1438</v>
      </c>
      <c r="S71" s="8" t="s">
        <v>1933</v>
      </c>
      <c r="T71" s="10" t="s">
        <v>1867</v>
      </c>
      <c r="U71" s="10" t="s">
        <v>87</v>
      </c>
      <c r="V71" s="10" t="s">
        <v>87</v>
      </c>
    </row>
    <row r="72" spans="1:22" s="10" customFormat="1" x14ac:dyDescent="0.25">
      <c r="A72" s="10" t="s">
        <v>1934</v>
      </c>
      <c r="B72" s="10" t="s">
        <v>1571</v>
      </c>
      <c r="C72" s="10" t="s">
        <v>215</v>
      </c>
      <c r="D72" s="10" t="s">
        <v>1935</v>
      </c>
      <c r="E72" s="8" t="s">
        <v>1936</v>
      </c>
      <c r="F72" s="8" t="s">
        <v>1937</v>
      </c>
      <c r="G72" s="10" t="s">
        <v>4</v>
      </c>
      <c r="H72" s="8" t="s">
        <v>1938</v>
      </c>
      <c r="I72" s="10" t="s">
        <v>1537</v>
      </c>
      <c r="J72" s="8" t="s">
        <v>1863</v>
      </c>
      <c r="K72" s="8" t="s">
        <v>1873</v>
      </c>
      <c r="L72" s="8" t="s">
        <v>87</v>
      </c>
      <c r="M72" s="10" t="s">
        <v>1456</v>
      </c>
      <c r="N72" s="8" t="s">
        <v>87</v>
      </c>
      <c r="O72" s="10" t="s">
        <v>22</v>
      </c>
      <c r="P72" s="8" t="s">
        <v>1939</v>
      </c>
      <c r="Q72" s="10" t="s">
        <v>239</v>
      </c>
      <c r="R72" s="10" t="s">
        <v>1438</v>
      </c>
      <c r="S72" s="8" t="s">
        <v>1940</v>
      </c>
      <c r="T72" s="10" t="s">
        <v>1867</v>
      </c>
      <c r="U72" s="10" t="s">
        <v>87</v>
      </c>
      <c r="V72" s="10" t="s">
        <v>87</v>
      </c>
    </row>
    <row r="73" spans="1:22" s="10" customFormat="1" x14ac:dyDescent="0.25">
      <c r="A73" s="10" t="s">
        <v>1941</v>
      </c>
      <c r="B73" s="10" t="s">
        <v>1571</v>
      </c>
      <c r="C73" s="10" t="s">
        <v>215</v>
      </c>
      <c r="D73" s="10" t="s">
        <v>1942</v>
      </c>
      <c r="E73" s="8" t="s">
        <v>1943</v>
      </c>
      <c r="F73" s="8" t="s">
        <v>1944</v>
      </c>
      <c r="G73" s="10" t="s">
        <v>4</v>
      </c>
      <c r="H73" s="8" t="s">
        <v>1945</v>
      </c>
      <c r="I73" s="10" t="s">
        <v>1862</v>
      </c>
      <c r="J73" s="8" t="s">
        <v>1863</v>
      </c>
      <c r="K73" s="8" t="s">
        <v>1873</v>
      </c>
      <c r="L73" s="8" t="s">
        <v>87</v>
      </c>
      <c r="M73" s="10" t="s">
        <v>1456</v>
      </c>
      <c r="N73" s="8" t="s">
        <v>87</v>
      </c>
      <c r="O73" s="10" t="s">
        <v>22</v>
      </c>
      <c r="P73" s="8" t="s">
        <v>1946</v>
      </c>
      <c r="Q73" s="10" t="s">
        <v>223</v>
      </c>
      <c r="R73" s="10" t="s">
        <v>1438</v>
      </c>
      <c r="S73" s="8" t="s">
        <v>1947</v>
      </c>
      <c r="T73" s="10" t="s">
        <v>1867</v>
      </c>
      <c r="U73" s="10" t="s">
        <v>87</v>
      </c>
      <c r="V73" s="10" t="s">
        <v>87</v>
      </c>
    </row>
    <row r="74" spans="1:22" s="10" customFormat="1" x14ac:dyDescent="0.25">
      <c r="A74" s="10" t="s">
        <v>1948</v>
      </c>
      <c r="B74" s="10" t="s">
        <v>1571</v>
      </c>
      <c r="C74" s="11" t="s">
        <v>346</v>
      </c>
      <c r="D74" s="10" t="s">
        <v>1949</v>
      </c>
      <c r="E74" s="8" t="s">
        <v>1950</v>
      </c>
      <c r="F74" s="8" t="s">
        <v>1951</v>
      </c>
      <c r="G74" s="10" t="s">
        <v>4</v>
      </c>
      <c r="H74" s="8" t="s">
        <v>1952</v>
      </c>
      <c r="I74" s="10" t="s">
        <v>1889</v>
      </c>
      <c r="J74" s="8" t="s">
        <v>1863</v>
      </c>
      <c r="K74" s="8" t="s">
        <v>1873</v>
      </c>
      <c r="L74" s="8" t="s">
        <v>87</v>
      </c>
      <c r="M74" s="10" t="s">
        <v>1456</v>
      </c>
      <c r="N74" s="8" t="s">
        <v>87</v>
      </c>
      <c r="O74" s="10" t="s">
        <v>22</v>
      </c>
      <c r="P74" s="8" t="s">
        <v>1953</v>
      </c>
      <c r="Q74" s="10" t="s">
        <v>1447</v>
      </c>
      <c r="R74" s="10" t="s">
        <v>1438</v>
      </c>
      <c r="S74" s="8" t="s">
        <v>1954</v>
      </c>
      <c r="T74" s="10" t="s">
        <v>1867</v>
      </c>
      <c r="U74" s="10" t="s">
        <v>87</v>
      </c>
      <c r="V74" s="10" t="s">
        <v>87</v>
      </c>
    </row>
    <row r="75" spans="1:22" s="10" customFormat="1" x14ac:dyDescent="0.25">
      <c r="A75" s="10" t="s">
        <v>1955</v>
      </c>
      <c r="B75" s="10" t="s">
        <v>1571</v>
      </c>
      <c r="C75" s="10" t="s">
        <v>215</v>
      </c>
      <c r="D75" s="10" t="s">
        <v>1956</v>
      </c>
      <c r="E75" s="8" t="s">
        <v>1957</v>
      </c>
      <c r="F75" s="8" t="s">
        <v>1958</v>
      </c>
      <c r="G75" s="10" t="s">
        <v>4</v>
      </c>
      <c r="H75" s="8" t="s">
        <v>1959</v>
      </c>
      <c r="I75" s="10" t="s">
        <v>1960</v>
      </c>
      <c r="J75" s="8" t="s">
        <v>1863</v>
      </c>
      <c r="K75" s="8" t="s">
        <v>1873</v>
      </c>
      <c r="L75" s="8" t="s">
        <v>87</v>
      </c>
      <c r="M75" s="10" t="s">
        <v>1456</v>
      </c>
      <c r="N75" s="8" t="s">
        <v>87</v>
      </c>
      <c r="O75" s="10" t="s">
        <v>22</v>
      </c>
      <c r="P75" s="8" t="s">
        <v>1961</v>
      </c>
      <c r="Q75" s="10" t="s">
        <v>223</v>
      </c>
      <c r="R75" s="10" t="s">
        <v>1438</v>
      </c>
      <c r="S75" s="8" t="s">
        <v>1962</v>
      </c>
      <c r="T75" s="10" t="s">
        <v>1867</v>
      </c>
      <c r="U75" s="10" t="s">
        <v>87</v>
      </c>
      <c r="V75" s="10" t="s">
        <v>87</v>
      </c>
    </row>
    <row r="76" spans="1:22" s="10" customFormat="1" x14ac:dyDescent="0.25">
      <c r="A76" s="10" t="s">
        <v>1963</v>
      </c>
      <c r="B76" s="10" t="s">
        <v>1571</v>
      </c>
      <c r="C76" s="10" t="s">
        <v>215</v>
      </c>
      <c r="D76" s="10" t="s">
        <v>1964</v>
      </c>
      <c r="E76" s="8" t="s">
        <v>1965</v>
      </c>
      <c r="F76" s="8" t="s">
        <v>1966</v>
      </c>
      <c r="G76" s="10" t="s">
        <v>4</v>
      </c>
      <c r="H76" s="8" t="s">
        <v>1967</v>
      </c>
      <c r="I76" s="10" t="s">
        <v>1968</v>
      </c>
      <c r="J76" s="8" t="s">
        <v>1863</v>
      </c>
      <c r="K76" s="8" t="s">
        <v>1873</v>
      </c>
      <c r="L76" s="8" t="s">
        <v>87</v>
      </c>
      <c r="M76" s="10" t="s">
        <v>1456</v>
      </c>
      <c r="N76" s="8" t="s">
        <v>87</v>
      </c>
      <c r="O76" s="10" t="s">
        <v>22</v>
      </c>
      <c r="P76" s="8" t="s">
        <v>1969</v>
      </c>
      <c r="Q76" s="10" t="s">
        <v>223</v>
      </c>
      <c r="R76" s="10" t="s">
        <v>1438</v>
      </c>
      <c r="S76" s="8" t="s">
        <v>1970</v>
      </c>
      <c r="T76" s="10" t="s">
        <v>1867</v>
      </c>
      <c r="U76" s="10" t="s">
        <v>87</v>
      </c>
      <c r="V76" s="10" t="s">
        <v>87</v>
      </c>
    </row>
    <row r="77" spans="1:22" s="10" customFormat="1" x14ac:dyDescent="0.25">
      <c r="A77" s="10" t="s">
        <v>1971</v>
      </c>
      <c r="B77" s="10" t="s">
        <v>1571</v>
      </c>
      <c r="C77" s="10" t="s">
        <v>215</v>
      </c>
      <c r="D77" s="10" t="s">
        <v>1972</v>
      </c>
      <c r="E77" s="8" t="s">
        <v>1973</v>
      </c>
      <c r="F77" s="8" t="s">
        <v>1974</v>
      </c>
      <c r="G77" s="10" t="s">
        <v>4</v>
      </c>
      <c r="H77" s="8" t="s">
        <v>1975</v>
      </c>
      <c r="I77" s="10" t="s">
        <v>1968</v>
      </c>
      <c r="J77" s="8" t="s">
        <v>1863</v>
      </c>
      <c r="K77" s="8" t="s">
        <v>1873</v>
      </c>
      <c r="L77" s="8" t="s">
        <v>87</v>
      </c>
      <c r="M77" s="10" t="s">
        <v>1456</v>
      </c>
      <c r="N77" s="8" t="s">
        <v>87</v>
      </c>
      <c r="O77" s="10" t="s">
        <v>22</v>
      </c>
      <c r="P77" s="8" t="s">
        <v>1976</v>
      </c>
      <c r="Q77" s="10" t="s">
        <v>223</v>
      </c>
      <c r="R77" s="10" t="s">
        <v>1438</v>
      </c>
      <c r="S77" s="8" t="s">
        <v>1977</v>
      </c>
      <c r="T77" s="10" t="s">
        <v>1867</v>
      </c>
      <c r="U77" s="10" t="s">
        <v>87</v>
      </c>
      <c r="V77" s="10" t="s">
        <v>87</v>
      </c>
    </row>
    <row r="78" spans="1:22" s="10" customFormat="1" x14ac:dyDescent="0.25">
      <c r="A78" s="10" t="s">
        <v>1978</v>
      </c>
      <c r="B78" s="10" t="s">
        <v>1571</v>
      </c>
      <c r="C78" s="11" t="s">
        <v>346</v>
      </c>
      <c r="D78" s="10" t="s">
        <v>1979</v>
      </c>
      <c r="E78" s="8" t="s">
        <v>1980</v>
      </c>
      <c r="F78" s="8" t="s">
        <v>1981</v>
      </c>
      <c r="G78" s="10" t="s">
        <v>4</v>
      </c>
      <c r="H78" s="8" t="s">
        <v>1982</v>
      </c>
      <c r="I78" s="10" t="s">
        <v>1983</v>
      </c>
      <c r="J78" s="8" t="s">
        <v>1863</v>
      </c>
      <c r="K78" s="8" t="s">
        <v>1873</v>
      </c>
      <c r="L78" s="8" t="s">
        <v>87</v>
      </c>
      <c r="M78" s="10" t="s">
        <v>1456</v>
      </c>
      <c r="N78" s="8" t="s">
        <v>87</v>
      </c>
      <c r="O78" s="10" t="s">
        <v>22</v>
      </c>
      <c r="P78" s="8" t="s">
        <v>1984</v>
      </c>
      <c r="Q78" s="10" t="s">
        <v>223</v>
      </c>
      <c r="R78" s="10" t="s">
        <v>1438</v>
      </c>
      <c r="S78" s="8" t="s">
        <v>1985</v>
      </c>
      <c r="T78" s="10" t="s">
        <v>1867</v>
      </c>
      <c r="U78" s="10" t="s">
        <v>87</v>
      </c>
      <c r="V78" s="10" t="s">
        <v>87</v>
      </c>
    </row>
    <row r="79" spans="1:22" s="10" customFormat="1" x14ac:dyDescent="0.25">
      <c r="A79" s="10" t="s">
        <v>1986</v>
      </c>
      <c r="B79" s="10" t="s">
        <v>1571</v>
      </c>
      <c r="C79" s="11" t="s">
        <v>346</v>
      </c>
      <c r="D79" s="10" t="s">
        <v>1987</v>
      </c>
      <c r="E79" s="8" t="s">
        <v>1988</v>
      </c>
      <c r="F79" s="8" t="s">
        <v>1989</v>
      </c>
      <c r="G79" s="10" t="s">
        <v>4</v>
      </c>
      <c r="H79" s="8" t="s">
        <v>1990</v>
      </c>
      <c r="I79" s="10" t="s">
        <v>1991</v>
      </c>
      <c r="J79" s="8" t="s">
        <v>1863</v>
      </c>
      <c r="K79" s="8" t="s">
        <v>1873</v>
      </c>
      <c r="L79" s="8" t="s">
        <v>87</v>
      </c>
      <c r="M79" s="10" t="s">
        <v>1456</v>
      </c>
      <c r="N79" s="8" t="s">
        <v>87</v>
      </c>
      <c r="O79" s="10" t="s">
        <v>22</v>
      </c>
      <c r="P79" s="8" t="s">
        <v>1992</v>
      </c>
      <c r="Q79" s="10" t="s">
        <v>223</v>
      </c>
      <c r="R79" s="10" t="s">
        <v>1438</v>
      </c>
      <c r="S79" s="8" t="s">
        <v>1993</v>
      </c>
      <c r="T79" s="10" t="s">
        <v>1867</v>
      </c>
      <c r="U79" s="10" t="s">
        <v>87</v>
      </c>
      <c r="V79" s="10" t="s">
        <v>87</v>
      </c>
    </row>
    <row r="80" spans="1:22" s="10" customFormat="1" x14ac:dyDescent="0.25">
      <c r="A80" s="10" t="s">
        <v>1994</v>
      </c>
      <c r="B80" s="10" t="s">
        <v>1571</v>
      </c>
      <c r="C80" s="10" t="s">
        <v>384</v>
      </c>
      <c r="D80" s="10" t="s">
        <v>1995</v>
      </c>
      <c r="E80" s="8" t="s">
        <v>1996</v>
      </c>
      <c r="F80" s="8" t="s">
        <v>1997</v>
      </c>
      <c r="G80" s="10" t="s">
        <v>4</v>
      </c>
      <c r="H80" s="8" t="s">
        <v>1998</v>
      </c>
      <c r="I80" s="10" t="s">
        <v>1999</v>
      </c>
      <c r="J80" s="8" t="s">
        <v>1863</v>
      </c>
      <c r="K80" s="8" t="s">
        <v>1873</v>
      </c>
      <c r="L80" s="8" t="s">
        <v>87</v>
      </c>
      <c r="M80" s="10" t="s">
        <v>1456</v>
      </c>
      <c r="N80" s="8" t="s">
        <v>87</v>
      </c>
      <c r="O80" s="10" t="s">
        <v>22</v>
      </c>
      <c r="P80" s="8" t="s">
        <v>2000</v>
      </c>
      <c r="Q80" s="10" t="s">
        <v>223</v>
      </c>
      <c r="R80" s="10" t="s">
        <v>1438</v>
      </c>
      <c r="S80" s="8" t="s">
        <v>2001</v>
      </c>
      <c r="T80" s="10" t="s">
        <v>1867</v>
      </c>
      <c r="U80" s="10" t="s">
        <v>87</v>
      </c>
      <c r="V80" s="10" t="s">
        <v>87</v>
      </c>
    </row>
    <row r="81" spans="1:22" s="10" customFormat="1" x14ac:dyDescent="0.25">
      <c r="A81" s="10" t="s">
        <v>2002</v>
      </c>
      <c r="B81" s="10" t="s">
        <v>1571</v>
      </c>
      <c r="C81" s="10" t="s">
        <v>384</v>
      </c>
      <c r="D81" s="10" t="s">
        <v>2003</v>
      </c>
      <c r="E81" s="8" t="s">
        <v>2004</v>
      </c>
      <c r="F81" s="8" t="s">
        <v>2005</v>
      </c>
      <c r="G81" s="10" t="s">
        <v>4</v>
      </c>
      <c r="H81" s="8" t="s">
        <v>2006</v>
      </c>
      <c r="I81" s="10" t="s">
        <v>1999</v>
      </c>
      <c r="J81" s="8" t="s">
        <v>1863</v>
      </c>
      <c r="K81" s="8" t="s">
        <v>1873</v>
      </c>
      <c r="L81" s="8" t="s">
        <v>87</v>
      </c>
      <c r="M81" s="10" t="s">
        <v>1456</v>
      </c>
      <c r="N81" s="8" t="s">
        <v>87</v>
      </c>
      <c r="O81" s="10" t="s">
        <v>22</v>
      </c>
      <c r="P81" s="8" t="s">
        <v>2007</v>
      </c>
      <c r="Q81" s="10" t="s">
        <v>223</v>
      </c>
      <c r="R81" s="10" t="s">
        <v>1438</v>
      </c>
      <c r="S81" s="8" t="s">
        <v>2008</v>
      </c>
      <c r="T81" s="10" t="s">
        <v>1867</v>
      </c>
      <c r="U81" s="10" t="s">
        <v>87</v>
      </c>
      <c r="V81" s="10" t="s">
        <v>87</v>
      </c>
    </row>
    <row r="82" spans="1:22" s="10" customFormat="1" x14ac:dyDescent="0.25">
      <c r="A82" s="10" t="s">
        <v>2009</v>
      </c>
      <c r="B82" s="10" t="s">
        <v>1571</v>
      </c>
      <c r="C82" s="10" t="s">
        <v>215</v>
      </c>
      <c r="D82" s="10" t="s">
        <v>2010</v>
      </c>
      <c r="E82" s="8" t="s">
        <v>2011</v>
      </c>
      <c r="F82" s="8" t="s">
        <v>2012</v>
      </c>
      <c r="G82" s="10" t="s">
        <v>4</v>
      </c>
      <c r="H82" s="8" t="s">
        <v>2013</v>
      </c>
      <c r="I82" s="10" t="s">
        <v>2014</v>
      </c>
      <c r="J82" s="8" t="s">
        <v>1863</v>
      </c>
      <c r="K82" s="8" t="s">
        <v>1873</v>
      </c>
      <c r="L82" s="8" t="s">
        <v>87</v>
      </c>
      <c r="M82" s="10" t="s">
        <v>1456</v>
      </c>
      <c r="N82" s="8" t="s">
        <v>87</v>
      </c>
      <c r="O82" s="10" t="s">
        <v>22</v>
      </c>
      <c r="P82" s="8" t="s">
        <v>2015</v>
      </c>
      <c r="Q82" s="10" t="s">
        <v>223</v>
      </c>
      <c r="R82" s="10" t="s">
        <v>1438</v>
      </c>
      <c r="S82" s="8" t="s">
        <v>2016</v>
      </c>
      <c r="T82" s="10" t="s">
        <v>1867</v>
      </c>
      <c r="U82" s="10" t="s">
        <v>87</v>
      </c>
      <c r="V82" s="10" t="s">
        <v>87</v>
      </c>
    </row>
    <row r="83" spans="1:22" s="10" customFormat="1" x14ac:dyDescent="0.25">
      <c r="A83" s="10" t="s">
        <v>2017</v>
      </c>
      <c r="B83" s="10" t="s">
        <v>1571</v>
      </c>
      <c r="C83" s="10" t="s">
        <v>215</v>
      </c>
      <c r="D83" s="10" t="s">
        <v>2018</v>
      </c>
      <c r="E83" s="8" t="s">
        <v>2019</v>
      </c>
      <c r="F83" s="8" t="s">
        <v>2020</v>
      </c>
      <c r="G83" s="10" t="s">
        <v>3</v>
      </c>
      <c r="H83" s="8" t="s">
        <v>2021</v>
      </c>
      <c r="I83" s="10" t="s">
        <v>2022</v>
      </c>
      <c r="J83" s="8" t="s">
        <v>1863</v>
      </c>
      <c r="K83" s="8" t="s">
        <v>1435</v>
      </c>
      <c r="L83" s="8" t="s">
        <v>87</v>
      </c>
      <c r="M83" s="10" t="s">
        <v>1436</v>
      </c>
      <c r="N83" s="8" t="s">
        <v>87</v>
      </c>
      <c r="O83" s="10" t="s">
        <v>22</v>
      </c>
      <c r="P83" s="8" t="s">
        <v>2023</v>
      </c>
      <c r="Q83" s="10" t="s">
        <v>246</v>
      </c>
      <c r="R83" s="10" t="s">
        <v>1438</v>
      </c>
      <c r="S83" s="8" t="s">
        <v>2024</v>
      </c>
      <c r="T83" s="10" t="s">
        <v>1867</v>
      </c>
      <c r="U83" s="10" t="s">
        <v>87</v>
      </c>
      <c r="V83" s="10" t="s">
        <v>87</v>
      </c>
    </row>
    <row r="84" spans="1:22" s="10" customFormat="1" x14ac:dyDescent="0.25">
      <c r="A84" s="10" t="s">
        <v>2025</v>
      </c>
      <c r="B84" s="10" t="s">
        <v>1571</v>
      </c>
      <c r="C84" s="10" t="s">
        <v>215</v>
      </c>
      <c r="D84" s="10" t="s">
        <v>2026</v>
      </c>
      <c r="E84" s="8" t="s">
        <v>2027</v>
      </c>
      <c r="F84" s="8" t="s">
        <v>2028</v>
      </c>
      <c r="G84" s="10" t="s">
        <v>4</v>
      </c>
      <c r="H84" s="8" t="s">
        <v>2029</v>
      </c>
      <c r="I84" s="10" t="s">
        <v>2022</v>
      </c>
      <c r="J84" s="8" t="s">
        <v>1863</v>
      </c>
      <c r="K84" s="8" t="s">
        <v>1873</v>
      </c>
      <c r="L84" s="8" t="s">
        <v>87</v>
      </c>
      <c r="M84" s="10" t="s">
        <v>1456</v>
      </c>
      <c r="N84" s="8" t="s">
        <v>87</v>
      </c>
      <c r="O84" s="10" t="s">
        <v>22</v>
      </c>
      <c r="P84" s="8" t="s">
        <v>2030</v>
      </c>
      <c r="Q84" s="10" t="s">
        <v>246</v>
      </c>
      <c r="R84" s="10" t="s">
        <v>1438</v>
      </c>
      <c r="S84" s="8" t="s">
        <v>2031</v>
      </c>
      <c r="T84" s="10" t="s">
        <v>1867</v>
      </c>
      <c r="U84" s="10" t="s">
        <v>87</v>
      </c>
      <c r="V84" s="10" t="s">
        <v>87</v>
      </c>
    </row>
    <row r="85" spans="1:22" s="10" customFormat="1" x14ac:dyDescent="0.25">
      <c r="A85" s="10" t="s">
        <v>2032</v>
      </c>
      <c r="B85" s="10" t="s">
        <v>1571</v>
      </c>
      <c r="C85" s="11" t="s">
        <v>346</v>
      </c>
      <c r="D85" s="10" t="s">
        <v>2033</v>
      </c>
      <c r="E85" s="8" t="s">
        <v>2034</v>
      </c>
      <c r="F85" s="8" t="s">
        <v>2035</v>
      </c>
      <c r="G85" s="10" t="s">
        <v>4</v>
      </c>
      <c r="H85" s="8" t="s">
        <v>2036</v>
      </c>
      <c r="I85" s="10" t="s">
        <v>2014</v>
      </c>
      <c r="J85" s="8" t="s">
        <v>1863</v>
      </c>
      <c r="K85" s="8" t="s">
        <v>1873</v>
      </c>
      <c r="L85" s="8" t="s">
        <v>87</v>
      </c>
      <c r="M85" s="10" t="s">
        <v>1456</v>
      </c>
      <c r="N85" s="8" t="s">
        <v>87</v>
      </c>
      <c r="O85" s="10" t="s">
        <v>22</v>
      </c>
      <c r="P85" s="8" t="s">
        <v>2037</v>
      </c>
      <c r="Q85" s="10" t="s">
        <v>223</v>
      </c>
      <c r="R85" s="10" t="s">
        <v>1438</v>
      </c>
      <c r="S85" s="8" t="s">
        <v>2038</v>
      </c>
      <c r="T85" s="10" t="s">
        <v>1867</v>
      </c>
      <c r="U85" s="10" t="s">
        <v>87</v>
      </c>
      <c r="V85" s="10" t="s">
        <v>87</v>
      </c>
    </row>
    <row r="86" spans="1:22" s="10" customFormat="1" x14ac:dyDescent="0.25">
      <c r="A86" s="10" t="s">
        <v>2039</v>
      </c>
      <c r="B86" s="10" t="s">
        <v>1571</v>
      </c>
      <c r="C86" s="11" t="s">
        <v>346</v>
      </c>
      <c r="D86" s="10" t="s">
        <v>2040</v>
      </c>
      <c r="E86" s="8" t="s">
        <v>2041</v>
      </c>
      <c r="F86" s="8" t="s">
        <v>2042</v>
      </c>
      <c r="G86" s="10" t="s">
        <v>4</v>
      </c>
      <c r="H86" s="8" t="s">
        <v>2043</v>
      </c>
      <c r="I86" s="10" t="s">
        <v>2014</v>
      </c>
      <c r="J86" s="8" t="s">
        <v>1863</v>
      </c>
      <c r="K86" s="8" t="s">
        <v>1873</v>
      </c>
      <c r="L86" s="8" t="s">
        <v>87</v>
      </c>
      <c r="M86" s="10" t="s">
        <v>1456</v>
      </c>
      <c r="N86" s="8" t="s">
        <v>87</v>
      </c>
      <c r="O86" s="10" t="s">
        <v>22</v>
      </c>
      <c r="P86" s="8" t="s">
        <v>2037</v>
      </c>
      <c r="Q86" s="10" t="s">
        <v>223</v>
      </c>
      <c r="R86" s="10" t="s">
        <v>1438</v>
      </c>
      <c r="S86" s="8" t="s">
        <v>2044</v>
      </c>
      <c r="T86" s="10" t="s">
        <v>1867</v>
      </c>
      <c r="U86" s="10" t="s">
        <v>87</v>
      </c>
      <c r="V86" s="10" t="s">
        <v>87</v>
      </c>
    </row>
    <row r="87" spans="1:22" s="10" customFormat="1" x14ac:dyDescent="0.25">
      <c r="A87" s="10" t="s">
        <v>2045</v>
      </c>
      <c r="B87" s="10" t="s">
        <v>1571</v>
      </c>
      <c r="C87" s="11" t="s">
        <v>346</v>
      </c>
      <c r="D87" s="10" t="s">
        <v>2046</v>
      </c>
      <c r="E87" s="8" t="s">
        <v>2047</v>
      </c>
      <c r="F87" s="8" t="s">
        <v>2048</v>
      </c>
      <c r="G87" s="10" t="s">
        <v>4</v>
      </c>
      <c r="H87" s="8" t="s">
        <v>2049</v>
      </c>
      <c r="I87" s="10" t="s">
        <v>2014</v>
      </c>
      <c r="J87" s="8" t="s">
        <v>1863</v>
      </c>
      <c r="K87" s="8" t="s">
        <v>1873</v>
      </c>
      <c r="L87" s="8" t="s">
        <v>87</v>
      </c>
      <c r="M87" s="10" t="s">
        <v>1456</v>
      </c>
      <c r="N87" s="8" t="s">
        <v>87</v>
      </c>
      <c r="O87" s="10" t="s">
        <v>22</v>
      </c>
      <c r="P87" s="8" t="s">
        <v>2037</v>
      </c>
      <c r="Q87" s="10" t="s">
        <v>223</v>
      </c>
      <c r="R87" s="10" t="s">
        <v>1438</v>
      </c>
      <c r="S87" s="8" t="s">
        <v>2050</v>
      </c>
      <c r="T87" s="10" t="s">
        <v>1867</v>
      </c>
      <c r="U87" s="10" t="s">
        <v>87</v>
      </c>
      <c r="V87" s="10" t="s">
        <v>87</v>
      </c>
    </row>
    <row r="88" spans="1:22" s="10" customFormat="1" x14ac:dyDescent="0.25">
      <c r="A88" s="10" t="s">
        <v>2051</v>
      </c>
      <c r="B88" s="10" t="s">
        <v>1571</v>
      </c>
      <c r="C88" s="10" t="s">
        <v>215</v>
      </c>
      <c r="D88" s="10" t="s">
        <v>2052</v>
      </c>
      <c r="E88" s="8" t="s">
        <v>2053</v>
      </c>
      <c r="F88" s="8" t="s">
        <v>2054</v>
      </c>
      <c r="G88" s="10" t="s">
        <v>3</v>
      </c>
      <c r="H88" s="8" t="s">
        <v>2055</v>
      </c>
      <c r="I88" s="10" t="s">
        <v>2022</v>
      </c>
      <c r="J88" s="8" t="s">
        <v>1863</v>
      </c>
      <c r="K88" s="8" t="s">
        <v>1435</v>
      </c>
      <c r="L88" s="8" t="s">
        <v>87</v>
      </c>
      <c r="M88" s="10" t="s">
        <v>1436</v>
      </c>
      <c r="N88" s="8" t="s">
        <v>87</v>
      </c>
      <c r="O88" s="10" t="s">
        <v>22</v>
      </c>
      <c r="P88" s="8" t="s">
        <v>2056</v>
      </c>
      <c r="Q88" s="10" t="s">
        <v>223</v>
      </c>
      <c r="R88" s="10" t="s">
        <v>1438</v>
      </c>
      <c r="S88" s="8" t="s">
        <v>2057</v>
      </c>
      <c r="T88" s="10" t="s">
        <v>1867</v>
      </c>
      <c r="U88" s="10" t="s">
        <v>87</v>
      </c>
      <c r="V88" s="10" t="s">
        <v>87</v>
      </c>
    </row>
    <row r="89" spans="1:22" s="10" customFormat="1" x14ac:dyDescent="0.25">
      <c r="A89" s="10" t="s">
        <v>2058</v>
      </c>
      <c r="B89" s="10" t="s">
        <v>1571</v>
      </c>
      <c r="C89" s="11" t="s">
        <v>346</v>
      </c>
      <c r="D89" s="10" t="s">
        <v>2059</v>
      </c>
      <c r="E89" s="8" t="s">
        <v>2060</v>
      </c>
      <c r="F89" s="8" t="s">
        <v>2061</v>
      </c>
      <c r="G89" s="10" t="s">
        <v>4</v>
      </c>
      <c r="H89" s="8" t="s">
        <v>2062</v>
      </c>
      <c r="I89" s="10" t="s">
        <v>2063</v>
      </c>
      <c r="J89" s="8" t="s">
        <v>2064</v>
      </c>
      <c r="K89" s="8" t="s">
        <v>1873</v>
      </c>
      <c r="L89" s="8" t="s">
        <v>87</v>
      </c>
      <c r="M89" s="10" t="s">
        <v>1456</v>
      </c>
      <c r="N89" s="8" t="s">
        <v>87</v>
      </c>
      <c r="O89" s="10" t="s">
        <v>22</v>
      </c>
      <c r="P89" s="8" t="s">
        <v>2065</v>
      </c>
      <c r="Q89" s="10" t="s">
        <v>1447</v>
      </c>
      <c r="R89" s="10" t="s">
        <v>1438</v>
      </c>
      <c r="S89" s="8" t="s">
        <v>2066</v>
      </c>
      <c r="T89" s="10" t="s">
        <v>1867</v>
      </c>
      <c r="U89" s="10" t="s">
        <v>87</v>
      </c>
      <c r="V89" s="10" t="s">
        <v>87</v>
      </c>
    </row>
    <row r="90" spans="1:22" s="10" customFormat="1" x14ac:dyDescent="0.25">
      <c r="A90" s="10" t="s">
        <v>2067</v>
      </c>
      <c r="B90" s="10" t="s">
        <v>1571</v>
      </c>
      <c r="C90" s="10" t="s">
        <v>384</v>
      </c>
      <c r="D90" s="10" t="s">
        <v>2068</v>
      </c>
      <c r="E90" s="8" t="s">
        <v>2069</v>
      </c>
      <c r="F90" s="8" t="s">
        <v>2070</v>
      </c>
      <c r="G90" s="10" t="s">
        <v>4</v>
      </c>
      <c r="H90" s="8" t="s">
        <v>2071</v>
      </c>
      <c r="I90" s="10" t="s">
        <v>2072</v>
      </c>
      <c r="J90" s="8" t="s">
        <v>1863</v>
      </c>
      <c r="K90" s="8" t="s">
        <v>2073</v>
      </c>
      <c r="L90" s="8" t="s">
        <v>87</v>
      </c>
      <c r="M90" s="10" t="s">
        <v>1456</v>
      </c>
      <c r="N90" s="8" t="s">
        <v>87</v>
      </c>
      <c r="O90" s="10" t="s">
        <v>22</v>
      </c>
      <c r="P90" s="8" t="s">
        <v>2074</v>
      </c>
      <c r="Q90" s="10" t="s">
        <v>223</v>
      </c>
      <c r="R90" s="10" t="s">
        <v>1438</v>
      </c>
      <c r="S90" s="8" t="s">
        <v>2075</v>
      </c>
      <c r="T90" s="10" t="s">
        <v>1867</v>
      </c>
      <c r="U90" s="10" t="s">
        <v>87</v>
      </c>
      <c r="V90" s="10" t="s">
        <v>87</v>
      </c>
    </row>
    <row r="91" spans="1:22" s="10" customFormat="1" x14ac:dyDescent="0.25">
      <c r="A91" s="10" t="s">
        <v>2076</v>
      </c>
      <c r="B91" s="10" t="s">
        <v>1571</v>
      </c>
      <c r="C91" s="10" t="s">
        <v>384</v>
      </c>
      <c r="D91" s="10" t="s">
        <v>2077</v>
      </c>
      <c r="E91" s="8" t="s">
        <v>2078</v>
      </c>
      <c r="F91" s="8" t="s">
        <v>2079</v>
      </c>
      <c r="G91" s="10" t="s">
        <v>4</v>
      </c>
      <c r="H91" s="8" t="s">
        <v>2080</v>
      </c>
      <c r="I91" s="10" t="s">
        <v>2072</v>
      </c>
      <c r="J91" s="8" t="s">
        <v>1863</v>
      </c>
      <c r="K91" s="8" t="s">
        <v>2081</v>
      </c>
      <c r="L91" s="8" t="s">
        <v>87</v>
      </c>
      <c r="M91" s="10" t="s">
        <v>1456</v>
      </c>
      <c r="N91" s="8" t="s">
        <v>87</v>
      </c>
      <c r="O91" s="10" t="s">
        <v>22</v>
      </c>
      <c r="P91" s="8" t="s">
        <v>2082</v>
      </c>
      <c r="Q91" s="10" t="s">
        <v>223</v>
      </c>
      <c r="R91" s="10" t="s">
        <v>1438</v>
      </c>
      <c r="S91" s="8" t="s">
        <v>2083</v>
      </c>
      <c r="T91" s="10" t="s">
        <v>1867</v>
      </c>
      <c r="U91" s="10" t="s">
        <v>87</v>
      </c>
      <c r="V91" s="10" t="s">
        <v>87</v>
      </c>
    </row>
    <row r="92" spans="1:22" s="10" customFormat="1" x14ac:dyDescent="0.25">
      <c r="A92" s="10" t="s">
        <v>2084</v>
      </c>
      <c r="B92" s="10" t="s">
        <v>1571</v>
      </c>
      <c r="C92" s="10" t="s">
        <v>384</v>
      </c>
      <c r="D92" s="10" t="s">
        <v>2085</v>
      </c>
      <c r="E92" s="8" t="s">
        <v>2086</v>
      </c>
      <c r="F92" s="8" t="s">
        <v>2087</v>
      </c>
      <c r="G92" s="10" t="s">
        <v>4</v>
      </c>
      <c r="H92" s="8" t="s">
        <v>2088</v>
      </c>
      <c r="I92" s="10" t="s">
        <v>2072</v>
      </c>
      <c r="J92" s="8" t="s">
        <v>1863</v>
      </c>
      <c r="K92" s="8" t="s">
        <v>2089</v>
      </c>
      <c r="L92" s="8" t="s">
        <v>87</v>
      </c>
      <c r="M92" s="10" t="s">
        <v>1456</v>
      </c>
      <c r="N92" s="8" t="s">
        <v>87</v>
      </c>
      <c r="O92" s="10" t="s">
        <v>22</v>
      </c>
      <c r="P92" s="8" t="s">
        <v>2090</v>
      </c>
      <c r="Q92" s="10" t="s">
        <v>223</v>
      </c>
      <c r="R92" s="10" t="s">
        <v>1438</v>
      </c>
      <c r="S92" s="8" t="s">
        <v>2091</v>
      </c>
      <c r="T92" s="10" t="s">
        <v>1867</v>
      </c>
      <c r="U92" s="10" t="s">
        <v>87</v>
      </c>
      <c r="V92" s="10" t="s">
        <v>87</v>
      </c>
    </row>
    <row r="93" spans="1:22" s="10" customFormat="1" x14ac:dyDescent="0.25">
      <c r="A93" s="10" t="s">
        <v>2092</v>
      </c>
      <c r="B93" s="10" t="s">
        <v>1571</v>
      </c>
      <c r="C93" s="10" t="s">
        <v>384</v>
      </c>
      <c r="D93" s="10" t="s">
        <v>2093</v>
      </c>
      <c r="E93" s="8" t="s">
        <v>2094</v>
      </c>
      <c r="F93" s="8" t="s">
        <v>2095</v>
      </c>
      <c r="G93" s="10" t="s">
        <v>4</v>
      </c>
      <c r="H93" s="8" t="s">
        <v>2096</v>
      </c>
      <c r="I93" s="10" t="s">
        <v>2072</v>
      </c>
      <c r="J93" s="8" t="s">
        <v>1863</v>
      </c>
      <c r="K93" s="8" t="s">
        <v>2097</v>
      </c>
      <c r="L93" s="8" t="s">
        <v>87</v>
      </c>
      <c r="M93" s="10" t="s">
        <v>1456</v>
      </c>
      <c r="N93" s="8" t="s">
        <v>87</v>
      </c>
      <c r="O93" s="10" t="s">
        <v>22</v>
      </c>
      <c r="P93" s="8" t="s">
        <v>2098</v>
      </c>
      <c r="Q93" s="10" t="s">
        <v>223</v>
      </c>
      <c r="R93" s="10" t="s">
        <v>1438</v>
      </c>
      <c r="S93" s="8" t="s">
        <v>2099</v>
      </c>
      <c r="T93" s="10" t="s">
        <v>1867</v>
      </c>
      <c r="U93" s="10" t="s">
        <v>87</v>
      </c>
      <c r="V93" s="10" t="s">
        <v>87</v>
      </c>
    </row>
    <row r="94" spans="1:22" s="10" customFormat="1" x14ac:dyDescent="0.25">
      <c r="A94" s="10" t="s">
        <v>2100</v>
      </c>
      <c r="B94" s="10" t="s">
        <v>1571</v>
      </c>
      <c r="C94" s="10" t="s">
        <v>384</v>
      </c>
      <c r="D94" s="10" t="s">
        <v>2101</v>
      </c>
      <c r="E94" s="8" t="s">
        <v>2102</v>
      </c>
      <c r="F94" s="8" t="s">
        <v>2103</v>
      </c>
      <c r="G94" s="10" t="s">
        <v>4</v>
      </c>
      <c r="H94" s="8" t="s">
        <v>2104</v>
      </c>
      <c r="I94" s="10" t="s">
        <v>2072</v>
      </c>
      <c r="J94" s="8" t="s">
        <v>1863</v>
      </c>
      <c r="K94" s="8" t="s">
        <v>2105</v>
      </c>
      <c r="L94" s="8" t="s">
        <v>87</v>
      </c>
      <c r="M94" s="10" t="s">
        <v>1456</v>
      </c>
      <c r="N94" s="8" t="s">
        <v>87</v>
      </c>
      <c r="O94" s="10" t="s">
        <v>22</v>
      </c>
      <c r="P94" s="8" t="s">
        <v>2106</v>
      </c>
      <c r="Q94" s="10" t="s">
        <v>223</v>
      </c>
      <c r="R94" s="10" t="s">
        <v>1438</v>
      </c>
      <c r="S94" s="8" t="s">
        <v>2107</v>
      </c>
      <c r="T94" s="10" t="s">
        <v>1867</v>
      </c>
      <c r="U94" s="10" t="s">
        <v>87</v>
      </c>
      <c r="V94" s="10" t="s">
        <v>87</v>
      </c>
    </row>
    <row r="95" spans="1:22" s="10" customFormat="1" x14ac:dyDescent="0.25">
      <c r="A95" s="10" t="s">
        <v>2108</v>
      </c>
      <c r="B95" s="10" t="s">
        <v>1571</v>
      </c>
      <c r="C95" s="10" t="s">
        <v>384</v>
      </c>
      <c r="D95" s="10" t="s">
        <v>2109</v>
      </c>
      <c r="E95" s="8" t="s">
        <v>2110</v>
      </c>
      <c r="F95" s="8" t="s">
        <v>2111</v>
      </c>
      <c r="G95" s="10" t="s">
        <v>4</v>
      </c>
      <c r="H95" s="8" t="s">
        <v>2112</v>
      </c>
      <c r="I95" s="10" t="s">
        <v>2072</v>
      </c>
      <c r="J95" s="8" t="s">
        <v>1863</v>
      </c>
      <c r="K95" s="8" t="s">
        <v>2113</v>
      </c>
      <c r="L95" s="8" t="s">
        <v>87</v>
      </c>
      <c r="M95" s="10" t="s">
        <v>1456</v>
      </c>
      <c r="N95" s="8" t="s">
        <v>87</v>
      </c>
      <c r="O95" s="10" t="s">
        <v>22</v>
      </c>
      <c r="P95" s="8" t="s">
        <v>2114</v>
      </c>
      <c r="Q95" s="10" t="s">
        <v>223</v>
      </c>
      <c r="R95" s="10" t="s">
        <v>1438</v>
      </c>
      <c r="S95" s="8" t="s">
        <v>2115</v>
      </c>
      <c r="T95" s="10" t="s">
        <v>1867</v>
      </c>
      <c r="U95" s="10" t="s">
        <v>87</v>
      </c>
      <c r="V95" s="10" t="s">
        <v>87</v>
      </c>
    </row>
    <row r="96" spans="1:22" s="10" customFormat="1" x14ac:dyDescent="0.25">
      <c r="A96" s="10" t="s">
        <v>2116</v>
      </c>
      <c r="B96" s="10" t="s">
        <v>1571</v>
      </c>
      <c r="C96" s="10" t="s">
        <v>384</v>
      </c>
      <c r="D96" s="10" t="s">
        <v>2117</v>
      </c>
      <c r="E96" s="8" t="s">
        <v>2118</v>
      </c>
      <c r="F96" s="8" t="s">
        <v>2119</v>
      </c>
      <c r="G96" s="10" t="s">
        <v>4</v>
      </c>
      <c r="H96" s="8" t="s">
        <v>2120</v>
      </c>
      <c r="I96" s="10" t="s">
        <v>2072</v>
      </c>
      <c r="J96" s="8" t="s">
        <v>1863</v>
      </c>
      <c r="K96" s="8" t="s">
        <v>2121</v>
      </c>
      <c r="L96" s="8" t="s">
        <v>87</v>
      </c>
      <c r="M96" s="10" t="s">
        <v>1456</v>
      </c>
      <c r="N96" s="8" t="s">
        <v>87</v>
      </c>
      <c r="O96" s="10" t="s">
        <v>22</v>
      </c>
      <c r="P96" s="8" t="s">
        <v>2122</v>
      </c>
      <c r="Q96" s="10" t="s">
        <v>223</v>
      </c>
      <c r="R96" s="10" t="s">
        <v>1438</v>
      </c>
      <c r="S96" s="8" t="s">
        <v>2123</v>
      </c>
      <c r="T96" s="10" t="s">
        <v>1867</v>
      </c>
      <c r="U96" s="10" t="s">
        <v>87</v>
      </c>
      <c r="V96" s="10" t="s">
        <v>87</v>
      </c>
    </row>
    <row r="97" spans="1:22" s="10" customFormat="1" x14ac:dyDescent="0.25">
      <c r="A97" s="10" t="s">
        <v>2124</v>
      </c>
      <c r="B97" s="10" t="s">
        <v>1571</v>
      </c>
      <c r="C97" s="10" t="s">
        <v>384</v>
      </c>
      <c r="D97" s="10" t="s">
        <v>2125</v>
      </c>
      <c r="E97" s="8" t="s">
        <v>2126</v>
      </c>
      <c r="F97" s="8" t="s">
        <v>2127</v>
      </c>
      <c r="G97" s="10" t="s">
        <v>4</v>
      </c>
      <c r="H97" s="8" t="s">
        <v>2128</v>
      </c>
      <c r="I97" s="10" t="s">
        <v>2072</v>
      </c>
      <c r="J97" s="8" t="s">
        <v>1863</v>
      </c>
      <c r="K97" s="8" t="s">
        <v>2129</v>
      </c>
      <c r="L97" s="8" t="s">
        <v>87</v>
      </c>
      <c r="M97" s="10" t="s">
        <v>1456</v>
      </c>
      <c r="N97" s="8" t="s">
        <v>87</v>
      </c>
      <c r="O97" s="10" t="s">
        <v>22</v>
      </c>
      <c r="P97" s="8" t="s">
        <v>2130</v>
      </c>
      <c r="Q97" s="10" t="s">
        <v>223</v>
      </c>
      <c r="R97" s="10" t="s">
        <v>1438</v>
      </c>
      <c r="S97" s="8" t="s">
        <v>2131</v>
      </c>
      <c r="T97" s="10" t="s">
        <v>1867</v>
      </c>
      <c r="U97" s="10" t="s">
        <v>87</v>
      </c>
      <c r="V97" s="10" t="s">
        <v>87</v>
      </c>
    </row>
    <row r="98" spans="1:22" s="10" customFormat="1" x14ac:dyDescent="0.25">
      <c r="A98" s="10" t="s">
        <v>2132</v>
      </c>
      <c r="B98" s="10" t="s">
        <v>1571</v>
      </c>
      <c r="C98" s="10" t="s">
        <v>384</v>
      </c>
      <c r="D98" s="10" t="s">
        <v>2133</v>
      </c>
      <c r="E98" s="8" t="s">
        <v>2134</v>
      </c>
      <c r="F98" s="8" t="s">
        <v>2135</v>
      </c>
      <c r="G98" s="10" t="s">
        <v>4</v>
      </c>
      <c r="H98" s="8" t="s">
        <v>2136</v>
      </c>
      <c r="I98" s="10" t="s">
        <v>2072</v>
      </c>
      <c r="J98" s="8" t="s">
        <v>1863</v>
      </c>
      <c r="K98" s="8" t="s">
        <v>2137</v>
      </c>
      <c r="L98" s="8" t="s">
        <v>87</v>
      </c>
      <c r="M98" s="10" t="s">
        <v>1456</v>
      </c>
      <c r="N98" s="8" t="s">
        <v>87</v>
      </c>
      <c r="O98" s="10" t="s">
        <v>22</v>
      </c>
      <c r="P98" s="8" t="s">
        <v>2138</v>
      </c>
      <c r="Q98" s="10" t="s">
        <v>223</v>
      </c>
      <c r="R98" s="10" t="s">
        <v>1438</v>
      </c>
      <c r="S98" s="8" t="s">
        <v>2139</v>
      </c>
      <c r="T98" s="10" t="s">
        <v>1867</v>
      </c>
      <c r="U98" s="10" t="s">
        <v>87</v>
      </c>
      <c r="V98" s="10" t="s">
        <v>87</v>
      </c>
    </row>
    <row r="99" spans="1:22" s="10" customFormat="1" x14ac:dyDescent="0.25">
      <c r="A99" s="10" t="s">
        <v>2140</v>
      </c>
      <c r="B99" s="10" t="s">
        <v>1571</v>
      </c>
      <c r="C99" s="10" t="s">
        <v>384</v>
      </c>
      <c r="D99" s="10" t="s">
        <v>2141</v>
      </c>
      <c r="E99" s="8" t="s">
        <v>2142</v>
      </c>
      <c r="F99" s="8" t="s">
        <v>2143</v>
      </c>
      <c r="G99" s="10" t="s">
        <v>4</v>
      </c>
      <c r="H99" s="8" t="s">
        <v>2144</v>
      </c>
      <c r="I99" s="10" t="s">
        <v>2072</v>
      </c>
      <c r="J99" s="8" t="s">
        <v>1863</v>
      </c>
      <c r="K99" s="8" t="s">
        <v>2145</v>
      </c>
      <c r="L99" s="8" t="s">
        <v>87</v>
      </c>
      <c r="M99" s="10" t="s">
        <v>1456</v>
      </c>
      <c r="N99" s="8" t="s">
        <v>87</v>
      </c>
      <c r="O99" s="10" t="s">
        <v>22</v>
      </c>
      <c r="P99" s="8" t="s">
        <v>2146</v>
      </c>
      <c r="Q99" s="10" t="s">
        <v>223</v>
      </c>
      <c r="R99" s="10" t="s">
        <v>1438</v>
      </c>
      <c r="S99" s="8" t="s">
        <v>2147</v>
      </c>
      <c r="T99" s="10" t="s">
        <v>1867</v>
      </c>
      <c r="U99" s="10" t="s">
        <v>87</v>
      </c>
      <c r="V99" s="10" t="s">
        <v>87</v>
      </c>
    </row>
    <row r="100" spans="1:22" s="10" customFormat="1" x14ac:dyDescent="0.25">
      <c r="A100" s="10" t="s">
        <v>2148</v>
      </c>
      <c r="B100" s="10" t="s">
        <v>1571</v>
      </c>
      <c r="C100" s="10" t="s">
        <v>215</v>
      </c>
      <c r="D100" s="10" t="s">
        <v>2149</v>
      </c>
      <c r="E100" s="8" t="s">
        <v>2150</v>
      </c>
      <c r="F100" s="8" t="s">
        <v>2151</v>
      </c>
      <c r="G100" s="10" t="s">
        <v>4</v>
      </c>
      <c r="H100" s="8" t="s">
        <v>2152</v>
      </c>
      <c r="I100" s="10" t="s">
        <v>2153</v>
      </c>
      <c r="J100" s="8" t="s">
        <v>1863</v>
      </c>
      <c r="K100" s="8" t="s">
        <v>2154</v>
      </c>
      <c r="L100" s="8" t="s">
        <v>87</v>
      </c>
      <c r="M100" s="10" t="s">
        <v>1456</v>
      </c>
      <c r="N100" s="8" t="s">
        <v>87</v>
      </c>
      <c r="O100" s="10" t="s">
        <v>22</v>
      </c>
      <c r="P100" s="8" t="s">
        <v>2155</v>
      </c>
      <c r="Q100" s="10" t="s">
        <v>246</v>
      </c>
      <c r="R100" s="10" t="s">
        <v>1438</v>
      </c>
      <c r="S100" s="8" t="s">
        <v>2156</v>
      </c>
      <c r="T100" s="10" t="s">
        <v>1867</v>
      </c>
      <c r="U100" s="10" t="s">
        <v>87</v>
      </c>
      <c r="V100" s="10" t="s">
        <v>87</v>
      </c>
    </row>
    <row r="101" spans="1:22" s="10" customFormat="1" x14ac:dyDescent="0.25">
      <c r="A101" s="10" t="s">
        <v>2157</v>
      </c>
      <c r="B101" s="10" t="s">
        <v>1571</v>
      </c>
      <c r="C101" s="11" t="s">
        <v>346</v>
      </c>
      <c r="D101" s="10" t="s">
        <v>2158</v>
      </c>
      <c r="E101" s="8" t="s">
        <v>2159</v>
      </c>
      <c r="F101" s="8" t="s">
        <v>2160</v>
      </c>
      <c r="G101" s="10" t="s">
        <v>4</v>
      </c>
      <c r="H101" s="8" t="s">
        <v>2161</v>
      </c>
      <c r="I101" s="10" t="s">
        <v>2162</v>
      </c>
      <c r="J101" s="8" t="s">
        <v>1863</v>
      </c>
      <c r="K101" s="8" t="s">
        <v>1873</v>
      </c>
      <c r="L101" s="8" t="s">
        <v>87</v>
      </c>
      <c r="M101" s="10" t="s">
        <v>1456</v>
      </c>
      <c r="N101" s="8" t="s">
        <v>87</v>
      </c>
      <c r="O101" s="10" t="s">
        <v>22</v>
      </c>
      <c r="P101" s="8" t="s">
        <v>2163</v>
      </c>
      <c r="Q101" s="10" t="s">
        <v>223</v>
      </c>
      <c r="R101" s="10" t="s">
        <v>1438</v>
      </c>
      <c r="S101" s="8" t="s">
        <v>2164</v>
      </c>
      <c r="T101" s="10" t="s">
        <v>1867</v>
      </c>
      <c r="U101" s="10" t="s">
        <v>87</v>
      </c>
      <c r="V101" s="10" t="s">
        <v>87</v>
      </c>
    </row>
    <row r="102" spans="1:22" s="10" customFormat="1" x14ac:dyDescent="0.25">
      <c r="A102" s="10" t="s">
        <v>2165</v>
      </c>
      <c r="B102" s="10" t="s">
        <v>1571</v>
      </c>
      <c r="C102" s="11" t="s">
        <v>346</v>
      </c>
      <c r="D102" s="10" t="s">
        <v>2166</v>
      </c>
      <c r="E102" s="8" t="s">
        <v>2167</v>
      </c>
      <c r="F102" s="8" t="s">
        <v>2168</v>
      </c>
      <c r="G102" s="10" t="s">
        <v>4</v>
      </c>
      <c r="H102" s="8" t="s">
        <v>2169</v>
      </c>
      <c r="I102" s="10" t="s">
        <v>2170</v>
      </c>
      <c r="J102" s="8" t="s">
        <v>1863</v>
      </c>
      <c r="K102" s="8" t="s">
        <v>1873</v>
      </c>
      <c r="L102" s="8" t="s">
        <v>87</v>
      </c>
      <c r="M102" s="10" t="s">
        <v>1456</v>
      </c>
      <c r="N102" s="8" t="s">
        <v>87</v>
      </c>
      <c r="O102" s="10" t="s">
        <v>22</v>
      </c>
      <c r="P102" s="8" t="s">
        <v>2171</v>
      </c>
      <c r="Q102" s="10" t="s">
        <v>1447</v>
      </c>
      <c r="R102" s="10" t="s">
        <v>1438</v>
      </c>
      <c r="S102" s="8" t="s">
        <v>2172</v>
      </c>
      <c r="T102" s="10" t="s">
        <v>1867</v>
      </c>
      <c r="U102" s="10" t="s">
        <v>87</v>
      </c>
      <c r="V102" s="10" t="s">
        <v>87</v>
      </c>
    </row>
    <row r="103" spans="1:22" s="10" customFormat="1" x14ac:dyDescent="0.25">
      <c r="A103" s="10" t="s">
        <v>2173</v>
      </c>
      <c r="B103" s="10" t="s">
        <v>1571</v>
      </c>
      <c r="C103" s="11" t="s">
        <v>346</v>
      </c>
      <c r="D103" s="10" t="s">
        <v>2174</v>
      </c>
      <c r="E103" s="8" t="s">
        <v>2175</v>
      </c>
      <c r="F103" s="8" t="s">
        <v>2176</v>
      </c>
      <c r="G103" s="10" t="s">
        <v>4</v>
      </c>
      <c r="H103" s="8" t="s">
        <v>2177</v>
      </c>
      <c r="I103" s="10" t="s">
        <v>2178</v>
      </c>
      <c r="J103" s="8" t="s">
        <v>1655</v>
      </c>
      <c r="K103" s="8" t="s">
        <v>1873</v>
      </c>
      <c r="L103" s="8" t="s">
        <v>87</v>
      </c>
      <c r="M103" s="10" t="s">
        <v>1456</v>
      </c>
      <c r="N103" s="8" t="s">
        <v>87</v>
      </c>
      <c r="O103" s="10" t="s">
        <v>22</v>
      </c>
      <c r="P103" s="8" t="s">
        <v>2179</v>
      </c>
      <c r="Q103" s="10" t="s">
        <v>1447</v>
      </c>
      <c r="R103" s="10" t="s">
        <v>1657</v>
      </c>
      <c r="S103" s="8" t="s">
        <v>2180</v>
      </c>
      <c r="T103" s="10" t="s">
        <v>1867</v>
      </c>
      <c r="U103" s="10" t="s">
        <v>87</v>
      </c>
      <c r="V103" s="10" t="s">
        <v>87</v>
      </c>
    </row>
    <row r="104" spans="1:22" s="10" customFormat="1" x14ac:dyDescent="0.25">
      <c r="A104" s="10" t="s">
        <v>2181</v>
      </c>
      <c r="B104" s="10" t="s">
        <v>1571</v>
      </c>
      <c r="C104" s="11" t="s">
        <v>346</v>
      </c>
      <c r="D104" s="10" t="s">
        <v>2182</v>
      </c>
      <c r="E104" s="8" t="s">
        <v>2183</v>
      </c>
      <c r="F104" s="8" t="s">
        <v>2184</v>
      </c>
      <c r="G104" s="10" t="s">
        <v>4</v>
      </c>
      <c r="H104" s="8" t="s">
        <v>2185</v>
      </c>
      <c r="I104" s="10" t="s">
        <v>1889</v>
      </c>
      <c r="J104" s="8" t="s">
        <v>1664</v>
      </c>
      <c r="K104" s="8" t="s">
        <v>2186</v>
      </c>
      <c r="L104" s="8" t="s">
        <v>87</v>
      </c>
      <c r="M104" s="10" t="s">
        <v>1456</v>
      </c>
      <c r="N104" s="8" t="s">
        <v>87</v>
      </c>
      <c r="O104" s="10" t="s">
        <v>22</v>
      </c>
      <c r="P104" s="8" t="s">
        <v>2187</v>
      </c>
      <c r="Q104" s="10" t="s">
        <v>825</v>
      </c>
      <c r="R104" s="10" t="s">
        <v>2188</v>
      </c>
      <c r="S104" s="8" t="s">
        <v>1669</v>
      </c>
      <c r="T104" s="10" t="s">
        <v>1867</v>
      </c>
      <c r="U104" s="10" t="s">
        <v>87</v>
      </c>
      <c r="V104" s="10" t="s">
        <v>87</v>
      </c>
    </row>
    <row r="105" spans="1:22" s="10" customFormat="1" x14ac:dyDescent="0.25">
      <c r="A105" s="10" t="s">
        <v>2189</v>
      </c>
      <c r="B105" s="10" t="s">
        <v>1571</v>
      </c>
      <c r="C105" s="10" t="s">
        <v>215</v>
      </c>
      <c r="D105" s="10" t="s">
        <v>2190</v>
      </c>
      <c r="E105" s="8" t="s">
        <v>2191</v>
      </c>
      <c r="F105" s="8" t="s">
        <v>2192</v>
      </c>
      <c r="G105" s="10" t="s">
        <v>4</v>
      </c>
      <c r="H105" s="8" t="s">
        <v>2193</v>
      </c>
      <c r="I105" s="10" t="s">
        <v>1537</v>
      </c>
      <c r="J105" s="8" t="s">
        <v>1863</v>
      </c>
      <c r="K105" s="8" t="s">
        <v>1873</v>
      </c>
      <c r="L105" s="8" t="s">
        <v>87</v>
      </c>
      <c r="M105" s="10" t="s">
        <v>1436</v>
      </c>
      <c r="N105" s="8" t="s">
        <v>87</v>
      </c>
      <c r="O105" s="10" t="s">
        <v>22</v>
      </c>
      <c r="P105" s="8" t="s">
        <v>2194</v>
      </c>
      <c r="Q105" s="10" t="s">
        <v>223</v>
      </c>
      <c r="R105" s="10" t="s">
        <v>1438</v>
      </c>
      <c r="S105" s="8" t="s">
        <v>1648</v>
      </c>
      <c r="T105" s="10" t="s">
        <v>1867</v>
      </c>
      <c r="U105" s="10" t="s">
        <v>87</v>
      </c>
      <c r="V105" s="10" t="s">
        <v>87</v>
      </c>
    </row>
    <row r="106" spans="1:22" s="10" customFormat="1" x14ac:dyDescent="0.25">
      <c r="A106" s="10" t="s">
        <v>2195</v>
      </c>
      <c r="B106" s="10" t="s">
        <v>1571</v>
      </c>
      <c r="C106" s="10" t="s">
        <v>215</v>
      </c>
      <c r="D106" s="10" t="s">
        <v>2196</v>
      </c>
      <c r="E106" s="8" t="s">
        <v>2197</v>
      </c>
      <c r="F106" s="8" t="s">
        <v>2198</v>
      </c>
      <c r="G106" s="10" t="s">
        <v>4</v>
      </c>
      <c r="H106" s="8" t="s">
        <v>2199</v>
      </c>
      <c r="I106" s="10" t="s">
        <v>1862</v>
      </c>
      <c r="J106" s="8" t="s">
        <v>2200</v>
      </c>
      <c r="K106" s="8" t="s">
        <v>2201</v>
      </c>
      <c r="L106" s="8" t="s">
        <v>87</v>
      </c>
      <c r="M106" s="10" t="s">
        <v>1456</v>
      </c>
      <c r="N106" s="8" t="s">
        <v>87</v>
      </c>
      <c r="O106" s="10" t="s">
        <v>22</v>
      </c>
      <c r="P106" s="8" t="s">
        <v>2202</v>
      </c>
      <c r="Q106" s="10" t="s">
        <v>223</v>
      </c>
      <c r="R106" s="10" t="s">
        <v>1438</v>
      </c>
      <c r="S106" s="8" t="s">
        <v>2203</v>
      </c>
      <c r="T106" s="10" t="s">
        <v>2204</v>
      </c>
      <c r="U106" s="10" t="s">
        <v>87</v>
      </c>
      <c r="V106" s="10" t="s">
        <v>87</v>
      </c>
    </row>
    <row r="107" spans="1:22" s="10" customFormat="1" x14ac:dyDescent="0.25">
      <c r="A107" s="10" t="s">
        <v>2205</v>
      </c>
      <c r="B107" s="10" t="s">
        <v>1571</v>
      </c>
      <c r="C107" s="10" t="s">
        <v>215</v>
      </c>
      <c r="D107" s="10" t="s">
        <v>2206</v>
      </c>
      <c r="E107" s="8" t="s">
        <v>2207</v>
      </c>
      <c r="F107" s="8" t="s">
        <v>2208</v>
      </c>
      <c r="G107" s="10" t="s">
        <v>3</v>
      </c>
      <c r="H107" s="8" t="s">
        <v>2209</v>
      </c>
      <c r="I107" s="10" t="s">
        <v>1862</v>
      </c>
      <c r="J107" s="8" t="s">
        <v>2200</v>
      </c>
      <c r="K107" s="8" t="s">
        <v>1435</v>
      </c>
      <c r="L107" s="8" t="s">
        <v>87</v>
      </c>
      <c r="M107" s="10" t="s">
        <v>1436</v>
      </c>
      <c r="N107" s="8" t="s">
        <v>87</v>
      </c>
      <c r="O107" s="10" t="s">
        <v>22</v>
      </c>
      <c r="P107" s="8" t="s">
        <v>2210</v>
      </c>
      <c r="Q107" s="10" t="s">
        <v>223</v>
      </c>
      <c r="R107" s="10" t="s">
        <v>1438</v>
      </c>
      <c r="S107" s="8" t="s">
        <v>2211</v>
      </c>
      <c r="T107" s="10" t="s">
        <v>2204</v>
      </c>
      <c r="U107" s="10" t="s">
        <v>87</v>
      </c>
      <c r="V107" s="10" t="s">
        <v>87</v>
      </c>
    </row>
    <row r="108" spans="1:22" s="10" customFormat="1" x14ac:dyDescent="0.25">
      <c r="A108" s="10" t="s">
        <v>2212</v>
      </c>
      <c r="B108" s="10" t="s">
        <v>1571</v>
      </c>
      <c r="C108" s="10" t="s">
        <v>215</v>
      </c>
      <c r="D108" s="10" t="s">
        <v>2213</v>
      </c>
      <c r="E108" s="8" t="s">
        <v>2214</v>
      </c>
      <c r="F108" s="8" t="s">
        <v>2215</v>
      </c>
      <c r="G108" s="10" t="s">
        <v>3</v>
      </c>
      <c r="H108" s="8" t="s">
        <v>2216</v>
      </c>
      <c r="I108" s="10" t="s">
        <v>1537</v>
      </c>
      <c r="J108" s="8" t="s">
        <v>2200</v>
      </c>
      <c r="K108" s="8" t="s">
        <v>1435</v>
      </c>
      <c r="L108" s="8" t="s">
        <v>87</v>
      </c>
      <c r="M108" s="10" t="s">
        <v>1436</v>
      </c>
      <c r="N108" s="8" t="s">
        <v>87</v>
      </c>
      <c r="O108" s="10" t="s">
        <v>22</v>
      </c>
      <c r="P108" s="8" t="s">
        <v>2217</v>
      </c>
      <c r="Q108" s="10" t="s">
        <v>239</v>
      </c>
      <c r="R108" s="10" t="s">
        <v>1438</v>
      </c>
      <c r="S108" s="8" t="s">
        <v>2218</v>
      </c>
      <c r="T108" s="10" t="s">
        <v>2204</v>
      </c>
      <c r="U108" s="10" t="s">
        <v>87</v>
      </c>
      <c r="V108" s="10" t="s">
        <v>87</v>
      </c>
    </row>
    <row r="109" spans="1:22" s="10" customFormat="1" x14ac:dyDescent="0.25">
      <c r="A109" s="10" t="s">
        <v>2219</v>
      </c>
      <c r="B109" s="10" t="s">
        <v>1571</v>
      </c>
      <c r="C109" s="10" t="s">
        <v>215</v>
      </c>
      <c r="D109" s="10" t="s">
        <v>2220</v>
      </c>
      <c r="E109" s="8" t="s">
        <v>2221</v>
      </c>
      <c r="F109" s="8" t="s">
        <v>2222</v>
      </c>
      <c r="G109" s="10" t="s">
        <v>4</v>
      </c>
      <c r="H109" s="8" t="s">
        <v>2199</v>
      </c>
      <c r="I109" s="10" t="s">
        <v>1537</v>
      </c>
      <c r="J109" s="8" t="s">
        <v>2200</v>
      </c>
      <c r="K109" s="8" t="s">
        <v>2223</v>
      </c>
      <c r="L109" s="8" t="s">
        <v>87</v>
      </c>
      <c r="M109" s="10" t="s">
        <v>1456</v>
      </c>
      <c r="N109" s="8" t="s">
        <v>87</v>
      </c>
      <c r="O109" s="10" t="s">
        <v>22</v>
      </c>
      <c r="P109" s="8" t="s">
        <v>2224</v>
      </c>
      <c r="Q109" s="10" t="s">
        <v>223</v>
      </c>
      <c r="R109" s="10" t="s">
        <v>1438</v>
      </c>
      <c r="S109" s="8" t="s">
        <v>2225</v>
      </c>
      <c r="T109" s="10" t="s">
        <v>2204</v>
      </c>
      <c r="U109" s="10" t="s">
        <v>87</v>
      </c>
      <c r="V109" s="10" t="s">
        <v>87</v>
      </c>
    </row>
    <row r="110" spans="1:22" s="10" customFormat="1" x14ac:dyDescent="0.25">
      <c r="A110" s="10" t="s">
        <v>2226</v>
      </c>
      <c r="B110" s="10" t="s">
        <v>1571</v>
      </c>
      <c r="C110" s="10" t="s">
        <v>384</v>
      </c>
      <c r="D110" s="10" t="s">
        <v>2227</v>
      </c>
      <c r="E110" s="8" t="s">
        <v>2228</v>
      </c>
      <c r="F110" s="8" t="s">
        <v>2229</v>
      </c>
      <c r="G110" s="10" t="s">
        <v>4</v>
      </c>
      <c r="H110" s="8" t="s">
        <v>2230</v>
      </c>
      <c r="I110" s="10" t="s">
        <v>1537</v>
      </c>
      <c r="J110" s="8" t="s">
        <v>2200</v>
      </c>
      <c r="K110" s="8" t="s">
        <v>2231</v>
      </c>
      <c r="L110" s="8" t="s">
        <v>87</v>
      </c>
      <c r="M110" s="10" t="s">
        <v>1456</v>
      </c>
      <c r="N110" s="8" t="s">
        <v>87</v>
      </c>
      <c r="O110" s="10" t="s">
        <v>22</v>
      </c>
      <c r="P110" s="8" t="s">
        <v>2232</v>
      </c>
      <c r="Q110" s="10" t="s">
        <v>223</v>
      </c>
      <c r="R110" s="10" t="s">
        <v>1438</v>
      </c>
      <c r="S110" s="8" t="s">
        <v>2233</v>
      </c>
      <c r="T110" s="10" t="s">
        <v>2204</v>
      </c>
      <c r="U110" s="10" t="s">
        <v>87</v>
      </c>
      <c r="V110" s="10" t="s">
        <v>87</v>
      </c>
    </row>
    <row r="111" spans="1:22" s="10" customFormat="1" x14ac:dyDescent="0.25">
      <c r="A111" s="10" t="s">
        <v>2234</v>
      </c>
      <c r="B111" s="10" t="s">
        <v>1571</v>
      </c>
      <c r="C111" s="10" t="s">
        <v>384</v>
      </c>
      <c r="D111" s="10" t="s">
        <v>2235</v>
      </c>
      <c r="E111" s="8" t="s">
        <v>2236</v>
      </c>
      <c r="F111" s="8" t="s">
        <v>2237</v>
      </c>
      <c r="G111" s="10" t="s">
        <v>4</v>
      </c>
      <c r="H111" s="8" t="s">
        <v>2238</v>
      </c>
      <c r="I111" s="10" t="s">
        <v>1537</v>
      </c>
      <c r="J111" s="8" t="s">
        <v>2200</v>
      </c>
      <c r="K111" s="8" t="s">
        <v>2239</v>
      </c>
      <c r="L111" s="8" t="s">
        <v>87</v>
      </c>
      <c r="M111" s="10" t="s">
        <v>1456</v>
      </c>
      <c r="N111" s="8" t="s">
        <v>87</v>
      </c>
      <c r="O111" s="10" t="s">
        <v>22</v>
      </c>
      <c r="P111" s="8" t="s">
        <v>2240</v>
      </c>
      <c r="Q111" s="10" t="s">
        <v>223</v>
      </c>
      <c r="R111" s="10" t="s">
        <v>1438</v>
      </c>
      <c r="S111" s="8" t="s">
        <v>2241</v>
      </c>
      <c r="T111" s="10" t="s">
        <v>2204</v>
      </c>
      <c r="U111" s="10" t="s">
        <v>87</v>
      </c>
      <c r="V111" s="10" t="s">
        <v>87</v>
      </c>
    </row>
    <row r="112" spans="1:22" s="10" customFormat="1" x14ac:dyDescent="0.25">
      <c r="A112" s="10" t="s">
        <v>2242</v>
      </c>
      <c r="B112" s="10" t="s">
        <v>1571</v>
      </c>
      <c r="C112" s="10" t="s">
        <v>215</v>
      </c>
      <c r="D112" s="10" t="s">
        <v>2243</v>
      </c>
      <c r="E112" s="8" t="s">
        <v>2244</v>
      </c>
      <c r="F112" s="8" t="s">
        <v>2245</v>
      </c>
      <c r="G112" s="10" t="s">
        <v>3</v>
      </c>
      <c r="H112" s="8" t="s">
        <v>2246</v>
      </c>
      <c r="I112" s="10" t="s">
        <v>1537</v>
      </c>
      <c r="J112" s="8" t="s">
        <v>2200</v>
      </c>
      <c r="K112" s="8" t="s">
        <v>1435</v>
      </c>
      <c r="L112" s="8" t="s">
        <v>87</v>
      </c>
      <c r="M112" s="10" t="s">
        <v>1436</v>
      </c>
      <c r="N112" s="8" t="s">
        <v>87</v>
      </c>
      <c r="O112" s="10" t="s">
        <v>22</v>
      </c>
      <c r="P112" s="8" t="s">
        <v>2247</v>
      </c>
      <c r="Q112" s="10" t="s">
        <v>246</v>
      </c>
      <c r="R112" s="10" t="s">
        <v>1438</v>
      </c>
      <c r="S112" s="8" t="s">
        <v>2248</v>
      </c>
      <c r="T112" s="10" t="s">
        <v>2204</v>
      </c>
      <c r="U112" s="10" t="s">
        <v>87</v>
      </c>
      <c r="V112" s="10" t="s">
        <v>87</v>
      </c>
    </row>
    <row r="113" spans="1:22" s="10" customFormat="1" x14ac:dyDescent="0.25">
      <c r="A113" s="10" t="s">
        <v>2249</v>
      </c>
      <c r="B113" s="10" t="s">
        <v>1571</v>
      </c>
      <c r="C113" s="10" t="s">
        <v>384</v>
      </c>
      <c r="D113" s="10" t="s">
        <v>2250</v>
      </c>
      <c r="E113" s="8" t="s">
        <v>2251</v>
      </c>
      <c r="F113" s="8" t="s">
        <v>2252</v>
      </c>
      <c r="G113" s="10" t="s">
        <v>3</v>
      </c>
      <c r="H113" s="8" t="s">
        <v>2253</v>
      </c>
      <c r="I113" s="10" t="s">
        <v>1537</v>
      </c>
      <c r="J113" s="8" t="s">
        <v>2200</v>
      </c>
      <c r="K113" s="8" t="s">
        <v>1435</v>
      </c>
      <c r="L113" s="8" t="s">
        <v>87</v>
      </c>
      <c r="M113" s="10" t="s">
        <v>1436</v>
      </c>
      <c r="N113" s="8" t="s">
        <v>87</v>
      </c>
      <c r="O113" s="10" t="s">
        <v>22</v>
      </c>
      <c r="P113" s="8" t="s">
        <v>2254</v>
      </c>
      <c r="Q113" s="10" t="s">
        <v>223</v>
      </c>
      <c r="R113" s="10" t="s">
        <v>1438</v>
      </c>
      <c r="S113" s="8" t="s">
        <v>2255</v>
      </c>
      <c r="T113" s="10" t="s">
        <v>2204</v>
      </c>
      <c r="U113" s="10" t="s">
        <v>87</v>
      </c>
      <c r="V113" s="10" t="s">
        <v>87</v>
      </c>
    </row>
    <row r="114" spans="1:22" s="10" customFormat="1" x14ac:dyDescent="0.25">
      <c r="A114" s="10" t="s">
        <v>2256</v>
      </c>
      <c r="B114" s="10" t="s">
        <v>1571</v>
      </c>
      <c r="C114" s="11" t="s">
        <v>346</v>
      </c>
      <c r="D114" s="10" t="s">
        <v>2257</v>
      </c>
      <c r="E114" s="8" t="s">
        <v>2258</v>
      </c>
      <c r="F114" s="8" t="s">
        <v>2259</v>
      </c>
      <c r="G114" s="10" t="s">
        <v>4</v>
      </c>
      <c r="H114" s="8" t="s">
        <v>2260</v>
      </c>
      <c r="I114" s="10" t="s">
        <v>1537</v>
      </c>
      <c r="J114" s="8" t="s">
        <v>2200</v>
      </c>
      <c r="K114" s="8" t="s">
        <v>2231</v>
      </c>
      <c r="L114" s="8" t="s">
        <v>87</v>
      </c>
      <c r="M114" s="10" t="s">
        <v>1456</v>
      </c>
      <c r="N114" s="8" t="s">
        <v>87</v>
      </c>
      <c r="O114" s="10" t="s">
        <v>22</v>
      </c>
      <c r="P114" s="8" t="s">
        <v>2261</v>
      </c>
      <c r="Q114" s="10" t="s">
        <v>223</v>
      </c>
      <c r="R114" s="10" t="s">
        <v>1438</v>
      </c>
      <c r="S114" s="8" t="s">
        <v>2262</v>
      </c>
      <c r="T114" s="10" t="s">
        <v>2204</v>
      </c>
      <c r="U114" s="10" t="s">
        <v>87</v>
      </c>
      <c r="V114" s="10" t="s">
        <v>87</v>
      </c>
    </row>
    <row r="115" spans="1:22" s="10" customFormat="1" x14ac:dyDescent="0.25">
      <c r="A115" s="10" t="s">
        <v>2263</v>
      </c>
      <c r="B115" s="10" t="s">
        <v>1571</v>
      </c>
      <c r="C115" s="10" t="s">
        <v>384</v>
      </c>
      <c r="D115" s="10" t="s">
        <v>2264</v>
      </c>
      <c r="E115" s="8" t="s">
        <v>2265</v>
      </c>
      <c r="F115" s="8" t="s">
        <v>2266</v>
      </c>
      <c r="G115" s="10" t="s">
        <v>4</v>
      </c>
      <c r="H115" s="8" t="s">
        <v>2267</v>
      </c>
      <c r="I115" s="10" t="s">
        <v>1537</v>
      </c>
      <c r="J115" s="8" t="s">
        <v>2200</v>
      </c>
      <c r="K115" s="8" t="s">
        <v>2268</v>
      </c>
      <c r="L115" s="8" t="s">
        <v>87</v>
      </c>
      <c r="M115" s="10" t="s">
        <v>1456</v>
      </c>
      <c r="N115" s="8" t="s">
        <v>87</v>
      </c>
      <c r="O115" s="10" t="s">
        <v>22</v>
      </c>
      <c r="P115" s="8" t="s">
        <v>2269</v>
      </c>
      <c r="Q115" s="10" t="s">
        <v>223</v>
      </c>
      <c r="R115" s="10" t="s">
        <v>1438</v>
      </c>
      <c r="S115" s="8" t="s">
        <v>2270</v>
      </c>
      <c r="T115" s="10" t="s">
        <v>2204</v>
      </c>
      <c r="U115" s="10" t="s">
        <v>87</v>
      </c>
      <c r="V115" s="10" t="s">
        <v>87</v>
      </c>
    </row>
    <row r="116" spans="1:22" s="10" customFormat="1" x14ac:dyDescent="0.25">
      <c r="A116" s="10" t="s">
        <v>2271</v>
      </c>
      <c r="B116" s="10" t="s">
        <v>1571</v>
      </c>
      <c r="C116" s="10" t="s">
        <v>215</v>
      </c>
      <c r="D116" s="10" t="s">
        <v>2272</v>
      </c>
      <c r="E116" s="8" t="s">
        <v>2273</v>
      </c>
      <c r="F116" s="8" t="s">
        <v>2274</v>
      </c>
      <c r="G116" s="10" t="s">
        <v>4</v>
      </c>
      <c r="H116" s="8" t="s">
        <v>2267</v>
      </c>
      <c r="I116" s="10" t="s">
        <v>2275</v>
      </c>
      <c r="J116" s="8" t="s">
        <v>2200</v>
      </c>
      <c r="K116" s="8" t="s">
        <v>2231</v>
      </c>
      <c r="L116" s="8" t="s">
        <v>87</v>
      </c>
      <c r="M116" s="10" t="s">
        <v>1456</v>
      </c>
      <c r="N116" s="8" t="s">
        <v>87</v>
      </c>
      <c r="O116" s="10" t="s">
        <v>22</v>
      </c>
      <c r="P116" s="8" t="s">
        <v>2276</v>
      </c>
      <c r="Q116" s="10" t="s">
        <v>1447</v>
      </c>
      <c r="R116" s="10" t="s">
        <v>1438</v>
      </c>
      <c r="S116" s="8" t="s">
        <v>2277</v>
      </c>
      <c r="T116" s="10" t="s">
        <v>2204</v>
      </c>
      <c r="U116" s="10" t="s">
        <v>87</v>
      </c>
      <c r="V116" s="10" t="s">
        <v>87</v>
      </c>
    </row>
    <row r="117" spans="1:22" s="10" customFormat="1" x14ac:dyDescent="0.25">
      <c r="A117" s="10" t="s">
        <v>2278</v>
      </c>
      <c r="B117" s="10" t="s">
        <v>1571</v>
      </c>
      <c r="C117" s="11" t="s">
        <v>346</v>
      </c>
      <c r="D117" s="10" t="s">
        <v>2279</v>
      </c>
      <c r="E117" s="8" t="s">
        <v>2280</v>
      </c>
      <c r="F117" s="8" t="s">
        <v>2281</v>
      </c>
      <c r="G117" s="10" t="s">
        <v>3</v>
      </c>
      <c r="H117" s="8" t="s">
        <v>1653</v>
      </c>
      <c r="I117" s="10" t="s">
        <v>2282</v>
      </c>
      <c r="J117" s="8" t="s">
        <v>1655</v>
      </c>
      <c r="K117" s="8" t="s">
        <v>1435</v>
      </c>
      <c r="L117" s="8" t="s">
        <v>87</v>
      </c>
      <c r="M117" s="10" t="s">
        <v>1436</v>
      </c>
      <c r="N117" s="8" t="s">
        <v>87</v>
      </c>
      <c r="O117" s="10" t="s">
        <v>22</v>
      </c>
      <c r="P117" s="8" t="s">
        <v>2283</v>
      </c>
      <c r="Q117" s="10" t="s">
        <v>1447</v>
      </c>
      <c r="R117" s="10" t="s">
        <v>1657</v>
      </c>
      <c r="S117" s="8" t="s">
        <v>2180</v>
      </c>
      <c r="T117" s="10" t="s">
        <v>2204</v>
      </c>
      <c r="U117" s="10" t="s">
        <v>87</v>
      </c>
      <c r="V117" s="10" t="s">
        <v>87</v>
      </c>
    </row>
    <row r="118" spans="1:22" s="10" customFormat="1" x14ac:dyDescent="0.25">
      <c r="A118" s="10" t="s">
        <v>2284</v>
      </c>
      <c r="B118" s="10" t="s">
        <v>1571</v>
      </c>
      <c r="C118" s="10" t="s">
        <v>215</v>
      </c>
      <c r="D118" s="10" t="s">
        <v>2285</v>
      </c>
      <c r="E118" s="8" t="s">
        <v>2286</v>
      </c>
      <c r="F118" s="8" t="s">
        <v>1662</v>
      </c>
      <c r="G118" s="10" t="s">
        <v>4</v>
      </c>
      <c r="H118" s="8" t="s">
        <v>2185</v>
      </c>
      <c r="I118" s="10" t="s">
        <v>1537</v>
      </c>
      <c r="J118" s="8" t="s">
        <v>1664</v>
      </c>
      <c r="K118" s="8" t="s">
        <v>2287</v>
      </c>
      <c r="L118" s="8" t="s">
        <v>87</v>
      </c>
      <c r="M118" s="10" t="s">
        <v>1456</v>
      </c>
      <c r="N118" s="8" t="s">
        <v>87</v>
      </c>
      <c r="O118" s="10" t="s">
        <v>22</v>
      </c>
      <c r="P118" s="8" t="s">
        <v>2288</v>
      </c>
      <c r="Q118" s="10" t="s">
        <v>825</v>
      </c>
      <c r="R118" s="10" t="s">
        <v>2188</v>
      </c>
      <c r="S118" s="8" t="s">
        <v>1669</v>
      </c>
      <c r="T118" s="10" t="s">
        <v>2204</v>
      </c>
      <c r="U118" s="10" t="s">
        <v>87</v>
      </c>
      <c r="V118" s="10" t="s">
        <v>87</v>
      </c>
    </row>
    <row r="119" spans="1:22" s="10" customFormat="1" x14ac:dyDescent="0.25">
      <c r="A119" s="10" t="s">
        <v>2289</v>
      </c>
      <c r="B119" s="10" t="s">
        <v>1571</v>
      </c>
      <c r="C119" s="10" t="s">
        <v>215</v>
      </c>
      <c r="D119" s="10" t="s">
        <v>2290</v>
      </c>
      <c r="E119" s="8" t="s">
        <v>2291</v>
      </c>
      <c r="F119" s="8" t="s">
        <v>2292</v>
      </c>
      <c r="G119" s="10" t="s">
        <v>4</v>
      </c>
      <c r="H119" s="8" t="s">
        <v>2267</v>
      </c>
      <c r="I119" s="10" t="s">
        <v>1537</v>
      </c>
      <c r="J119" s="8" t="s">
        <v>2200</v>
      </c>
      <c r="K119" s="8" t="s">
        <v>2231</v>
      </c>
      <c r="L119" s="8" t="s">
        <v>87</v>
      </c>
      <c r="M119" s="10" t="s">
        <v>1456</v>
      </c>
      <c r="N119" s="8" t="s">
        <v>87</v>
      </c>
      <c r="O119" s="10" t="s">
        <v>22</v>
      </c>
      <c r="P119" s="8" t="s">
        <v>2293</v>
      </c>
      <c r="Q119" s="10" t="s">
        <v>223</v>
      </c>
      <c r="R119" s="10" t="s">
        <v>1438</v>
      </c>
      <c r="S119" s="8" t="s">
        <v>1648</v>
      </c>
      <c r="T119" s="10" t="s">
        <v>2204</v>
      </c>
      <c r="U119" s="10" t="s">
        <v>87</v>
      </c>
      <c r="V119" s="10" t="s">
        <v>87</v>
      </c>
    </row>
    <row r="120" spans="1:22" s="10" customFormat="1" x14ac:dyDescent="0.25">
      <c r="A120" s="10" t="s">
        <v>2294</v>
      </c>
      <c r="B120" s="10" t="s">
        <v>1571</v>
      </c>
      <c r="C120" s="10" t="s">
        <v>384</v>
      </c>
      <c r="D120" s="10" t="s">
        <v>2295</v>
      </c>
      <c r="E120" s="8" t="s">
        <v>2296</v>
      </c>
      <c r="F120" s="8" t="s">
        <v>2297</v>
      </c>
      <c r="G120" s="10" t="s">
        <v>4</v>
      </c>
      <c r="H120" s="8" t="s">
        <v>2298</v>
      </c>
      <c r="I120" s="10" t="s">
        <v>2299</v>
      </c>
      <c r="J120" s="8" t="s">
        <v>2200</v>
      </c>
      <c r="K120" s="8" t="s">
        <v>2300</v>
      </c>
      <c r="L120" s="8" t="s">
        <v>87</v>
      </c>
      <c r="M120" s="10" t="s">
        <v>1456</v>
      </c>
      <c r="N120" s="8" t="s">
        <v>87</v>
      </c>
      <c r="O120" s="10" t="s">
        <v>22</v>
      </c>
      <c r="P120" s="8" t="s">
        <v>2301</v>
      </c>
      <c r="Q120" s="10" t="s">
        <v>223</v>
      </c>
      <c r="R120" s="10" t="s">
        <v>1438</v>
      </c>
      <c r="S120" s="8" t="s">
        <v>2302</v>
      </c>
      <c r="T120" s="10" t="s">
        <v>2204</v>
      </c>
      <c r="U120" s="10" t="s">
        <v>87</v>
      </c>
      <c r="V120" s="10" t="s">
        <v>87</v>
      </c>
    </row>
    <row r="121" spans="1:22" s="10" customFormat="1" x14ac:dyDescent="0.25">
      <c r="A121" s="10" t="s">
        <v>2303</v>
      </c>
      <c r="B121" s="10" t="s">
        <v>1571</v>
      </c>
      <c r="C121" s="10" t="s">
        <v>384</v>
      </c>
      <c r="D121" s="10" t="s">
        <v>2304</v>
      </c>
      <c r="E121" s="8" t="s">
        <v>2305</v>
      </c>
      <c r="F121" s="8" t="s">
        <v>2306</v>
      </c>
      <c r="G121" s="10" t="s">
        <v>4</v>
      </c>
      <c r="H121" s="8" t="s">
        <v>2307</v>
      </c>
      <c r="I121" s="10" t="s">
        <v>2308</v>
      </c>
      <c r="J121" s="8" t="s">
        <v>2200</v>
      </c>
      <c r="K121" s="8" t="s">
        <v>2309</v>
      </c>
      <c r="L121" s="8" t="s">
        <v>87</v>
      </c>
      <c r="M121" s="10" t="s">
        <v>1456</v>
      </c>
      <c r="N121" s="8" t="s">
        <v>87</v>
      </c>
      <c r="O121" s="10" t="s">
        <v>22</v>
      </c>
      <c r="P121" s="8" t="s">
        <v>2310</v>
      </c>
      <c r="Q121" s="10" t="s">
        <v>223</v>
      </c>
      <c r="R121" s="10" t="s">
        <v>1438</v>
      </c>
      <c r="S121" s="8" t="s">
        <v>2311</v>
      </c>
      <c r="T121" s="10" t="s">
        <v>2204</v>
      </c>
      <c r="U121" s="10" t="s">
        <v>87</v>
      </c>
      <c r="V121" s="10" t="s">
        <v>87</v>
      </c>
    </row>
    <row r="122" spans="1:22" s="10" customFormat="1" x14ac:dyDescent="0.25">
      <c r="A122" s="10" t="s">
        <v>2312</v>
      </c>
      <c r="B122" s="10" t="s">
        <v>1571</v>
      </c>
      <c r="C122" s="10" t="s">
        <v>215</v>
      </c>
      <c r="D122" s="10" t="s">
        <v>2313</v>
      </c>
      <c r="E122" s="8" t="s">
        <v>2314</v>
      </c>
      <c r="F122" s="8" t="s">
        <v>2315</v>
      </c>
      <c r="G122" s="10" t="s">
        <v>4</v>
      </c>
      <c r="H122" s="8" t="s">
        <v>2316</v>
      </c>
      <c r="I122" s="10" t="s">
        <v>2308</v>
      </c>
      <c r="J122" s="8" t="s">
        <v>2200</v>
      </c>
      <c r="K122" s="8" t="s">
        <v>2317</v>
      </c>
      <c r="L122" s="8" t="s">
        <v>87</v>
      </c>
      <c r="M122" s="10" t="s">
        <v>1456</v>
      </c>
      <c r="N122" s="8" t="s">
        <v>87</v>
      </c>
      <c r="O122" s="10" t="s">
        <v>22</v>
      </c>
      <c r="P122" s="8" t="s">
        <v>2318</v>
      </c>
      <c r="Q122" s="10" t="s">
        <v>246</v>
      </c>
      <c r="R122" s="10" t="s">
        <v>1438</v>
      </c>
      <c r="S122" s="8" t="s">
        <v>2319</v>
      </c>
      <c r="T122" s="10" t="s">
        <v>2204</v>
      </c>
      <c r="U122" s="10" t="s">
        <v>87</v>
      </c>
      <c r="V122" s="10" t="s">
        <v>87</v>
      </c>
    </row>
    <row r="123" spans="1:22" s="10" customFormat="1" x14ac:dyDescent="0.25">
      <c r="A123" s="10" t="s">
        <v>2320</v>
      </c>
      <c r="B123" s="10" t="s">
        <v>1571</v>
      </c>
      <c r="C123" s="10" t="s">
        <v>215</v>
      </c>
      <c r="D123" s="10" t="s">
        <v>2321</v>
      </c>
      <c r="E123" s="8" t="s">
        <v>2322</v>
      </c>
      <c r="F123" s="8" t="s">
        <v>2323</v>
      </c>
      <c r="G123" s="10" t="s">
        <v>4</v>
      </c>
      <c r="H123" s="8" t="s">
        <v>2298</v>
      </c>
      <c r="I123" s="10" t="s">
        <v>2324</v>
      </c>
      <c r="J123" s="8" t="s">
        <v>2200</v>
      </c>
      <c r="K123" s="8" t="s">
        <v>2317</v>
      </c>
      <c r="L123" s="8" t="s">
        <v>87</v>
      </c>
      <c r="M123" s="10" t="s">
        <v>1456</v>
      </c>
      <c r="N123" s="8" t="s">
        <v>87</v>
      </c>
      <c r="O123" s="10" t="s">
        <v>22</v>
      </c>
      <c r="P123" s="8" t="s">
        <v>2325</v>
      </c>
      <c r="Q123" s="10" t="s">
        <v>223</v>
      </c>
      <c r="R123" s="10" t="s">
        <v>1438</v>
      </c>
      <c r="S123" s="8" t="s">
        <v>2326</v>
      </c>
      <c r="T123" s="10" t="s">
        <v>2204</v>
      </c>
      <c r="U123" s="10" t="s">
        <v>87</v>
      </c>
      <c r="V123" s="10" t="s">
        <v>87</v>
      </c>
    </row>
    <row r="124" spans="1:22" s="10" customFormat="1" x14ac:dyDescent="0.25">
      <c r="A124" s="10" t="s">
        <v>2327</v>
      </c>
      <c r="B124" s="10" t="s">
        <v>1571</v>
      </c>
      <c r="C124" s="10" t="s">
        <v>215</v>
      </c>
      <c r="D124" s="10" t="s">
        <v>2328</v>
      </c>
      <c r="E124" s="8" t="s">
        <v>2329</v>
      </c>
      <c r="F124" s="8" t="s">
        <v>2330</v>
      </c>
      <c r="G124" s="10" t="s">
        <v>4</v>
      </c>
      <c r="H124" s="8" t="s">
        <v>2331</v>
      </c>
      <c r="I124" s="10" t="s">
        <v>2324</v>
      </c>
      <c r="J124" s="8" t="s">
        <v>2200</v>
      </c>
      <c r="K124" s="8" t="s">
        <v>2317</v>
      </c>
      <c r="L124" s="8" t="s">
        <v>87</v>
      </c>
      <c r="M124" s="10" t="s">
        <v>1456</v>
      </c>
      <c r="N124" s="8" t="s">
        <v>87</v>
      </c>
      <c r="O124" s="10" t="s">
        <v>22</v>
      </c>
      <c r="P124" s="8" t="s">
        <v>2332</v>
      </c>
      <c r="Q124" s="10" t="s">
        <v>239</v>
      </c>
      <c r="R124" s="10" t="s">
        <v>1438</v>
      </c>
      <c r="S124" s="8" t="s">
        <v>2333</v>
      </c>
      <c r="T124" s="10" t="s">
        <v>2204</v>
      </c>
      <c r="U124" s="10" t="s">
        <v>87</v>
      </c>
      <c r="V124" s="10" t="s">
        <v>87</v>
      </c>
    </row>
    <row r="125" spans="1:22" s="10" customFormat="1" x14ac:dyDescent="0.25">
      <c r="A125" s="10" t="s">
        <v>2334</v>
      </c>
      <c r="B125" s="10" t="s">
        <v>1571</v>
      </c>
      <c r="C125" s="10" t="s">
        <v>384</v>
      </c>
      <c r="D125" s="10" t="s">
        <v>2335</v>
      </c>
      <c r="E125" s="8" t="s">
        <v>2336</v>
      </c>
      <c r="F125" s="8" t="s">
        <v>2337</v>
      </c>
      <c r="G125" s="10" t="s">
        <v>4</v>
      </c>
      <c r="H125" s="8" t="s">
        <v>2298</v>
      </c>
      <c r="I125" s="10" t="s">
        <v>2324</v>
      </c>
      <c r="J125" s="8" t="s">
        <v>2200</v>
      </c>
      <c r="K125" s="8" t="s">
        <v>2317</v>
      </c>
      <c r="L125" s="8" t="s">
        <v>87</v>
      </c>
      <c r="M125" s="10" t="s">
        <v>1456</v>
      </c>
      <c r="N125" s="8" t="s">
        <v>87</v>
      </c>
      <c r="O125" s="10" t="s">
        <v>22</v>
      </c>
      <c r="P125" s="8" t="s">
        <v>2338</v>
      </c>
      <c r="Q125" s="10" t="s">
        <v>223</v>
      </c>
      <c r="R125" s="10" t="s">
        <v>1438</v>
      </c>
      <c r="S125" s="8" t="s">
        <v>2339</v>
      </c>
      <c r="T125" s="10" t="s">
        <v>2204</v>
      </c>
      <c r="U125" s="10" t="s">
        <v>87</v>
      </c>
      <c r="V125" s="10" t="s">
        <v>87</v>
      </c>
    </row>
    <row r="126" spans="1:22" s="10" customFormat="1" x14ac:dyDescent="0.25">
      <c r="A126" s="10" t="s">
        <v>2340</v>
      </c>
      <c r="B126" s="10" t="s">
        <v>1571</v>
      </c>
      <c r="C126" s="10" t="s">
        <v>384</v>
      </c>
      <c r="D126" s="10" t="s">
        <v>2341</v>
      </c>
      <c r="E126" s="8" t="s">
        <v>2342</v>
      </c>
      <c r="F126" s="8" t="s">
        <v>2343</v>
      </c>
      <c r="G126" s="10" t="s">
        <v>4</v>
      </c>
      <c r="H126" s="8" t="s">
        <v>2298</v>
      </c>
      <c r="I126" s="10" t="s">
        <v>2324</v>
      </c>
      <c r="J126" s="8" t="s">
        <v>2200</v>
      </c>
      <c r="K126" s="8" t="s">
        <v>2317</v>
      </c>
      <c r="L126" s="8" t="s">
        <v>87</v>
      </c>
      <c r="M126" s="10" t="s">
        <v>1456</v>
      </c>
      <c r="N126" s="8" t="s">
        <v>87</v>
      </c>
      <c r="O126" s="10" t="s">
        <v>22</v>
      </c>
      <c r="P126" s="8" t="s">
        <v>2344</v>
      </c>
      <c r="Q126" s="10" t="s">
        <v>223</v>
      </c>
      <c r="R126" s="10" t="s">
        <v>1438</v>
      </c>
      <c r="S126" s="8" t="s">
        <v>2345</v>
      </c>
      <c r="T126" s="10" t="s">
        <v>2204</v>
      </c>
      <c r="U126" s="10" t="s">
        <v>87</v>
      </c>
      <c r="V126" s="10" t="s">
        <v>87</v>
      </c>
    </row>
    <row r="127" spans="1:22" s="10" customFormat="1" x14ac:dyDescent="0.25">
      <c r="A127" s="10" t="s">
        <v>2346</v>
      </c>
      <c r="B127" s="10" t="s">
        <v>1571</v>
      </c>
      <c r="C127" s="10" t="s">
        <v>384</v>
      </c>
      <c r="D127" s="10" t="s">
        <v>2347</v>
      </c>
      <c r="E127" s="8" t="s">
        <v>2348</v>
      </c>
      <c r="F127" s="8" t="s">
        <v>2349</v>
      </c>
      <c r="G127" s="10" t="s">
        <v>4</v>
      </c>
      <c r="H127" s="8" t="s">
        <v>2298</v>
      </c>
      <c r="I127" s="10" t="s">
        <v>2324</v>
      </c>
      <c r="J127" s="8" t="s">
        <v>2200</v>
      </c>
      <c r="K127" s="8" t="s">
        <v>2317</v>
      </c>
      <c r="L127" s="8" t="s">
        <v>87</v>
      </c>
      <c r="M127" s="10" t="s">
        <v>1456</v>
      </c>
      <c r="N127" s="8" t="s">
        <v>87</v>
      </c>
      <c r="O127" s="10" t="s">
        <v>22</v>
      </c>
      <c r="P127" s="8" t="s">
        <v>2350</v>
      </c>
      <c r="Q127" s="10" t="s">
        <v>223</v>
      </c>
      <c r="R127" s="10" t="s">
        <v>1438</v>
      </c>
      <c r="S127" s="8" t="s">
        <v>2351</v>
      </c>
      <c r="T127" s="10" t="s">
        <v>2204</v>
      </c>
      <c r="U127" s="10" t="s">
        <v>87</v>
      </c>
      <c r="V127" s="10" t="s">
        <v>87</v>
      </c>
    </row>
    <row r="128" spans="1:22" s="10" customFormat="1" x14ac:dyDescent="0.25">
      <c r="A128" s="10" t="s">
        <v>2352</v>
      </c>
      <c r="B128" s="10" t="s">
        <v>1571</v>
      </c>
      <c r="C128" s="10" t="s">
        <v>215</v>
      </c>
      <c r="D128" s="10" t="s">
        <v>2353</v>
      </c>
      <c r="E128" s="8" t="s">
        <v>2354</v>
      </c>
      <c r="F128" s="8" t="s">
        <v>2355</v>
      </c>
      <c r="G128" s="10" t="s">
        <v>4</v>
      </c>
      <c r="H128" s="8" t="s">
        <v>2298</v>
      </c>
      <c r="I128" s="10" t="s">
        <v>2299</v>
      </c>
      <c r="J128" s="8" t="s">
        <v>2200</v>
      </c>
      <c r="K128" s="8" t="s">
        <v>2317</v>
      </c>
      <c r="L128" s="8" t="s">
        <v>87</v>
      </c>
      <c r="M128" s="10" t="s">
        <v>1456</v>
      </c>
      <c r="N128" s="8" t="s">
        <v>87</v>
      </c>
      <c r="O128" s="10" t="s">
        <v>22</v>
      </c>
      <c r="P128" s="8" t="s">
        <v>2356</v>
      </c>
      <c r="Q128" s="10" t="s">
        <v>223</v>
      </c>
      <c r="R128" s="10" t="s">
        <v>1438</v>
      </c>
      <c r="S128" s="8" t="s">
        <v>2357</v>
      </c>
      <c r="T128" s="10" t="s">
        <v>2204</v>
      </c>
      <c r="U128" s="10" t="s">
        <v>87</v>
      </c>
      <c r="V128" s="10" t="s">
        <v>87</v>
      </c>
    </row>
    <row r="129" spans="1:22" s="10" customFormat="1" x14ac:dyDescent="0.25">
      <c r="A129" s="10" t="s">
        <v>2358</v>
      </c>
      <c r="B129" s="10" t="s">
        <v>1571</v>
      </c>
      <c r="C129" s="11" t="s">
        <v>346</v>
      </c>
      <c r="D129" s="10" t="s">
        <v>2359</v>
      </c>
      <c r="E129" s="8" t="s">
        <v>2360</v>
      </c>
      <c r="F129" s="8" t="s">
        <v>2361</v>
      </c>
      <c r="G129" s="10" t="s">
        <v>3</v>
      </c>
      <c r="H129" s="8" t="s">
        <v>1653</v>
      </c>
      <c r="I129" s="10" t="s">
        <v>2362</v>
      </c>
      <c r="J129" s="8" t="s">
        <v>1655</v>
      </c>
      <c r="K129" s="8" t="s">
        <v>1435</v>
      </c>
      <c r="L129" s="8" t="s">
        <v>87</v>
      </c>
      <c r="M129" s="10" t="s">
        <v>1436</v>
      </c>
      <c r="N129" s="8" t="s">
        <v>87</v>
      </c>
      <c r="O129" s="10" t="s">
        <v>22</v>
      </c>
      <c r="P129" s="8" t="s">
        <v>2363</v>
      </c>
      <c r="Q129" s="10" t="s">
        <v>1447</v>
      </c>
      <c r="R129" s="10" t="s">
        <v>1657</v>
      </c>
      <c r="S129" s="8" t="s">
        <v>2180</v>
      </c>
      <c r="T129" s="10" t="s">
        <v>2204</v>
      </c>
      <c r="U129" s="10" t="s">
        <v>87</v>
      </c>
      <c r="V129" s="10" t="s">
        <v>87</v>
      </c>
    </row>
    <row r="130" spans="1:22" s="10" customFormat="1" x14ac:dyDescent="0.25">
      <c r="A130" s="10" t="s">
        <v>2364</v>
      </c>
      <c r="B130" s="10" t="s">
        <v>1571</v>
      </c>
      <c r="C130" s="10" t="s">
        <v>215</v>
      </c>
      <c r="D130" s="10" t="s">
        <v>2365</v>
      </c>
      <c r="E130" s="8" t="s">
        <v>2366</v>
      </c>
      <c r="F130" s="8" t="s">
        <v>1662</v>
      </c>
      <c r="G130" s="10" t="s">
        <v>3</v>
      </c>
      <c r="H130" s="8" t="s">
        <v>2185</v>
      </c>
      <c r="I130" s="10" t="s">
        <v>2324</v>
      </c>
      <c r="J130" s="8" t="s">
        <v>1664</v>
      </c>
      <c r="K130" s="8" t="s">
        <v>1435</v>
      </c>
      <c r="L130" s="8" t="s">
        <v>2367</v>
      </c>
      <c r="M130" s="10" t="s">
        <v>1436</v>
      </c>
      <c r="N130" s="8" t="s">
        <v>87</v>
      </c>
      <c r="O130" s="10" t="s">
        <v>22</v>
      </c>
      <c r="P130" s="8" t="s">
        <v>2368</v>
      </c>
      <c r="Q130" s="10" t="s">
        <v>825</v>
      </c>
      <c r="R130" s="10" t="s">
        <v>2188</v>
      </c>
      <c r="S130" s="8" t="s">
        <v>1669</v>
      </c>
      <c r="T130" s="10" t="s">
        <v>2204</v>
      </c>
      <c r="U130" s="10" t="s">
        <v>87</v>
      </c>
      <c r="V130" s="10" t="s">
        <v>87</v>
      </c>
    </row>
    <row r="131" spans="1:22" s="10" customFormat="1" x14ac:dyDescent="0.25">
      <c r="A131" s="10" t="s">
        <v>2369</v>
      </c>
      <c r="B131" s="10" t="s">
        <v>1571</v>
      </c>
      <c r="C131" s="10" t="s">
        <v>215</v>
      </c>
      <c r="D131" s="10" t="s">
        <v>2370</v>
      </c>
      <c r="E131" s="8" t="s">
        <v>2371</v>
      </c>
      <c r="F131" s="8" t="s">
        <v>2372</v>
      </c>
      <c r="G131" s="10" t="s">
        <v>4</v>
      </c>
      <c r="H131" s="8" t="s">
        <v>2298</v>
      </c>
      <c r="I131" s="10" t="s">
        <v>2324</v>
      </c>
      <c r="J131" s="8" t="s">
        <v>2200</v>
      </c>
      <c r="K131" s="8" t="s">
        <v>2317</v>
      </c>
      <c r="L131" s="8" t="s">
        <v>87</v>
      </c>
      <c r="M131" s="10" t="s">
        <v>1456</v>
      </c>
      <c r="N131" s="8" t="s">
        <v>87</v>
      </c>
      <c r="O131" s="10" t="s">
        <v>22</v>
      </c>
      <c r="P131" s="8" t="s">
        <v>2373</v>
      </c>
      <c r="Q131" s="10" t="s">
        <v>223</v>
      </c>
      <c r="R131" s="10" t="s">
        <v>1438</v>
      </c>
      <c r="S131" s="8" t="s">
        <v>1648</v>
      </c>
      <c r="T131" s="10" t="s">
        <v>2204</v>
      </c>
      <c r="U131" s="10" t="s">
        <v>87</v>
      </c>
      <c r="V131" s="10" t="s">
        <v>87</v>
      </c>
    </row>
    <row r="132" spans="1:22" s="10" customFormat="1" x14ac:dyDescent="0.25">
      <c r="A132" s="10" t="s">
        <v>2374</v>
      </c>
      <c r="B132" s="10" t="s">
        <v>1571</v>
      </c>
      <c r="C132" s="10" t="s">
        <v>384</v>
      </c>
      <c r="D132" s="10" t="s">
        <v>2375</v>
      </c>
      <c r="E132" s="8" t="s">
        <v>2376</v>
      </c>
      <c r="F132" s="8" t="s">
        <v>2377</v>
      </c>
      <c r="G132" s="10" t="s">
        <v>4</v>
      </c>
      <c r="H132" s="8" t="s">
        <v>2378</v>
      </c>
      <c r="I132" s="10" t="s">
        <v>1013</v>
      </c>
      <c r="J132" s="8" t="s">
        <v>2200</v>
      </c>
      <c r="K132" s="8" t="s">
        <v>2379</v>
      </c>
      <c r="L132" s="8" t="s">
        <v>87</v>
      </c>
      <c r="M132" s="10" t="s">
        <v>1456</v>
      </c>
      <c r="N132" s="8" t="s">
        <v>87</v>
      </c>
      <c r="O132" s="10" t="s">
        <v>22</v>
      </c>
      <c r="P132" s="8" t="s">
        <v>2380</v>
      </c>
      <c r="Q132" s="10" t="s">
        <v>223</v>
      </c>
      <c r="R132" s="10" t="s">
        <v>1438</v>
      </c>
      <c r="S132" s="8" t="s">
        <v>2381</v>
      </c>
      <c r="T132" s="10" t="s">
        <v>2204</v>
      </c>
      <c r="U132" s="10" t="s">
        <v>87</v>
      </c>
      <c r="V132" s="10" t="s">
        <v>87</v>
      </c>
    </row>
    <row r="133" spans="1:22" s="10" customFormat="1" x14ac:dyDescent="0.25">
      <c r="A133" s="10" t="s">
        <v>2382</v>
      </c>
      <c r="B133" s="10" t="s">
        <v>1571</v>
      </c>
      <c r="C133" s="10" t="s">
        <v>215</v>
      </c>
      <c r="D133" s="10" t="s">
        <v>2383</v>
      </c>
      <c r="E133" s="8" t="s">
        <v>2384</v>
      </c>
      <c r="F133" s="8" t="s">
        <v>2385</v>
      </c>
      <c r="G133" s="10" t="s">
        <v>4</v>
      </c>
      <c r="H133" s="8" t="s">
        <v>2386</v>
      </c>
      <c r="I133" s="10" t="s">
        <v>1013</v>
      </c>
      <c r="J133" s="8" t="s">
        <v>2200</v>
      </c>
      <c r="K133" s="8" t="s">
        <v>2387</v>
      </c>
      <c r="L133" s="8" t="s">
        <v>87</v>
      </c>
      <c r="M133" s="10" t="s">
        <v>1456</v>
      </c>
      <c r="N133" s="8" t="s">
        <v>87</v>
      </c>
      <c r="O133" s="10" t="s">
        <v>22</v>
      </c>
      <c r="P133" s="8" t="s">
        <v>2388</v>
      </c>
      <c r="Q133" s="10" t="s">
        <v>223</v>
      </c>
      <c r="R133" s="10" t="s">
        <v>1438</v>
      </c>
      <c r="S133" s="8" t="s">
        <v>2389</v>
      </c>
      <c r="T133" s="10" t="s">
        <v>2204</v>
      </c>
      <c r="U133" s="10" t="s">
        <v>87</v>
      </c>
      <c r="V133" s="10" t="s">
        <v>87</v>
      </c>
    </row>
    <row r="134" spans="1:22" s="10" customFormat="1" x14ac:dyDescent="0.25">
      <c r="A134" s="10" t="s">
        <v>2390</v>
      </c>
      <c r="B134" s="10" t="s">
        <v>1571</v>
      </c>
      <c r="C134" s="10" t="s">
        <v>384</v>
      </c>
      <c r="D134" s="10" t="s">
        <v>2391</v>
      </c>
      <c r="E134" s="8" t="s">
        <v>2392</v>
      </c>
      <c r="F134" s="8" t="s">
        <v>2393</v>
      </c>
      <c r="G134" s="10" t="s">
        <v>4</v>
      </c>
      <c r="H134" s="8" t="s">
        <v>2394</v>
      </c>
      <c r="I134" s="10" t="s">
        <v>1013</v>
      </c>
      <c r="J134" s="8" t="s">
        <v>2200</v>
      </c>
      <c r="K134" s="8" t="s">
        <v>2395</v>
      </c>
      <c r="L134" s="8" t="s">
        <v>87</v>
      </c>
      <c r="M134" s="10" t="s">
        <v>1456</v>
      </c>
      <c r="N134" s="8" t="s">
        <v>87</v>
      </c>
      <c r="O134" s="10" t="s">
        <v>22</v>
      </c>
      <c r="P134" s="8" t="s">
        <v>2396</v>
      </c>
      <c r="Q134" s="10" t="s">
        <v>239</v>
      </c>
      <c r="R134" s="10" t="s">
        <v>1438</v>
      </c>
      <c r="S134" s="8" t="s">
        <v>2397</v>
      </c>
      <c r="T134" s="10" t="s">
        <v>2204</v>
      </c>
      <c r="U134" s="10" t="s">
        <v>87</v>
      </c>
      <c r="V134" s="10" t="s">
        <v>87</v>
      </c>
    </row>
    <row r="135" spans="1:22" s="10" customFormat="1" x14ac:dyDescent="0.25">
      <c r="A135" s="10" t="s">
        <v>2398</v>
      </c>
      <c r="B135" s="10" t="s">
        <v>1571</v>
      </c>
      <c r="C135" s="10" t="s">
        <v>384</v>
      </c>
      <c r="D135" s="10" t="s">
        <v>2399</v>
      </c>
      <c r="E135" s="8" t="s">
        <v>2400</v>
      </c>
      <c r="F135" s="8" t="s">
        <v>2401</v>
      </c>
      <c r="G135" s="10" t="s">
        <v>4</v>
      </c>
      <c r="H135" s="8" t="s">
        <v>2402</v>
      </c>
      <c r="I135" s="10" t="s">
        <v>1013</v>
      </c>
      <c r="J135" s="8" t="s">
        <v>2200</v>
      </c>
      <c r="K135" s="8" t="s">
        <v>2387</v>
      </c>
      <c r="L135" s="8" t="s">
        <v>87</v>
      </c>
      <c r="M135" s="10" t="s">
        <v>1456</v>
      </c>
      <c r="N135" s="8" t="s">
        <v>87</v>
      </c>
      <c r="O135" s="10" t="s">
        <v>22</v>
      </c>
      <c r="P135" s="8" t="s">
        <v>2403</v>
      </c>
      <c r="Q135" s="10" t="s">
        <v>239</v>
      </c>
      <c r="R135" s="10" t="s">
        <v>1438</v>
      </c>
      <c r="S135" s="8" t="s">
        <v>2404</v>
      </c>
      <c r="T135" s="10" t="s">
        <v>2204</v>
      </c>
      <c r="U135" s="10" t="s">
        <v>87</v>
      </c>
      <c r="V135" s="10" t="s">
        <v>87</v>
      </c>
    </row>
    <row r="136" spans="1:22" s="10" customFormat="1" x14ac:dyDescent="0.25">
      <c r="A136" s="10" t="s">
        <v>2405</v>
      </c>
      <c r="B136" s="10" t="s">
        <v>1571</v>
      </c>
      <c r="C136" s="10" t="s">
        <v>384</v>
      </c>
      <c r="D136" s="10" t="s">
        <v>2406</v>
      </c>
      <c r="E136" s="8" t="s">
        <v>2407</v>
      </c>
      <c r="F136" s="8" t="s">
        <v>2408</v>
      </c>
      <c r="G136" s="10" t="s">
        <v>4</v>
      </c>
      <c r="H136" s="8" t="s">
        <v>2409</v>
      </c>
      <c r="I136" s="10" t="s">
        <v>1013</v>
      </c>
      <c r="J136" s="8" t="s">
        <v>2200</v>
      </c>
      <c r="K136" s="8" t="s">
        <v>2387</v>
      </c>
      <c r="L136" s="8" t="s">
        <v>87</v>
      </c>
      <c r="M136" s="10" t="s">
        <v>1456</v>
      </c>
      <c r="N136" s="8" t="s">
        <v>87</v>
      </c>
      <c r="O136" s="10" t="s">
        <v>22</v>
      </c>
      <c r="P136" s="8" t="s">
        <v>2410</v>
      </c>
      <c r="Q136" s="10" t="s">
        <v>223</v>
      </c>
      <c r="R136" s="10" t="s">
        <v>1438</v>
      </c>
      <c r="S136" s="8" t="s">
        <v>2411</v>
      </c>
      <c r="T136" s="10" t="s">
        <v>2204</v>
      </c>
      <c r="U136" s="10" t="s">
        <v>87</v>
      </c>
      <c r="V136" s="10" t="s">
        <v>87</v>
      </c>
    </row>
    <row r="137" spans="1:22" s="10" customFormat="1" x14ac:dyDescent="0.25">
      <c r="A137" s="10" t="s">
        <v>2412</v>
      </c>
      <c r="B137" s="10" t="s">
        <v>1571</v>
      </c>
      <c r="C137" s="10" t="s">
        <v>384</v>
      </c>
      <c r="D137" s="10" t="s">
        <v>2413</v>
      </c>
      <c r="E137" s="8" t="s">
        <v>2414</v>
      </c>
      <c r="F137" s="8" t="s">
        <v>2415</v>
      </c>
      <c r="G137" s="10" t="s">
        <v>4</v>
      </c>
      <c r="H137" s="8" t="s">
        <v>2416</v>
      </c>
      <c r="I137" s="10" t="s">
        <v>1013</v>
      </c>
      <c r="J137" s="8" t="s">
        <v>2200</v>
      </c>
      <c r="K137" s="8" t="s">
        <v>2387</v>
      </c>
      <c r="L137" s="8" t="s">
        <v>87</v>
      </c>
      <c r="M137" s="10" t="s">
        <v>1456</v>
      </c>
      <c r="N137" s="8" t="s">
        <v>87</v>
      </c>
      <c r="O137" s="10" t="s">
        <v>22</v>
      </c>
      <c r="P137" s="8" t="s">
        <v>2417</v>
      </c>
      <c r="Q137" s="10" t="s">
        <v>223</v>
      </c>
      <c r="R137" s="10" t="s">
        <v>1438</v>
      </c>
      <c r="S137" s="8" t="s">
        <v>2418</v>
      </c>
      <c r="T137" s="10" t="s">
        <v>2204</v>
      </c>
      <c r="U137" s="10" t="s">
        <v>87</v>
      </c>
      <c r="V137" s="10" t="s">
        <v>87</v>
      </c>
    </row>
    <row r="138" spans="1:22" s="10" customFormat="1" x14ac:dyDescent="0.25">
      <c r="A138" s="10" t="s">
        <v>2419</v>
      </c>
      <c r="B138" s="10" t="s">
        <v>1571</v>
      </c>
      <c r="C138" s="10" t="s">
        <v>384</v>
      </c>
      <c r="D138" s="10" t="s">
        <v>2420</v>
      </c>
      <c r="E138" s="8" t="s">
        <v>2421</v>
      </c>
      <c r="F138" s="8" t="s">
        <v>2422</v>
      </c>
      <c r="G138" s="10" t="s">
        <v>4</v>
      </c>
      <c r="H138" s="8" t="s">
        <v>2423</v>
      </c>
      <c r="I138" s="10" t="s">
        <v>1013</v>
      </c>
      <c r="J138" s="8" t="s">
        <v>2200</v>
      </c>
      <c r="K138" s="8" t="s">
        <v>2387</v>
      </c>
      <c r="L138" s="8" t="s">
        <v>87</v>
      </c>
      <c r="M138" s="10" t="s">
        <v>1456</v>
      </c>
      <c r="N138" s="8" t="s">
        <v>87</v>
      </c>
      <c r="O138" s="10" t="s">
        <v>22</v>
      </c>
      <c r="P138" s="8" t="s">
        <v>2424</v>
      </c>
      <c r="Q138" s="10" t="s">
        <v>223</v>
      </c>
      <c r="R138" s="10" t="s">
        <v>1438</v>
      </c>
      <c r="S138" s="8" t="s">
        <v>2425</v>
      </c>
      <c r="T138" s="10" t="s">
        <v>2204</v>
      </c>
      <c r="U138" s="10" t="s">
        <v>87</v>
      </c>
      <c r="V138" s="10" t="s">
        <v>87</v>
      </c>
    </row>
    <row r="139" spans="1:22" s="10" customFormat="1" x14ac:dyDescent="0.25">
      <c r="A139" s="10" t="s">
        <v>2426</v>
      </c>
      <c r="B139" s="10" t="s">
        <v>1571</v>
      </c>
      <c r="C139" s="10" t="s">
        <v>384</v>
      </c>
      <c r="D139" s="10" t="s">
        <v>2427</v>
      </c>
      <c r="E139" s="8" t="s">
        <v>2428</v>
      </c>
      <c r="F139" s="8" t="s">
        <v>2429</v>
      </c>
      <c r="G139" s="10" t="s">
        <v>4</v>
      </c>
      <c r="H139" s="8" t="s">
        <v>2430</v>
      </c>
      <c r="I139" s="10" t="s">
        <v>1013</v>
      </c>
      <c r="J139" s="8" t="s">
        <v>2200</v>
      </c>
      <c r="K139" s="8" t="s">
        <v>2387</v>
      </c>
      <c r="L139" s="8" t="s">
        <v>87</v>
      </c>
      <c r="M139" s="10" t="s">
        <v>1456</v>
      </c>
      <c r="N139" s="8" t="s">
        <v>87</v>
      </c>
      <c r="O139" s="10" t="s">
        <v>22</v>
      </c>
      <c r="P139" s="8" t="s">
        <v>2431</v>
      </c>
      <c r="Q139" s="10" t="s">
        <v>223</v>
      </c>
      <c r="R139" s="10" t="s">
        <v>1438</v>
      </c>
      <c r="S139" s="8" t="s">
        <v>2432</v>
      </c>
      <c r="T139" s="10" t="s">
        <v>2204</v>
      </c>
      <c r="U139" s="10" t="s">
        <v>87</v>
      </c>
      <c r="V139" s="10" t="s">
        <v>87</v>
      </c>
    </row>
    <row r="140" spans="1:22" s="10" customFormat="1" x14ac:dyDescent="0.25">
      <c r="A140" s="10" t="s">
        <v>2433</v>
      </c>
      <c r="B140" s="10" t="s">
        <v>1571</v>
      </c>
      <c r="C140" s="10" t="s">
        <v>384</v>
      </c>
      <c r="D140" s="10" t="s">
        <v>2434</v>
      </c>
      <c r="E140" s="8" t="s">
        <v>2435</v>
      </c>
      <c r="F140" s="8" t="s">
        <v>2436</v>
      </c>
      <c r="G140" s="10" t="s">
        <v>4</v>
      </c>
      <c r="H140" s="8" t="s">
        <v>2378</v>
      </c>
      <c r="I140" s="10" t="s">
        <v>1013</v>
      </c>
      <c r="J140" s="8" t="s">
        <v>2200</v>
      </c>
      <c r="K140" s="8" t="s">
        <v>2387</v>
      </c>
      <c r="L140" s="8" t="s">
        <v>87</v>
      </c>
      <c r="M140" s="10" t="s">
        <v>1456</v>
      </c>
      <c r="N140" s="8" t="s">
        <v>87</v>
      </c>
      <c r="O140" s="10" t="s">
        <v>22</v>
      </c>
      <c r="P140" s="8" t="s">
        <v>2437</v>
      </c>
      <c r="Q140" s="10" t="s">
        <v>223</v>
      </c>
      <c r="R140" s="10" t="s">
        <v>1438</v>
      </c>
      <c r="S140" s="8" t="s">
        <v>2438</v>
      </c>
      <c r="T140" s="10" t="s">
        <v>2204</v>
      </c>
      <c r="U140" s="10" t="s">
        <v>87</v>
      </c>
      <c r="V140" s="10" t="s">
        <v>87</v>
      </c>
    </row>
    <row r="141" spans="1:22" s="10" customFormat="1" x14ac:dyDescent="0.25">
      <c r="A141" s="10" t="s">
        <v>2439</v>
      </c>
      <c r="B141" s="10" t="s">
        <v>1571</v>
      </c>
      <c r="C141" s="10" t="s">
        <v>384</v>
      </c>
      <c r="D141" s="10" t="s">
        <v>2440</v>
      </c>
      <c r="E141" s="8" t="s">
        <v>2441</v>
      </c>
      <c r="F141" s="8" t="s">
        <v>2442</v>
      </c>
      <c r="G141" s="10" t="s">
        <v>4</v>
      </c>
      <c r="H141" s="8" t="s">
        <v>2443</v>
      </c>
      <c r="I141" s="10" t="s">
        <v>1013</v>
      </c>
      <c r="J141" s="8" t="s">
        <v>2200</v>
      </c>
      <c r="K141" s="8" t="s">
        <v>2387</v>
      </c>
      <c r="L141" s="8" t="s">
        <v>87</v>
      </c>
      <c r="M141" s="10" t="s">
        <v>1456</v>
      </c>
      <c r="N141" s="8" t="s">
        <v>87</v>
      </c>
      <c r="O141" s="10" t="s">
        <v>22</v>
      </c>
      <c r="P141" s="8" t="s">
        <v>2444</v>
      </c>
      <c r="Q141" s="10" t="s">
        <v>223</v>
      </c>
      <c r="R141" s="10" t="s">
        <v>1438</v>
      </c>
      <c r="S141" s="8" t="s">
        <v>2445</v>
      </c>
      <c r="T141" s="10" t="s">
        <v>2204</v>
      </c>
      <c r="U141" s="10" t="s">
        <v>87</v>
      </c>
      <c r="V141" s="10" t="s">
        <v>87</v>
      </c>
    </row>
    <row r="142" spans="1:22" s="10" customFormat="1" x14ac:dyDescent="0.25">
      <c r="A142" s="10" t="s">
        <v>2446</v>
      </c>
      <c r="B142" s="10" t="s">
        <v>1571</v>
      </c>
      <c r="C142" s="10" t="s">
        <v>215</v>
      </c>
      <c r="D142" s="10" t="s">
        <v>2447</v>
      </c>
      <c r="E142" s="8" t="s">
        <v>2448</v>
      </c>
      <c r="F142" s="8" t="s">
        <v>2449</v>
      </c>
      <c r="G142" s="10" t="s">
        <v>4</v>
      </c>
      <c r="H142" s="8" t="s">
        <v>2378</v>
      </c>
      <c r="I142" s="10" t="s">
        <v>1013</v>
      </c>
      <c r="J142" s="8" t="s">
        <v>2200</v>
      </c>
      <c r="K142" s="8" t="s">
        <v>2387</v>
      </c>
      <c r="L142" s="8" t="s">
        <v>87</v>
      </c>
      <c r="M142" s="10" t="s">
        <v>1456</v>
      </c>
      <c r="N142" s="8" t="s">
        <v>87</v>
      </c>
      <c r="O142" s="10" t="s">
        <v>22</v>
      </c>
      <c r="P142" s="8" t="s">
        <v>2450</v>
      </c>
      <c r="Q142" s="10" t="s">
        <v>223</v>
      </c>
      <c r="R142" s="10" t="s">
        <v>1438</v>
      </c>
      <c r="S142" s="8" t="s">
        <v>2389</v>
      </c>
      <c r="T142" s="10" t="s">
        <v>2204</v>
      </c>
      <c r="U142" s="10" t="s">
        <v>87</v>
      </c>
      <c r="V142" s="10" t="s">
        <v>87</v>
      </c>
    </row>
    <row r="143" spans="1:22" s="10" customFormat="1" x14ac:dyDescent="0.25">
      <c r="A143" s="10" t="s">
        <v>2451</v>
      </c>
      <c r="B143" s="10" t="s">
        <v>1571</v>
      </c>
      <c r="C143" s="11" t="s">
        <v>346</v>
      </c>
      <c r="D143" s="10" t="s">
        <v>2452</v>
      </c>
      <c r="E143" s="8" t="s">
        <v>2453</v>
      </c>
      <c r="F143" s="8" t="s">
        <v>2454</v>
      </c>
      <c r="G143" s="10" t="s">
        <v>3</v>
      </c>
      <c r="H143" s="8" t="s">
        <v>1653</v>
      </c>
      <c r="I143" s="10" t="s">
        <v>2455</v>
      </c>
      <c r="J143" s="8" t="s">
        <v>1655</v>
      </c>
      <c r="K143" s="8" t="s">
        <v>1435</v>
      </c>
      <c r="L143" s="8" t="s">
        <v>87</v>
      </c>
      <c r="M143" s="10" t="s">
        <v>1436</v>
      </c>
      <c r="N143" s="8" t="s">
        <v>87</v>
      </c>
      <c r="O143" s="10" t="s">
        <v>22</v>
      </c>
      <c r="P143" s="8" t="s">
        <v>2456</v>
      </c>
      <c r="Q143" s="10" t="s">
        <v>1447</v>
      </c>
      <c r="R143" s="10" t="s">
        <v>1657</v>
      </c>
      <c r="S143" s="8" t="s">
        <v>2457</v>
      </c>
      <c r="T143" s="10" t="s">
        <v>2204</v>
      </c>
      <c r="U143" s="10" t="s">
        <v>87</v>
      </c>
      <c r="V143" s="10" t="s">
        <v>87</v>
      </c>
    </row>
    <row r="144" spans="1:22" s="10" customFormat="1" x14ac:dyDescent="0.25">
      <c r="A144" s="10" t="s">
        <v>2458</v>
      </c>
      <c r="B144" s="10" t="s">
        <v>1571</v>
      </c>
      <c r="C144" s="10" t="s">
        <v>384</v>
      </c>
      <c r="D144" s="10" t="s">
        <v>2459</v>
      </c>
      <c r="E144" s="8" t="s">
        <v>2460</v>
      </c>
      <c r="F144" s="8" t="s">
        <v>2461</v>
      </c>
      <c r="G144" s="10" t="s">
        <v>3</v>
      </c>
      <c r="H144" s="8" t="s">
        <v>2462</v>
      </c>
      <c r="I144" s="10" t="s">
        <v>1013</v>
      </c>
      <c r="J144" s="8" t="s">
        <v>1664</v>
      </c>
      <c r="K144" s="8" t="s">
        <v>1435</v>
      </c>
      <c r="L144" s="8" t="s">
        <v>87</v>
      </c>
      <c r="M144" s="10" t="s">
        <v>1436</v>
      </c>
      <c r="N144" s="8" t="s">
        <v>87</v>
      </c>
      <c r="O144" s="10" t="s">
        <v>22</v>
      </c>
      <c r="P144" s="8" t="s">
        <v>2463</v>
      </c>
      <c r="Q144" s="10" t="s">
        <v>825</v>
      </c>
      <c r="R144" s="10" t="s">
        <v>1438</v>
      </c>
      <c r="S144" s="8" t="s">
        <v>1669</v>
      </c>
      <c r="T144" s="10" t="s">
        <v>2204</v>
      </c>
      <c r="U144" s="10" t="s">
        <v>87</v>
      </c>
      <c r="V144" s="10" t="s">
        <v>87</v>
      </c>
    </row>
    <row r="145" spans="1:22" s="10" customFormat="1" x14ac:dyDescent="0.25">
      <c r="A145" s="10" t="s">
        <v>2464</v>
      </c>
      <c r="B145" s="10" t="s">
        <v>1571</v>
      </c>
      <c r="C145" s="10" t="s">
        <v>215</v>
      </c>
      <c r="D145" s="10" t="s">
        <v>2465</v>
      </c>
      <c r="E145" s="8" t="s">
        <v>2466</v>
      </c>
      <c r="F145" s="8" t="s">
        <v>2467</v>
      </c>
      <c r="G145" s="10" t="s">
        <v>4</v>
      </c>
      <c r="H145" s="8" t="s">
        <v>2378</v>
      </c>
      <c r="I145" s="10" t="s">
        <v>1013</v>
      </c>
      <c r="J145" s="8" t="s">
        <v>2200</v>
      </c>
      <c r="K145" s="8" t="s">
        <v>2387</v>
      </c>
      <c r="L145" s="8" t="s">
        <v>87</v>
      </c>
      <c r="M145" s="10" t="s">
        <v>1456</v>
      </c>
      <c r="N145" s="8" t="s">
        <v>87</v>
      </c>
      <c r="O145" s="10" t="s">
        <v>22</v>
      </c>
      <c r="P145" s="8" t="s">
        <v>2468</v>
      </c>
      <c r="Q145" s="10" t="s">
        <v>223</v>
      </c>
      <c r="R145" s="10" t="s">
        <v>1438</v>
      </c>
      <c r="S145" s="8" t="s">
        <v>1648</v>
      </c>
      <c r="T145" s="10" t="s">
        <v>2204</v>
      </c>
      <c r="U145" s="10" t="s">
        <v>87</v>
      </c>
      <c r="V145" s="10" t="s">
        <v>87</v>
      </c>
    </row>
    <row r="146" spans="1:22" s="10" customFormat="1" x14ac:dyDescent="0.25">
      <c r="A146" s="10" t="s">
        <v>2469</v>
      </c>
      <c r="B146" s="10" t="s">
        <v>1571</v>
      </c>
      <c r="C146" s="10" t="s">
        <v>384</v>
      </c>
      <c r="D146" s="10" t="s">
        <v>2470</v>
      </c>
      <c r="E146" s="8" t="s">
        <v>2471</v>
      </c>
      <c r="F146" s="8" t="s">
        <v>2472</v>
      </c>
      <c r="G146" s="10" t="s">
        <v>3</v>
      </c>
      <c r="H146" s="8" t="s">
        <v>2473</v>
      </c>
      <c r="I146" s="10" t="s">
        <v>2474</v>
      </c>
      <c r="J146" s="8" t="s">
        <v>2200</v>
      </c>
      <c r="K146" s="8" t="s">
        <v>1435</v>
      </c>
      <c r="L146" s="8" t="s">
        <v>87</v>
      </c>
      <c r="M146" s="10" t="s">
        <v>1436</v>
      </c>
      <c r="N146" s="8" t="s">
        <v>87</v>
      </c>
      <c r="O146" s="10" t="s">
        <v>22</v>
      </c>
      <c r="P146" s="8" t="s">
        <v>2475</v>
      </c>
      <c r="Q146" s="10" t="s">
        <v>223</v>
      </c>
      <c r="R146" s="10" t="s">
        <v>1438</v>
      </c>
      <c r="S146" s="8" t="s">
        <v>2476</v>
      </c>
      <c r="T146" s="10" t="s">
        <v>2204</v>
      </c>
      <c r="U146" s="10" t="s">
        <v>87</v>
      </c>
      <c r="V146" s="10" t="s">
        <v>87</v>
      </c>
    </row>
    <row r="147" spans="1:22" s="10" customFormat="1" x14ac:dyDescent="0.25">
      <c r="A147" s="10" t="s">
        <v>2477</v>
      </c>
      <c r="B147" s="10" t="s">
        <v>1571</v>
      </c>
      <c r="C147" s="10" t="s">
        <v>384</v>
      </c>
      <c r="D147" s="10" t="s">
        <v>2478</v>
      </c>
      <c r="E147" s="8" t="s">
        <v>2479</v>
      </c>
      <c r="F147" s="8" t="s">
        <v>2480</v>
      </c>
      <c r="G147" s="10" t="s">
        <v>3</v>
      </c>
      <c r="H147" s="8" t="s">
        <v>2481</v>
      </c>
      <c r="I147" s="10" t="s">
        <v>2482</v>
      </c>
      <c r="J147" s="8" t="s">
        <v>2200</v>
      </c>
      <c r="K147" s="8" t="s">
        <v>1435</v>
      </c>
      <c r="L147" s="8" t="s">
        <v>87</v>
      </c>
      <c r="M147" s="10" t="s">
        <v>1436</v>
      </c>
      <c r="N147" s="8" t="s">
        <v>87</v>
      </c>
      <c r="O147" s="10" t="s">
        <v>22</v>
      </c>
      <c r="P147" s="8" t="s">
        <v>2483</v>
      </c>
      <c r="Q147" s="10" t="s">
        <v>223</v>
      </c>
      <c r="R147" s="10" t="s">
        <v>1438</v>
      </c>
      <c r="S147" s="8" t="s">
        <v>2484</v>
      </c>
      <c r="T147" s="10" t="s">
        <v>2204</v>
      </c>
      <c r="U147" s="10" t="s">
        <v>87</v>
      </c>
      <c r="V147" s="10" t="s">
        <v>87</v>
      </c>
    </row>
    <row r="148" spans="1:22" s="10" customFormat="1" x14ac:dyDescent="0.25">
      <c r="A148" s="10" t="s">
        <v>2485</v>
      </c>
      <c r="B148" s="10" t="s">
        <v>1571</v>
      </c>
      <c r="C148" s="10" t="s">
        <v>384</v>
      </c>
      <c r="D148" s="10" t="s">
        <v>2486</v>
      </c>
      <c r="E148" s="8" t="s">
        <v>2487</v>
      </c>
      <c r="F148" s="8" t="s">
        <v>2488</v>
      </c>
      <c r="G148" s="10" t="s">
        <v>4</v>
      </c>
      <c r="H148" s="8" t="s">
        <v>2473</v>
      </c>
      <c r="I148" s="10" t="s">
        <v>2489</v>
      </c>
      <c r="J148" s="8" t="s">
        <v>2200</v>
      </c>
      <c r="K148" s="8" t="s">
        <v>2490</v>
      </c>
      <c r="L148" s="8" t="s">
        <v>87</v>
      </c>
      <c r="M148" s="10" t="s">
        <v>1456</v>
      </c>
      <c r="N148" s="8" t="s">
        <v>87</v>
      </c>
      <c r="O148" s="10" t="s">
        <v>22</v>
      </c>
      <c r="P148" s="8" t="s">
        <v>2491</v>
      </c>
      <c r="Q148" s="10" t="s">
        <v>223</v>
      </c>
      <c r="R148" s="10" t="s">
        <v>1438</v>
      </c>
      <c r="S148" s="8" t="s">
        <v>2492</v>
      </c>
      <c r="T148" s="10" t="s">
        <v>2204</v>
      </c>
      <c r="U148" s="10" t="s">
        <v>87</v>
      </c>
      <c r="V148" s="10" t="s">
        <v>87</v>
      </c>
    </row>
    <row r="149" spans="1:22" s="10" customFormat="1" x14ac:dyDescent="0.25">
      <c r="A149" s="10" t="s">
        <v>2493</v>
      </c>
      <c r="B149" s="10" t="s">
        <v>1571</v>
      </c>
      <c r="C149" s="10" t="s">
        <v>384</v>
      </c>
      <c r="D149" s="10" t="s">
        <v>2494</v>
      </c>
      <c r="E149" s="8" t="s">
        <v>2495</v>
      </c>
      <c r="F149" s="8" t="s">
        <v>2496</v>
      </c>
      <c r="G149" s="10" t="s">
        <v>3</v>
      </c>
      <c r="H149" s="8" t="s">
        <v>1543</v>
      </c>
      <c r="I149" s="10" t="s">
        <v>2482</v>
      </c>
      <c r="J149" s="8" t="s">
        <v>2200</v>
      </c>
      <c r="K149" s="8" t="s">
        <v>1435</v>
      </c>
      <c r="L149" s="8" t="s">
        <v>87</v>
      </c>
      <c r="M149" s="10" t="s">
        <v>1436</v>
      </c>
      <c r="N149" s="8" t="s">
        <v>87</v>
      </c>
      <c r="O149" s="10" t="s">
        <v>22</v>
      </c>
      <c r="P149" s="8" t="s">
        <v>2497</v>
      </c>
      <c r="Q149" s="10" t="s">
        <v>239</v>
      </c>
      <c r="R149" s="10" t="s">
        <v>1438</v>
      </c>
      <c r="S149" s="8" t="s">
        <v>2492</v>
      </c>
      <c r="T149" s="10" t="s">
        <v>2204</v>
      </c>
      <c r="U149" s="10" t="s">
        <v>87</v>
      </c>
      <c r="V149" s="10" t="s">
        <v>87</v>
      </c>
    </row>
    <row r="150" spans="1:22" s="10" customFormat="1" x14ac:dyDescent="0.25">
      <c r="A150" s="10" t="s">
        <v>2498</v>
      </c>
      <c r="B150" s="10" t="s">
        <v>1571</v>
      </c>
      <c r="C150" s="10" t="s">
        <v>384</v>
      </c>
      <c r="D150" s="10" t="s">
        <v>2499</v>
      </c>
      <c r="E150" s="8" t="s">
        <v>2500</v>
      </c>
      <c r="F150" s="8" t="s">
        <v>2501</v>
      </c>
      <c r="G150" s="10" t="s">
        <v>3</v>
      </c>
      <c r="H150" s="8" t="s">
        <v>2502</v>
      </c>
      <c r="I150" s="10" t="s">
        <v>2482</v>
      </c>
      <c r="J150" s="8" t="s">
        <v>2200</v>
      </c>
      <c r="K150" s="8" t="s">
        <v>1435</v>
      </c>
      <c r="L150" s="8" t="s">
        <v>87</v>
      </c>
      <c r="M150" s="10" t="s">
        <v>1436</v>
      </c>
      <c r="N150" s="8" t="s">
        <v>87</v>
      </c>
      <c r="O150" s="10" t="s">
        <v>22</v>
      </c>
      <c r="P150" s="8" t="s">
        <v>2503</v>
      </c>
      <c r="Q150" s="10" t="s">
        <v>246</v>
      </c>
      <c r="R150" s="10" t="s">
        <v>1438</v>
      </c>
      <c r="S150" s="8" t="s">
        <v>2504</v>
      </c>
      <c r="T150" s="10" t="s">
        <v>2204</v>
      </c>
      <c r="U150" s="10" t="s">
        <v>87</v>
      </c>
      <c r="V150" s="10" t="s">
        <v>87</v>
      </c>
    </row>
    <row r="151" spans="1:22" s="10" customFormat="1" x14ac:dyDescent="0.25">
      <c r="A151" s="10" t="s">
        <v>2505</v>
      </c>
      <c r="B151" s="10" t="s">
        <v>1571</v>
      </c>
      <c r="C151" s="10" t="s">
        <v>384</v>
      </c>
      <c r="D151" s="10" t="s">
        <v>2506</v>
      </c>
      <c r="E151" s="8" t="s">
        <v>2507</v>
      </c>
      <c r="F151" s="8" t="s">
        <v>2508</v>
      </c>
      <c r="G151" s="10" t="s">
        <v>4</v>
      </c>
      <c r="H151" s="8" t="s">
        <v>2509</v>
      </c>
      <c r="I151" s="10" t="s">
        <v>2482</v>
      </c>
      <c r="J151" s="8" t="s">
        <v>2200</v>
      </c>
      <c r="K151" s="8" t="s">
        <v>2510</v>
      </c>
      <c r="L151" s="8" t="s">
        <v>2511</v>
      </c>
      <c r="M151" s="10" t="s">
        <v>1456</v>
      </c>
      <c r="N151" s="8" t="s">
        <v>87</v>
      </c>
      <c r="O151" s="10" t="s">
        <v>22</v>
      </c>
      <c r="P151" s="8" t="s">
        <v>2512</v>
      </c>
      <c r="Q151" s="10" t="s">
        <v>223</v>
      </c>
      <c r="R151" s="10" t="s">
        <v>1438</v>
      </c>
      <c r="S151" s="8" t="s">
        <v>2513</v>
      </c>
      <c r="T151" s="10" t="s">
        <v>2204</v>
      </c>
      <c r="U151" s="10" t="s">
        <v>87</v>
      </c>
      <c r="V151" s="10" t="s">
        <v>87</v>
      </c>
    </row>
    <row r="152" spans="1:22" s="10" customFormat="1" x14ac:dyDescent="0.25">
      <c r="A152" s="10" t="s">
        <v>2514</v>
      </c>
      <c r="B152" s="10" t="s">
        <v>1571</v>
      </c>
      <c r="C152" s="10" t="s">
        <v>384</v>
      </c>
      <c r="D152" s="10" t="s">
        <v>2515</v>
      </c>
      <c r="E152" s="8" t="s">
        <v>2516</v>
      </c>
      <c r="F152" s="8" t="s">
        <v>2517</v>
      </c>
      <c r="G152" s="10" t="s">
        <v>3</v>
      </c>
      <c r="H152" s="8" t="s">
        <v>2518</v>
      </c>
      <c r="I152" s="10" t="s">
        <v>2519</v>
      </c>
      <c r="J152" s="8" t="s">
        <v>2200</v>
      </c>
      <c r="K152" s="8" t="s">
        <v>1435</v>
      </c>
      <c r="L152" s="8" t="s">
        <v>87</v>
      </c>
      <c r="M152" s="10" t="s">
        <v>1436</v>
      </c>
      <c r="N152" s="8" t="s">
        <v>87</v>
      </c>
      <c r="O152" s="10" t="s">
        <v>22</v>
      </c>
      <c r="P152" s="8" t="s">
        <v>2520</v>
      </c>
      <c r="Q152" s="10" t="s">
        <v>223</v>
      </c>
      <c r="R152" s="10" t="s">
        <v>1438</v>
      </c>
      <c r="S152" s="8" t="s">
        <v>2521</v>
      </c>
      <c r="T152" s="10" t="s">
        <v>2204</v>
      </c>
      <c r="U152" s="10" t="s">
        <v>87</v>
      </c>
      <c r="V152" s="10" t="s">
        <v>87</v>
      </c>
    </row>
    <row r="153" spans="1:22" s="10" customFormat="1" x14ac:dyDescent="0.25">
      <c r="A153" s="10" t="s">
        <v>2522</v>
      </c>
      <c r="B153" s="10" t="s">
        <v>1571</v>
      </c>
      <c r="C153" s="10" t="s">
        <v>215</v>
      </c>
      <c r="D153" s="10" t="s">
        <v>2523</v>
      </c>
      <c r="E153" s="8" t="s">
        <v>2524</v>
      </c>
      <c r="F153" s="8" t="s">
        <v>2525</v>
      </c>
      <c r="G153" s="10" t="s">
        <v>3</v>
      </c>
      <c r="H153" s="8" t="s">
        <v>1653</v>
      </c>
      <c r="I153" s="10" t="s">
        <v>2526</v>
      </c>
      <c r="J153" s="8" t="s">
        <v>1655</v>
      </c>
      <c r="K153" s="8" t="s">
        <v>1435</v>
      </c>
      <c r="L153" s="8" t="s">
        <v>87</v>
      </c>
      <c r="M153" s="10" t="s">
        <v>1436</v>
      </c>
      <c r="N153" s="8" t="s">
        <v>87</v>
      </c>
      <c r="O153" s="10" t="s">
        <v>22</v>
      </c>
      <c r="P153" s="8" t="s">
        <v>2527</v>
      </c>
      <c r="Q153" s="10" t="s">
        <v>1447</v>
      </c>
      <c r="R153" s="10" t="s">
        <v>1657</v>
      </c>
      <c r="S153" s="8" t="s">
        <v>2528</v>
      </c>
      <c r="T153" s="10" t="s">
        <v>2204</v>
      </c>
      <c r="U153" s="10" t="s">
        <v>87</v>
      </c>
      <c r="V153" s="10" t="s">
        <v>87</v>
      </c>
    </row>
    <row r="154" spans="1:22" s="10" customFormat="1" x14ac:dyDescent="0.25">
      <c r="A154" s="10" t="s">
        <v>2529</v>
      </c>
      <c r="B154" s="10" t="s">
        <v>1571</v>
      </c>
      <c r="C154" s="10" t="s">
        <v>384</v>
      </c>
      <c r="D154" s="10" t="s">
        <v>2530</v>
      </c>
      <c r="E154" s="8" t="s">
        <v>2531</v>
      </c>
      <c r="F154" s="8" t="s">
        <v>2532</v>
      </c>
      <c r="G154" s="10" t="s">
        <v>3</v>
      </c>
      <c r="H154" s="8" t="s">
        <v>2462</v>
      </c>
      <c r="I154" s="10" t="s">
        <v>2482</v>
      </c>
      <c r="J154" s="8" t="s">
        <v>1664</v>
      </c>
      <c r="K154" s="8" t="s">
        <v>1435</v>
      </c>
      <c r="L154" s="8" t="s">
        <v>87</v>
      </c>
      <c r="M154" s="10" t="s">
        <v>1436</v>
      </c>
      <c r="N154" s="8" t="s">
        <v>87</v>
      </c>
      <c r="O154" s="10" t="s">
        <v>22</v>
      </c>
      <c r="P154" s="8" t="s">
        <v>2533</v>
      </c>
      <c r="Q154" s="10" t="s">
        <v>825</v>
      </c>
      <c r="R154" s="10" t="s">
        <v>1438</v>
      </c>
      <c r="S154" s="8" t="s">
        <v>1669</v>
      </c>
      <c r="T154" s="10" t="s">
        <v>2204</v>
      </c>
      <c r="U154" s="10" t="s">
        <v>87</v>
      </c>
      <c r="V154" s="10" t="s">
        <v>87</v>
      </c>
    </row>
    <row r="155" spans="1:22" s="10" customFormat="1" x14ac:dyDescent="0.25">
      <c r="A155" s="10" t="s">
        <v>2534</v>
      </c>
      <c r="B155" s="10" t="s">
        <v>1571</v>
      </c>
      <c r="C155" s="10" t="s">
        <v>215</v>
      </c>
      <c r="D155" s="10" t="s">
        <v>2535</v>
      </c>
      <c r="E155" s="8" t="s">
        <v>2536</v>
      </c>
      <c r="F155" s="8" t="s">
        <v>2537</v>
      </c>
      <c r="G155" s="10" t="s">
        <v>3</v>
      </c>
      <c r="H155" s="8" t="s">
        <v>2473</v>
      </c>
      <c r="I155" s="10" t="s">
        <v>2482</v>
      </c>
      <c r="J155" s="8" t="s">
        <v>2200</v>
      </c>
      <c r="K155" s="8" t="s">
        <v>1435</v>
      </c>
      <c r="L155" s="8" t="s">
        <v>87</v>
      </c>
      <c r="M155" s="10" t="s">
        <v>1436</v>
      </c>
      <c r="N155" s="8" t="s">
        <v>87</v>
      </c>
      <c r="O155" s="10" t="s">
        <v>22</v>
      </c>
      <c r="P155" s="8" t="s">
        <v>2538</v>
      </c>
      <c r="Q155" s="10" t="s">
        <v>223</v>
      </c>
      <c r="R155" s="10" t="s">
        <v>1438</v>
      </c>
      <c r="S155" s="8" t="s">
        <v>1648</v>
      </c>
      <c r="T155" s="10" t="s">
        <v>2204</v>
      </c>
      <c r="U155" s="10" t="s">
        <v>87</v>
      </c>
      <c r="V155" s="10" t="s">
        <v>87</v>
      </c>
    </row>
    <row r="156" spans="1:22" s="10" customFormat="1" x14ac:dyDescent="0.25">
      <c r="A156" s="10" t="s">
        <v>2539</v>
      </c>
      <c r="B156" s="10" t="s">
        <v>2540</v>
      </c>
      <c r="C156" s="10" t="s">
        <v>215</v>
      </c>
      <c r="D156" s="10" t="s">
        <v>2541</v>
      </c>
      <c r="E156" s="8" t="s">
        <v>2542</v>
      </c>
      <c r="F156" s="8" t="s">
        <v>2543</v>
      </c>
      <c r="G156" s="10" t="s">
        <v>4</v>
      </c>
      <c r="H156" s="8" t="s">
        <v>2544</v>
      </c>
      <c r="I156" s="10" t="s">
        <v>2545</v>
      </c>
      <c r="J156" s="8" t="s">
        <v>2546</v>
      </c>
      <c r="K156" s="8" t="s">
        <v>2547</v>
      </c>
      <c r="L156" s="8" t="s">
        <v>2548</v>
      </c>
      <c r="M156" s="10" t="s">
        <v>1456</v>
      </c>
      <c r="N156" s="8" t="s">
        <v>87</v>
      </c>
      <c r="O156" s="10" t="s">
        <v>22</v>
      </c>
      <c r="P156" s="8" t="s">
        <v>2549</v>
      </c>
      <c r="Q156" s="10" t="s">
        <v>223</v>
      </c>
      <c r="R156" s="10" t="s">
        <v>1438</v>
      </c>
      <c r="S156" s="8" t="s">
        <v>2550</v>
      </c>
      <c r="T156" s="10" t="s">
        <v>2551</v>
      </c>
      <c r="U156" s="10" t="s">
        <v>87</v>
      </c>
      <c r="V156" s="10" t="s">
        <v>87</v>
      </c>
    </row>
    <row r="157" spans="1:22" s="10" customFormat="1" x14ac:dyDescent="0.25">
      <c r="A157" s="10" t="s">
        <v>2552</v>
      </c>
      <c r="B157" s="10" t="s">
        <v>2540</v>
      </c>
      <c r="C157" s="11" t="s">
        <v>346</v>
      </c>
      <c r="D157" s="10" t="s">
        <v>2553</v>
      </c>
      <c r="E157" s="8" t="s">
        <v>2554</v>
      </c>
      <c r="F157" s="8" t="s">
        <v>2555</v>
      </c>
      <c r="G157" s="10" t="s">
        <v>4</v>
      </c>
      <c r="H157" s="8" t="s">
        <v>2544</v>
      </c>
      <c r="I157" s="10" t="s">
        <v>357</v>
      </c>
      <c r="J157" s="8" t="s">
        <v>2546</v>
      </c>
      <c r="K157" s="8" t="s">
        <v>1873</v>
      </c>
      <c r="L157" s="8" t="s">
        <v>2548</v>
      </c>
      <c r="M157" s="10" t="s">
        <v>1456</v>
      </c>
      <c r="N157" s="8" t="s">
        <v>87</v>
      </c>
      <c r="O157" s="10" t="s">
        <v>22</v>
      </c>
      <c r="P157" s="8" t="s">
        <v>2556</v>
      </c>
      <c r="Q157" s="10" t="s">
        <v>223</v>
      </c>
      <c r="R157" s="10" t="s">
        <v>1438</v>
      </c>
      <c r="S157" s="8" t="s">
        <v>2557</v>
      </c>
      <c r="T157" s="10" t="s">
        <v>2551</v>
      </c>
      <c r="U157" s="10" t="s">
        <v>87</v>
      </c>
      <c r="V157" s="10" t="s">
        <v>87</v>
      </c>
    </row>
    <row r="158" spans="1:22" s="10" customFormat="1" x14ac:dyDescent="0.25">
      <c r="A158" s="10" t="s">
        <v>2558</v>
      </c>
      <c r="B158" s="10" t="s">
        <v>2540</v>
      </c>
      <c r="C158" s="10" t="s">
        <v>215</v>
      </c>
      <c r="D158" s="10" t="s">
        <v>2559</v>
      </c>
      <c r="E158" s="8" t="s">
        <v>2560</v>
      </c>
      <c r="F158" s="8" t="s">
        <v>2561</v>
      </c>
      <c r="G158" s="10" t="s">
        <v>4</v>
      </c>
      <c r="H158" s="8" t="s">
        <v>2562</v>
      </c>
      <c r="I158" s="10" t="s">
        <v>2563</v>
      </c>
      <c r="J158" s="8" t="s">
        <v>2546</v>
      </c>
      <c r="K158" s="8" t="s">
        <v>1873</v>
      </c>
      <c r="L158" s="8" t="s">
        <v>2548</v>
      </c>
      <c r="M158" s="10" t="s">
        <v>1456</v>
      </c>
      <c r="N158" s="8" t="s">
        <v>87</v>
      </c>
      <c r="O158" s="10" t="s">
        <v>22</v>
      </c>
      <c r="P158" s="8" t="s">
        <v>2564</v>
      </c>
      <c r="Q158" s="10" t="s">
        <v>223</v>
      </c>
      <c r="R158" s="10" t="s">
        <v>1438</v>
      </c>
      <c r="S158" s="8" t="s">
        <v>2565</v>
      </c>
      <c r="T158" s="10" t="s">
        <v>2551</v>
      </c>
      <c r="U158" s="10" t="s">
        <v>87</v>
      </c>
      <c r="V158" s="10" t="s">
        <v>87</v>
      </c>
    </row>
    <row r="159" spans="1:22" s="10" customFormat="1" x14ac:dyDescent="0.25">
      <c r="A159" s="10" t="s">
        <v>2566</v>
      </c>
      <c r="B159" s="10" t="s">
        <v>2540</v>
      </c>
      <c r="C159" s="11" t="s">
        <v>346</v>
      </c>
      <c r="D159" s="10" t="s">
        <v>2567</v>
      </c>
      <c r="E159" s="8" t="s">
        <v>2568</v>
      </c>
      <c r="F159" s="8" t="s">
        <v>2569</v>
      </c>
      <c r="G159" s="10" t="s">
        <v>4</v>
      </c>
      <c r="H159" s="8" t="s">
        <v>2570</v>
      </c>
      <c r="I159" s="10" t="s">
        <v>2571</v>
      </c>
      <c r="J159" s="8" t="s">
        <v>2546</v>
      </c>
      <c r="K159" s="8" t="s">
        <v>1873</v>
      </c>
      <c r="L159" s="8" t="s">
        <v>2548</v>
      </c>
      <c r="M159" s="10" t="s">
        <v>1456</v>
      </c>
      <c r="N159" s="8" t="s">
        <v>87</v>
      </c>
      <c r="O159" s="10" t="s">
        <v>22</v>
      </c>
      <c r="P159" s="8" t="s">
        <v>2572</v>
      </c>
      <c r="Q159" s="10" t="s">
        <v>1447</v>
      </c>
      <c r="R159" s="10" t="s">
        <v>1438</v>
      </c>
      <c r="S159" s="8" t="s">
        <v>2573</v>
      </c>
      <c r="T159" s="10" t="s">
        <v>2551</v>
      </c>
      <c r="U159" s="10" t="s">
        <v>87</v>
      </c>
      <c r="V159" s="10" t="s">
        <v>87</v>
      </c>
    </row>
    <row r="160" spans="1:22" s="10" customFormat="1" x14ac:dyDescent="0.25">
      <c r="A160" s="10" t="s">
        <v>2574</v>
      </c>
      <c r="B160" s="10" t="s">
        <v>2540</v>
      </c>
      <c r="C160" s="10" t="s">
        <v>215</v>
      </c>
      <c r="D160" s="10" t="s">
        <v>2575</v>
      </c>
      <c r="E160" s="8" t="s">
        <v>2576</v>
      </c>
      <c r="F160" s="8" t="s">
        <v>2577</v>
      </c>
      <c r="G160" s="10" t="s">
        <v>4</v>
      </c>
      <c r="H160" s="8" t="s">
        <v>2578</v>
      </c>
      <c r="I160" s="10" t="s">
        <v>2579</v>
      </c>
      <c r="J160" s="8" t="s">
        <v>2546</v>
      </c>
      <c r="K160" s="8" t="s">
        <v>1873</v>
      </c>
      <c r="L160" s="8" t="s">
        <v>2548</v>
      </c>
      <c r="M160" s="10" t="s">
        <v>1456</v>
      </c>
      <c r="N160" s="8" t="s">
        <v>87</v>
      </c>
      <c r="O160" s="10" t="s">
        <v>22</v>
      </c>
      <c r="P160" s="8" t="s">
        <v>2580</v>
      </c>
      <c r="Q160" s="10" t="s">
        <v>223</v>
      </c>
      <c r="R160" s="10" t="s">
        <v>1438</v>
      </c>
      <c r="S160" s="8" t="s">
        <v>2581</v>
      </c>
      <c r="T160" s="10" t="s">
        <v>2551</v>
      </c>
      <c r="U160" s="10" t="s">
        <v>87</v>
      </c>
      <c r="V160" s="10" t="s">
        <v>87</v>
      </c>
    </row>
    <row r="161" spans="1:22" s="10" customFormat="1" x14ac:dyDescent="0.25">
      <c r="A161" s="10" t="s">
        <v>2582</v>
      </c>
      <c r="B161" s="10" t="s">
        <v>2540</v>
      </c>
      <c r="C161" s="10" t="s">
        <v>215</v>
      </c>
      <c r="D161" s="10" t="s">
        <v>2583</v>
      </c>
      <c r="E161" s="8" t="s">
        <v>2584</v>
      </c>
      <c r="F161" s="8" t="s">
        <v>2585</v>
      </c>
      <c r="G161" s="10" t="s">
        <v>3</v>
      </c>
      <c r="H161" s="8" t="s">
        <v>2586</v>
      </c>
      <c r="I161" s="10" t="s">
        <v>1241</v>
      </c>
      <c r="J161" s="8" t="s">
        <v>2546</v>
      </c>
      <c r="K161" s="8" t="s">
        <v>1435</v>
      </c>
      <c r="L161" s="8" t="s">
        <v>2548</v>
      </c>
      <c r="M161" s="10" t="s">
        <v>1436</v>
      </c>
      <c r="N161" s="8" t="s">
        <v>87</v>
      </c>
      <c r="O161" s="10" t="s">
        <v>22</v>
      </c>
      <c r="P161" s="8" t="s">
        <v>2587</v>
      </c>
      <c r="Q161" s="10" t="s">
        <v>223</v>
      </c>
      <c r="R161" s="10" t="s">
        <v>1438</v>
      </c>
      <c r="S161" s="8" t="s">
        <v>2588</v>
      </c>
      <c r="T161" s="10" t="s">
        <v>2551</v>
      </c>
      <c r="U161" s="10" t="s">
        <v>87</v>
      </c>
      <c r="V161" s="10" t="s">
        <v>87</v>
      </c>
    </row>
    <row r="162" spans="1:22" s="10" customFormat="1" x14ac:dyDescent="0.25">
      <c r="A162" s="10" t="s">
        <v>2589</v>
      </c>
      <c r="B162" s="10" t="s">
        <v>2540</v>
      </c>
      <c r="C162" s="10" t="s">
        <v>384</v>
      </c>
      <c r="D162" s="10" t="s">
        <v>2590</v>
      </c>
      <c r="E162" s="8" t="s">
        <v>2591</v>
      </c>
      <c r="F162" s="8" t="s">
        <v>2592</v>
      </c>
      <c r="G162" s="10" t="s">
        <v>3</v>
      </c>
      <c r="H162" s="8" t="s">
        <v>2593</v>
      </c>
      <c r="I162" s="10" t="s">
        <v>2594</v>
      </c>
      <c r="J162" s="8" t="s">
        <v>2546</v>
      </c>
      <c r="K162" s="8" t="s">
        <v>1435</v>
      </c>
      <c r="L162" s="8" t="s">
        <v>2548</v>
      </c>
      <c r="M162" s="10" t="s">
        <v>1436</v>
      </c>
      <c r="N162" s="8" t="s">
        <v>87</v>
      </c>
      <c r="O162" s="10" t="s">
        <v>22</v>
      </c>
      <c r="P162" s="8" t="s">
        <v>2595</v>
      </c>
      <c r="Q162" s="10" t="s">
        <v>223</v>
      </c>
      <c r="R162" s="10" t="s">
        <v>1438</v>
      </c>
      <c r="S162" s="8" t="s">
        <v>2596</v>
      </c>
      <c r="T162" s="10" t="s">
        <v>2551</v>
      </c>
      <c r="U162" s="10" t="s">
        <v>87</v>
      </c>
      <c r="V162" s="10" t="s">
        <v>87</v>
      </c>
    </row>
    <row r="163" spans="1:22" s="10" customFormat="1" x14ac:dyDescent="0.25">
      <c r="A163" s="10" t="s">
        <v>2597</v>
      </c>
      <c r="B163" s="10" t="s">
        <v>2540</v>
      </c>
      <c r="C163" s="10" t="s">
        <v>215</v>
      </c>
      <c r="D163" s="10" t="s">
        <v>2598</v>
      </c>
      <c r="E163" s="8" t="s">
        <v>2599</v>
      </c>
      <c r="F163" s="8" t="s">
        <v>2600</v>
      </c>
      <c r="G163" s="10" t="s">
        <v>4</v>
      </c>
      <c r="H163" s="8" t="s">
        <v>2601</v>
      </c>
      <c r="I163" s="10" t="s">
        <v>2602</v>
      </c>
      <c r="J163" s="8" t="s">
        <v>2546</v>
      </c>
      <c r="K163" s="8" t="s">
        <v>2603</v>
      </c>
      <c r="L163" s="8" t="s">
        <v>2548</v>
      </c>
      <c r="M163" s="10" t="s">
        <v>1456</v>
      </c>
      <c r="N163" s="8" t="s">
        <v>87</v>
      </c>
      <c r="O163" s="10" t="s">
        <v>22</v>
      </c>
      <c r="P163" s="8" t="s">
        <v>2604</v>
      </c>
      <c r="Q163" s="10" t="s">
        <v>223</v>
      </c>
      <c r="R163" s="10" t="s">
        <v>1438</v>
      </c>
      <c r="S163" s="8" t="s">
        <v>2605</v>
      </c>
      <c r="T163" s="10" t="s">
        <v>2551</v>
      </c>
      <c r="U163" s="10" t="s">
        <v>87</v>
      </c>
      <c r="V163" s="10" t="s">
        <v>87</v>
      </c>
    </row>
    <row r="164" spans="1:22" s="10" customFormat="1" x14ac:dyDescent="0.25">
      <c r="A164" s="10" t="s">
        <v>2606</v>
      </c>
      <c r="B164" s="10" t="s">
        <v>2540</v>
      </c>
      <c r="C164" s="10" t="s">
        <v>384</v>
      </c>
      <c r="D164" s="10" t="s">
        <v>2607</v>
      </c>
      <c r="E164" s="8" t="s">
        <v>2608</v>
      </c>
      <c r="F164" s="8" t="s">
        <v>2609</v>
      </c>
      <c r="G164" s="10" t="s">
        <v>3</v>
      </c>
      <c r="H164" s="8" t="s">
        <v>2610</v>
      </c>
      <c r="I164" s="10" t="s">
        <v>2611</v>
      </c>
      <c r="J164" s="8" t="s">
        <v>2546</v>
      </c>
      <c r="K164" s="8" t="s">
        <v>1435</v>
      </c>
      <c r="L164" s="8" t="s">
        <v>2548</v>
      </c>
      <c r="M164" s="10" t="s">
        <v>1436</v>
      </c>
      <c r="N164" s="8" t="s">
        <v>87</v>
      </c>
      <c r="O164" s="10" t="s">
        <v>22</v>
      </c>
      <c r="P164" s="8" t="s">
        <v>2612</v>
      </c>
      <c r="Q164" s="10" t="s">
        <v>223</v>
      </c>
      <c r="R164" s="10" t="s">
        <v>1438</v>
      </c>
      <c r="S164" s="8" t="s">
        <v>2613</v>
      </c>
      <c r="T164" s="10" t="s">
        <v>2551</v>
      </c>
      <c r="U164" s="10" t="s">
        <v>87</v>
      </c>
      <c r="V164" s="10" t="s">
        <v>87</v>
      </c>
    </row>
    <row r="165" spans="1:22" s="10" customFormat="1" x14ac:dyDescent="0.25">
      <c r="A165" s="10" t="s">
        <v>2614</v>
      </c>
      <c r="B165" s="10" t="s">
        <v>2540</v>
      </c>
      <c r="C165" s="10" t="s">
        <v>215</v>
      </c>
      <c r="D165" s="10" t="s">
        <v>2615</v>
      </c>
      <c r="E165" s="8" t="s">
        <v>2616</v>
      </c>
      <c r="F165" s="8" t="s">
        <v>2617</v>
      </c>
      <c r="G165" s="10" t="s">
        <v>3</v>
      </c>
      <c r="H165" s="8" t="s">
        <v>2618</v>
      </c>
      <c r="I165" s="10" t="s">
        <v>2619</v>
      </c>
      <c r="J165" s="8" t="s">
        <v>2546</v>
      </c>
      <c r="K165" s="8" t="s">
        <v>1435</v>
      </c>
      <c r="L165" s="8" t="s">
        <v>2548</v>
      </c>
      <c r="M165" s="10" t="s">
        <v>1436</v>
      </c>
      <c r="N165" s="8" t="s">
        <v>87</v>
      </c>
      <c r="O165" s="10" t="s">
        <v>22</v>
      </c>
      <c r="P165" s="8" t="s">
        <v>2620</v>
      </c>
      <c r="Q165" s="10" t="s">
        <v>223</v>
      </c>
      <c r="R165" s="10" t="s">
        <v>1438</v>
      </c>
      <c r="S165" s="8" t="s">
        <v>2621</v>
      </c>
      <c r="T165" s="10" t="s">
        <v>2551</v>
      </c>
      <c r="U165" s="10" t="s">
        <v>87</v>
      </c>
      <c r="V165" s="10" t="s">
        <v>87</v>
      </c>
    </row>
    <row r="166" spans="1:22" s="10" customFormat="1" x14ac:dyDescent="0.25">
      <c r="A166" s="10" t="s">
        <v>2622</v>
      </c>
      <c r="B166" s="10" t="s">
        <v>2540</v>
      </c>
      <c r="C166" s="10" t="s">
        <v>215</v>
      </c>
      <c r="D166" s="10" t="s">
        <v>2623</v>
      </c>
      <c r="E166" s="8" t="s">
        <v>2624</v>
      </c>
      <c r="F166" s="8" t="s">
        <v>2625</v>
      </c>
      <c r="G166" s="10" t="s">
        <v>4</v>
      </c>
      <c r="H166" s="8" t="s">
        <v>2626</v>
      </c>
      <c r="I166" s="10" t="s">
        <v>2619</v>
      </c>
      <c r="J166" s="8" t="s">
        <v>2546</v>
      </c>
      <c r="K166" s="8" t="s">
        <v>1873</v>
      </c>
      <c r="L166" s="8" t="s">
        <v>87</v>
      </c>
      <c r="M166" s="10" t="s">
        <v>1456</v>
      </c>
      <c r="N166" s="8" t="s">
        <v>87</v>
      </c>
      <c r="O166" s="10" t="s">
        <v>22</v>
      </c>
      <c r="P166" s="8" t="s">
        <v>2627</v>
      </c>
      <c r="Q166" s="10" t="s">
        <v>223</v>
      </c>
      <c r="R166" s="10" t="s">
        <v>1438</v>
      </c>
      <c r="S166" s="8" t="s">
        <v>2628</v>
      </c>
      <c r="T166" s="10" t="s">
        <v>2551</v>
      </c>
      <c r="U166" s="10" t="s">
        <v>87</v>
      </c>
      <c r="V166" s="10" t="s">
        <v>87</v>
      </c>
    </row>
    <row r="167" spans="1:22" s="10" customFormat="1" x14ac:dyDescent="0.25">
      <c r="A167" s="10" t="s">
        <v>2629</v>
      </c>
      <c r="B167" s="10" t="s">
        <v>2540</v>
      </c>
      <c r="C167" s="10" t="s">
        <v>215</v>
      </c>
      <c r="D167" s="10" t="s">
        <v>2630</v>
      </c>
      <c r="E167" s="8" t="s">
        <v>2631</v>
      </c>
      <c r="F167" s="8" t="s">
        <v>2632</v>
      </c>
      <c r="G167" s="10" t="s">
        <v>3</v>
      </c>
      <c r="H167" s="8" t="s">
        <v>2633</v>
      </c>
      <c r="I167" s="10" t="s">
        <v>1628</v>
      </c>
      <c r="J167" s="8" t="s">
        <v>2546</v>
      </c>
      <c r="K167" s="8" t="s">
        <v>1435</v>
      </c>
      <c r="L167" s="8" t="s">
        <v>2548</v>
      </c>
      <c r="M167" s="10" t="s">
        <v>1436</v>
      </c>
      <c r="N167" s="8" t="s">
        <v>87</v>
      </c>
      <c r="O167" s="10" t="s">
        <v>22</v>
      </c>
      <c r="P167" s="8" t="s">
        <v>2634</v>
      </c>
      <c r="Q167" s="10" t="s">
        <v>223</v>
      </c>
      <c r="R167" s="10" t="s">
        <v>1438</v>
      </c>
      <c r="S167" s="8" t="s">
        <v>2635</v>
      </c>
      <c r="T167" s="10" t="s">
        <v>2551</v>
      </c>
      <c r="U167" s="10" t="s">
        <v>87</v>
      </c>
      <c r="V167" s="10" t="s">
        <v>87</v>
      </c>
    </row>
    <row r="168" spans="1:22" s="10" customFormat="1" x14ac:dyDescent="0.25">
      <c r="A168" s="10" t="s">
        <v>2636</v>
      </c>
      <c r="B168" s="10" t="s">
        <v>2540</v>
      </c>
      <c r="C168" s="10" t="s">
        <v>215</v>
      </c>
      <c r="D168" s="10" t="s">
        <v>2637</v>
      </c>
      <c r="E168" s="8" t="s">
        <v>2638</v>
      </c>
      <c r="F168" s="8" t="s">
        <v>2639</v>
      </c>
      <c r="G168" s="10" t="s">
        <v>4</v>
      </c>
      <c r="H168" s="8" t="s">
        <v>2640</v>
      </c>
      <c r="I168" s="10" t="s">
        <v>1999</v>
      </c>
      <c r="J168" s="8" t="s">
        <v>2546</v>
      </c>
      <c r="K168" s="8" t="s">
        <v>1873</v>
      </c>
      <c r="L168" s="8" t="s">
        <v>2548</v>
      </c>
      <c r="M168" s="10" t="s">
        <v>1456</v>
      </c>
      <c r="N168" s="8" t="s">
        <v>87</v>
      </c>
      <c r="O168" s="10" t="s">
        <v>22</v>
      </c>
      <c r="P168" s="8" t="s">
        <v>2641</v>
      </c>
      <c r="Q168" s="10" t="s">
        <v>223</v>
      </c>
      <c r="R168" s="10" t="s">
        <v>1438</v>
      </c>
      <c r="S168" s="8" t="s">
        <v>2642</v>
      </c>
      <c r="T168" s="10" t="s">
        <v>2551</v>
      </c>
      <c r="U168" s="10" t="s">
        <v>87</v>
      </c>
      <c r="V168" s="10" t="s">
        <v>87</v>
      </c>
    </row>
    <row r="169" spans="1:22" s="10" customFormat="1" x14ac:dyDescent="0.25">
      <c r="A169" s="10" t="s">
        <v>2643</v>
      </c>
      <c r="B169" s="10" t="s">
        <v>2540</v>
      </c>
      <c r="C169" s="10" t="s">
        <v>384</v>
      </c>
      <c r="D169" s="10" t="s">
        <v>2644</v>
      </c>
      <c r="E169" s="8" t="s">
        <v>2645</v>
      </c>
      <c r="F169" s="8" t="s">
        <v>2646</v>
      </c>
      <c r="G169" s="10" t="s">
        <v>2647</v>
      </c>
      <c r="H169" s="8" t="s">
        <v>2648</v>
      </c>
      <c r="I169" s="10" t="s">
        <v>873</v>
      </c>
      <c r="J169" s="8" t="s">
        <v>2546</v>
      </c>
      <c r="K169" s="8" t="s">
        <v>2649</v>
      </c>
      <c r="L169" s="8" t="s">
        <v>87</v>
      </c>
      <c r="M169" s="10" t="s">
        <v>1436</v>
      </c>
      <c r="N169" s="8" t="s">
        <v>87</v>
      </c>
      <c r="O169" s="10" t="s">
        <v>22</v>
      </c>
      <c r="P169" s="8" t="s">
        <v>2650</v>
      </c>
      <c r="Q169" s="10" t="s">
        <v>223</v>
      </c>
      <c r="R169" s="10" t="s">
        <v>1438</v>
      </c>
      <c r="S169" s="8" t="s">
        <v>2651</v>
      </c>
      <c r="T169" s="10" t="s">
        <v>2551</v>
      </c>
      <c r="U169" s="10" t="s">
        <v>87</v>
      </c>
      <c r="V169" s="10" t="s">
        <v>87</v>
      </c>
    </row>
    <row r="170" spans="1:22" s="10" customFormat="1" x14ac:dyDescent="0.25">
      <c r="A170" s="10" t="s">
        <v>2652</v>
      </c>
      <c r="B170" s="10" t="s">
        <v>2540</v>
      </c>
      <c r="C170" s="10" t="s">
        <v>384</v>
      </c>
      <c r="D170" s="10" t="s">
        <v>2653</v>
      </c>
      <c r="E170" s="8" t="s">
        <v>2654</v>
      </c>
      <c r="F170" s="8" t="s">
        <v>2655</v>
      </c>
      <c r="G170" s="10" t="s">
        <v>3</v>
      </c>
      <c r="H170" s="8" t="s">
        <v>2656</v>
      </c>
      <c r="I170" s="10" t="s">
        <v>2657</v>
      </c>
      <c r="J170" s="8" t="s">
        <v>2546</v>
      </c>
      <c r="K170" s="8" t="s">
        <v>1435</v>
      </c>
      <c r="L170" s="8" t="s">
        <v>87</v>
      </c>
      <c r="M170" s="10" t="s">
        <v>1436</v>
      </c>
      <c r="N170" s="8" t="s">
        <v>87</v>
      </c>
      <c r="O170" s="10" t="s">
        <v>22</v>
      </c>
      <c r="P170" s="8" t="s">
        <v>2658</v>
      </c>
      <c r="Q170" s="10" t="s">
        <v>223</v>
      </c>
      <c r="R170" s="10" t="s">
        <v>1438</v>
      </c>
      <c r="S170" s="8" t="s">
        <v>2659</v>
      </c>
      <c r="T170" s="10" t="s">
        <v>2551</v>
      </c>
      <c r="U170" s="10" t="s">
        <v>87</v>
      </c>
      <c r="V170" s="10" t="s">
        <v>87</v>
      </c>
    </row>
    <row r="171" spans="1:22" s="10" customFormat="1" x14ac:dyDescent="0.25">
      <c r="A171" s="10" t="s">
        <v>2660</v>
      </c>
      <c r="B171" s="10" t="s">
        <v>2540</v>
      </c>
      <c r="C171" s="10" t="s">
        <v>215</v>
      </c>
      <c r="D171" s="10" t="s">
        <v>2661</v>
      </c>
      <c r="E171" s="8" t="s">
        <v>2662</v>
      </c>
      <c r="F171" s="8" t="s">
        <v>2663</v>
      </c>
      <c r="G171" s="10" t="s">
        <v>3</v>
      </c>
      <c r="H171" s="8" t="s">
        <v>2664</v>
      </c>
      <c r="I171" s="10" t="s">
        <v>2611</v>
      </c>
      <c r="J171" s="8" t="s">
        <v>2546</v>
      </c>
      <c r="K171" s="8" t="s">
        <v>1435</v>
      </c>
      <c r="L171" s="8" t="s">
        <v>2548</v>
      </c>
      <c r="M171" s="10" t="s">
        <v>1436</v>
      </c>
      <c r="N171" s="8" t="s">
        <v>87</v>
      </c>
      <c r="O171" s="10" t="s">
        <v>22</v>
      </c>
      <c r="P171" s="8" t="s">
        <v>2665</v>
      </c>
      <c r="Q171" s="10" t="s">
        <v>246</v>
      </c>
      <c r="R171" s="10" t="s">
        <v>1438</v>
      </c>
      <c r="S171" s="8" t="s">
        <v>2666</v>
      </c>
      <c r="T171" s="10" t="s">
        <v>2551</v>
      </c>
      <c r="U171" s="10" t="s">
        <v>87</v>
      </c>
      <c r="V171" s="10" t="s">
        <v>87</v>
      </c>
    </row>
    <row r="172" spans="1:22" s="10" customFormat="1" x14ac:dyDescent="0.25">
      <c r="A172" s="10" t="s">
        <v>2667</v>
      </c>
      <c r="B172" s="10" t="s">
        <v>2540</v>
      </c>
      <c r="C172" s="10" t="s">
        <v>215</v>
      </c>
      <c r="D172" s="10" t="s">
        <v>2668</v>
      </c>
      <c r="E172" s="8" t="s">
        <v>2669</v>
      </c>
      <c r="F172" s="8" t="s">
        <v>2670</v>
      </c>
      <c r="G172" s="10" t="s">
        <v>3</v>
      </c>
      <c r="H172" s="8" t="s">
        <v>2671</v>
      </c>
      <c r="I172" s="10" t="s">
        <v>2672</v>
      </c>
      <c r="J172" s="8" t="s">
        <v>2546</v>
      </c>
      <c r="K172" s="8" t="s">
        <v>1435</v>
      </c>
      <c r="L172" s="8" t="s">
        <v>87</v>
      </c>
      <c r="M172" s="10" t="s">
        <v>1436</v>
      </c>
      <c r="N172" s="8" t="s">
        <v>87</v>
      </c>
      <c r="O172" s="10" t="s">
        <v>22</v>
      </c>
      <c r="P172" s="8" t="s">
        <v>2673</v>
      </c>
      <c r="Q172" s="10" t="s">
        <v>246</v>
      </c>
      <c r="R172" s="10" t="s">
        <v>1438</v>
      </c>
      <c r="S172" s="8" t="s">
        <v>2674</v>
      </c>
      <c r="T172" s="10" t="s">
        <v>2551</v>
      </c>
      <c r="U172" s="10" t="s">
        <v>87</v>
      </c>
      <c r="V172" s="10" t="s">
        <v>87</v>
      </c>
    </row>
    <row r="173" spans="1:22" s="10" customFormat="1" x14ac:dyDescent="0.25">
      <c r="A173" s="10" t="s">
        <v>2675</v>
      </c>
      <c r="B173" s="10" t="s">
        <v>2540</v>
      </c>
      <c r="C173" s="11" t="s">
        <v>346</v>
      </c>
      <c r="D173" s="10" t="s">
        <v>2676</v>
      </c>
      <c r="E173" s="8" t="s">
        <v>2677</v>
      </c>
      <c r="F173" s="8" t="s">
        <v>2678</v>
      </c>
      <c r="G173" s="10" t="s">
        <v>4</v>
      </c>
      <c r="H173" s="8" t="s">
        <v>2679</v>
      </c>
      <c r="I173" s="10" t="s">
        <v>2680</v>
      </c>
      <c r="J173" s="8" t="s">
        <v>1655</v>
      </c>
      <c r="K173" s="8" t="s">
        <v>2681</v>
      </c>
      <c r="L173" s="8" t="s">
        <v>2548</v>
      </c>
      <c r="M173" s="10" t="s">
        <v>1456</v>
      </c>
      <c r="N173" s="8" t="s">
        <v>87</v>
      </c>
      <c r="O173" s="10" t="s">
        <v>22</v>
      </c>
      <c r="P173" s="8" t="s">
        <v>2682</v>
      </c>
      <c r="Q173" s="10" t="s">
        <v>1447</v>
      </c>
      <c r="R173" s="10" t="s">
        <v>1657</v>
      </c>
      <c r="S173" s="8" t="s">
        <v>2683</v>
      </c>
      <c r="T173" s="10" t="s">
        <v>2551</v>
      </c>
      <c r="U173" s="10" t="s">
        <v>87</v>
      </c>
      <c r="V173" s="10" t="s">
        <v>87</v>
      </c>
    </row>
    <row r="174" spans="1:22" s="10" customFormat="1" x14ac:dyDescent="0.25">
      <c r="A174" s="10" t="s">
        <v>2684</v>
      </c>
      <c r="B174" s="10" t="s">
        <v>2540</v>
      </c>
      <c r="C174" s="11" t="s">
        <v>346</v>
      </c>
      <c r="D174" s="10" t="s">
        <v>2685</v>
      </c>
      <c r="E174" s="8" t="s">
        <v>2686</v>
      </c>
      <c r="F174" s="8" t="s">
        <v>2687</v>
      </c>
      <c r="G174" s="10" t="s">
        <v>4</v>
      </c>
      <c r="H174" s="8" t="s">
        <v>1653</v>
      </c>
      <c r="I174" s="10" t="s">
        <v>2688</v>
      </c>
      <c r="J174" s="8" t="s">
        <v>1655</v>
      </c>
      <c r="K174" s="8" t="s">
        <v>1873</v>
      </c>
      <c r="L174" s="8" t="s">
        <v>2548</v>
      </c>
      <c r="M174" s="10" t="s">
        <v>1456</v>
      </c>
      <c r="N174" s="8" t="s">
        <v>87</v>
      </c>
      <c r="O174" s="10" t="s">
        <v>22</v>
      </c>
      <c r="P174" s="8" t="s">
        <v>2689</v>
      </c>
      <c r="Q174" s="10" t="s">
        <v>1447</v>
      </c>
      <c r="R174" s="10" t="s">
        <v>1657</v>
      </c>
      <c r="S174" s="8" t="s">
        <v>2690</v>
      </c>
      <c r="T174" s="10" t="s">
        <v>2551</v>
      </c>
      <c r="U174" s="10" t="s">
        <v>87</v>
      </c>
      <c r="V174" s="10" t="s">
        <v>87</v>
      </c>
    </row>
    <row r="175" spans="1:22" s="10" customFormat="1" x14ac:dyDescent="0.25">
      <c r="A175" s="10" t="s">
        <v>2691</v>
      </c>
      <c r="B175" s="10" t="s">
        <v>2540</v>
      </c>
      <c r="C175" s="11" t="s">
        <v>346</v>
      </c>
      <c r="D175" s="10" t="s">
        <v>2692</v>
      </c>
      <c r="E175" s="8" t="s">
        <v>2693</v>
      </c>
      <c r="F175" s="8" t="s">
        <v>2694</v>
      </c>
      <c r="G175" s="10" t="s">
        <v>3</v>
      </c>
      <c r="H175" s="8" t="s">
        <v>2185</v>
      </c>
      <c r="I175" s="10" t="s">
        <v>2695</v>
      </c>
      <c r="J175" s="8" t="s">
        <v>1664</v>
      </c>
      <c r="K175" s="8" t="s">
        <v>1435</v>
      </c>
      <c r="L175" s="8" t="s">
        <v>2696</v>
      </c>
      <c r="M175" s="10" t="s">
        <v>1436</v>
      </c>
      <c r="N175" s="8" t="s">
        <v>87</v>
      </c>
      <c r="O175" s="10" t="s">
        <v>22</v>
      </c>
      <c r="P175" s="8" t="s">
        <v>2697</v>
      </c>
      <c r="Q175" s="10" t="s">
        <v>825</v>
      </c>
      <c r="R175" s="10" t="s">
        <v>2188</v>
      </c>
      <c r="S175" s="8" t="s">
        <v>1669</v>
      </c>
      <c r="T175" s="10" t="s">
        <v>2551</v>
      </c>
      <c r="U175" s="10" t="s">
        <v>87</v>
      </c>
      <c r="V175" s="10" t="s">
        <v>87</v>
      </c>
    </row>
    <row r="176" spans="1:22" s="10" customFormat="1" x14ac:dyDescent="0.25">
      <c r="A176" s="10" t="s">
        <v>2698</v>
      </c>
      <c r="B176" s="10" t="s">
        <v>2540</v>
      </c>
      <c r="C176" s="10" t="s">
        <v>215</v>
      </c>
      <c r="D176" s="10" t="s">
        <v>2699</v>
      </c>
      <c r="E176" s="8" t="s">
        <v>2700</v>
      </c>
      <c r="F176" s="8" t="s">
        <v>2701</v>
      </c>
      <c r="G176" s="10" t="s">
        <v>4</v>
      </c>
      <c r="H176" s="8" t="s">
        <v>2702</v>
      </c>
      <c r="I176" s="10" t="s">
        <v>2703</v>
      </c>
      <c r="J176" s="8" t="s">
        <v>2546</v>
      </c>
      <c r="K176" s="8" t="s">
        <v>2704</v>
      </c>
      <c r="L176" s="8" t="s">
        <v>87</v>
      </c>
      <c r="M176" s="10" t="s">
        <v>1456</v>
      </c>
      <c r="N176" s="8" t="s">
        <v>87</v>
      </c>
      <c r="O176" s="10" t="s">
        <v>22</v>
      </c>
      <c r="P176" s="8" t="s">
        <v>2705</v>
      </c>
      <c r="Q176" s="10" t="s">
        <v>223</v>
      </c>
      <c r="R176" s="10" t="s">
        <v>1438</v>
      </c>
      <c r="S176" s="8" t="s">
        <v>2706</v>
      </c>
      <c r="T176" s="10" t="s">
        <v>2551</v>
      </c>
      <c r="U176" s="10" t="s">
        <v>87</v>
      </c>
      <c r="V176" s="10" t="s">
        <v>87</v>
      </c>
    </row>
    <row r="177" spans="1:22" s="10" customFormat="1" x14ac:dyDescent="0.25">
      <c r="A177" s="10" t="s">
        <v>2707</v>
      </c>
      <c r="B177" s="10" t="s">
        <v>2540</v>
      </c>
      <c r="C177" s="10" t="s">
        <v>384</v>
      </c>
      <c r="D177" s="10" t="s">
        <v>2708</v>
      </c>
      <c r="E177" s="8" t="s">
        <v>2709</v>
      </c>
      <c r="F177" s="8" t="s">
        <v>2710</v>
      </c>
      <c r="G177" s="10" t="s">
        <v>4</v>
      </c>
      <c r="H177" s="8" t="s">
        <v>2702</v>
      </c>
      <c r="I177" s="10" t="s">
        <v>1241</v>
      </c>
      <c r="J177" s="8" t="s">
        <v>2546</v>
      </c>
      <c r="K177" s="8" t="s">
        <v>2711</v>
      </c>
      <c r="L177" s="8" t="s">
        <v>87</v>
      </c>
      <c r="M177" s="10" t="s">
        <v>1456</v>
      </c>
      <c r="N177" s="8" t="s">
        <v>87</v>
      </c>
      <c r="O177" s="10" t="s">
        <v>22</v>
      </c>
      <c r="P177" s="8" t="s">
        <v>2712</v>
      </c>
      <c r="Q177" s="10" t="s">
        <v>223</v>
      </c>
      <c r="R177" s="10" t="s">
        <v>1438</v>
      </c>
      <c r="S177" s="8" t="s">
        <v>2713</v>
      </c>
      <c r="T177" s="10" t="s">
        <v>2551</v>
      </c>
      <c r="U177" s="10" t="s">
        <v>87</v>
      </c>
      <c r="V177" s="10" t="s">
        <v>87</v>
      </c>
    </row>
    <row r="178" spans="1:22" s="10" customFormat="1" x14ac:dyDescent="0.25">
      <c r="A178" s="10" t="s">
        <v>2714</v>
      </c>
      <c r="B178" s="10" t="s">
        <v>2540</v>
      </c>
      <c r="C178" s="11" t="s">
        <v>346</v>
      </c>
      <c r="D178" s="10" t="s">
        <v>2715</v>
      </c>
      <c r="E178" s="8" t="s">
        <v>2716</v>
      </c>
      <c r="F178" s="8" t="s">
        <v>2717</v>
      </c>
      <c r="G178" s="10" t="s">
        <v>4</v>
      </c>
      <c r="H178" s="8" t="s">
        <v>2718</v>
      </c>
      <c r="I178" s="10" t="s">
        <v>2719</v>
      </c>
      <c r="J178" s="8" t="s">
        <v>2546</v>
      </c>
      <c r="K178" s="8" t="s">
        <v>2720</v>
      </c>
      <c r="L178" s="8" t="s">
        <v>87</v>
      </c>
      <c r="M178" s="10" t="s">
        <v>1456</v>
      </c>
      <c r="N178" s="8" t="s">
        <v>87</v>
      </c>
      <c r="O178" s="10" t="s">
        <v>22</v>
      </c>
      <c r="P178" s="8" t="s">
        <v>2721</v>
      </c>
      <c r="Q178" s="10" t="s">
        <v>223</v>
      </c>
      <c r="R178" s="10" t="s">
        <v>1438</v>
      </c>
      <c r="S178" s="8" t="s">
        <v>2722</v>
      </c>
      <c r="T178" s="10" t="s">
        <v>2551</v>
      </c>
      <c r="U178" s="10" t="s">
        <v>87</v>
      </c>
      <c r="V178" s="10" t="s">
        <v>87</v>
      </c>
    </row>
    <row r="179" spans="1:22" s="10" customFormat="1" x14ac:dyDescent="0.25">
      <c r="A179" s="10" t="s">
        <v>2723</v>
      </c>
      <c r="B179" s="10" t="s">
        <v>2540</v>
      </c>
      <c r="C179" s="11" t="s">
        <v>346</v>
      </c>
      <c r="D179" s="10" t="s">
        <v>2724</v>
      </c>
      <c r="E179" s="8" t="s">
        <v>2725</v>
      </c>
      <c r="F179" s="8" t="s">
        <v>2726</v>
      </c>
      <c r="G179" s="10" t="s">
        <v>3</v>
      </c>
      <c r="H179" s="8" t="s">
        <v>2727</v>
      </c>
      <c r="I179" s="10" t="s">
        <v>2728</v>
      </c>
      <c r="J179" s="8" t="s">
        <v>2546</v>
      </c>
      <c r="K179" s="8" t="s">
        <v>1435</v>
      </c>
      <c r="L179" s="8" t="s">
        <v>87</v>
      </c>
      <c r="M179" s="10" t="s">
        <v>1436</v>
      </c>
      <c r="N179" s="8" t="s">
        <v>87</v>
      </c>
      <c r="O179" s="10" t="s">
        <v>22</v>
      </c>
      <c r="P179" s="8" t="s">
        <v>2729</v>
      </c>
      <c r="Q179" s="10" t="s">
        <v>223</v>
      </c>
      <c r="R179" s="10" t="s">
        <v>1438</v>
      </c>
      <c r="S179" s="8" t="s">
        <v>2730</v>
      </c>
      <c r="T179" s="10" t="s">
        <v>2551</v>
      </c>
      <c r="U179" s="10" t="s">
        <v>87</v>
      </c>
      <c r="V179" s="10" t="s">
        <v>87</v>
      </c>
    </row>
    <row r="180" spans="1:22" s="10" customFormat="1" x14ac:dyDescent="0.25">
      <c r="A180" s="10" t="s">
        <v>2731</v>
      </c>
      <c r="B180" s="10" t="s">
        <v>2540</v>
      </c>
      <c r="C180" s="11" t="s">
        <v>346</v>
      </c>
      <c r="D180" s="10" t="s">
        <v>2732</v>
      </c>
      <c r="E180" s="8" t="s">
        <v>2733</v>
      </c>
      <c r="F180" s="8" t="s">
        <v>2734</v>
      </c>
      <c r="G180" s="10" t="s">
        <v>2647</v>
      </c>
      <c r="H180" s="8" t="s">
        <v>2735</v>
      </c>
      <c r="I180" s="10" t="s">
        <v>1241</v>
      </c>
      <c r="J180" s="8" t="s">
        <v>2546</v>
      </c>
      <c r="K180" s="8" t="s">
        <v>2649</v>
      </c>
      <c r="L180" s="8" t="s">
        <v>87</v>
      </c>
      <c r="M180" s="10" t="s">
        <v>1436</v>
      </c>
      <c r="N180" s="8" t="s">
        <v>87</v>
      </c>
      <c r="O180" s="10" t="s">
        <v>22</v>
      </c>
      <c r="P180" s="8" t="s">
        <v>2736</v>
      </c>
      <c r="Q180" s="10" t="s">
        <v>223</v>
      </c>
      <c r="R180" s="10" t="s">
        <v>1438</v>
      </c>
      <c r="S180" s="8" t="s">
        <v>2737</v>
      </c>
      <c r="T180" s="10" t="s">
        <v>2551</v>
      </c>
      <c r="U180" s="10" t="s">
        <v>87</v>
      </c>
      <c r="V180" s="10" t="s">
        <v>87</v>
      </c>
    </row>
    <row r="181" spans="1:22" s="10" customFormat="1" x14ac:dyDescent="0.25">
      <c r="A181" s="10" t="s">
        <v>2738</v>
      </c>
      <c r="B181" s="10" t="s">
        <v>2540</v>
      </c>
      <c r="C181" s="11" t="s">
        <v>346</v>
      </c>
      <c r="D181" s="10" t="s">
        <v>2739</v>
      </c>
      <c r="E181" s="8" t="s">
        <v>2740</v>
      </c>
      <c r="F181" s="8" t="s">
        <v>2741</v>
      </c>
      <c r="G181" s="10" t="s">
        <v>4</v>
      </c>
      <c r="H181" s="8" t="s">
        <v>2742</v>
      </c>
      <c r="I181" s="10" t="s">
        <v>2728</v>
      </c>
      <c r="J181" s="8" t="s">
        <v>2546</v>
      </c>
      <c r="K181" s="8" t="s">
        <v>1873</v>
      </c>
      <c r="L181" s="8" t="s">
        <v>87</v>
      </c>
      <c r="M181" s="10" t="s">
        <v>1456</v>
      </c>
      <c r="N181" s="8" t="s">
        <v>87</v>
      </c>
      <c r="O181" s="10" t="s">
        <v>22</v>
      </c>
      <c r="P181" s="8" t="s">
        <v>2743</v>
      </c>
      <c r="Q181" s="10" t="s">
        <v>239</v>
      </c>
      <c r="R181" s="10" t="s">
        <v>1438</v>
      </c>
      <c r="S181" s="8" t="s">
        <v>2744</v>
      </c>
      <c r="T181" s="10" t="s">
        <v>2551</v>
      </c>
      <c r="U181" s="10" t="s">
        <v>87</v>
      </c>
      <c r="V181" s="10" t="s">
        <v>87</v>
      </c>
    </row>
    <row r="182" spans="1:22" s="10" customFormat="1" x14ac:dyDescent="0.25">
      <c r="A182" s="10" t="s">
        <v>2745</v>
      </c>
      <c r="B182" s="10" t="s">
        <v>2540</v>
      </c>
      <c r="C182" s="11" t="s">
        <v>346</v>
      </c>
      <c r="D182" s="10" t="s">
        <v>2746</v>
      </c>
      <c r="E182" s="8" t="s">
        <v>2747</v>
      </c>
      <c r="F182" s="8" t="s">
        <v>2748</v>
      </c>
      <c r="G182" s="10" t="s">
        <v>2647</v>
      </c>
      <c r="H182" s="8" t="s">
        <v>2749</v>
      </c>
      <c r="I182" s="10" t="s">
        <v>2703</v>
      </c>
      <c r="J182" s="8" t="s">
        <v>2546</v>
      </c>
      <c r="K182" s="8" t="s">
        <v>2649</v>
      </c>
      <c r="L182" s="8" t="s">
        <v>87</v>
      </c>
      <c r="M182" s="10" t="s">
        <v>1436</v>
      </c>
      <c r="N182" s="8" t="s">
        <v>87</v>
      </c>
      <c r="O182" s="10" t="s">
        <v>22</v>
      </c>
      <c r="P182" s="8" t="s">
        <v>2750</v>
      </c>
      <c r="Q182" s="10" t="s">
        <v>223</v>
      </c>
      <c r="R182" s="10" t="s">
        <v>1438</v>
      </c>
      <c r="S182" s="8" t="s">
        <v>2751</v>
      </c>
      <c r="T182" s="10" t="s">
        <v>2551</v>
      </c>
      <c r="U182" s="10" t="s">
        <v>87</v>
      </c>
      <c r="V182" s="10" t="s">
        <v>87</v>
      </c>
    </row>
    <row r="183" spans="1:22" s="10" customFormat="1" x14ac:dyDescent="0.25">
      <c r="A183" s="10" t="s">
        <v>2752</v>
      </c>
      <c r="B183" s="10" t="s">
        <v>2540</v>
      </c>
      <c r="C183" s="11" t="s">
        <v>346</v>
      </c>
      <c r="D183" s="10" t="s">
        <v>2753</v>
      </c>
      <c r="E183" s="8" t="s">
        <v>2754</v>
      </c>
      <c r="F183" s="8" t="s">
        <v>2755</v>
      </c>
      <c r="G183" s="10" t="s">
        <v>2647</v>
      </c>
      <c r="H183" s="8" t="s">
        <v>2756</v>
      </c>
      <c r="I183" s="10" t="s">
        <v>2703</v>
      </c>
      <c r="J183" s="8" t="s">
        <v>2546</v>
      </c>
      <c r="K183" s="8" t="s">
        <v>2649</v>
      </c>
      <c r="L183" s="8" t="s">
        <v>87</v>
      </c>
      <c r="M183" s="10" t="s">
        <v>1436</v>
      </c>
      <c r="N183" s="8" t="s">
        <v>87</v>
      </c>
      <c r="O183" s="10" t="s">
        <v>22</v>
      </c>
      <c r="P183" s="8" t="s">
        <v>2757</v>
      </c>
      <c r="Q183" s="10" t="s">
        <v>223</v>
      </c>
      <c r="R183" s="10" t="s">
        <v>1438</v>
      </c>
      <c r="S183" s="8" t="s">
        <v>2758</v>
      </c>
      <c r="T183" s="10" t="s">
        <v>2551</v>
      </c>
      <c r="U183" s="10" t="s">
        <v>87</v>
      </c>
      <c r="V183" s="10" t="s">
        <v>87</v>
      </c>
    </row>
    <row r="184" spans="1:22" s="10" customFormat="1" x14ac:dyDescent="0.25">
      <c r="A184" s="10" t="s">
        <v>2759</v>
      </c>
      <c r="B184" s="10" t="s">
        <v>2540</v>
      </c>
      <c r="C184" s="11" t="s">
        <v>346</v>
      </c>
      <c r="D184" s="10" t="s">
        <v>2760</v>
      </c>
      <c r="E184" s="8" t="s">
        <v>2761</v>
      </c>
      <c r="F184" s="8" t="s">
        <v>2762</v>
      </c>
      <c r="G184" s="10" t="s">
        <v>2647</v>
      </c>
      <c r="H184" s="8" t="s">
        <v>2763</v>
      </c>
      <c r="I184" s="10" t="s">
        <v>2703</v>
      </c>
      <c r="J184" s="8" t="s">
        <v>2546</v>
      </c>
      <c r="K184" s="8" t="s">
        <v>2649</v>
      </c>
      <c r="L184" s="8" t="s">
        <v>87</v>
      </c>
      <c r="M184" s="10" t="s">
        <v>1436</v>
      </c>
      <c r="N184" s="8" t="s">
        <v>87</v>
      </c>
      <c r="O184" s="10" t="s">
        <v>22</v>
      </c>
      <c r="P184" s="8" t="s">
        <v>2764</v>
      </c>
      <c r="Q184" s="10" t="s">
        <v>223</v>
      </c>
      <c r="R184" s="10" t="s">
        <v>1438</v>
      </c>
      <c r="S184" s="8" t="s">
        <v>2765</v>
      </c>
      <c r="T184" s="10" t="s">
        <v>2551</v>
      </c>
      <c r="U184" s="10" t="s">
        <v>87</v>
      </c>
      <c r="V184" s="10" t="s">
        <v>87</v>
      </c>
    </row>
    <row r="185" spans="1:22" s="10" customFormat="1" x14ac:dyDescent="0.25">
      <c r="A185" s="10" t="s">
        <v>2766</v>
      </c>
      <c r="B185" s="10" t="s">
        <v>2540</v>
      </c>
      <c r="C185" s="10" t="s">
        <v>215</v>
      </c>
      <c r="D185" s="10" t="s">
        <v>2767</v>
      </c>
      <c r="E185" s="8" t="s">
        <v>2768</v>
      </c>
      <c r="F185" s="8" t="s">
        <v>2769</v>
      </c>
      <c r="G185" s="10" t="s">
        <v>2647</v>
      </c>
      <c r="H185" s="8" t="s">
        <v>2770</v>
      </c>
      <c r="I185" s="10" t="s">
        <v>2703</v>
      </c>
      <c r="J185" s="8" t="s">
        <v>2546</v>
      </c>
      <c r="K185" s="8" t="s">
        <v>2649</v>
      </c>
      <c r="L185" s="8" t="s">
        <v>87</v>
      </c>
      <c r="M185" s="10" t="s">
        <v>1436</v>
      </c>
      <c r="N185" s="8" t="s">
        <v>87</v>
      </c>
      <c r="O185" s="10" t="s">
        <v>22</v>
      </c>
      <c r="P185" s="8" t="s">
        <v>2771</v>
      </c>
      <c r="Q185" s="10" t="s">
        <v>223</v>
      </c>
      <c r="R185" s="10" t="s">
        <v>1438</v>
      </c>
      <c r="S185" s="8" t="s">
        <v>2772</v>
      </c>
      <c r="T185" s="10" t="s">
        <v>2551</v>
      </c>
      <c r="U185" s="10" t="s">
        <v>87</v>
      </c>
      <c r="V185" s="10" t="s">
        <v>87</v>
      </c>
    </row>
    <row r="186" spans="1:22" s="10" customFormat="1" x14ac:dyDescent="0.25">
      <c r="A186" s="10" t="s">
        <v>2773</v>
      </c>
      <c r="B186" s="10" t="s">
        <v>2540</v>
      </c>
      <c r="C186" s="11" t="s">
        <v>346</v>
      </c>
      <c r="D186" s="10" t="s">
        <v>2774</v>
      </c>
      <c r="E186" s="8" t="s">
        <v>2775</v>
      </c>
      <c r="F186" s="8" t="s">
        <v>2776</v>
      </c>
      <c r="G186" s="10" t="s">
        <v>2647</v>
      </c>
      <c r="H186" s="8" t="s">
        <v>2777</v>
      </c>
      <c r="I186" s="10" t="s">
        <v>2703</v>
      </c>
      <c r="J186" s="8" t="s">
        <v>2546</v>
      </c>
      <c r="K186" s="8" t="s">
        <v>2649</v>
      </c>
      <c r="L186" s="8" t="s">
        <v>87</v>
      </c>
      <c r="M186" s="10" t="s">
        <v>1436</v>
      </c>
      <c r="N186" s="8" t="s">
        <v>87</v>
      </c>
      <c r="O186" s="10" t="s">
        <v>22</v>
      </c>
      <c r="P186" s="8" t="s">
        <v>2778</v>
      </c>
      <c r="Q186" s="10" t="s">
        <v>223</v>
      </c>
      <c r="R186" s="10" t="s">
        <v>1438</v>
      </c>
      <c r="S186" s="8" t="s">
        <v>2779</v>
      </c>
      <c r="T186" s="10" t="s">
        <v>2551</v>
      </c>
      <c r="U186" s="10" t="s">
        <v>87</v>
      </c>
      <c r="V186" s="10" t="s">
        <v>87</v>
      </c>
    </row>
    <row r="187" spans="1:22" s="10" customFormat="1" x14ac:dyDescent="0.25">
      <c r="A187" s="10" t="s">
        <v>2780</v>
      </c>
      <c r="B187" s="10" t="s">
        <v>2540</v>
      </c>
      <c r="C187" s="10" t="s">
        <v>215</v>
      </c>
      <c r="D187" s="10" t="s">
        <v>2781</v>
      </c>
      <c r="E187" s="8" t="s">
        <v>2782</v>
      </c>
      <c r="F187" s="8" t="s">
        <v>2783</v>
      </c>
      <c r="G187" s="10" t="s">
        <v>2647</v>
      </c>
      <c r="H187" s="8" t="s">
        <v>2784</v>
      </c>
      <c r="I187" s="10" t="s">
        <v>2703</v>
      </c>
      <c r="J187" s="8" t="s">
        <v>2546</v>
      </c>
      <c r="K187" s="8" t="s">
        <v>2649</v>
      </c>
      <c r="L187" s="8" t="s">
        <v>87</v>
      </c>
      <c r="M187" s="10" t="s">
        <v>1436</v>
      </c>
      <c r="N187" s="8" t="s">
        <v>87</v>
      </c>
      <c r="O187" s="10" t="s">
        <v>22</v>
      </c>
      <c r="P187" s="8" t="s">
        <v>2785</v>
      </c>
      <c r="Q187" s="10" t="s">
        <v>223</v>
      </c>
      <c r="R187" s="10" t="s">
        <v>1438</v>
      </c>
      <c r="S187" s="8" t="s">
        <v>2786</v>
      </c>
      <c r="T187" s="10" t="s">
        <v>2551</v>
      </c>
      <c r="U187" s="10" t="s">
        <v>87</v>
      </c>
      <c r="V187" s="10" t="s">
        <v>87</v>
      </c>
    </row>
    <row r="188" spans="1:22" s="10" customFormat="1" x14ac:dyDescent="0.25">
      <c r="A188" s="10" t="s">
        <v>2787</v>
      </c>
      <c r="B188" s="10" t="s">
        <v>2540</v>
      </c>
      <c r="C188" s="10" t="s">
        <v>215</v>
      </c>
      <c r="D188" s="10" t="s">
        <v>2788</v>
      </c>
      <c r="E188" s="8" t="s">
        <v>2789</v>
      </c>
      <c r="F188" s="8" t="s">
        <v>2790</v>
      </c>
      <c r="G188" s="10" t="s">
        <v>2647</v>
      </c>
      <c r="H188" s="8" t="s">
        <v>2791</v>
      </c>
      <c r="I188" s="10" t="s">
        <v>2703</v>
      </c>
      <c r="J188" s="8" t="s">
        <v>2546</v>
      </c>
      <c r="K188" s="8" t="s">
        <v>2649</v>
      </c>
      <c r="L188" s="8" t="s">
        <v>87</v>
      </c>
      <c r="M188" s="10" t="s">
        <v>1436</v>
      </c>
      <c r="N188" s="8" t="s">
        <v>87</v>
      </c>
      <c r="O188" s="10" t="s">
        <v>22</v>
      </c>
      <c r="P188" s="8" t="s">
        <v>2792</v>
      </c>
      <c r="Q188" s="10" t="s">
        <v>223</v>
      </c>
      <c r="R188" s="10" t="s">
        <v>1438</v>
      </c>
      <c r="S188" s="8" t="s">
        <v>2737</v>
      </c>
      <c r="T188" s="10" t="s">
        <v>2551</v>
      </c>
      <c r="U188" s="10" t="s">
        <v>87</v>
      </c>
      <c r="V188" s="10" t="s">
        <v>87</v>
      </c>
    </row>
    <row r="189" spans="1:22" s="10" customFormat="1" x14ac:dyDescent="0.25">
      <c r="A189" s="10" t="s">
        <v>2793</v>
      </c>
      <c r="B189" s="10" t="s">
        <v>2540</v>
      </c>
      <c r="C189" s="10" t="s">
        <v>215</v>
      </c>
      <c r="D189" s="10" t="s">
        <v>2794</v>
      </c>
      <c r="E189" s="8" t="s">
        <v>2795</v>
      </c>
      <c r="F189" s="8" t="s">
        <v>2796</v>
      </c>
      <c r="G189" s="10" t="s">
        <v>4</v>
      </c>
      <c r="H189" s="8" t="s">
        <v>2797</v>
      </c>
      <c r="I189" s="10" t="s">
        <v>1241</v>
      </c>
      <c r="J189" s="8" t="s">
        <v>2546</v>
      </c>
      <c r="K189" s="8" t="s">
        <v>1873</v>
      </c>
      <c r="L189" s="8" t="s">
        <v>87</v>
      </c>
      <c r="M189" s="10" t="s">
        <v>1456</v>
      </c>
      <c r="N189" s="8" t="s">
        <v>87</v>
      </c>
      <c r="O189" s="10" t="s">
        <v>22</v>
      </c>
      <c r="P189" s="8" t="s">
        <v>2798</v>
      </c>
      <c r="Q189" s="10" t="s">
        <v>246</v>
      </c>
      <c r="R189" s="10" t="s">
        <v>1438</v>
      </c>
      <c r="S189" s="8" t="s">
        <v>2799</v>
      </c>
      <c r="T189" s="10" t="s">
        <v>2551</v>
      </c>
      <c r="U189" s="10" t="s">
        <v>87</v>
      </c>
      <c r="V189" s="10" t="s">
        <v>87</v>
      </c>
    </row>
    <row r="190" spans="1:22" s="10" customFormat="1" x14ac:dyDescent="0.25">
      <c r="A190" s="10" t="s">
        <v>2800</v>
      </c>
      <c r="B190" s="10" t="s">
        <v>2540</v>
      </c>
      <c r="C190" s="10" t="s">
        <v>215</v>
      </c>
      <c r="D190" s="10" t="s">
        <v>2801</v>
      </c>
      <c r="E190" s="8" t="s">
        <v>2802</v>
      </c>
      <c r="F190" s="8" t="s">
        <v>2803</v>
      </c>
      <c r="G190" s="10" t="s">
        <v>4</v>
      </c>
      <c r="H190" s="8" t="s">
        <v>2804</v>
      </c>
      <c r="I190" s="10" t="s">
        <v>1241</v>
      </c>
      <c r="J190" s="8" t="s">
        <v>2546</v>
      </c>
      <c r="K190" s="8" t="s">
        <v>1873</v>
      </c>
      <c r="L190" s="8" t="s">
        <v>87</v>
      </c>
      <c r="M190" s="10" t="s">
        <v>1456</v>
      </c>
      <c r="N190" s="8" t="s">
        <v>87</v>
      </c>
      <c r="O190" s="10" t="s">
        <v>22</v>
      </c>
      <c r="P190" s="8" t="s">
        <v>2805</v>
      </c>
      <c r="Q190" s="10" t="s">
        <v>246</v>
      </c>
      <c r="R190" s="10" t="s">
        <v>1438</v>
      </c>
      <c r="S190" s="8" t="s">
        <v>2806</v>
      </c>
      <c r="T190" s="10" t="s">
        <v>2551</v>
      </c>
      <c r="U190" s="10" t="s">
        <v>87</v>
      </c>
      <c r="V190" s="10" t="s">
        <v>87</v>
      </c>
    </row>
    <row r="191" spans="1:22" s="10" customFormat="1" x14ac:dyDescent="0.25">
      <c r="A191" s="10" t="s">
        <v>2807</v>
      </c>
      <c r="B191" s="10" t="s">
        <v>2540</v>
      </c>
      <c r="C191" s="11" t="s">
        <v>346</v>
      </c>
      <c r="D191" s="10" t="s">
        <v>2808</v>
      </c>
      <c r="E191" s="8" t="s">
        <v>2809</v>
      </c>
      <c r="F191" s="8" t="s">
        <v>2810</v>
      </c>
      <c r="G191" s="10" t="s">
        <v>4</v>
      </c>
      <c r="H191" s="8" t="s">
        <v>2811</v>
      </c>
      <c r="I191" s="10" t="s">
        <v>1241</v>
      </c>
      <c r="J191" s="8" t="s">
        <v>2546</v>
      </c>
      <c r="K191" s="8" t="s">
        <v>1873</v>
      </c>
      <c r="L191" s="8" t="s">
        <v>87</v>
      </c>
      <c r="M191" s="10" t="s">
        <v>1456</v>
      </c>
      <c r="N191" s="8" t="s">
        <v>87</v>
      </c>
      <c r="O191" s="10" t="s">
        <v>22</v>
      </c>
      <c r="P191" s="8" t="s">
        <v>2812</v>
      </c>
      <c r="Q191" s="10" t="s">
        <v>223</v>
      </c>
      <c r="R191" s="10" t="s">
        <v>1438</v>
      </c>
      <c r="S191" s="8" t="s">
        <v>2765</v>
      </c>
      <c r="T191" s="10" t="s">
        <v>2551</v>
      </c>
      <c r="U191" s="10" t="s">
        <v>87</v>
      </c>
      <c r="V191" s="10" t="s">
        <v>87</v>
      </c>
    </row>
    <row r="192" spans="1:22" s="10" customFormat="1" x14ac:dyDescent="0.25">
      <c r="A192" s="10" t="s">
        <v>2813</v>
      </c>
      <c r="B192" s="10" t="s">
        <v>2540</v>
      </c>
      <c r="C192" s="10" t="s">
        <v>215</v>
      </c>
      <c r="D192" s="10" t="s">
        <v>2814</v>
      </c>
      <c r="E192" s="8" t="s">
        <v>2815</v>
      </c>
      <c r="F192" s="8" t="s">
        <v>2816</v>
      </c>
      <c r="G192" s="10" t="s">
        <v>2647</v>
      </c>
      <c r="H192" s="8" t="s">
        <v>2817</v>
      </c>
      <c r="I192" s="10" t="s">
        <v>2818</v>
      </c>
      <c r="J192" s="8" t="s">
        <v>2546</v>
      </c>
      <c r="K192" s="8" t="s">
        <v>2649</v>
      </c>
      <c r="L192" s="8" t="s">
        <v>87</v>
      </c>
      <c r="M192" s="10" t="s">
        <v>1436</v>
      </c>
      <c r="N192" s="8" t="s">
        <v>87</v>
      </c>
      <c r="O192" s="10" t="s">
        <v>22</v>
      </c>
      <c r="P192" s="8" t="s">
        <v>2819</v>
      </c>
      <c r="Q192" s="10" t="s">
        <v>1447</v>
      </c>
      <c r="R192" s="10" t="s">
        <v>1438</v>
      </c>
      <c r="S192" s="8" t="s">
        <v>2820</v>
      </c>
      <c r="T192" s="10" t="s">
        <v>2551</v>
      </c>
      <c r="U192" s="10" t="s">
        <v>87</v>
      </c>
      <c r="V192" s="10" t="s">
        <v>87</v>
      </c>
    </row>
    <row r="193" spans="1:22" s="10" customFormat="1" x14ac:dyDescent="0.25">
      <c r="A193" s="10" t="s">
        <v>2821</v>
      </c>
      <c r="B193" s="10" t="s">
        <v>2540</v>
      </c>
      <c r="C193" s="11" t="s">
        <v>346</v>
      </c>
      <c r="D193" s="10" t="s">
        <v>2822</v>
      </c>
      <c r="E193" s="8" t="s">
        <v>2823</v>
      </c>
      <c r="F193" s="8" t="s">
        <v>2824</v>
      </c>
      <c r="G193" s="10" t="s">
        <v>3</v>
      </c>
      <c r="H193" s="8" t="s">
        <v>2825</v>
      </c>
      <c r="I193" s="10" t="s">
        <v>2826</v>
      </c>
      <c r="J193" s="8" t="s">
        <v>1655</v>
      </c>
      <c r="K193" s="8" t="s">
        <v>1435</v>
      </c>
      <c r="L193" s="8" t="s">
        <v>87</v>
      </c>
      <c r="M193" s="10" t="s">
        <v>1436</v>
      </c>
      <c r="N193" s="8" t="s">
        <v>87</v>
      </c>
      <c r="O193" s="10" t="s">
        <v>22</v>
      </c>
      <c r="P193" s="8" t="s">
        <v>2827</v>
      </c>
      <c r="Q193" s="10" t="s">
        <v>1447</v>
      </c>
      <c r="R193" s="10" t="s">
        <v>1657</v>
      </c>
      <c r="S193" s="8" t="s">
        <v>2828</v>
      </c>
      <c r="T193" s="10" t="s">
        <v>2551</v>
      </c>
      <c r="U193" s="10" t="s">
        <v>87</v>
      </c>
      <c r="V193" s="10" t="s">
        <v>87</v>
      </c>
    </row>
    <row r="194" spans="1:22" s="10" customFormat="1" x14ac:dyDescent="0.25">
      <c r="A194" s="10" t="s">
        <v>2829</v>
      </c>
      <c r="B194" s="10" t="s">
        <v>2540</v>
      </c>
      <c r="C194" s="11" t="s">
        <v>346</v>
      </c>
      <c r="D194" s="10" t="s">
        <v>2830</v>
      </c>
      <c r="E194" s="8" t="s">
        <v>2831</v>
      </c>
      <c r="F194" s="8" t="s">
        <v>2832</v>
      </c>
      <c r="G194" s="10" t="s">
        <v>4</v>
      </c>
      <c r="H194" s="8" t="s">
        <v>1653</v>
      </c>
      <c r="I194" s="10" t="s">
        <v>2833</v>
      </c>
      <c r="J194" s="8" t="s">
        <v>1655</v>
      </c>
      <c r="K194" s="8" t="s">
        <v>1873</v>
      </c>
      <c r="L194" s="8" t="s">
        <v>87</v>
      </c>
      <c r="M194" s="10" t="s">
        <v>1456</v>
      </c>
      <c r="N194" s="8" t="s">
        <v>87</v>
      </c>
      <c r="O194" s="10" t="s">
        <v>22</v>
      </c>
      <c r="P194" s="8" t="s">
        <v>2834</v>
      </c>
      <c r="Q194" s="10" t="s">
        <v>1447</v>
      </c>
      <c r="R194" s="10" t="s">
        <v>1657</v>
      </c>
      <c r="S194" s="8" t="s">
        <v>2180</v>
      </c>
      <c r="T194" s="10" t="s">
        <v>2551</v>
      </c>
      <c r="U194" s="10" t="s">
        <v>87</v>
      </c>
      <c r="V194" s="10" t="s">
        <v>87</v>
      </c>
    </row>
    <row r="195" spans="1:22" s="10" customFormat="1" x14ac:dyDescent="0.25">
      <c r="A195" s="10" t="s">
        <v>2835</v>
      </c>
      <c r="B195" s="10" t="s">
        <v>2540</v>
      </c>
      <c r="C195" s="11" t="s">
        <v>346</v>
      </c>
      <c r="D195" s="10" t="s">
        <v>2836</v>
      </c>
      <c r="E195" s="8" t="s">
        <v>2837</v>
      </c>
      <c r="F195" s="8" t="s">
        <v>2838</v>
      </c>
      <c r="G195" s="10" t="s">
        <v>3</v>
      </c>
      <c r="H195" s="8" t="s">
        <v>2839</v>
      </c>
      <c r="I195" s="10" t="s">
        <v>2728</v>
      </c>
      <c r="J195" s="8" t="s">
        <v>1664</v>
      </c>
      <c r="K195" s="8" t="s">
        <v>1435</v>
      </c>
      <c r="L195" s="8" t="s">
        <v>2367</v>
      </c>
      <c r="M195" s="10" t="s">
        <v>1436</v>
      </c>
      <c r="N195" s="8" t="s">
        <v>87</v>
      </c>
      <c r="O195" s="10" t="s">
        <v>22</v>
      </c>
      <c r="P195" s="8" t="s">
        <v>2840</v>
      </c>
      <c r="Q195" s="10" t="s">
        <v>825</v>
      </c>
      <c r="R195" s="10" t="s">
        <v>2841</v>
      </c>
      <c r="S195" s="8" t="s">
        <v>1669</v>
      </c>
      <c r="T195" s="10" t="s">
        <v>2551</v>
      </c>
      <c r="U195" s="10" t="s">
        <v>87</v>
      </c>
      <c r="V195" s="10" t="s">
        <v>87</v>
      </c>
    </row>
    <row r="196" spans="1:22" s="10" customFormat="1" x14ac:dyDescent="0.25">
      <c r="A196" s="10" t="s">
        <v>2842</v>
      </c>
      <c r="B196" s="10" t="s">
        <v>2540</v>
      </c>
      <c r="C196" s="10" t="s">
        <v>215</v>
      </c>
      <c r="D196" s="10" t="s">
        <v>2843</v>
      </c>
      <c r="E196" s="8" t="s">
        <v>2844</v>
      </c>
      <c r="F196" s="8" t="s">
        <v>2845</v>
      </c>
      <c r="G196" s="10" t="s">
        <v>4</v>
      </c>
      <c r="H196" s="8" t="s">
        <v>2846</v>
      </c>
      <c r="I196" s="10" t="s">
        <v>2703</v>
      </c>
      <c r="J196" s="8" t="s">
        <v>2546</v>
      </c>
      <c r="K196" s="8" t="s">
        <v>2847</v>
      </c>
      <c r="L196" s="8" t="s">
        <v>87</v>
      </c>
      <c r="M196" s="10" t="s">
        <v>1456</v>
      </c>
      <c r="N196" s="8" t="s">
        <v>87</v>
      </c>
      <c r="O196" s="10" t="s">
        <v>22</v>
      </c>
      <c r="P196" s="8" t="s">
        <v>2848</v>
      </c>
      <c r="Q196" s="10" t="s">
        <v>239</v>
      </c>
      <c r="R196" s="10" t="s">
        <v>1438</v>
      </c>
      <c r="S196" s="8" t="s">
        <v>2849</v>
      </c>
      <c r="T196" s="10" t="s">
        <v>2551</v>
      </c>
      <c r="U196" s="10" t="s">
        <v>87</v>
      </c>
      <c r="V196" s="10" t="s">
        <v>87</v>
      </c>
    </row>
    <row r="197" spans="1:22" s="10" customFormat="1" x14ac:dyDescent="0.25">
      <c r="A197" s="10" t="s">
        <v>2850</v>
      </c>
      <c r="B197" s="10" t="s">
        <v>2540</v>
      </c>
      <c r="C197" s="10" t="s">
        <v>215</v>
      </c>
      <c r="D197" s="10" t="s">
        <v>2851</v>
      </c>
      <c r="E197" s="8" t="s">
        <v>2852</v>
      </c>
      <c r="F197" s="8" t="s">
        <v>2853</v>
      </c>
      <c r="G197" s="10" t="s">
        <v>4</v>
      </c>
      <c r="H197" s="8" t="s">
        <v>2742</v>
      </c>
      <c r="I197" s="10" t="s">
        <v>1241</v>
      </c>
      <c r="J197" s="8" t="s">
        <v>2546</v>
      </c>
      <c r="K197" s="8" t="s">
        <v>1873</v>
      </c>
      <c r="L197" s="8" t="s">
        <v>87</v>
      </c>
      <c r="M197" s="10" t="s">
        <v>1436</v>
      </c>
      <c r="N197" s="8" t="s">
        <v>87</v>
      </c>
      <c r="O197" s="10" t="s">
        <v>22</v>
      </c>
      <c r="P197" s="8" t="s">
        <v>2854</v>
      </c>
      <c r="Q197" s="10" t="s">
        <v>223</v>
      </c>
      <c r="R197" s="10" t="s">
        <v>1438</v>
      </c>
      <c r="S197" s="8" t="s">
        <v>1648</v>
      </c>
      <c r="T197" s="10" t="s">
        <v>2551</v>
      </c>
      <c r="U197" s="10" t="s">
        <v>87</v>
      </c>
      <c r="V197" s="10" t="s">
        <v>87</v>
      </c>
    </row>
    <row r="198" spans="1:22" s="10" customFormat="1" x14ac:dyDescent="0.25">
      <c r="A198" s="10" t="s">
        <v>2855</v>
      </c>
      <c r="B198" s="10" t="s">
        <v>2856</v>
      </c>
      <c r="C198" s="10" t="s">
        <v>215</v>
      </c>
      <c r="D198" s="10" t="s">
        <v>2857</v>
      </c>
      <c r="E198" s="8" t="s">
        <v>2858</v>
      </c>
      <c r="F198" s="8" t="s">
        <v>2859</v>
      </c>
      <c r="G198" s="10" t="s">
        <v>4</v>
      </c>
      <c r="H198" s="8" t="s">
        <v>2860</v>
      </c>
      <c r="I198" s="10" t="s">
        <v>2861</v>
      </c>
      <c r="J198" s="8" t="s">
        <v>2862</v>
      </c>
      <c r="K198" s="8" t="s">
        <v>1873</v>
      </c>
      <c r="L198" s="8" t="s">
        <v>87</v>
      </c>
      <c r="M198" s="10" t="s">
        <v>1436</v>
      </c>
      <c r="N198" s="8" t="s">
        <v>87</v>
      </c>
      <c r="O198" s="10" t="s">
        <v>22</v>
      </c>
      <c r="P198" s="8" t="s">
        <v>2863</v>
      </c>
      <c r="Q198" s="10" t="s">
        <v>223</v>
      </c>
      <c r="R198" s="10" t="s">
        <v>1438</v>
      </c>
      <c r="S198" s="8" t="s">
        <v>2864</v>
      </c>
      <c r="T198" s="10" t="s">
        <v>2865</v>
      </c>
      <c r="U198" s="10" t="s">
        <v>87</v>
      </c>
      <c r="V198" s="10" t="s">
        <v>87</v>
      </c>
    </row>
    <row r="199" spans="1:22" s="10" customFormat="1" x14ac:dyDescent="0.25">
      <c r="A199" s="10" t="s">
        <v>2866</v>
      </c>
      <c r="B199" s="10" t="s">
        <v>2856</v>
      </c>
      <c r="C199" s="10" t="s">
        <v>384</v>
      </c>
      <c r="D199" s="10" t="s">
        <v>2867</v>
      </c>
      <c r="E199" s="8" t="s">
        <v>2868</v>
      </c>
      <c r="F199" s="8" t="s">
        <v>2869</v>
      </c>
      <c r="G199" s="10" t="s">
        <v>2647</v>
      </c>
      <c r="H199" s="8" t="s">
        <v>2870</v>
      </c>
      <c r="I199" s="10" t="s">
        <v>479</v>
      </c>
      <c r="J199" s="8" t="s">
        <v>2862</v>
      </c>
      <c r="K199" s="8" t="s">
        <v>2649</v>
      </c>
      <c r="L199" s="8" t="s">
        <v>87</v>
      </c>
      <c r="M199" s="10" t="s">
        <v>1436</v>
      </c>
      <c r="N199" s="8" t="s">
        <v>87</v>
      </c>
      <c r="O199" s="10" t="s">
        <v>22</v>
      </c>
      <c r="P199" s="8" t="s">
        <v>2871</v>
      </c>
      <c r="Q199" s="10" t="s">
        <v>223</v>
      </c>
      <c r="R199" s="10" t="s">
        <v>1438</v>
      </c>
      <c r="S199" s="8" t="s">
        <v>1439</v>
      </c>
      <c r="T199" s="10" t="s">
        <v>2865</v>
      </c>
      <c r="U199" s="10" t="s">
        <v>87</v>
      </c>
      <c r="V199" s="10" t="s">
        <v>87</v>
      </c>
    </row>
    <row r="200" spans="1:22" s="10" customFormat="1" x14ac:dyDescent="0.25">
      <c r="A200" s="10" t="s">
        <v>2872</v>
      </c>
      <c r="B200" s="10" t="s">
        <v>2856</v>
      </c>
      <c r="C200" s="11" t="s">
        <v>346</v>
      </c>
      <c r="D200" s="10" t="s">
        <v>2873</v>
      </c>
      <c r="E200" s="8" t="s">
        <v>2874</v>
      </c>
      <c r="F200" s="8" t="s">
        <v>2875</v>
      </c>
      <c r="G200" s="10" t="s">
        <v>2647</v>
      </c>
      <c r="H200" s="8" t="s">
        <v>2876</v>
      </c>
      <c r="I200" s="10" t="s">
        <v>2861</v>
      </c>
      <c r="J200" s="8" t="s">
        <v>2862</v>
      </c>
      <c r="K200" s="8" t="s">
        <v>2649</v>
      </c>
      <c r="L200" s="8" t="s">
        <v>87</v>
      </c>
      <c r="M200" s="10" t="s">
        <v>1436</v>
      </c>
      <c r="N200" s="8" t="s">
        <v>87</v>
      </c>
      <c r="O200" s="10" t="s">
        <v>22</v>
      </c>
      <c r="P200" s="8" t="s">
        <v>2877</v>
      </c>
      <c r="Q200" s="10" t="s">
        <v>223</v>
      </c>
      <c r="R200" s="10" t="s">
        <v>1438</v>
      </c>
      <c r="S200" s="8" t="s">
        <v>2878</v>
      </c>
      <c r="T200" s="10" t="s">
        <v>2865</v>
      </c>
      <c r="U200" s="10" t="s">
        <v>87</v>
      </c>
      <c r="V200" s="10" t="s">
        <v>87</v>
      </c>
    </row>
    <row r="201" spans="1:22" s="10" customFormat="1" x14ac:dyDescent="0.25">
      <c r="A201" s="10" t="s">
        <v>2879</v>
      </c>
      <c r="B201" s="10" t="s">
        <v>2856</v>
      </c>
      <c r="C201" s="11" t="s">
        <v>346</v>
      </c>
      <c r="D201" s="10" t="s">
        <v>2880</v>
      </c>
      <c r="E201" s="8" t="s">
        <v>2881</v>
      </c>
      <c r="F201" s="8" t="s">
        <v>2882</v>
      </c>
      <c r="G201" s="10" t="s">
        <v>2647</v>
      </c>
      <c r="H201" s="8" t="s">
        <v>2883</v>
      </c>
      <c r="I201" s="10" t="s">
        <v>2884</v>
      </c>
      <c r="J201" s="8" t="s">
        <v>2862</v>
      </c>
      <c r="K201" s="8" t="s">
        <v>2649</v>
      </c>
      <c r="L201" s="8" t="s">
        <v>87</v>
      </c>
      <c r="M201" s="10" t="s">
        <v>1436</v>
      </c>
      <c r="N201" s="8" t="s">
        <v>87</v>
      </c>
      <c r="O201" s="10" t="s">
        <v>22</v>
      </c>
      <c r="P201" s="8" t="s">
        <v>2885</v>
      </c>
      <c r="Q201" s="10" t="s">
        <v>223</v>
      </c>
      <c r="R201" s="10" t="s">
        <v>1438</v>
      </c>
      <c r="S201" s="8" t="s">
        <v>2886</v>
      </c>
      <c r="T201" s="10" t="s">
        <v>2865</v>
      </c>
      <c r="U201" s="10" t="s">
        <v>87</v>
      </c>
      <c r="V201" s="10" t="s">
        <v>87</v>
      </c>
    </row>
    <row r="202" spans="1:22" s="10" customFormat="1" x14ac:dyDescent="0.25">
      <c r="A202" s="10" t="s">
        <v>2887</v>
      </c>
      <c r="B202" s="10" t="s">
        <v>2856</v>
      </c>
      <c r="C202" s="10" t="s">
        <v>384</v>
      </c>
      <c r="D202" s="10" t="s">
        <v>2888</v>
      </c>
      <c r="E202" s="8" t="s">
        <v>2889</v>
      </c>
      <c r="F202" s="8" t="s">
        <v>2890</v>
      </c>
      <c r="G202" s="10" t="s">
        <v>2647</v>
      </c>
      <c r="H202" s="8" t="s">
        <v>2883</v>
      </c>
      <c r="I202" s="10" t="s">
        <v>479</v>
      </c>
      <c r="J202" s="8" t="s">
        <v>2862</v>
      </c>
      <c r="K202" s="8" t="s">
        <v>2649</v>
      </c>
      <c r="L202" s="8" t="s">
        <v>87</v>
      </c>
      <c r="M202" s="10" t="s">
        <v>1436</v>
      </c>
      <c r="N202" s="8" t="s">
        <v>87</v>
      </c>
      <c r="O202" s="10" t="s">
        <v>22</v>
      </c>
      <c r="P202" s="8" t="s">
        <v>2891</v>
      </c>
      <c r="Q202" s="10" t="s">
        <v>246</v>
      </c>
      <c r="R202" s="10" t="s">
        <v>1438</v>
      </c>
      <c r="S202" s="8" t="s">
        <v>2892</v>
      </c>
      <c r="T202" s="10" t="s">
        <v>2865</v>
      </c>
      <c r="U202" s="10" t="s">
        <v>87</v>
      </c>
      <c r="V202" s="10" t="s">
        <v>87</v>
      </c>
    </row>
    <row r="203" spans="1:22" s="10" customFormat="1" x14ac:dyDescent="0.25">
      <c r="A203" s="10" t="s">
        <v>2893</v>
      </c>
      <c r="B203" s="10" t="s">
        <v>2856</v>
      </c>
      <c r="C203" s="10" t="s">
        <v>215</v>
      </c>
      <c r="D203" s="10" t="s">
        <v>2894</v>
      </c>
      <c r="E203" s="8" t="s">
        <v>2895</v>
      </c>
      <c r="F203" s="8" t="s">
        <v>2896</v>
      </c>
      <c r="G203" s="10" t="s">
        <v>2647</v>
      </c>
      <c r="H203" s="8" t="s">
        <v>2897</v>
      </c>
      <c r="I203" s="10" t="s">
        <v>479</v>
      </c>
      <c r="J203" s="8" t="s">
        <v>2862</v>
      </c>
      <c r="K203" s="8" t="s">
        <v>2649</v>
      </c>
      <c r="L203" s="8" t="s">
        <v>87</v>
      </c>
      <c r="M203" s="10" t="s">
        <v>1436</v>
      </c>
      <c r="N203" s="8" t="s">
        <v>87</v>
      </c>
      <c r="O203" s="10" t="s">
        <v>22</v>
      </c>
      <c r="P203" s="8" t="s">
        <v>2898</v>
      </c>
      <c r="Q203" s="10" t="s">
        <v>239</v>
      </c>
      <c r="R203" s="10" t="s">
        <v>1438</v>
      </c>
      <c r="S203" s="8" t="s">
        <v>2899</v>
      </c>
      <c r="T203" s="10" t="s">
        <v>2865</v>
      </c>
      <c r="U203" s="10" t="s">
        <v>87</v>
      </c>
      <c r="V203" s="10" t="s">
        <v>87</v>
      </c>
    </row>
    <row r="204" spans="1:22" s="10" customFormat="1" x14ac:dyDescent="0.25">
      <c r="A204" s="10" t="s">
        <v>2900</v>
      </c>
      <c r="B204" s="10" t="s">
        <v>2856</v>
      </c>
      <c r="C204" s="10" t="s">
        <v>215</v>
      </c>
      <c r="D204" s="10" t="s">
        <v>2901</v>
      </c>
      <c r="E204" s="8" t="s">
        <v>2902</v>
      </c>
      <c r="F204" s="8" t="s">
        <v>2903</v>
      </c>
      <c r="G204" s="10" t="s">
        <v>2647</v>
      </c>
      <c r="H204" s="8" t="s">
        <v>2904</v>
      </c>
      <c r="I204" s="10" t="s">
        <v>479</v>
      </c>
      <c r="J204" s="8" t="s">
        <v>2862</v>
      </c>
      <c r="K204" s="8" t="s">
        <v>2649</v>
      </c>
      <c r="L204" s="8" t="s">
        <v>87</v>
      </c>
      <c r="M204" s="10" t="s">
        <v>1436</v>
      </c>
      <c r="N204" s="8" t="s">
        <v>87</v>
      </c>
      <c r="O204" s="10" t="s">
        <v>22</v>
      </c>
      <c r="P204" s="8" t="s">
        <v>2905</v>
      </c>
      <c r="Q204" s="10" t="s">
        <v>239</v>
      </c>
      <c r="R204" s="10" t="s">
        <v>1438</v>
      </c>
      <c r="S204" s="8" t="s">
        <v>2906</v>
      </c>
      <c r="T204" s="10" t="s">
        <v>2865</v>
      </c>
      <c r="U204" s="10" t="s">
        <v>87</v>
      </c>
      <c r="V204" s="10" t="s">
        <v>87</v>
      </c>
    </row>
    <row r="205" spans="1:22" s="10" customFormat="1" x14ac:dyDescent="0.25">
      <c r="A205" s="10" t="s">
        <v>2907</v>
      </c>
      <c r="B205" s="10" t="s">
        <v>2856</v>
      </c>
      <c r="C205" s="10" t="s">
        <v>215</v>
      </c>
      <c r="D205" s="10" t="s">
        <v>2908</v>
      </c>
      <c r="E205" s="8" t="s">
        <v>2909</v>
      </c>
      <c r="F205" s="8" t="s">
        <v>2903</v>
      </c>
      <c r="G205" s="10" t="s">
        <v>2647</v>
      </c>
      <c r="H205" s="8" t="s">
        <v>2910</v>
      </c>
      <c r="I205" s="10" t="s">
        <v>479</v>
      </c>
      <c r="J205" s="8" t="s">
        <v>2862</v>
      </c>
      <c r="K205" s="8" t="s">
        <v>2649</v>
      </c>
      <c r="L205" s="8" t="s">
        <v>87</v>
      </c>
      <c r="M205" s="10" t="s">
        <v>1436</v>
      </c>
      <c r="N205" s="8" t="s">
        <v>87</v>
      </c>
      <c r="O205" s="10" t="s">
        <v>22</v>
      </c>
      <c r="P205" s="8" t="s">
        <v>2911</v>
      </c>
      <c r="Q205" s="10" t="s">
        <v>239</v>
      </c>
      <c r="R205" s="10" t="s">
        <v>1438</v>
      </c>
      <c r="S205" s="8" t="s">
        <v>2912</v>
      </c>
      <c r="T205" s="10" t="s">
        <v>2865</v>
      </c>
      <c r="U205" s="10" t="s">
        <v>87</v>
      </c>
      <c r="V205" s="10" t="s">
        <v>87</v>
      </c>
    </row>
    <row r="206" spans="1:22" s="10" customFormat="1" x14ac:dyDescent="0.25">
      <c r="A206" s="10" t="s">
        <v>2913</v>
      </c>
      <c r="B206" s="10" t="s">
        <v>2856</v>
      </c>
      <c r="C206" s="11" t="s">
        <v>346</v>
      </c>
      <c r="D206" s="10" t="s">
        <v>2914</v>
      </c>
      <c r="E206" s="8" t="s">
        <v>2915</v>
      </c>
      <c r="F206" s="8" t="s">
        <v>2916</v>
      </c>
      <c r="G206" s="10" t="s">
        <v>2647</v>
      </c>
      <c r="H206" s="8" t="s">
        <v>2917</v>
      </c>
      <c r="I206" s="10" t="s">
        <v>2918</v>
      </c>
      <c r="J206" s="8" t="s">
        <v>2862</v>
      </c>
      <c r="K206" s="8" t="s">
        <v>2649</v>
      </c>
      <c r="L206" s="8" t="s">
        <v>87</v>
      </c>
      <c r="M206" s="10" t="s">
        <v>1436</v>
      </c>
      <c r="N206" s="8" t="s">
        <v>87</v>
      </c>
      <c r="O206" s="10" t="s">
        <v>22</v>
      </c>
      <c r="P206" s="8" t="s">
        <v>2919</v>
      </c>
      <c r="Q206" s="10" t="s">
        <v>246</v>
      </c>
      <c r="R206" s="10" t="s">
        <v>1438</v>
      </c>
      <c r="S206" s="8" t="s">
        <v>2920</v>
      </c>
      <c r="T206" s="10" t="s">
        <v>2865</v>
      </c>
      <c r="U206" s="10" t="s">
        <v>87</v>
      </c>
      <c r="V206" s="10" t="s">
        <v>87</v>
      </c>
    </row>
    <row r="207" spans="1:22" s="10" customFormat="1" x14ac:dyDescent="0.25">
      <c r="A207" s="10" t="s">
        <v>2921</v>
      </c>
      <c r="B207" s="10" t="s">
        <v>2856</v>
      </c>
      <c r="C207" s="11" t="s">
        <v>346</v>
      </c>
      <c r="D207" s="10" t="s">
        <v>2922</v>
      </c>
      <c r="E207" s="8" t="s">
        <v>2923</v>
      </c>
      <c r="F207" s="8" t="s">
        <v>2924</v>
      </c>
      <c r="G207" s="10" t="s">
        <v>2647</v>
      </c>
      <c r="H207" s="8" t="s">
        <v>2925</v>
      </c>
      <c r="I207" s="10" t="s">
        <v>2918</v>
      </c>
      <c r="J207" s="8" t="s">
        <v>2862</v>
      </c>
      <c r="K207" s="8" t="s">
        <v>2649</v>
      </c>
      <c r="L207" s="8" t="s">
        <v>87</v>
      </c>
      <c r="M207" s="10" t="s">
        <v>1436</v>
      </c>
      <c r="N207" s="8" t="s">
        <v>87</v>
      </c>
      <c r="O207" s="10" t="s">
        <v>22</v>
      </c>
      <c r="P207" s="8" t="s">
        <v>2926</v>
      </c>
      <c r="Q207" s="10" t="s">
        <v>239</v>
      </c>
      <c r="R207" s="10" t="s">
        <v>1438</v>
      </c>
      <c r="S207" s="8" t="s">
        <v>2927</v>
      </c>
      <c r="T207" s="10" t="s">
        <v>2865</v>
      </c>
      <c r="U207" s="10" t="s">
        <v>87</v>
      </c>
      <c r="V207" s="10" t="s">
        <v>87</v>
      </c>
    </row>
    <row r="208" spans="1:22" s="10" customFormat="1" x14ac:dyDescent="0.25">
      <c r="A208" s="10" t="s">
        <v>2928</v>
      </c>
      <c r="B208" s="10" t="s">
        <v>2856</v>
      </c>
      <c r="C208" s="11" t="s">
        <v>346</v>
      </c>
      <c r="D208" s="10" t="s">
        <v>2929</v>
      </c>
      <c r="E208" s="8" t="s">
        <v>2930</v>
      </c>
      <c r="F208" s="8" t="s">
        <v>2931</v>
      </c>
      <c r="G208" s="10" t="s">
        <v>2647</v>
      </c>
      <c r="H208" s="8" t="s">
        <v>2932</v>
      </c>
      <c r="I208" s="10" t="s">
        <v>2918</v>
      </c>
      <c r="J208" s="8" t="s">
        <v>2862</v>
      </c>
      <c r="K208" s="8" t="s">
        <v>2649</v>
      </c>
      <c r="L208" s="8" t="s">
        <v>87</v>
      </c>
      <c r="M208" s="10" t="s">
        <v>1436</v>
      </c>
      <c r="N208" s="8" t="s">
        <v>87</v>
      </c>
      <c r="O208" s="10" t="s">
        <v>22</v>
      </c>
      <c r="P208" s="8" t="s">
        <v>2933</v>
      </c>
      <c r="Q208" s="10" t="s">
        <v>239</v>
      </c>
      <c r="R208" s="10" t="s">
        <v>1438</v>
      </c>
      <c r="S208" s="8" t="s">
        <v>2934</v>
      </c>
      <c r="T208" s="10" t="s">
        <v>2865</v>
      </c>
      <c r="U208" s="10" t="s">
        <v>87</v>
      </c>
      <c r="V208" s="10" t="s">
        <v>87</v>
      </c>
    </row>
    <row r="209" spans="1:22" s="10" customFormat="1" x14ac:dyDescent="0.25">
      <c r="A209" s="10" t="s">
        <v>2935</v>
      </c>
      <c r="B209" s="10" t="s">
        <v>2856</v>
      </c>
      <c r="C209" s="11" t="s">
        <v>346</v>
      </c>
      <c r="D209" s="10" t="s">
        <v>2936</v>
      </c>
      <c r="E209" s="8" t="s">
        <v>2937</v>
      </c>
      <c r="F209" s="8" t="s">
        <v>2938</v>
      </c>
      <c r="G209" s="10" t="s">
        <v>2647</v>
      </c>
      <c r="H209" s="8" t="s">
        <v>2939</v>
      </c>
      <c r="I209" s="10" t="s">
        <v>2918</v>
      </c>
      <c r="J209" s="8" t="s">
        <v>2940</v>
      </c>
      <c r="K209" s="8" t="s">
        <v>2649</v>
      </c>
      <c r="L209" s="8" t="s">
        <v>87</v>
      </c>
      <c r="M209" s="10" t="s">
        <v>1436</v>
      </c>
      <c r="N209" s="8" t="s">
        <v>87</v>
      </c>
      <c r="O209" s="10" t="s">
        <v>22</v>
      </c>
      <c r="P209" s="8" t="s">
        <v>2941</v>
      </c>
      <c r="Q209" s="10" t="s">
        <v>1447</v>
      </c>
      <c r="R209" s="10" t="s">
        <v>1438</v>
      </c>
      <c r="S209" s="8" t="s">
        <v>2942</v>
      </c>
      <c r="T209" s="10" t="s">
        <v>2865</v>
      </c>
      <c r="U209" s="10" t="s">
        <v>87</v>
      </c>
      <c r="V209" s="10" t="s">
        <v>87</v>
      </c>
    </row>
    <row r="210" spans="1:22" s="10" customFormat="1" x14ac:dyDescent="0.25">
      <c r="A210" s="10" t="s">
        <v>2943</v>
      </c>
      <c r="B210" s="10" t="s">
        <v>2856</v>
      </c>
      <c r="C210" s="10" t="s">
        <v>215</v>
      </c>
      <c r="D210" s="10" t="s">
        <v>2944</v>
      </c>
      <c r="E210" s="8" t="s">
        <v>2945</v>
      </c>
      <c r="F210" s="8" t="s">
        <v>2946</v>
      </c>
      <c r="G210" s="10" t="s">
        <v>2647</v>
      </c>
      <c r="H210" s="8" t="s">
        <v>2939</v>
      </c>
      <c r="I210" s="10" t="s">
        <v>2918</v>
      </c>
      <c r="J210" s="8" t="s">
        <v>2862</v>
      </c>
      <c r="K210" s="8" t="s">
        <v>2649</v>
      </c>
      <c r="L210" s="8" t="s">
        <v>87</v>
      </c>
      <c r="M210" s="10" t="s">
        <v>1436</v>
      </c>
      <c r="N210" s="8" t="s">
        <v>87</v>
      </c>
      <c r="O210" s="10" t="s">
        <v>22</v>
      </c>
      <c r="P210" s="8" t="s">
        <v>2947</v>
      </c>
      <c r="Q210" s="10" t="s">
        <v>223</v>
      </c>
      <c r="R210" s="10" t="s">
        <v>1438</v>
      </c>
      <c r="S210" s="8" t="s">
        <v>2942</v>
      </c>
      <c r="T210" s="10" t="s">
        <v>2865</v>
      </c>
      <c r="U210" s="10" t="s">
        <v>87</v>
      </c>
      <c r="V210" s="10" t="s">
        <v>87</v>
      </c>
    </row>
    <row r="211" spans="1:22" s="10" customFormat="1" x14ac:dyDescent="0.25">
      <c r="A211" s="10" t="s">
        <v>2948</v>
      </c>
      <c r="B211" s="10" t="s">
        <v>2856</v>
      </c>
      <c r="C211" s="10" t="s">
        <v>215</v>
      </c>
      <c r="D211" s="10" t="s">
        <v>2949</v>
      </c>
      <c r="E211" s="8" t="s">
        <v>2950</v>
      </c>
      <c r="F211" s="8" t="s">
        <v>2951</v>
      </c>
      <c r="G211" s="10" t="s">
        <v>2647</v>
      </c>
      <c r="H211" s="8" t="s">
        <v>2952</v>
      </c>
      <c r="I211" s="10" t="s">
        <v>2918</v>
      </c>
      <c r="J211" s="8" t="s">
        <v>2862</v>
      </c>
      <c r="K211" s="8" t="s">
        <v>2649</v>
      </c>
      <c r="L211" s="8" t="s">
        <v>87</v>
      </c>
      <c r="M211" s="10" t="s">
        <v>1436</v>
      </c>
      <c r="N211" s="8" t="s">
        <v>87</v>
      </c>
      <c r="O211" s="10" t="s">
        <v>22</v>
      </c>
      <c r="P211" s="8" t="s">
        <v>2953</v>
      </c>
      <c r="Q211" s="10" t="s">
        <v>223</v>
      </c>
      <c r="R211" s="10" t="s">
        <v>1438</v>
      </c>
      <c r="S211" s="8" t="s">
        <v>2954</v>
      </c>
      <c r="T211" s="10" t="s">
        <v>2865</v>
      </c>
      <c r="U211" s="10" t="s">
        <v>87</v>
      </c>
      <c r="V211" s="10" t="s">
        <v>87</v>
      </c>
    </row>
    <row r="212" spans="1:22" s="10" customFormat="1" x14ac:dyDescent="0.25">
      <c r="A212" s="10" t="s">
        <v>2955</v>
      </c>
      <c r="B212" s="10" t="s">
        <v>2856</v>
      </c>
      <c r="C212" s="11" t="s">
        <v>346</v>
      </c>
      <c r="D212" s="10" t="s">
        <v>2956</v>
      </c>
      <c r="E212" s="8" t="s">
        <v>2957</v>
      </c>
      <c r="F212" s="8" t="s">
        <v>2958</v>
      </c>
      <c r="G212" s="10" t="s">
        <v>2647</v>
      </c>
      <c r="H212" s="8" t="s">
        <v>2959</v>
      </c>
      <c r="I212" s="10" t="s">
        <v>2918</v>
      </c>
      <c r="J212" s="8" t="s">
        <v>2862</v>
      </c>
      <c r="K212" s="8" t="s">
        <v>2649</v>
      </c>
      <c r="L212" s="8" t="s">
        <v>87</v>
      </c>
      <c r="M212" s="10" t="s">
        <v>1436</v>
      </c>
      <c r="N212" s="8" t="s">
        <v>87</v>
      </c>
      <c r="O212" s="10" t="s">
        <v>22</v>
      </c>
      <c r="P212" s="8" t="s">
        <v>2960</v>
      </c>
      <c r="Q212" s="10" t="s">
        <v>223</v>
      </c>
      <c r="R212" s="10" t="s">
        <v>1438</v>
      </c>
      <c r="S212" s="8" t="s">
        <v>2961</v>
      </c>
      <c r="T212" s="10" t="s">
        <v>2865</v>
      </c>
      <c r="U212" s="10" t="s">
        <v>87</v>
      </c>
      <c r="V212" s="10" t="s">
        <v>87</v>
      </c>
    </row>
    <row r="213" spans="1:22" s="10" customFormat="1" x14ac:dyDescent="0.25">
      <c r="A213" s="10" t="s">
        <v>2962</v>
      </c>
      <c r="B213" s="10" t="s">
        <v>2856</v>
      </c>
      <c r="C213" s="11" t="s">
        <v>346</v>
      </c>
      <c r="D213" s="10" t="s">
        <v>2963</v>
      </c>
      <c r="E213" s="8" t="s">
        <v>2964</v>
      </c>
      <c r="F213" s="8" t="s">
        <v>2965</v>
      </c>
      <c r="G213" s="10" t="s">
        <v>2647</v>
      </c>
      <c r="H213" s="8" t="s">
        <v>2966</v>
      </c>
      <c r="I213" s="10" t="s">
        <v>2918</v>
      </c>
      <c r="J213" s="8" t="s">
        <v>2967</v>
      </c>
      <c r="K213" s="8" t="s">
        <v>2649</v>
      </c>
      <c r="L213" s="8" t="s">
        <v>87</v>
      </c>
      <c r="M213" s="10" t="s">
        <v>1436</v>
      </c>
      <c r="N213" s="8" t="s">
        <v>87</v>
      </c>
      <c r="O213" s="10" t="s">
        <v>22</v>
      </c>
      <c r="P213" s="8" t="s">
        <v>2968</v>
      </c>
      <c r="Q213" s="10" t="s">
        <v>1447</v>
      </c>
      <c r="R213" s="10" t="s">
        <v>1438</v>
      </c>
      <c r="S213" s="8" t="s">
        <v>2969</v>
      </c>
      <c r="T213" s="10" t="s">
        <v>2865</v>
      </c>
      <c r="U213" s="10" t="s">
        <v>87</v>
      </c>
      <c r="V213" s="10" t="s">
        <v>87</v>
      </c>
    </row>
    <row r="214" spans="1:22" s="10" customFormat="1" x14ac:dyDescent="0.25">
      <c r="A214" s="10" t="s">
        <v>2970</v>
      </c>
      <c r="B214" s="10" t="s">
        <v>2856</v>
      </c>
      <c r="C214" s="11" t="s">
        <v>346</v>
      </c>
      <c r="D214" s="10" t="s">
        <v>2971</v>
      </c>
      <c r="E214" s="8" t="s">
        <v>2972</v>
      </c>
      <c r="F214" s="8" t="s">
        <v>2973</v>
      </c>
      <c r="G214" s="10" t="s">
        <v>2647</v>
      </c>
      <c r="H214" s="8" t="s">
        <v>2974</v>
      </c>
      <c r="I214" s="10" t="s">
        <v>2975</v>
      </c>
      <c r="J214" s="8" t="s">
        <v>2862</v>
      </c>
      <c r="K214" s="8" t="s">
        <v>2649</v>
      </c>
      <c r="L214" s="8" t="s">
        <v>87</v>
      </c>
      <c r="M214" s="10" t="s">
        <v>1436</v>
      </c>
      <c r="N214" s="8" t="s">
        <v>87</v>
      </c>
      <c r="O214" s="10" t="s">
        <v>22</v>
      </c>
      <c r="P214" s="8" t="s">
        <v>2976</v>
      </c>
      <c r="Q214" s="10" t="s">
        <v>246</v>
      </c>
      <c r="R214" s="10" t="s">
        <v>1438</v>
      </c>
      <c r="S214" s="8" t="s">
        <v>2977</v>
      </c>
      <c r="T214" s="10" t="s">
        <v>2865</v>
      </c>
      <c r="U214" s="10" t="s">
        <v>87</v>
      </c>
      <c r="V214" s="10" t="s">
        <v>87</v>
      </c>
    </row>
    <row r="215" spans="1:22" s="10" customFormat="1" x14ac:dyDescent="0.25">
      <c r="A215" s="10" t="s">
        <v>2978</v>
      </c>
      <c r="B215" s="10" t="s">
        <v>2856</v>
      </c>
      <c r="C215" s="10" t="s">
        <v>215</v>
      </c>
      <c r="D215" s="10" t="s">
        <v>2979</v>
      </c>
      <c r="E215" s="8" t="s">
        <v>2980</v>
      </c>
      <c r="F215" s="8" t="s">
        <v>2981</v>
      </c>
      <c r="G215" s="10" t="s">
        <v>2647</v>
      </c>
      <c r="H215" s="8" t="s">
        <v>2982</v>
      </c>
      <c r="I215" s="10" t="s">
        <v>2884</v>
      </c>
      <c r="J215" s="8" t="s">
        <v>2862</v>
      </c>
      <c r="K215" s="8" t="s">
        <v>2649</v>
      </c>
      <c r="L215" s="8" t="s">
        <v>87</v>
      </c>
      <c r="M215" s="10" t="s">
        <v>1436</v>
      </c>
      <c r="N215" s="8" t="s">
        <v>87</v>
      </c>
      <c r="O215" s="10" t="s">
        <v>22</v>
      </c>
      <c r="P215" s="8" t="s">
        <v>2983</v>
      </c>
      <c r="Q215" s="10" t="s">
        <v>239</v>
      </c>
      <c r="R215" s="10" t="s">
        <v>1438</v>
      </c>
      <c r="S215" s="8" t="s">
        <v>2984</v>
      </c>
      <c r="T215" s="10" t="s">
        <v>2865</v>
      </c>
      <c r="U215" s="10" t="s">
        <v>87</v>
      </c>
      <c r="V215" s="10" t="s">
        <v>87</v>
      </c>
    </row>
    <row r="216" spans="1:22" s="10" customFormat="1" x14ac:dyDescent="0.25">
      <c r="A216" s="10" t="s">
        <v>2985</v>
      </c>
      <c r="B216" s="10" t="s">
        <v>2856</v>
      </c>
      <c r="C216" s="10" t="s">
        <v>215</v>
      </c>
      <c r="D216" s="10" t="s">
        <v>2986</v>
      </c>
      <c r="E216" s="8" t="s">
        <v>2987</v>
      </c>
      <c r="F216" s="8" t="s">
        <v>2988</v>
      </c>
      <c r="G216" s="10" t="s">
        <v>2647</v>
      </c>
      <c r="H216" s="8" t="s">
        <v>2989</v>
      </c>
      <c r="I216" s="10" t="s">
        <v>2975</v>
      </c>
      <c r="J216" s="8" t="s">
        <v>2862</v>
      </c>
      <c r="K216" s="8" t="s">
        <v>2649</v>
      </c>
      <c r="L216" s="8" t="s">
        <v>87</v>
      </c>
      <c r="M216" s="10" t="s">
        <v>1436</v>
      </c>
      <c r="N216" s="8" t="s">
        <v>87</v>
      </c>
      <c r="O216" s="10" t="s">
        <v>22</v>
      </c>
      <c r="P216" s="8" t="s">
        <v>2990</v>
      </c>
      <c r="Q216" s="10" t="s">
        <v>223</v>
      </c>
      <c r="R216" s="10" t="s">
        <v>1438</v>
      </c>
      <c r="S216" s="8" t="s">
        <v>2991</v>
      </c>
      <c r="T216" s="10" t="s">
        <v>2865</v>
      </c>
      <c r="U216" s="10" t="s">
        <v>87</v>
      </c>
      <c r="V216" s="10" t="s">
        <v>87</v>
      </c>
    </row>
    <row r="217" spans="1:22" s="10" customFormat="1" x14ac:dyDescent="0.25">
      <c r="A217" s="10" t="s">
        <v>2992</v>
      </c>
      <c r="B217" s="10" t="s">
        <v>2856</v>
      </c>
      <c r="C217" s="11" t="s">
        <v>346</v>
      </c>
      <c r="D217" s="10" t="s">
        <v>2993</v>
      </c>
      <c r="E217" s="8" t="s">
        <v>2994</v>
      </c>
      <c r="F217" s="8" t="s">
        <v>2995</v>
      </c>
      <c r="G217" s="10" t="s">
        <v>2647</v>
      </c>
      <c r="H217" s="8" t="s">
        <v>2996</v>
      </c>
      <c r="I217" s="10" t="s">
        <v>2975</v>
      </c>
      <c r="J217" s="8" t="s">
        <v>2862</v>
      </c>
      <c r="K217" s="8" t="s">
        <v>2649</v>
      </c>
      <c r="L217" s="8" t="s">
        <v>87</v>
      </c>
      <c r="M217" s="10" t="s">
        <v>1436</v>
      </c>
      <c r="N217" s="8" t="s">
        <v>87</v>
      </c>
      <c r="O217" s="10" t="s">
        <v>22</v>
      </c>
      <c r="P217" s="8" t="s">
        <v>2997</v>
      </c>
      <c r="Q217" s="10" t="s">
        <v>223</v>
      </c>
      <c r="R217" s="10" t="s">
        <v>1438</v>
      </c>
      <c r="S217" s="8" t="s">
        <v>2998</v>
      </c>
      <c r="T217" s="10" t="s">
        <v>2865</v>
      </c>
      <c r="U217" s="10" t="s">
        <v>87</v>
      </c>
      <c r="V217" s="10" t="s">
        <v>87</v>
      </c>
    </row>
    <row r="218" spans="1:22" s="10" customFormat="1" x14ac:dyDescent="0.25">
      <c r="A218" s="10" t="s">
        <v>2999</v>
      </c>
      <c r="B218" s="10" t="s">
        <v>2856</v>
      </c>
      <c r="C218" s="10" t="s">
        <v>215</v>
      </c>
      <c r="D218" s="10" t="s">
        <v>3000</v>
      </c>
      <c r="E218" s="8" t="s">
        <v>3001</v>
      </c>
      <c r="F218" s="8" t="s">
        <v>3002</v>
      </c>
      <c r="G218" s="10" t="s">
        <v>2647</v>
      </c>
      <c r="H218" s="8" t="s">
        <v>3003</v>
      </c>
      <c r="I218" s="10" t="s">
        <v>2975</v>
      </c>
      <c r="J218" s="8" t="s">
        <v>2862</v>
      </c>
      <c r="K218" s="8" t="s">
        <v>2649</v>
      </c>
      <c r="L218" s="8" t="s">
        <v>87</v>
      </c>
      <c r="M218" s="10" t="s">
        <v>1436</v>
      </c>
      <c r="N218" s="8" t="s">
        <v>87</v>
      </c>
      <c r="O218" s="10" t="s">
        <v>22</v>
      </c>
      <c r="P218" s="8" t="s">
        <v>3004</v>
      </c>
      <c r="Q218" s="10" t="s">
        <v>223</v>
      </c>
      <c r="R218" s="10" t="s">
        <v>1438</v>
      </c>
      <c r="S218" s="8" t="s">
        <v>3005</v>
      </c>
      <c r="T218" s="10" t="s">
        <v>2865</v>
      </c>
      <c r="U218" s="10" t="s">
        <v>87</v>
      </c>
      <c r="V218" s="10" t="s">
        <v>87</v>
      </c>
    </row>
    <row r="219" spans="1:22" s="10" customFormat="1" x14ac:dyDescent="0.25">
      <c r="A219" s="10" t="s">
        <v>3006</v>
      </c>
      <c r="B219" s="10" t="s">
        <v>2856</v>
      </c>
      <c r="C219" s="10" t="s">
        <v>215</v>
      </c>
      <c r="D219" s="10" t="s">
        <v>3007</v>
      </c>
      <c r="E219" s="8" t="s">
        <v>3008</v>
      </c>
      <c r="F219" s="8" t="s">
        <v>3009</v>
      </c>
      <c r="G219" s="10" t="s">
        <v>2647</v>
      </c>
      <c r="H219" s="8" t="s">
        <v>3010</v>
      </c>
      <c r="I219" s="10" t="s">
        <v>2975</v>
      </c>
      <c r="J219" s="8" t="s">
        <v>2862</v>
      </c>
      <c r="K219" s="8" t="s">
        <v>2649</v>
      </c>
      <c r="L219" s="8" t="s">
        <v>87</v>
      </c>
      <c r="M219" s="10" t="s">
        <v>1436</v>
      </c>
      <c r="N219" s="8" t="s">
        <v>87</v>
      </c>
      <c r="O219" s="10" t="s">
        <v>22</v>
      </c>
      <c r="P219" s="8" t="s">
        <v>3011</v>
      </c>
      <c r="Q219" s="10" t="s">
        <v>223</v>
      </c>
      <c r="R219" s="10" t="s">
        <v>1438</v>
      </c>
      <c r="S219" s="8" t="s">
        <v>3012</v>
      </c>
      <c r="T219" s="10" t="s">
        <v>2865</v>
      </c>
      <c r="U219" s="10" t="s">
        <v>87</v>
      </c>
      <c r="V219" s="10" t="s">
        <v>87</v>
      </c>
    </row>
    <row r="220" spans="1:22" s="10" customFormat="1" x14ac:dyDescent="0.25">
      <c r="A220" s="10" t="s">
        <v>3013</v>
      </c>
      <c r="B220" s="10" t="s">
        <v>2856</v>
      </c>
      <c r="C220" s="10" t="s">
        <v>215</v>
      </c>
      <c r="D220" s="10" t="s">
        <v>3014</v>
      </c>
      <c r="E220" s="8" t="s">
        <v>3015</v>
      </c>
      <c r="F220" s="8" t="s">
        <v>3016</v>
      </c>
      <c r="G220" s="10" t="s">
        <v>2647</v>
      </c>
      <c r="H220" s="8" t="s">
        <v>3017</v>
      </c>
      <c r="I220" s="10" t="s">
        <v>3018</v>
      </c>
      <c r="J220" s="8" t="s">
        <v>2862</v>
      </c>
      <c r="K220" s="8" t="s">
        <v>2649</v>
      </c>
      <c r="L220" s="8" t="s">
        <v>87</v>
      </c>
      <c r="M220" s="10" t="s">
        <v>1436</v>
      </c>
      <c r="N220" s="8" t="s">
        <v>87</v>
      </c>
      <c r="O220" s="10" t="s">
        <v>22</v>
      </c>
      <c r="P220" s="8" t="s">
        <v>3019</v>
      </c>
      <c r="Q220" s="10" t="s">
        <v>223</v>
      </c>
      <c r="R220" s="10" t="s">
        <v>1438</v>
      </c>
      <c r="S220" s="8" t="s">
        <v>3020</v>
      </c>
      <c r="T220" s="10" t="s">
        <v>2865</v>
      </c>
      <c r="U220" s="10" t="s">
        <v>87</v>
      </c>
      <c r="V220" s="10" t="s">
        <v>87</v>
      </c>
    </row>
    <row r="221" spans="1:22" s="10" customFormat="1" x14ac:dyDescent="0.25">
      <c r="A221" s="10" t="s">
        <v>3021</v>
      </c>
      <c r="B221" s="10" t="s">
        <v>2856</v>
      </c>
      <c r="C221" s="10" t="s">
        <v>215</v>
      </c>
      <c r="D221" s="10" t="s">
        <v>3022</v>
      </c>
      <c r="E221" s="8" t="s">
        <v>3023</v>
      </c>
      <c r="F221" s="8" t="s">
        <v>3024</v>
      </c>
      <c r="G221" s="10" t="s">
        <v>2647</v>
      </c>
      <c r="H221" s="8" t="s">
        <v>3025</v>
      </c>
      <c r="I221" s="10" t="s">
        <v>3018</v>
      </c>
      <c r="J221" s="8" t="s">
        <v>2862</v>
      </c>
      <c r="K221" s="8" t="s">
        <v>2649</v>
      </c>
      <c r="L221" s="8" t="s">
        <v>87</v>
      </c>
      <c r="M221" s="10" t="s">
        <v>1436</v>
      </c>
      <c r="N221" s="8" t="s">
        <v>87</v>
      </c>
      <c r="O221" s="10" t="s">
        <v>22</v>
      </c>
      <c r="P221" s="8" t="s">
        <v>3019</v>
      </c>
      <c r="Q221" s="10" t="s">
        <v>223</v>
      </c>
      <c r="R221" s="10" t="s">
        <v>1438</v>
      </c>
      <c r="S221" s="8" t="s">
        <v>3026</v>
      </c>
      <c r="T221" s="10" t="s">
        <v>2865</v>
      </c>
      <c r="U221" s="10" t="s">
        <v>87</v>
      </c>
      <c r="V221" s="10" t="s">
        <v>87</v>
      </c>
    </row>
    <row r="222" spans="1:22" s="10" customFormat="1" x14ac:dyDescent="0.25">
      <c r="A222" s="10" t="s">
        <v>3027</v>
      </c>
      <c r="B222" s="10" t="s">
        <v>2856</v>
      </c>
      <c r="C222" s="10" t="s">
        <v>215</v>
      </c>
      <c r="D222" s="10" t="s">
        <v>3028</v>
      </c>
      <c r="E222" s="8" t="s">
        <v>3029</v>
      </c>
      <c r="F222" s="8" t="s">
        <v>3030</v>
      </c>
      <c r="G222" s="10" t="s">
        <v>2647</v>
      </c>
      <c r="H222" s="8" t="s">
        <v>3031</v>
      </c>
      <c r="I222" s="10" t="s">
        <v>3018</v>
      </c>
      <c r="J222" s="8" t="s">
        <v>2862</v>
      </c>
      <c r="K222" s="8" t="s">
        <v>2649</v>
      </c>
      <c r="L222" s="8" t="s">
        <v>87</v>
      </c>
      <c r="M222" s="10" t="s">
        <v>1436</v>
      </c>
      <c r="N222" s="8" t="s">
        <v>87</v>
      </c>
      <c r="O222" s="10" t="s">
        <v>22</v>
      </c>
      <c r="P222" s="8" t="s">
        <v>3019</v>
      </c>
      <c r="Q222" s="10" t="s">
        <v>223</v>
      </c>
      <c r="R222" s="10" t="s">
        <v>1438</v>
      </c>
      <c r="S222" s="8" t="s">
        <v>3032</v>
      </c>
      <c r="T222" s="10" t="s">
        <v>2865</v>
      </c>
      <c r="U222" s="10" t="s">
        <v>87</v>
      </c>
      <c r="V222" s="10" t="s">
        <v>87</v>
      </c>
    </row>
    <row r="223" spans="1:22" s="10" customFormat="1" x14ac:dyDescent="0.25">
      <c r="A223" s="10" t="s">
        <v>3033</v>
      </c>
      <c r="B223" s="10" t="s">
        <v>2856</v>
      </c>
      <c r="C223" s="10" t="s">
        <v>215</v>
      </c>
      <c r="D223" s="10" t="s">
        <v>3034</v>
      </c>
      <c r="E223" s="8" t="s">
        <v>3035</v>
      </c>
      <c r="F223" s="8" t="s">
        <v>3036</v>
      </c>
      <c r="G223" s="10" t="s">
        <v>2647</v>
      </c>
      <c r="H223" s="8" t="s">
        <v>3037</v>
      </c>
      <c r="I223" s="10" t="s">
        <v>3018</v>
      </c>
      <c r="J223" s="8" t="s">
        <v>2862</v>
      </c>
      <c r="K223" s="8" t="s">
        <v>2649</v>
      </c>
      <c r="L223" s="8" t="s">
        <v>87</v>
      </c>
      <c r="M223" s="10" t="s">
        <v>1436</v>
      </c>
      <c r="N223" s="8" t="s">
        <v>87</v>
      </c>
      <c r="O223" s="10" t="s">
        <v>22</v>
      </c>
      <c r="P223" s="8" t="s">
        <v>3019</v>
      </c>
      <c r="Q223" s="10" t="s">
        <v>223</v>
      </c>
      <c r="R223" s="10" t="s">
        <v>1438</v>
      </c>
      <c r="S223" s="8" t="s">
        <v>3038</v>
      </c>
      <c r="T223" s="10" t="s">
        <v>2865</v>
      </c>
      <c r="U223" s="10" t="s">
        <v>87</v>
      </c>
      <c r="V223" s="10" t="s">
        <v>87</v>
      </c>
    </row>
    <row r="224" spans="1:22" s="10" customFormat="1" x14ac:dyDescent="0.25">
      <c r="A224" s="10" t="s">
        <v>3039</v>
      </c>
      <c r="B224" s="10" t="s">
        <v>2856</v>
      </c>
      <c r="C224" s="10" t="s">
        <v>215</v>
      </c>
      <c r="D224" s="10" t="s">
        <v>3040</v>
      </c>
      <c r="E224" s="8" t="s">
        <v>3041</v>
      </c>
      <c r="F224" s="8" t="s">
        <v>3042</v>
      </c>
      <c r="G224" s="10" t="s">
        <v>2647</v>
      </c>
      <c r="H224" s="8" t="s">
        <v>3043</v>
      </c>
      <c r="I224" s="10" t="s">
        <v>3018</v>
      </c>
      <c r="J224" s="8" t="s">
        <v>2862</v>
      </c>
      <c r="K224" s="8" t="s">
        <v>2649</v>
      </c>
      <c r="L224" s="8" t="s">
        <v>87</v>
      </c>
      <c r="M224" s="10" t="s">
        <v>1436</v>
      </c>
      <c r="N224" s="8" t="s">
        <v>87</v>
      </c>
      <c r="O224" s="10" t="s">
        <v>22</v>
      </c>
      <c r="P224" s="8" t="s">
        <v>3019</v>
      </c>
      <c r="Q224" s="10" t="s">
        <v>223</v>
      </c>
      <c r="R224" s="10" t="s">
        <v>1438</v>
      </c>
      <c r="S224" s="8" t="s">
        <v>3044</v>
      </c>
      <c r="T224" s="10" t="s">
        <v>2865</v>
      </c>
      <c r="U224" s="10" t="s">
        <v>87</v>
      </c>
      <c r="V224" s="10" t="s">
        <v>87</v>
      </c>
    </row>
    <row r="225" spans="1:22" s="10" customFormat="1" x14ac:dyDescent="0.25">
      <c r="A225" s="10" t="s">
        <v>3045</v>
      </c>
      <c r="B225" s="10" t="s">
        <v>2856</v>
      </c>
      <c r="C225" s="10" t="s">
        <v>215</v>
      </c>
      <c r="D225" s="10" t="s">
        <v>3046</v>
      </c>
      <c r="E225" s="8" t="s">
        <v>3047</v>
      </c>
      <c r="F225" s="8" t="s">
        <v>3048</v>
      </c>
      <c r="G225" s="10" t="s">
        <v>2647</v>
      </c>
      <c r="H225" s="8" t="s">
        <v>3049</v>
      </c>
      <c r="I225" s="10" t="s">
        <v>3018</v>
      </c>
      <c r="J225" s="8" t="s">
        <v>2862</v>
      </c>
      <c r="K225" s="8" t="s">
        <v>2649</v>
      </c>
      <c r="L225" s="8" t="s">
        <v>87</v>
      </c>
      <c r="M225" s="10" t="s">
        <v>1436</v>
      </c>
      <c r="N225" s="8" t="s">
        <v>87</v>
      </c>
      <c r="O225" s="10" t="s">
        <v>22</v>
      </c>
      <c r="P225" s="8" t="s">
        <v>3019</v>
      </c>
      <c r="Q225" s="10" t="s">
        <v>223</v>
      </c>
      <c r="R225" s="10" t="s">
        <v>1438</v>
      </c>
      <c r="S225" s="8" t="s">
        <v>3050</v>
      </c>
      <c r="T225" s="10" t="s">
        <v>2865</v>
      </c>
      <c r="U225" s="10" t="s">
        <v>87</v>
      </c>
      <c r="V225" s="10" t="s">
        <v>87</v>
      </c>
    </row>
    <row r="226" spans="1:22" s="10" customFormat="1" x14ac:dyDescent="0.25">
      <c r="A226" s="10" t="s">
        <v>3051</v>
      </c>
      <c r="B226" s="10" t="s">
        <v>2856</v>
      </c>
      <c r="C226" s="10" t="s">
        <v>215</v>
      </c>
      <c r="D226" s="10" t="s">
        <v>3052</v>
      </c>
      <c r="E226" s="8" t="s">
        <v>3053</v>
      </c>
      <c r="F226" s="8" t="s">
        <v>3054</v>
      </c>
      <c r="G226" s="10" t="s">
        <v>2647</v>
      </c>
      <c r="H226" s="8" t="s">
        <v>3055</v>
      </c>
      <c r="I226" s="10" t="s">
        <v>3018</v>
      </c>
      <c r="J226" s="8" t="s">
        <v>2862</v>
      </c>
      <c r="K226" s="8" t="s">
        <v>2649</v>
      </c>
      <c r="L226" s="8" t="s">
        <v>87</v>
      </c>
      <c r="M226" s="10" t="s">
        <v>1436</v>
      </c>
      <c r="N226" s="8" t="s">
        <v>87</v>
      </c>
      <c r="O226" s="10" t="s">
        <v>22</v>
      </c>
      <c r="P226" s="8" t="s">
        <v>3019</v>
      </c>
      <c r="Q226" s="10" t="s">
        <v>223</v>
      </c>
      <c r="R226" s="10" t="s">
        <v>1438</v>
      </c>
      <c r="S226" s="8" t="s">
        <v>3056</v>
      </c>
      <c r="T226" s="10" t="s">
        <v>2865</v>
      </c>
      <c r="U226" s="10" t="s">
        <v>87</v>
      </c>
      <c r="V226" s="10" t="s">
        <v>87</v>
      </c>
    </row>
    <row r="227" spans="1:22" s="10" customFormat="1" x14ac:dyDescent="0.25">
      <c r="A227" s="10" t="s">
        <v>3057</v>
      </c>
      <c r="B227" s="10" t="s">
        <v>2856</v>
      </c>
      <c r="C227" s="10" t="s">
        <v>215</v>
      </c>
      <c r="D227" s="10" t="s">
        <v>3058</v>
      </c>
      <c r="E227" s="8" t="s">
        <v>3059</v>
      </c>
      <c r="F227" s="8" t="s">
        <v>3060</v>
      </c>
      <c r="G227" s="10" t="s">
        <v>2647</v>
      </c>
      <c r="H227" s="8" t="s">
        <v>3061</v>
      </c>
      <c r="I227" s="10" t="s">
        <v>3018</v>
      </c>
      <c r="J227" s="8" t="s">
        <v>2862</v>
      </c>
      <c r="K227" s="8" t="s">
        <v>2649</v>
      </c>
      <c r="L227" s="8" t="s">
        <v>87</v>
      </c>
      <c r="M227" s="10" t="s">
        <v>1436</v>
      </c>
      <c r="N227" s="8" t="s">
        <v>87</v>
      </c>
      <c r="O227" s="10" t="s">
        <v>22</v>
      </c>
      <c r="P227" s="8" t="s">
        <v>3019</v>
      </c>
      <c r="Q227" s="10" t="s">
        <v>223</v>
      </c>
      <c r="R227" s="10" t="s">
        <v>1438</v>
      </c>
      <c r="S227" s="8" t="s">
        <v>3062</v>
      </c>
      <c r="T227" s="10" t="s">
        <v>2865</v>
      </c>
      <c r="U227" s="10" t="s">
        <v>87</v>
      </c>
      <c r="V227" s="10" t="s">
        <v>87</v>
      </c>
    </row>
    <row r="228" spans="1:22" s="10" customFormat="1" x14ac:dyDescent="0.25">
      <c r="A228" s="10" t="s">
        <v>3063</v>
      </c>
      <c r="B228" s="10" t="s">
        <v>2856</v>
      </c>
      <c r="C228" s="10" t="s">
        <v>215</v>
      </c>
      <c r="D228" s="10" t="s">
        <v>3064</v>
      </c>
      <c r="E228" s="8" t="s">
        <v>3065</v>
      </c>
      <c r="F228" s="8" t="s">
        <v>3066</v>
      </c>
      <c r="G228" s="10" t="s">
        <v>2647</v>
      </c>
      <c r="H228" s="8" t="s">
        <v>3067</v>
      </c>
      <c r="I228" s="10" t="s">
        <v>3018</v>
      </c>
      <c r="J228" s="8" t="s">
        <v>2862</v>
      </c>
      <c r="K228" s="8" t="s">
        <v>2649</v>
      </c>
      <c r="L228" s="8" t="s">
        <v>87</v>
      </c>
      <c r="M228" s="10" t="s">
        <v>1436</v>
      </c>
      <c r="N228" s="8" t="s">
        <v>87</v>
      </c>
      <c r="O228" s="10" t="s">
        <v>22</v>
      </c>
      <c r="P228" s="8" t="s">
        <v>3019</v>
      </c>
      <c r="Q228" s="10" t="s">
        <v>223</v>
      </c>
      <c r="R228" s="10" t="s">
        <v>1438</v>
      </c>
      <c r="S228" s="8" t="s">
        <v>3068</v>
      </c>
      <c r="T228" s="10" t="s">
        <v>2865</v>
      </c>
      <c r="U228" s="10" t="s">
        <v>87</v>
      </c>
      <c r="V228" s="10" t="s">
        <v>87</v>
      </c>
    </row>
    <row r="229" spans="1:22" s="10" customFormat="1" x14ac:dyDescent="0.25">
      <c r="A229" s="10" t="s">
        <v>3069</v>
      </c>
      <c r="B229" s="10" t="s">
        <v>2856</v>
      </c>
      <c r="C229" s="10" t="s">
        <v>215</v>
      </c>
      <c r="D229" s="10" t="s">
        <v>3070</v>
      </c>
      <c r="E229" s="8" t="s">
        <v>3071</v>
      </c>
      <c r="F229" s="8" t="s">
        <v>3072</v>
      </c>
      <c r="G229" s="10" t="s">
        <v>2647</v>
      </c>
      <c r="H229" s="8" t="s">
        <v>3073</v>
      </c>
      <c r="I229" s="10" t="s">
        <v>2861</v>
      </c>
      <c r="J229" s="8" t="s">
        <v>2862</v>
      </c>
      <c r="K229" s="8" t="s">
        <v>2649</v>
      </c>
      <c r="L229" s="8" t="s">
        <v>87</v>
      </c>
      <c r="M229" s="10" t="s">
        <v>1436</v>
      </c>
      <c r="N229" s="8" t="s">
        <v>87</v>
      </c>
      <c r="O229" s="10" t="s">
        <v>22</v>
      </c>
      <c r="P229" s="8" t="s">
        <v>3074</v>
      </c>
      <c r="Q229" s="10" t="s">
        <v>223</v>
      </c>
      <c r="R229" s="10" t="s">
        <v>1438</v>
      </c>
      <c r="S229" s="8" t="s">
        <v>3075</v>
      </c>
      <c r="T229" s="10" t="s">
        <v>2865</v>
      </c>
      <c r="U229" s="10" t="s">
        <v>87</v>
      </c>
      <c r="V229" s="10" t="s">
        <v>87</v>
      </c>
    </row>
    <row r="230" spans="1:22" s="10" customFormat="1" x14ac:dyDescent="0.25">
      <c r="A230" s="10" t="s">
        <v>3076</v>
      </c>
      <c r="B230" s="10" t="s">
        <v>2856</v>
      </c>
      <c r="C230" s="10" t="s">
        <v>215</v>
      </c>
      <c r="D230" s="10" t="s">
        <v>3077</v>
      </c>
      <c r="E230" s="8" t="s">
        <v>3078</v>
      </c>
      <c r="F230" s="8" t="s">
        <v>3079</v>
      </c>
      <c r="G230" s="10" t="s">
        <v>2647</v>
      </c>
      <c r="H230" s="8" t="s">
        <v>3080</v>
      </c>
      <c r="I230" s="10" t="s">
        <v>2861</v>
      </c>
      <c r="J230" s="8" t="s">
        <v>2862</v>
      </c>
      <c r="K230" s="8" t="s">
        <v>2649</v>
      </c>
      <c r="L230" s="8" t="s">
        <v>87</v>
      </c>
      <c r="M230" s="10" t="s">
        <v>1436</v>
      </c>
      <c r="N230" s="8" t="s">
        <v>87</v>
      </c>
      <c r="O230" s="10" t="s">
        <v>22</v>
      </c>
      <c r="P230" s="8" t="s">
        <v>3074</v>
      </c>
      <c r="Q230" s="10" t="s">
        <v>223</v>
      </c>
      <c r="R230" s="10" t="s">
        <v>1438</v>
      </c>
      <c r="S230" s="8" t="s">
        <v>3081</v>
      </c>
      <c r="T230" s="10" t="s">
        <v>2865</v>
      </c>
      <c r="U230" s="10" t="s">
        <v>87</v>
      </c>
      <c r="V230" s="10" t="s">
        <v>87</v>
      </c>
    </row>
    <row r="231" spans="1:22" s="10" customFormat="1" x14ac:dyDescent="0.25">
      <c r="A231" s="10" t="s">
        <v>3082</v>
      </c>
      <c r="B231" s="10" t="s">
        <v>2856</v>
      </c>
      <c r="C231" s="10" t="s">
        <v>215</v>
      </c>
      <c r="D231" s="10" t="s">
        <v>3083</v>
      </c>
      <c r="E231" s="8" t="s">
        <v>3084</v>
      </c>
      <c r="F231" s="8" t="s">
        <v>3085</v>
      </c>
      <c r="G231" s="10" t="s">
        <v>2647</v>
      </c>
      <c r="H231" s="8" t="s">
        <v>3086</v>
      </c>
      <c r="I231" s="10" t="s">
        <v>2861</v>
      </c>
      <c r="J231" s="8" t="s">
        <v>2862</v>
      </c>
      <c r="K231" s="8" t="s">
        <v>2649</v>
      </c>
      <c r="L231" s="8" t="s">
        <v>87</v>
      </c>
      <c r="M231" s="10" t="s">
        <v>1436</v>
      </c>
      <c r="N231" s="8" t="s">
        <v>87</v>
      </c>
      <c r="O231" s="10" t="s">
        <v>22</v>
      </c>
      <c r="P231" s="8" t="s">
        <v>3074</v>
      </c>
      <c r="Q231" s="10" t="s">
        <v>223</v>
      </c>
      <c r="R231" s="10" t="s">
        <v>1438</v>
      </c>
      <c r="S231" s="8" t="s">
        <v>3087</v>
      </c>
      <c r="T231" s="10" t="s">
        <v>2865</v>
      </c>
      <c r="U231" s="10" t="s">
        <v>87</v>
      </c>
      <c r="V231" s="10" t="s">
        <v>87</v>
      </c>
    </row>
    <row r="232" spans="1:22" s="10" customFormat="1" x14ac:dyDescent="0.25">
      <c r="A232" s="10" t="s">
        <v>3088</v>
      </c>
      <c r="B232" s="10" t="s">
        <v>2856</v>
      </c>
      <c r="C232" s="10" t="s">
        <v>215</v>
      </c>
      <c r="D232" s="10" t="s">
        <v>3089</v>
      </c>
      <c r="E232" s="8" t="s">
        <v>3090</v>
      </c>
      <c r="F232" s="8" t="s">
        <v>3091</v>
      </c>
      <c r="G232" s="10" t="s">
        <v>2647</v>
      </c>
      <c r="H232" s="8" t="s">
        <v>3092</v>
      </c>
      <c r="I232" s="10" t="s">
        <v>2861</v>
      </c>
      <c r="J232" s="8" t="s">
        <v>2862</v>
      </c>
      <c r="K232" s="8" t="s">
        <v>2649</v>
      </c>
      <c r="L232" s="8" t="s">
        <v>87</v>
      </c>
      <c r="M232" s="10" t="s">
        <v>1436</v>
      </c>
      <c r="N232" s="8" t="s">
        <v>87</v>
      </c>
      <c r="O232" s="10" t="s">
        <v>22</v>
      </c>
      <c r="P232" s="8" t="s">
        <v>3074</v>
      </c>
      <c r="Q232" s="10" t="s">
        <v>223</v>
      </c>
      <c r="R232" s="10" t="s">
        <v>1438</v>
      </c>
      <c r="S232" s="8" t="s">
        <v>3093</v>
      </c>
      <c r="T232" s="10" t="s">
        <v>2865</v>
      </c>
      <c r="U232" s="10" t="s">
        <v>87</v>
      </c>
      <c r="V232" s="10" t="s">
        <v>87</v>
      </c>
    </row>
    <row r="233" spans="1:22" s="10" customFormat="1" x14ac:dyDescent="0.25">
      <c r="A233" s="10" t="s">
        <v>3094</v>
      </c>
      <c r="B233" s="10" t="s">
        <v>2856</v>
      </c>
      <c r="C233" s="10" t="s">
        <v>215</v>
      </c>
      <c r="D233" s="10" t="s">
        <v>3095</v>
      </c>
      <c r="E233" s="8" t="s">
        <v>3096</v>
      </c>
      <c r="F233" s="8" t="s">
        <v>3097</v>
      </c>
      <c r="G233" s="10" t="s">
        <v>2647</v>
      </c>
      <c r="H233" s="8" t="s">
        <v>3098</v>
      </c>
      <c r="I233" s="10" t="s">
        <v>2861</v>
      </c>
      <c r="J233" s="8" t="s">
        <v>2862</v>
      </c>
      <c r="K233" s="8" t="s">
        <v>2649</v>
      </c>
      <c r="L233" s="8" t="s">
        <v>87</v>
      </c>
      <c r="M233" s="10" t="s">
        <v>1436</v>
      </c>
      <c r="N233" s="8" t="s">
        <v>87</v>
      </c>
      <c r="O233" s="10" t="s">
        <v>22</v>
      </c>
      <c r="P233" s="8" t="s">
        <v>3074</v>
      </c>
      <c r="Q233" s="10" t="s">
        <v>223</v>
      </c>
      <c r="R233" s="10" t="s">
        <v>1438</v>
      </c>
      <c r="S233" s="8" t="s">
        <v>3099</v>
      </c>
      <c r="T233" s="10" t="s">
        <v>2865</v>
      </c>
      <c r="U233" s="10" t="s">
        <v>87</v>
      </c>
      <c r="V233" s="10" t="s">
        <v>87</v>
      </c>
    </row>
    <row r="234" spans="1:22" s="10" customFormat="1" x14ac:dyDescent="0.25">
      <c r="A234" s="10" t="s">
        <v>3100</v>
      </c>
      <c r="B234" s="10" t="s">
        <v>2856</v>
      </c>
      <c r="C234" s="10" t="s">
        <v>215</v>
      </c>
      <c r="D234" s="10" t="s">
        <v>3101</v>
      </c>
      <c r="E234" s="8" t="s">
        <v>3102</v>
      </c>
      <c r="F234" s="8" t="s">
        <v>3103</v>
      </c>
      <c r="G234" s="10" t="s">
        <v>2647</v>
      </c>
      <c r="H234" s="8" t="s">
        <v>3104</v>
      </c>
      <c r="I234" s="10" t="s">
        <v>2861</v>
      </c>
      <c r="J234" s="8" t="s">
        <v>2862</v>
      </c>
      <c r="K234" s="8" t="s">
        <v>2649</v>
      </c>
      <c r="L234" s="8" t="s">
        <v>87</v>
      </c>
      <c r="M234" s="10" t="s">
        <v>1436</v>
      </c>
      <c r="N234" s="8" t="s">
        <v>87</v>
      </c>
      <c r="O234" s="10" t="s">
        <v>22</v>
      </c>
      <c r="P234" s="8" t="s">
        <v>3074</v>
      </c>
      <c r="Q234" s="10" t="s">
        <v>223</v>
      </c>
      <c r="R234" s="10" t="s">
        <v>1438</v>
      </c>
      <c r="S234" s="8" t="s">
        <v>3105</v>
      </c>
      <c r="T234" s="10" t="s">
        <v>2865</v>
      </c>
      <c r="U234" s="10" t="s">
        <v>87</v>
      </c>
      <c r="V234" s="10" t="s">
        <v>87</v>
      </c>
    </row>
    <row r="235" spans="1:22" s="10" customFormat="1" x14ac:dyDescent="0.25">
      <c r="A235" s="10" t="s">
        <v>3106</v>
      </c>
      <c r="B235" s="10" t="s">
        <v>2856</v>
      </c>
      <c r="C235" s="10" t="s">
        <v>215</v>
      </c>
      <c r="D235" s="10" t="s">
        <v>3107</v>
      </c>
      <c r="E235" s="8" t="s">
        <v>3108</v>
      </c>
      <c r="F235" s="8" t="s">
        <v>3109</v>
      </c>
      <c r="G235" s="10" t="s">
        <v>2647</v>
      </c>
      <c r="H235" s="8" t="s">
        <v>3110</v>
      </c>
      <c r="I235" s="10" t="s">
        <v>2861</v>
      </c>
      <c r="J235" s="8" t="s">
        <v>2862</v>
      </c>
      <c r="K235" s="8" t="s">
        <v>2649</v>
      </c>
      <c r="L235" s="8" t="s">
        <v>87</v>
      </c>
      <c r="M235" s="10" t="s">
        <v>1436</v>
      </c>
      <c r="N235" s="8" t="s">
        <v>87</v>
      </c>
      <c r="O235" s="10" t="s">
        <v>22</v>
      </c>
      <c r="P235" s="8" t="s">
        <v>3074</v>
      </c>
      <c r="Q235" s="10" t="s">
        <v>223</v>
      </c>
      <c r="R235" s="10" t="s">
        <v>1438</v>
      </c>
      <c r="S235" s="8" t="s">
        <v>3111</v>
      </c>
      <c r="T235" s="10" t="s">
        <v>2865</v>
      </c>
      <c r="U235" s="10" t="s">
        <v>87</v>
      </c>
      <c r="V235" s="10" t="s">
        <v>87</v>
      </c>
    </row>
    <row r="236" spans="1:22" s="10" customFormat="1" x14ac:dyDescent="0.25">
      <c r="A236" s="10" t="s">
        <v>3112</v>
      </c>
      <c r="B236" s="10" t="s">
        <v>2856</v>
      </c>
      <c r="C236" s="10" t="s">
        <v>215</v>
      </c>
      <c r="D236" s="10" t="s">
        <v>3113</v>
      </c>
      <c r="E236" s="8" t="s">
        <v>3114</v>
      </c>
      <c r="F236" s="8" t="s">
        <v>3115</v>
      </c>
      <c r="G236" s="10" t="s">
        <v>2647</v>
      </c>
      <c r="H236" s="8" t="s">
        <v>3116</v>
      </c>
      <c r="I236" s="10" t="s">
        <v>2861</v>
      </c>
      <c r="J236" s="8" t="s">
        <v>2862</v>
      </c>
      <c r="K236" s="8" t="s">
        <v>2649</v>
      </c>
      <c r="L236" s="8" t="s">
        <v>87</v>
      </c>
      <c r="M236" s="10" t="s">
        <v>1436</v>
      </c>
      <c r="N236" s="8" t="s">
        <v>87</v>
      </c>
      <c r="O236" s="10" t="s">
        <v>22</v>
      </c>
      <c r="P236" s="8" t="s">
        <v>3074</v>
      </c>
      <c r="Q236" s="10" t="s">
        <v>223</v>
      </c>
      <c r="R236" s="10" t="s">
        <v>1438</v>
      </c>
      <c r="S236" s="8" t="s">
        <v>3117</v>
      </c>
      <c r="T236" s="10" t="s">
        <v>2865</v>
      </c>
      <c r="U236" s="10" t="s">
        <v>87</v>
      </c>
      <c r="V236" s="10" t="s">
        <v>87</v>
      </c>
    </row>
    <row r="237" spans="1:22" s="10" customFormat="1" x14ac:dyDescent="0.25">
      <c r="A237" s="10" t="s">
        <v>3118</v>
      </c>
      <c r="B237" s="10" t="s">
        <v>2856</v>
      </c>
      <c r="C237" s="10" t="s">
        <v>215</v>
      </c>
      <c r="D237" s="10" t="s">
        <v>3119</v>
      </c>
      <c r="E237" s="8" t="s">
        <v>3120</v>
      </c>
      <c r="F237" s="8" t="s">
        <v>3121</v>
      </c>
      <c r="G237" s="10" t="s">
        <v>2647</v>
      </c>
      <c r="H237" s="8" t="s">
        <v>3122</v>
      </c>
      <c r="I237" s="10" t="s">
        <v>2861</v>
      </c>
      <c r="J237" s="8" t="s">
        <v>2862</v>
      </c>
      <c r="K237" s="8" t="s">
        <v>2649</v>
      </c>
      <c r="L237" s="8" t="s">
        <v>87</v>
      </c>
      <c r="M237" s="10" t="s">
        <v>1436</v>
      </c>
      <c r="N237" s="8" t="s">
        <v>87</v>
      </c>
      <c r="O237" s="10" t="s">
        <v>22</v>
      </c>
      <c r="P237" s="8" t="s">
        <v>3074</v>
      </c>
      <c r="Q237" s="10" t="s">
        <v>223</v>
      </c>
      <c r="R237" s="10" t="s">
        <v>1438</v>
      </c>
      <c r="S237" s="8" t="s">
        <v>3123</v>
      </c>
      <c r="T237" s="10" t="s">
        <v>2865</v>
      </c>
      <c r="U237" s="10" t="s">
        <v>87</v>
      </c>
      <c r="V237" s="10" t="s">
        <v>87</v>
      </c>
    </row>
    <row r="238" spans="1:22" s="10" customFormat="1" x14ac:dyDescent="0.25">
      <c r="A238" s="10" t="s">
        <v>3124</v>
      </c>
      <c r="B238" s="10" t="s">
        <v>2856</v>
      </c>
      <c r="C238" s="10" t="s">
        <v>215</v>
      </c>
      <c r="D238" s="10" t="s">
        <v>3125</v>
      </c>
      <c r="E238" s="8" t="s">
        <v>3126</v>
      </c>
      <c r="F238" s="8" t="s">
        <v>3127</v>
      </c>
      <c r="G238" s="10" t="s">
        <v>2647</v>
      </c>
      <c r="H238" s="8" t="s">
        <v>3128</v>
      </c>
      <c r="I238" s="10" t="s">
        <v>2861</v>
      </c>
      <c r="J238" s="8" t="s">
        <v>2862</v>
      </c>
      <c r="K238" s="8" t="s">
        <v>2649</v>
      </c>
      <c r="L238" s="8" t="s">
        <v>87</v>
      </c>
      <c r="M238" s="10" t="s">
        <v>1436</v>
      </c>
      <c r="N238" s="8" t="s">
        <v>87</v>
      </c>
      <c r="O238" s="10" t="s">
        <v>22</v>
      </c>
      <c r="P238" s="8" t="s">
        <v>3074</v>
      </c>
      <c r="Q238" s="10" t="s">
        <v>223</v>
      </c>
      <c r="R238" s="10" t="s">
        <v>1438</v>
      </c>
      <c r="S238" s="8" t="s">
        <v>3129</v>
      </c>
      <c r="T238" s="10" t="s">
        <v>2865</v>
      </c>
      <c r="U238" s="10" t="s">
        <v>87</v>
      </c>
      <c r="V238" s="10" t="s">
        <v>87</v>
      </c>
    </row>
    <row r="239" spans="1:22" s="10" customFormat="1" x14ac:dyDescent="0.25">
      <c r="A239" s="10" t="s">
        <v>3130</v>
      </c>
      <c r="B239" s="10" t="s">
        <v>2856</v>
      </c>
      <c r="C239" s="10" t="s">
        <v>215</v>
      </c>
      <c r="D239" s="10" t="s">
        <v>3131</v>
      </c>
      <c r="E239" s="8" t="s">
        <v>3132</v>
      </c>
      <c r="F239" s="8" t="s">
        <v>3133</v>
      </c>
      <c r="G239" s="10" t="s">
        <v>2647</v>
      </c>
      <c r="H239" s="8" t="s">
        <v>3134</v>
      </c>
      <c r="I239" s="10" t="s">
        <v>2861</v>
      </c>
      <c r="J239" s="8" t="s">
        <v>2862</v>
      </c>
      <c r="K239" s="8" t="s">
        <v>2649</v>
      </c>
      <c r="L239" s="8" t="s">
        <v>87</v>
      </c>
      <c r="M239" s="10" t="s">
        <v>1436</v>
      </c>
      <c r="N239" s="8" t="s">
        <v>87</v>
      </c>
      <c r="O239" s="10" t="s">
        <v>22</v>
      </c>
      <c r="P239" s="8" t="s">
        <v>3074</v>
      </c>
      <c r="Q239" s="10" t="s">
        <v>223</v>
      </c>
      <c r="R239" s="10" t="s">
        <v>1438</v>
      </c>
      <c r="S239" s="8" t="s">
        <v>3135</v>
      </c>
      <c r="T239" s="10" t="s">
        <v>2865</v>
      </c>
      <c r="U239" s="10" t="s">
        <v>87</v>
      </c>
      <c r="V239" s="10" t="s">
        <v>87</v>
      </c>
    </row>
    <row r="240" spans="1:22" s="10" customFormat="1" x14ac:dyDescent="0.25">
      <c r="A240" s="10" t="s">
        <v>3136</v>
      </c>
      <c r="B240" s="10" t="s">
        <v>2856</v>
      </c>
      <c r="C240" s="10" t="s">
        <v>215</v>
      </c>
      <c r="D240" s="10" t="s">
        <v>3137</v>
      </c>
      <c r="E240" s="8" t="s">
        <v>3138</v>
      </c>
      <c r="F240" s="8" t="s">
        <v>3139</v>
      </c>
      <c r="G240" s="10" t="s">
        <v>2647</v>
      </c>
      <c r="H240" s="8" t="s">
        <v>3140</v>
      </c>
      <c r="I240" s="10" t="s">
        <v>2884</v>
      </c>
      <c r="J240" s="8" t="s">
        <v>2862</v>
      </c>
      <c r="K240" s="8" t="s">
        <v>2649</v>
      </c>
      <c r="L240" s="8" t="s">
        <v>87</v>
      </c>
      <c r="M240" s="10" t="s">
        <v>1436</v>
      </c>
      <c r="N240" s="8" t="s">
        <v>87</v>
      </c>
      <c r="O240" s="10" t="s">
        <v>22</v>
      </c>
      <c r="P240" s="8" t="s">
        <v>3141</v>
      </c>
      <c r="Q240" s="10" t="s">
        <v>239</v>
      </c>
      <c r="R240" s="10" t="s">
        <v>1438</v>
      </c>
      <c r="S240" s="8" t="s">
        <v>3142</v>
      </c>
      <c r="T240" s="10" t="s">
        <v>2865</v>
      </c>
      <c r="U240" s="10" t="s">
        <v>87</v>
      </c>
      <c r="V240" s="10" t="s">
        <v>87</v>
      </c>
    </row>
    <row r="241" spans="1:22" s="10" customFormat="1" x14ac:dyDescent="0.25">
      <c r="A241" s="10" t="s">
        <v>3143</v>
      </c>
      <c r="B241" s="10" t="s">
        <v>2856</v>
      </c>
      <c r="C241" s="10" t="s">
        <v>215</v>
      </c>
      <c r="D241" s="10" t="s">
        <v>3144</v>
      </c>
      <c r="E241" s="8" t="s">
        <v>3145</v>
      </c>
      <c r="F241" s="8" t="s">
        <v>3146</v>
      </c>
      <c r="G241" s="10" t="s">
        <v>2647</v>
      </c>
      <c r="H241" s="8" t="s">
        <v>3147</v>
      </c>
      <c r="I241" s="10" t="s">
        <v>2884</v>
      </c>
      <c r="J241" s="8" t="s">
        <v>2862</v>
      </c>
      <c r="K241" s="8" t="s">
        <v>2649</v>
      </c>
      <c r="L241" s="8" t="s">
        <v>87</v>
      </c>
      <c r="M241" s="10" t="s">
        <v>1436</v>
      </c>
      <c r="N241" s="8" t="s">
        <v>87</v>
      </c>
      <c r="O241" s="10" t="s">
        <v>22</v>
      </c>
      <c r="P241" s="8" t="s">
        <v>3148</v>
      </c>
      <c r="Q241" s="10" t="s">
        <v>239</v>
      </c>
      <c r="R241" s="10" t="s">
        <v>1438</v>
      </c>
      <c r="S241" s="8" t="s">
        <v>3149</v>
      </c>
      <c r="T241" s="10" t="s">
        <v>2865</v>
      </c>
      <c r="U241" s="10" t="s">
        <v>87</v>
      </c>
      <c r="V241" s="10" t="s">
        <v>87</v>
      </c>
    </row>
    <row r="242" spans="1:22" s="10" customFormat="1" x14ac:dyDescent="0.25">
      <c r="A242" s="10" t="s">
        <v>3150</v>
      </c>
      <c r="B242" s="10" t="s">
        <v>2856</v>
      </c>
      <c r="C242" s="11" t="s">
        <v>346</v>
      </c>
      <c r="D242" s="10" t="s">
        <v>3151</v>
      </c>
      <c r="E242" s="8" t="s">
        <v>3152</v>
      </c>
      <c r="F242" s="8" t="s">
        <v>3153</v>
      </c>
      <c r="G242" s="10" t="s">
        <v>2647</v>
      </c>
      <c r="H242" s="8" t="s">
        <v>3154</v>
      </c>
      <c r="I242" s="10" t="s">
        <v>2861</v>
      </c>
      <c r="J242" s="8" t="s">
        <v>3155</v>
      </c>
      <c r="K242" s="8" t="s">
        <v>2649</v>
      </c>
      <c r="L242" s="8" t="s">
        <v>87</v>
      </c>
      <c r="M242" s="10" t="s">
        <v>1436</v>
      </c>
      <c r="N242" s="8" t="s">
        <v>87</v>
      </c>
      <c r="O242" s="10" t="s">
        <v>22</v>
      </c>
      <c r="P242" s="8" t="s">
        <v>3156</v>
      </c>
      <c r="Q242" s="10" t="s">
        <v>239</v>
      </c>
      <c r="R242" s="10" t="s">
        <v>1438</v>
      </c>
      <c r="S242" s="8" t="s">
        <v>3157</v>
      </c>
      <c r="T242" s="10" t="s">
        <v>2865</v>
      </c>
      <c r="U242" s="10" t="s">
        <v>87</v>
      </c>
      <c r="V242" s="10" t="s">
        <v>87</v>
      </c>
    </row>
    <row r="243" spans="1:22" s="10" customFormat="1" x14ac:dyDescent="0.25">
      <c r="A243" s="10" t="s">
        <v>3158</v>
      </c>
      <c r="B243" s="10" t="s">
        <v>2856</v>
      </c>
      <c r="C243" s="10" t="s">
        <v>215</v>
      </c>
      <c r="D243" s="10" t="s">
        <v>3159</v>
      </c>
      <c r="E243" s="8" t="s">
        <v>3160</v>
      </c>
      <c r="F243" s="8" t="s">
        <v>3161</v>
      </c>
      <c r="G243" s="10" t="s">
        <v>2647</v>
      </c>
      <c r="H243" s="8" t="s">
        <v>3162</v>
      </c>
      <c r="I243" s="10" t="s">
        <v>479</v>
      </c>
      <c r="J243" s="8" t="s">
        <v>2862</v>
      </c>
      <c r="K243" s="8" t="s">
        <v>2649</v>
      </c>
      <c r="L243" s="8" t="s">
        <v>87</v>
      </c>
      <c r="M243" s="10" t="s">
        <v>1436</v>
      </c>
      <c r="N243" s="8" t="s">
        <v>87</v>
      </c>
      <c r="O243" s="10" t="s">
        <v>22</v>
      </c>
      <c r="P243" s="8" t="s">
        <v>3163</v>
      </c>
      <c r="Q243" s="10" t="s">
        <v>223</v>
      </c>
      <c r="R243" s="10" t="s">
        <v>1438</v>
      </c>
      <c r="S243" s="8" t="s">
        <v>3164</v>
      </c>
      <c r="T243" s="10" t="s">
        <v>2865</v>
      </c>
      <c r="U243" s="10" t="s">
        <v>87</v>
      </c>
      <c r="V243" s="10" t="s">
        <v>87</v>
      </c>
    </row>
    <row r="244" spans="1:22" s="10" customFormat="1" x14ac:dyDescent="0.25">
      <c r="A244" s="10" t="s">
        <v>3165</v>
      </c>
      <c r="B244" s="10" t="s">
        <v>2856</v>
      </c>
      <c r="C244" s="10" t="s">
        <v>215</v>
      </c>
      <c r="D244" s="10" t="s">
        <v>3166</v>
      </c>
      <c r="E244" s="8" t="s">
        <v>3167</v>
      </c>
      <c r="F244" s="8" t="s">
        <v>3168</v>
      </c>
      <c r="G244" s="10" t="s">
        <v>2647</v>
      </c>
      <c r="H244" s="8" t="s">
        <v>3169</v>
      </c>
      <c r="I244" s="10" t="s">
        <v>479</v>
      </c>
      <c r="J244" s="8" t="s">
        <v>2862</v>
      </c>
      <c r="K244" s="8" t="s">
        <v>2649</v>
      </c>
      <c r="L244" s="8" t="s">
        <v>87</v>
      </c>
      <c r="M244" s="10" t="s">
        <v>1436</v>
      </c>
      <c r="N244" s="8" t="s">
        <v>87</v>
      </c>
      <c r="O244" s="10" t="s">
        <v>22</v>
      </c>
      <c r="P244" s="8" t="s">
        <v>3170</v>
      </c>
      <c r="Q244" s="10" t="s">
        <v>223</v>
      </c>
      <c r="R244" s="10" t="s">
        <v>1438</v>
      </c>
      <c r="S244" s="8" t="s">
        <v>3171</v>
      </c>
      <c r="T244" s="10" t="s">
        <v>2865</v>
      </c>
      <c r="U244" s="10" t="s">
        <v>87</v>
      </c>
      <c r="V244" s="10" t="s">
        <v>87</v>
      </c>
    </row>
    <row r="245" spans="1:22" s="10" customFormat="1" x14ac:dyDescent="0.25">
      <c r="A245" s="10" t="s">
        <v>3172</v>
      </c>
      <c r="B245" s="10" t="s">
        <v>2856</v>
      </c>
      <c r="C245" s="10" t="s">
        <v>215</v>
      </c>
      <c r="D245" s="10" t="s">
        <v>3173</v>
      </c>
      <c r="E245" s="8" t="s">
        <v>3174</v>
      </c>
      <c r="F245" s="8" t="s">
        <v>3175</v>
      </c>
      <c r="G245" s="10" t="s">
        <v>2647</v>
      </c>
      <c r="H245" s="8" t="s">
        <v>3176</v>
      </c>
      <c r="I245" s="10" t="s">
        <v>3177</v>
      </c>
      <c r="J245" s="8" t="s">
        <v>2862</v>
      </c>
      <c r="K245" s="8" t="s">
        <v>2649</v>
      </c>
      <c r="L245" s="8" t="s">
        <v>87</v>
      </c>
      <c r="M245" s="10" t="s">
        <v>1436</v>
      </c>
      <c r="N245" s="8" t="s">
        <v>87</v>
      </c>
      <c r="O245" s="10" t="s">
        <v>22</v>
      </c>
      <c r="P245" s="8" t="s">
        <v>3178</v>
      </c>
      <c r="Q245" s="10" t="s">
        <v>1447</v>
      </c>
      <c r="R245" s="10" t="s">
        <v>1438</v>
      </c>
      <c r="S245" s="8" t="s">
        <v>3179</v>
      </c>
      <c r="T245" s="10" t="s">
        <v>2865</v>
      </c>
      <c r="U245" s="10" t="s">
        <v>87</v>
      </c>
      <c r="V245" s="10" t="s">
        <v>87</v>
      </c>
    </row>
    <row r="246" spans="1:22" s="10" customFormat="1" x14ac:dyDescent="0.25">
      <c r="A246" s="10" t="s">
        <v>3180</v>
      </c>
      <c r="B246" s="10" t="s">
        <v>2856</v>
      </c>
      <c r="C246" s="10" t="s">
        <v>215</v>
      </c>
      <c r="D246" s="10" t="s">
        <v>3181</v>
      </c>
      <c r="E246" s="8" t="s">
        <v>3182</v>
      </c>
      <c r="F246" s="8" t="s">
        <v>3183</v>
      </c>
      <c r="G246" s="10" t="s">
        <v>2647</v>
      </c>
      <c r="H246" s="8" t="s">
        <v>3184</v>
      </c>
      <c r="I246" s="10" t="s">
        <v>3185</v>
      </c>
      <c r="J246" s="8" t="s">
        <v>2862</v>
      </c>
      <c r="K246" s="8" t="s">
        <v>2649</v>
      </c>
      <c r="L246" s="8" t="s">
        <v>87</v>
      </c>
      <c r="M246" s="10" t="s">
        <v>1436</v>
      </c>
      <c r="N246" s="8" t="s">
        <v>87</v>
      </c>
      <c r="O246" s="10" t="s">
        <v>22</v>
      </c>
      <c r="P246" s="8" t="s">
        <v>3186</v>
      </c>
      <c r="Q246" s="10" t="s">
        <v>223</v>
      </c>
      <c r="R246" s="10" t="s">
        <v>1438</v>
      </c>
      <c r="S246" s="8" t="s">
        <v>3187</v>
      </c>
      <c r="T246" s="10" t="s">
        <v>2865</v>
      </c>
      <c r="U246" s="10" t="s">
        <v>87</v>
      </c>
      <c r="V246" s="10" t="s">
        <v>87</v>
      </c>
    </row>
    <row r="247" spans="1:22" s="10" customFormat="1" x14ac:dyDescent="0.25">
      <c r="A247" s="10" t="s">
        <v>3188</v>
      </c>
      <c r="B247" s="10" t="s">
        <v>2856</v>
      </c>
      <c r="C247" s="11" t="s">
        <v>346</v>
      </c>
      <c r="D247" s="10" t="s">
        <v>3189</v>
      </c>
      <c r="E247" s="8" t="s">
        <v>3190</v>
      </c>
      <c r="F247" s="8" t="s">
        <v>3191</v>
      </c>
      <c r="G247" s="10" t="s">
        <v>2647</v>
      </c>
      <c r="H247" s="8" t="s">
        <v>3192</v>
      </c>
      <c r="I247" s="10" t="s">
        <v>3185</v>
      </c>
      <c r="J247" s="8" t="s">
        <v>2862</v>
      </c>
      <c r="K247" s="8" t="s">
        <v>2649</v>
      </c>
      <c r="L247" s="8" t="s">
        <v>87</v>
      </c>
      <c r="M247" s="10" t="s">
        <v>1436</v>
      </c>
      <c r="N247" s="8" t="s">
        <v>87</v>
      </c>
      <c r="O247" s="10" t="s">
        <v>22</v>
      </c>
      <c r="P247" s="8" t="s">
        <v>3193</v>
      </c>
      <c r="Q247" s="10" t="s">
        <v>246</v>
      </c>
      <c r="R247" s="10" t="s">
        <v>1438</v>
      </c>
      <c r="S247" s="8" t="s">
        <v>3194</v>
      </c>
      <c r="T247" s="10" t="s">
        <v>2865</v>
      </c>
      <c r="U247" s="10" t="s">
        <v>87</v>
      </c>
      <c r="V247" s="10" t="s">
        <v>87</v>
      </c>
    </row>
    <row r="248" spans="1:22" s="10" customFormat="1" x14ac:dyDescent="0.25">
      <c r="A248" s="10" t="s">
        <v>3195</v>
      </c>
      <c r="B248" s="10" t="s">
        <v>2856</v>
      </c>
      <c r="C248" s="11" t="s">
        <v>346</v>
      </c>
      <c r="D248" s="10" t="s">
        <v>3196</v>
      </c>
      <c r="E248" s="8" t="s">
        <v>3197</v>
      </c>
      <c r="F248" s="8" t="s">
        <v>3198</v>
      </c>
      <c r="G248" s="10" t="s">
        <v>2647</v>
      </c>
      <c r="H248" s="8" t="s">
        <v>3199</v>
      </c>
      <c r="I248" s="10" t="s">
        <v>3185</v>
      </c>
      <c r="J248" s="8" t="s">
        <v>2862</v>
      </c>
      <c r="K248" s="8" t="s">
        <v>2649</v>
      </c>
      <c r="L248" s="8" t="s">
        <v>87</v>
      </c>
      <c r="M248" s="10" t="s">
        <v>1436</v>
      </c>
      <c r="N248" s="8" t="s">
        <v>87</v>
      </c>
      <c r="O248" s="10" t="s">
        <v>22</v>
      </c>
      <c r="P248" s="8" t="s">
        <v>3200</v>
      </c>
      <c r="Q248" s="10" t="s">
        <v>246</v>
      </c>
      <c r="R248" s="10" t="s">
        <v>1438</v>
      </c>
      <c r="S248" s="8" t="s">
        <v>3201</v>
      </c>
      <c r="T248" s="10" t="s">
        <v>2865</v>
      </c>
      <c r="U248" s="10" t="s">
        <v>87</v>
      </c>
      <c r="V248" s="10" t="s">
        <v>87</v>
      </c>
    </row>
    <row r="249" spans="1:22" s="10" customFormat="1" x14ac:dyDescent="0.25">
      <c r="A249" s="10" t="s">
        <v>3202</v>
      </c>
      <c r="B249" s="10" t="s">
        <v>2856</v>
      </c>
      <c r="C249" s="10" t="s">
        <v>215</v>
      </c>
      <c r="D249" s="10" t="s">
        <v>3203</v>
      </c>
      <c r="E249" s="8" t="s">
        <v>3204</v>
      </c>
      <c r="F249" s="8" t="s">
        <v>3205</v>
      </c>
      <c r="G249" s="10" t="s">
        <v>2647</v>
      </c>
      <c r="H249" s="8" t="s">
        <v>3206</v>
      </c>
      <c r="I249" s="10" t="s">
        <v>479</v>
      </c>
      <c r="J249" s="8" t="s">
        <v>2862</v>
      </c>
      <c r="K249" s="8" t="s">
        <v>2649</v>
      </c>
      <c r="L249" s="8" t="s">
        <v>87</v>
      </c>
      <c r="M249" s="10" t="s">
        <v>1436</v>
      </c>
      <c r="N249" s="8" t="s">
        <v>87</v>
      </c>
      <c r="O249" s="10" t="s">
        <v>22</v>
      </c>
      <c r="P249" s="8" t="s">
        <v>3207</v>
      </c>
      <c r="Q249" s="10" t="s">
        <v>246</v>
      </c>
      <c r="R249" s="10" t="s">
        <v>1438</v>
      </c>
      <c r="S249" s="8" t="s">
        <v>3208</v>
      </c>
      <c r="T249" s="10" t="s">
        <v>2865</v>
      </c>
      <c r="U249" s="10" t="s">
        <v>87</v>
      </c>
      <c r="V249" s="10" t="s">
        <v>87</v>
      </c>
    </row>
    <row r="250" spans="1:22" s="10" customFormat="1" x14ac:dyDescent="0.25">
      <c r="A250" s="10" t="s">
        <v>3209</v>
      </c>
      <c r="B250" s="10" t="s">
        <v>2856</v>
      </c>
      <c r="C250" s="10" t="s">
        <v>215</v>
      </c>
      <c r="D250" s="10" t="s">
        <v>3210</v>
      </c>
      <c r="E250" s="8" t="s">
        <v>3211</v>
      </c>
      <c r="F250" s="8" t="s">
        <v>3212</v>
      </c>
      <c r="G250" s="10" t="s">
        <v>2647</v>
      </c>
      <c r="H250" s="8" t="s">
        <v>3213</v>
      </c>
      <c r="I250" s="10" t="s">
        <v>479</v>
      </c>
      <c r="J250" s="8" t="s">
        <v>2862</v>
      </c>
      <c r="K250" s="8" t="s">
        <v>2649</v>
      </c>
      <c r="L250" s="8" t="s">
        <v>87</v>
      </c>
      <c r="M250" s="10" t="s">
        <v>1436</v>
      </c>
      <c r="N250" s="8" t="s">
        <v>87</v>
      </c>
      <c r="O250" s="10" t="s">
        <v>22</v>
      </c>
      <c r="P250" s="8" t="s">
        <v>3214</v>
      </c>
      <c r="Q250" s="10" t="s">
        <v>246</v>
      </c>
      <c r="R250" s="10" t="s">
        <v>1438</v>
      </c>
      <c r="S250" s="8" t="s">
        <v>3215</v>
      </c>
      <c r="T250" s="10" t="s">
        <v>2865</v>
      </c>
      <c r="U250" s="10" t="s">
        <v>87</v>
      </c>
      <c r="V250" s="10" t="s">
        <v>87</v>
      </c>
    </row>
    <row r="251" spans="1:22" s="10" customFormat="1" x14ac:dyDescent="0.25">
      <c r="A251" s="10" t="s">
        <v>3216</v>
      </c>
      <c r="B251" s="10" t="s">
        <v>2856</v>
      </c>
      <c r="C251" s="11" t="s">
        <v>346</v>
      </c>
      <c r="D251" s="10" t="s">
        <v>3217</v>
      </c>
      <c r="E251" s="8" t="s">
        <v>3218</v>
      </c>
      <c r="F251" s="8" t="s">
        <v>3219</v>
      </c>
      <c r="G251" s="10" t="s">
        <v>2647</v>
      </c>
      <c r="H251" s="8" t="s">
        <v>3220</v>
      </c>
      <c r="I251" s="10" t="s">
        <v>3221</v>
      </c>
      <c r="J251" s="8" t="s">
        <v>2862</v>
      </c>
      <c r="K251" s="8" t="s">
        <v>2649</v>
      </c>
      <c r="L251" s="8" t="s">
        <v>87</v>
      </c>
      <c r="M251" s="10" t="s">
        <v>1436</v>
      </c>
      <c r="N251" s="8" t="s">
        <v>87</v>
      </c>
      <c r="O251" s="10" t="s">
        <v>22</v>
      </c>
      <c r="P251" s="8" t="s">
        <v>3222</v>
      </c>
      <c r="Q251" s="10" t="s">
        <v>246</v>
      </c>
      <c r="R251" s="10" t="s">
        <v>1438</v>
      </c>
      <c r="S251" s="8" t="s">
        <v>3223</v>
      </c>
      <c r="T251" s="10" t="s">
        <v>2865</v>
      </c>
      <c r="U251" s="10" t="s">
        <v>87</v>
      </c>
      <c r="V251" s="10" t="s">
        <v>87</v>
      </c>
    </row>
    <row r="252" spans="1:22" s="10" customFormat="1" x14ac:dyDescent="0.25">
      <c r="A252" s="10" t="s">
        <v>3224</v>
      </c>
      <c r="B252" s="10" t="s">
        <v>2856</v>
      </c>
      <c r="C252" s="11" t="s">
        <v>346</v>
      </c>
      <c r="D252" s="10" t="s">
        <v>3225</v>
      </c>
      <c r="E252" s="8" t="s">
        <v>3226</v>
      </c>
      <c r="F252" s="8" t="s">
        <v>3227</v>
      </c>
      <c r="G252" s="10" t="s">
        <v>2647</v>
      </c>
      <c r="H252" s="8" t="s">
        <v>3228</v>
      </c>
      <c r="I252" s="10" t="s">
        <v>2884</v>
      </c>
      <c r="J252" s="8" t="s">
        <v>1664</v>
      </c>
      <c r="K252" s="8" t="s">
        <v>2649</v>
      </c>
      <c r="L252" s="8" t="s">
        <v>87</v>
      </c>
      <c r="M252" s="10" t="s">
        <v>1436</v>
      </c>
      <c r="N252" s="8" t="s">
        <v>87</v>
      </c>
      <c r="O252" s="10" t="s">
        <v>22</v>
      </c>
      <c r="P252" s="8" t="s">
        <v>3229</v>
      </c>
      <c r="Q252" s="10" t="s">
        <v>825</v>
      </c>
      <c r="R252" s="10" t="s">
        <v>1668</v>
      </c>
      <c r="S252" s="8" t="s">
        <v>1669</v>
      </c>
      <c r="T252" s="10" t="s">
        <v>2865</v>
      </c>
      <c r="U252" s="10" t="s">
        <v>87</v>
      </c>
      <c r="V252" s="10" t="s">
        <v>87</v>
      </c>
    </row>
    <row r="253" spans="1:22" s="10" customFormat="1" x14ac:dyDescent="0.25">
      <c r="A253" s="10" t="s">
        <v>3230</v>
      </c>
      <c r="B253" s="10" t="s">
        <v>2856</v>
      </c>
      <c r="C253" s="11" t="s">
        <v>346</v>
      </c>
      <c r="D253" s="10" t="s">
        <v>3231</v>
      </c>
      <c r="E253" s="8" t="s">
        <v>3232</v>
      </c>
      <c r="F253" s="8" t="s">
        <v>3233</v>
      </c>
      <c r="G253" s="10" t="s">
        <v>2647</v>
      </c>
      <c r="H253" s="8" t="s">
        <v>3234</v>
      </c>
      <c r="I253" s="10" t="s">
        <v>479</v>
      </c>
      <c r="J253" s="8" t="s">
        <v>1664</v>
      </c>
      <c r="K253" s="8" t="s">
        <v>2649</v>
      </c>
      <c r="L253" s="8" t="s">
        <v>87</v>
      </c>
      <c r="M253" s="10" t="s">
        <v>1436</v>
      </c>
      <c r="N253" s="8" t="s">
        <v>87</v>
      </c>
      <c r="O253" s="10" t="s">
        <v>22</v>
      </c>
      <c r="P253" s="8" t="s">
        <v>3235</v>
      </c>
      <c r="Q253" s="10" t="s">
        <v>825</v>
      </c>
      <c r="R253" s="10" t="s">
        <v>2188</v>
      </c>
      <c r="S253" s="8" t="s">
        <v>1669</v>
      </c>
      <c r="T253" s="10" t="s">
        <v>2865</v>
      </c>
      <c r="U253" s="10" t="s">
        <v>87</v>
      </c>
      <c r="V253" s="10" t="s">
        <v>87</v>
      </c>
    </row>
    <row r="254" spans="1:22" s="10" customFormat="1" x14ac:dyDescent="0.25">
      <c r="A254" s="10" t="s">
        <v>3236</v>
      </c>
      <c r="B254" s="10" t="s">
        <v>2856</v>
      </c>
      <c r="C254" s="11" t="s">
        <v>346</v>
      </c>
      <c r="D254" s="10" t="s">
        <v>3237</v>
      </c>
      <c r="E254" s="8" t="s">
        <v>3238</v>
      </c>
      <c r="F254" s="8" t="s">
        <v>3239</v>
      </c>
      <c r="G254" s="10" t="s">
        <v>2647</v>
      </c>
      <c r="H254" s="8" t="s">
        <v>1653</v>
      </c>
      <c r="I254" s="10" t="s">
        <v>3240</v>
      </c>
      <c r="J254" s="8" t="s">
        <v>1655</v>
      </c>
      <c r="K254" s="8" t="s">
        <v>2649</v>
      </c>
      <c r="L254" s="8" t="s">
        <v>87</v>
      </c>
      <c r="M254" s="10" t="s">
        <v>1436</v>
      </c>
      <c r="N254" s="8" t="s">
        <v>87</v>
      </c>
      <c r="O254" s="10" t="s">
        <v>22</v>
      </c>
      <c r="P254" s="8" t="s">
        <v>3241</v>
      </c>
      <c r="Q254" s="10" t="s">
        <v>1447</v>
      </c>
      <c r="R254" s="10" t="s">
        <v>1657</v>
      </c>
      <c r="S254" s="8" t="s">
        <v>3242</v>
      </c>
      <c r="T254" s="10" t="s">
        <v>2865</v>
      </c>
      <c r="U254" s="10" t="s">
        <v>87</v>
      </c>
      <c r="V254" s="10" t="s">
        <v>87</v>
      </c>
    </row>
    <row r="255" spans="1:22" s="10" customFormat="1" x14ac:dyDescent="0.25">
      <c r="A255" s="10" t="s">
        <v>3243</v>
      </c>
      <c r="B255" s="10" t="s">
        <v>2856</v>
      </c>
      <c r="C255" s="11" t="s">
        <v>346</v>
      </c>
      <c r="D255" s="10" t="s">
        <v>3244</v>
      </c>
      <c r="E255" s="8" t="s">
        <v>3245</v>
      </c>
      <c r="F255" s="8" t="s">
        <v>3246</v>
      </c>
      <c r="G255" s="10" t="s">
        <v>2647</v>
      </c>
      <c r="H255" s="8" t="s">
        <v>3247</v>
      </c>
      <c r="I255" s="10" t="s">
        <v>479</v>
      </c>
      <c r="J255" s="8" t="s">
        <v>2862</v>
      </c>
      <c r="K255" s="8" t="s">
        <v>2649</v>
      </c>
      <c r="L255" s="8" t="s">
        <v>87</v>
      </c>
      <c r="M255" s="10" t="s">
        <v>1436</v>
      </c>
      <c r="N255" s="8" t="s">
        <v>87</v>
      </c>
      <c r="O255" s="10" t="s">
        <v>22</v>
      </c>
      <c r="P255" s="8" t="s">
        <v>3248</v>
      </c>
      <c r="Q255" s="10" t="s">
        <v>223</v>
      </c>
      <c r="R255" s="10" t="s">
        <v>1438</v>
      </c>
      <c r="S255" s="8" t="s">
        <v>3249</v>
      </c>
      <c r="T255" s="10" t="s">
        <v>2865</v>
      </c>
      <c r="U255" s="10" t="s">
        <v>87</v>
      </c>
      <c r="V255" s="10" t="s">
        <v>87</v>
      </c>
    </row>
    <row r="256" spans="1:22" s="10" customFormat="1" x14ac:dyDescent="0.25">
      <c r="A256" s="10" t="s">
        <v>3250</v>
      </c>
      <c r="B256" s="10" t="s">
        <v>2856</v>
      </c>
      <c r="C256" s="10" t="s">
        <v>384</v>
      </c>
      <c r="D256" s="10" t="s">
        <v>3251</v>
      </c>
      <c r="E256" s="8" t="s">
        <v>3252</v>
      </c>
      <c r="F256" s="8" t="s">
        <v>3253</v>
      </c>
      <c r="G256" s="10" t="s">
        <v>2647</v>
      </c>
      <c r="H256" s="8" t="s">
        <v>3254</v>
      </c>
      <c r="I256" s="10" t="s">
        <v>479</v>
      </c>
      <c r="J256" s="8" t="s">
        <v>2862</v>
      </c>
      <c r="K256" s="8" t="s">
        <v>2649</v>
      </c>
      <c r="L256" s="8" t="s">
        <v>87</v>
      </c>
      <c r="M256" s="10" t="s">
        <v>1436</v>
      </c>
      <c r="N256" s="8" t="s">
        <v>87</v>
      </c>
      <c r="O256" s="10" t="s">
        <v>22</v>
      </c>
      <c r="P256" s="8" t="s">
        <v>3255</v>
      </c>
      <c r="Q256" s="10" t="s">
        <v>223</v>
      </c>
      <c r="R256" s="10" t="s">
        <v>1438</v>
      </c>
      <c r="S256" s="8" t="s">
        <v>3256</v>
      </c>
      <c r="T256" s="10" t="s">
        <v>2865</v>
      </c>
      <c r="U256" s="10" t="s">
        <v>87</v>
      </c>
      <c r="V256" s="10" t="s">
        <v>87</v>
      </c>
    </row>
    <row r="257" spans="1:22" s="10" customFormat="1" x14ac:dyDescent="0.25">
      <c r="A257" s="10" t="s">
        <v>3257</v>
      </c>
      <c r="B257" s="10" t="s">
        <v>2856</v>
      </c>
      <c r="C257" s="10" t="s">
        <v>215</v>
      </c>
      <c r="D257" s="10" t="s">
        <v>3258</v>
      </c>
      <c r="E257" s="8" t="s">
        <v>3259</v>
      </c>
      <c r="F257" s="8" t="s">
        <v>3260</v>
      </c>
      <c r="G257" s="10" t="s">
        <v>2647</v>
      </c>
      <c r="H257" s="8" t="s">
        <v>2860</v>
      </c>
      <c r="I257" s="10" t="s">
        <v>479</v>
      </c>
      <c r="J257" s="8" t="s">
        <v>2862</v>
      </c>
      <c r="K257" s="8" t="s">
        <v>2649</v>
      </c>
      <c r="L257" s="8" t="s">
        <v>87</v>
      </c>
      <c r="M257" s="10" t="s">
        <v>1436</v>
      </c>
      <c r="N257" s="8" t="s">
        <v>87</v>
      </c>
      <c r="O257" s="10" t="s">
        <v>22</v>
      </c>
      <c r="P257" s="8" t="s">
        <v>3261</v>
      </c>
      <c r="Q257" s="10" t="s">
        <v>223</v>
      </c>
      <c r="R257" s="10" t="s">
        <v>1438</v>
      </c>
      <c r="S257" s="8" t="s">
        <v>1648</v>
      </c>
      <c r="T257" s="10" t="s">
        <v>2865</v>
      </c>
      <c r="U257" s="10" t="s">
        <v>87</v>
      </c>
      <c r="V257" s="10" t="s">
        <v>87</v>
      </c>
    </row>
    <row r="258" spans="1:22" s="10" customFormat="1" x14ac:dyDescent="0.25">
      <c r="A258" s="10" t="s">
        <v>3262</v>
      </c>
      <c r="B258" s="10" t="s">
        <v>2856</v>
      </c>
      <c r="C258" s="10" t="s">
        <v>215</v>
      </c>
      <c r="D258" s="10" t="s">
        <v>3263</v>
      </c>
      <c r="E258" s="8" t="s">
        <v>3264</v>
      </c>
      <c r="F258" s="8" t="s">
        <v>3265</v>
      </c>
      <c r="G258" s="10" t="s">
        <v>4</v>
      </c>
      <c r="H258" s="8" t="s">
        <v>3266</v>
      </c>
      <c r="I258" s="10" t="s">
        <v>3267</v>
      </c>
      <c r="J258" s="8" t="s">
        <v>1577</v>
      </c>
      <c r="K258" s="8" t="s">
        <v>1873</v>
      </c>
      <c r="L258" s="8" t="s">
        <v>87</v>
      </c>
      <c r="M258" s="10" t="s">
        <v>1436</v>
      </c>
      <c r="N258" s="8" t="s">
        <v>87</v>
      </c>
      <c r="O258" s="10" t="s">
        <v>22</v>
      </c>
      <c r="P258" s="8" t="s">
        <v>3268</v>
      </c>
      <c r="Q258" s="10" t="s">
        <v>223</v>
      </c>
      <c r="R258" s="10" t="s">
        <v>1438</v>
      </c>
      <c r="S258" s="8" t="s">
        <v>3269</v>
      </c>
      <c r="T258" s="10" t="s">
        <v>3270</v>
      </c>
      <c r="U258" s="10" t="s">
        <v>87</v>
      </c>
      <c r="V258" s="10" t="s">
        <v>87</v>
      </c>
    </row>
    <row r="259" spans="1:22" s="10" customFormat="1" x14ac:dyDescent="0.25">
      <c r="A259" s="10" t="s">
        <v>3271</v>
      </c>
      <c r="B259" s="10" t="s">
        <v>2856</v>
      </c>
      <c r="C259" s="10" t="s">
        <v>384</v>
      </c>
      <c r="D259" s="10" t="s">
        <v>3272</v>
      </c>
      <c r="E259" s="8" t="s">
        <v>3273</v>
      </c>
      <c r="F259" s="8" t="s">
        <v>3274</v>
      </c>
      <c r="G259" s="10" t="s">
        <v>2647</v>
      </c>
      <c r="H259" s="8" t="s">
        <v>3275</v>
      </c>
      <c r="I259" s="10" t="s">
        <v>3276</v>
      </c>
      <c r="J259" s="8" t="s">
        <v>1577</v>
      </c>
      <c r="K259" s="8" t="s">
        <v>2649</v>
      </c>
      <c r="L259" s="8" t="s">
        <v>87</v>
      </c>
      <c r="M259" s="10" t="s">
        <v>1436</v>
      </c>
      <c r="N259" s="8" t="s">
        <v>87</v>
      </c>
      <c r="O259" s="10" t="s">
        <v>22</v>
      </c>
      <c r="P259" s="8" t="s">
        <v>3277</v>
      </c>
      <c r="Q259" s="10" t="s">
        <v>223</v>
      </c>
      <c r="R259" s="10" t="s">
        <v>1438</v>
      </c>
      <c r="S259" s="8" t="s">
        <v>3278</v>
      </c>
      <c r="T259" s="10" t="s">
        <v>3270</v>
      </c>
      <c r="U259" s="10" t="s">
        <v>87</v>
      </c>
      <c r="V259" s="10" t="s">
        <v>87</v>
      </c>
    </row>
    <row r="260" spans="1:22" s="10" customFormat="1" x14ac:dyDescent="0.25">
      <c r="A260" s="10" t="s">
        <v>3279</v>
      </c>
      <c r="B260" s="10" t="s">
        <v>2856</v>
      </c>
      <c r="C260" s="10" t="s">
        <v>384</v>
      </c>
      <c r="D260" s="10" t="s">
        <v>3280</v>
      </c>
      <c r="E260" s="8" t="s">
        <v>3281</v>
      </c>
      <c r="F260" s="8" t="s">
        <v>3282</v>
      </c>
      <c r="G260" s="10" t="s">
        <v>2647</v>
      </c>
      <c r="H260" s="8" t="s">
        <v>2870</v>
      </c>
      <c r="I260" s="10" t="s">
        <v>1151</v>
      </c>
      <c r="J260" s="8" t="s">
        <v>1577</v>
      </c>
      <c r="K260" s="8" t="s">
        <v>2649</v>
      </c>
      <c r="L260" s="8" t="s">
        <v>87</v>
      </c>
      <c r="M260" s="10" t="s">
        <v>1436</v>
      </c>
      <c r="N260" s="8" t="s">
        <v>87</v>
      </c>
      <c r="O260" s="10" t="s">
        <v>22</v>
      </c>
      <c r="P260" s="8" t="s">
        <v>3283</v>
      </c>
      <c r="Q260" s="10" t="s">
        <v>223</v>
      </c>
      <c r="R260" s="10" t="s">
        <v>1438</v>
      </c>
      <c r="S260" s="8" t="s">
        <v>1439</v>
      </c>
      <c r="T260" s="10" t="s">
        <v>3270</v>
      </c>
      <c r="U260" s="10" t="s">
        <v>87</v>
      </c>
      <c r="V260" s="10" t="s">
        <v>87</v>
      </c>
    </row>
    <row r="261" spans="1:22" s="10" customFormat="1" x14ac:dyDescent="0.25">
      <c r="A261" s="10" t="s">
        <v>3284</v>
      </c>
      <c r="B261" s="10" t="s">
        <v>2856</v>
      </c>
      <c r="C261" s="11" t="s">
        <v>346</v>
      </c>
      <c r="D261" s="10" t="s">
        <v>3285</v>
      </c>
      <c r="E261" s="8" t="s">
        <v>3286</v>
      </c>
      <c r="F261" s="8" t="s">
        <v>3287</v>
      </c>
      <c r="G261" s="10" t="s">
        <v>2647</v>
      </c>
      <c r="H261" s="8" t="s">
        <v>3288</v>
      </c>
      <c r="I261" s="10" t="s">
        <v>1470</v>
      </c>
      <c r="J261" s="8" t="s">
        <v>1577</v>
      </c>
      <c r="K261" s="8" t="s">
        <v>2649</v>
      </c>
      <c r="L261" s="8" t="s">
        <v>87</v>
      </c>
      <c r="M261" s="10" t="s">
        <v>1436</v>
      </c>
      <c r="N261" s="8" t="s">
        <v>87</v>
      </c>
      <c r="O261" s="10" t="s">
        <v>22</v>
      </c>
      <c r="P261" s="8" t="s">
        <v>3289</v>
      </c>
      <c r="Q261" s="10" t="s">
        <v>223</v>
      </c>
      <c r="R261" s="10" t="s">
        <v>1438</v>
      </c>
      <c r="S261" s="8" t="s">
        <v>3290</v>
      </c>
      <c r="T261" s="10" t="s">
        <v>3270</v>
      </c>
      <c r="U261" s="10" t="s">
        <v>87</v>
      </c>
      <c r="V261" s="10" t="s">
        <v>87</v>
      </c>
    </row>
    <row r="262" spans="1:22" s="10" customFormat="1" x14ac:dyDescent="0.25">
      <c r="A262" s="10" t="s">
        <v>3291</v>
      </c>
      <c r="B262" s="10" t="s">
        <v>2856</v>
      </c>
      <c r="C262" s="10" t="s">
        <v>384</v>
      </c>
      <c r="D262" s="10" t="s">
        <v>3292</v>
      </c>
      <c r="E262" s="8" t="s">
        <v>3293</v>
      </c>
      <c r="F262" s="8" t="s">
        <v>3294</v>
      </c>
      <c r="G262" s="10" t="s">
        <v>2647</v>
      </c>
      <c r="H262" s="8" t="s">
        <v>3295</v>
      </c>
      <c r="I262" s="10" t="s">
        <v>3296</v>
      </c>
      <c r="J262" s="8" t="s">
        <v>1577</v>
      </c>
      <c r="K262" s="8" t="s">
        <v>2649</v>
      </c>
      <c r="L262" s="8" t="s">
        <v>87</v>
      </c>
      <c r="M262" s="10" t="s">
        <v>1436</v>
      </c>
      <c r="N262" s="8" t="s">
        <v>87</v>
      </c>
      <c r="O262" s="10" t="s">
        <v>22</v>
      </c>
      <c r="P262" s="8" t="s">
        <v>3297</v>
      </c>
      <c r="Q262" s="10" t="s">
        <v>223</v>
      </c>
      <c r="R262" s="10" t="s">
        <v>1438</v>
      </c>
      <c r="S262" s="8" t="s">
        <v>3298</v>
      </c>
      <c r="T262" s="10" t="s">
        <v>3270</v>
      </c>
      <c r="U262" s="10" t="s">
        <v>87</v>
      </c>
      <c r="V262" s="10" t="s">
        <v>87</v>
      </c>
    </row>
    <row r="263" spans="1:22" s="10" customFormat="1" x14ac:dyDescent="0.25">
      <c r="A263" s="10" t="s">
        <v>3299</v>
      </c>
      <c r="B263" s="10" t="s">
        <v>2856</v>
      </c>
      <c r="C263" s="10" t="s">
        <v>384</v>
      </c>
      <c r="D263" s="10" t="s">
        <v>3300</v>
      </c>
      <c r="E263" s="8" t="s">
        <v>3301</v>
      </c>
      <c r="F263" s="8" t="s">
        <v>3302</v>
      </c>
      <c r="G263" s="10" t="s">
        <v>2647</v>
      </c>
      <c r="H263" s="8" t="s">
        <v>3303</v>
      </c>
      <c r="I263" s="10" t="s">
        <v>3296</v>
      </c>
      <c r="J263" s="8" t="s">
        <v>1577</v>
      </c>
      <c r="K263" s="8" t="s">
        <v>2649</v>
      </c>
      <c r="L263" s="8" t="s">
        <v>87</v>
      </c>
      <c r="M263" s="10" t="s">
        <v>1436</v>
      </c>
      <c r="N263" s="8" t="s">
        <v>87</v>
      </c>
      <c r="O263" s="10" t="s">
        <v>22</v>
      </c>
      <c r="P263" s="8" t="s">
        <v>3304</v>
      </c>
      <c r="Q263" s="10" t="s">
        <v>246</v>
      </c>
      <c r="R263" s="10" t="s">
        <v>1438</v>
      </c>
      <c r="S263" s="8" t="s">
        <v>3305</v>
      </c>
      <c r="T263" s="10" t="s">
        <v>3270</v>
      </c>
      <c r="U263" s="10" t="s">
        <v>87</v>
      </c>
      <c r="V263" s="10" t="s">
        <v>87</v>
      </c>
    </row>
    <row r="264" spans="1:22" s="10" customFormat="1" x14ac:dyDescent="0.25">
      <c r="A264" s="10" t="s">
        <v>3306</v>
      </c>
      <c r="B264" s="10" t="s">
        <v>2856</v>
      </c>
      <c r="C264" s="10" t="s">
        <v>215</v>
      </c>
      <c r="D264" s="10" t="s">
        <v>3307</v>
      </c>
      <c r="E264" s="8" t="s">
        <v>3308</v>
      </c>
      <c r="F264" s="8" t="s">
        <v>3309</v>
      </c>
      <c r="G264" s="10" t="s">
        <v>2647</v>
      </c>
      <c r="H264" s="8" t="s">
        <v>3310</v>
      </c>
      <c r="I264" s="10" t="s">
        <v>1151</v>
      </c>
      <c r="J264" s="8" t="s">
        <v>1577</v>
      </c>
      <c r="K264" s="8" t="s">
        <v>2649</v>
      </c>
      <c r="L264" s="8" t="s">
        <v>87</v>
      </c>
      <c r="M264" s="10" t="s">
        <v>1436</v>
      </c>
      <c r="N264" s="8" t="s">
        <v>87</v>
      </c>
      <c r="O264" s="10" t="s">
        <v>22</v>
      </c>
      <c r="P264" s="8" t="s">
        <v>3311</v>
      </c>
      <c r="Q264" s="10" t="s">
        <v>239</v>
      </c>
      <c r="R264" s="10" t="s">
        <v>1438</v>
      </c>
      <c r="S264" s="8" t="s">
        <v>3312</v>
      </c>
      <c r="T264" s="10" t="s">
        <v>3270</v>
      </c>
      <c r="U264" s="10" t="s">
        <v>87</v>
      </c>
      <c r="V264" s="10" t="s">
        <v>87</v>
      </c>
    </row>
    <row r="265" spans="1:22" s="10" customFormat="1" x14ac:dyDescent="0.25">
      <c r="A265" s="10" t="s">
        <v>3313</v>
      </c>
      <c r="B265" s="10" t="s">
        <v>2856</v>
      </c>
      <c r="C265" s="10" t="s">
        <v>215</v>
      </c>
      <c r="D265" s="10" t="s">
        <v>3314</v>
      </c>
      <c r="E265" s="8" t="s">
        <v>3315</v>
      </c>
      <c r="F265" s="8" t="s">
        <v>3316</v>
      </c>
      <c r="G265" s="10" t="s">
        <v>2647</v>
      </c>
      <c r="H265" s="8" t="s">
        <v>3317</v>
      </c>
      <c r="I265" s="10" t="s">
        <v>3276</v>
      </c>
      <c r="J265" s="8" t="s">
        <v>1577</v>
      </c>
      <c r="K265" s="8" t="s">
        <v>2649</v>
      </c>
      <c r="L265" s="8" t="s">
        <v>87</v>
      </c>
      <c r="M265" s="10" t="s">
        <v>1436</v>
      </c>
      <c r="N265" s="8" t="s">
        <v>87</v>
      </c>
      <c r="O265" s="10" t="s">
        <v>22</v>
      </c>
      <c r="P265" s="8" t="s">
        <v>3318</v>
      </c>
      <c r="Q265" s="10" t="s">
        <v>239</v>
      </c>
      <c r="R265" s="10" t="s">
        <v>1438</v>
      </c>
      <c r="S265" s="8" t="s">
        <v>3319</v>
      </c>
      <c r="T265" s="10" t="s">
        <v>3270</v>
      </c>
      <c r="U265" s="10" t="s">
        <v>87</v>
      </c>
      <c r="V265" s="10" t="s">
        <v>87</v>
      </c>
    </row>
    <row r="266" spans="1:22" s="10" customFormat="1" x14ac:dyDescent="0.25">
      <c r="A266" s="10" t="s">
        <v>3320</v>
      </c>
      <c r="B266" s="10" t="s">
        <v>2856</v>
      </c>
      <c r="C266" s="10" t="s">
        <v>215</v>
      </c>
      <c r="D266" s="10" t="s">
        <v>3321</v>
      </c>
      <c r="E266" s="8" t="s">
        <v>3322</v>
      </c>
      <c r="F266" s="8" t="s">
        <v>3323</v>
      </c>
      <c r="G266" s="10" t="s">
        <v>2647</v>
      </c>
      <c r="H266" s="8" t="s">
        <v>3324</v>
      </c>
      <c r="I266" s="10" t="s">
        <v>3296</v>
      </c>
      <c r="J266" s="8" t="s">
        <v>1577</v>
      </c>
      <c r="K266" s="8" t="s">
        <v>2649</v>
      </c>
      <c r="L266" s="8" t="s">
        <v>87</v>
      </c>
      <c r="M266" s="10" t="s">
        <v>1436</v>
      </c>
      <c r="N266" s="8" t="s">
        <v>87</v>
      </c>
      <c r="O266" s="10" t="s">
        <v>22</v>
      </c>
      <c r="P266" s="8" t="s">
        <v>3325</v>
      </c>
      <c r="Q266" s="10" t="s">
        <v>239</v>
      </c>
      <c r="R266" s="10" t="s">
        <v>1438</v>
      </c>
      <c r="S266" s="8" t="s">
        <v>3326</v>
      </c>
      <c r="T266" s="10" t="s">
        <v>3270</v>
      </c>
      <c r="U266" s="10" t="s">
        <v>87</v>
      </c>
      <c r="V266" s="10" t="s">
        <v>87</v>
      </c>
    </row>
    <row r="267" spans="1:22" s="10" customFormat="1" x14ac:dyDescent="0.25">
      <c r="A267" s="10" t="s">
        <v>3327</v>
      </c>
      <c r="B267" s="10" t="s">
        <v>2856</v>
      </c>
      <c r="C267" s="11" t="s">
        <v>346</v>
      </c>
      <c r="D267" s="10" t="s">
        <v>3328</v>
      </c>
      <c r="E267" s="8" t="s">
        <v>3329</v>
      </c>
      <c r="F267" s="8" t="s">
        <v>3330</v>
      </c>
      <c r="G267" s="10" t="s">
        <v>2647</v>
      </c>
      <c r="H267" s="8" t="s">
        <v>3331</v>
      </c>
      <c r="I267" s="10" t="s">
        <v>3332</v>
      </c>
      <c r="J267" s="8" t="s">
        <v>3333</v>
      </c>
      <c r="K267" s="8" t="s">
        <v>2649</v>
      </c>
      <c r="L267" s="8" t="s">
        <v>87</v>
      </c>
      <c r="M267" s="10" t="s">
        <v>1436</v>
      </c>
      <c r="N267" s="8" t="s">
        <v>87</v>
      </c>
      <c r="O267" s="10" t="s">
        <v>22</v>
      </c>
      <c r="P267" s="8" t="s">
        <v>3334</v>
      </c>
      <c r="Q267" s="10" t="s">
        <v>1447</v>
      </c>
      <c r="R267" s="10" t="s">
        <v>1438</v>
      </c>
      <c r="S267" s="8" t="s">
        <v>3335</v>
      </c>
      <c r="T267" s="10" t="s">
        <v>3270</v>
      </c>
      <c r="U267" s="10" t="s">
        <v>87</v>
      </c>
      <c r="V267" s="10" t="s">
        <v>87</v>
      </c>
    </row>
    <row r="268" spans="1:22" s="10" customFormat="1" x14ac:dyDescent="0.25">
      <c r="A268" s="10" t="s">
        <v>3336</v>
      </c>
      <c r="B268" s="10" t="s">
        <v>2856</v>
      </c>
      <c r="C268" s="10" t="s">
        <v>215</v>
      </c>
      <c r="D268" s="10" t="s">
        <v>3337</v>
      </c>
      <c r="E268" s="8" t="s">
        <v>3338</v>
      </c>
      <c r="F268" s="8" t="s">
        <v>3339</v>
      </c>
      <c r="G268" s="10" t="s">
        <v>2647</v>
      </c>
      <c r="H268" s="8" t="s">
        <v>3340</v>
      </c>
      <c r="I268" s="10" t="s">
        <v>3341</v>
      </c>
      <c r="J268" s="8" t="s">
        <v>3342</v>
      </c>
      <c r="K268" s="8" t="s">
        <v>2649</v>
      </c>
      <c r="L268" s="8" t="s">
        <v>87</v>
      </c>
      <c r="M268" s="10" t="s">
        <v>1436</v>
      </c>
      <c r="N268" s="8" t="s">
        <v>87</v>
      </c>
      <c r="O268" s="10" t="s">
        <v>22</v>
      </c>
      <c r="P268" s="8" t="s">
        <v>3343</v>
      </c>
      <c r="Q268" s="10" t="s">
        <v>223</v>
      </c>
      <c r="R268" s="10" t="s">
        <v>1438</v>
      </c>
      <c r="S268" s="8" t="s">
        <v>3344</v>
      </c>
      <c r="T268" s="10" t="s">
        <v>3270</v>
      </c>
      <c r="U268" s="10" t="s">
        <v>87</v>
      </c>
      <c r="V268" s="10" t="s">
        <v>87</v>
      </c>
    </row>
    <row r="269" spans="1:22" s="10" customFormat="1" x14ac:dyDescent="0.25">
      <c r="A269" s="10" t="s">
        <v>3345</v>
      </c>
      <c r="B269" s="10" t="s">
        <v>2856</v>
      </c>
      <c r="C269" s="10" t="s">
        <v>215</v>
      </c>
      <c r="D269" s="10" t="s">
        <v>3346</v>
      </c>
      <c r="E269" s="8" t="s">
        <v>3347</v>
      </c>
      <c r="F269" s="8" t="s">
        <v>3348</v>
      </c>
      <c r="G269" s="10" t="s">
        <v>2647</v>
      </c>
      <c r="H269" s="8" t="s">
        <v>3349</v>
      </c>
      <c r="I269" s="10" t="s">
        <v>3341</v>
      </c>
      <c r="J269" s="8" t="s">
        <v>3350</v>
      </c>
      <c r="K269" s="8" t="s">
        <v>2649</v>
      </c>
      <c r="L269" s="8" t="s">
        <v>87</v>
      </c>
      <c r="M269" s="10" t="s">
        <v>1436</v>
      </c>
      <c r="N269" s="8" t="s">
        <v>87</v>
      </c>
      <c r="O269" s="10" t="s">
        <v>22</v>
      </c>
      <c r="P269" s="8" t="s">
        <v>3343</v>
      </c>
      <c r="Q269" s="10" t="s">
        <v>223</v>
      </c>
      <c r="R269" s="10" t="s">
        <v>1438</v>
      </c>
      <c r="S269" s="8" t="s">
        <v>3351</v>
      </c>
      <c r="T269" s="10" t="s">
        <v>3270</v>
      </c>
      <c r="U269" s="10" t="s">
        <v>87</v>
      </c>
      <c r="V269" s="10" t="s">
        <v>87</v>
      </c>
    </row>
    <row r="270" spans="1:22" s="10" customFormat="1" x14ac:dyDescent="0.25">
      <c r="A270" s="10" t="s">
        <v>3352</v>
      </c>
      <c r="B270" s="10" t="s">
        <v>2856</v>
      </c>
      <c r="C270" s="10" t="s">
        <v>215</v>
      </c>
      <c r="D270" s="10" t="s">
        <v>3353</v>
      </c>
      <c r="E270" s="8" t="s">
        <v>3354</v>
      </c>
      <c r="F270" s="8" t="s">
        <v>3355</v>
      </c>
      <c r="G270" s="10" t="s">
        <v>2647</v>
      </c>
      <c r="H270" s="8" t="s">
        <v>3356</v>
      </c>
      <c r="I270" s="10" t="s">
        <v>3341</v>
      </c>
      <c r="J270" s="8" t="s">
        <v>3357</v>
      </c>
      <c r="K270" s="8" t="s">
        <v>2649</v>
      </c>
      <c r="L270" s="8" t="s">
        <v>87</v>
      </c>
      <c r="M270" s="10" t="s">
        <v>1436</v>
      </c>
      <c r="N270" s="8" t="s">
        <v>87</v>
      </c>
      <c r="O270" s="10" t="s">
        <v>22</v>
      </c>
      <c r="P270" s="8" t="s">
        <v>3343</v>
      </c>
      <c r="Q270" s="10" t="s">
        <v>223</v>
      </c>
      <c r="R270" s="10" t="s">
        <v>1438</v>
      </c>
      <c r="S270" s="8" t="s">
        <v>3358</v>
      </c>
      <c r="T270" s="10" t="s">
        <v>3270</v>
      </c>
      <c r="U270" s="10" t="s">
        <v>87</v>
      </c>
      <c r="V270" s="10" t="s">
        <v>87</v>
      </c>
    </row>
    <row r="271" spans="1:22" s="10" customFormat="1" x14ac:dyDescent="0.25">
      <c r="A271" s="10" t="s">
        <v>3359</v>
      </c>
      <c r="B271" s="10" t="s">
        <v>2856</v>
      </c>
      <c r="C271" s="10" t="s">
        <v>215</v>
      </c>
      <c r="D271" s="10" t="s">
        <v>3360</v>
      </c>
      <c r="E271" s="8" t="s">
        <v>3361</v>
      </c>
      <c r="F271" s="8" t="s">
        <v>3362</v>
      </c>
      <c r="G271" s="10" t="s">
        <v>2647</v>
      </c>
      <c r="H271" s="8" t="s">
        <v>3363</v>
      </c>
      <c r="I271" s="10" t="s">
        <v>3341</v>
      </c>
      <c r="J271" s="8" t="s">
        <v>3364</v>
      </c>
      <c r="K271" s="8" t="s">
        <v>2649</v>
      </c>
      <c r="L271" s="8" t="s">
        <v>87</v>
      </c>
      <c r="M271" s="10" t="s">
        <v>1436</v>
      </c>
      <c r="N271" s="8" t="s">
        <v>87</v>
      </c>
      <c r="O271" s="10" t="s">
        <v>22</v>
      </c>
      <c r="P271" s="8" t="s">
        <v>3343</v>
      </c>
      <c r="Q271" s="10" t="s">
        <v>223</v>
      </c>
      <c r="R271" s="10" t="s">
        <v>1438</v>
      </c>
      <c r="S271" s="8" t="s">
        <v>3365</v>
      </c>
      <c r="T271" s="10" t="s">
        <v>3270</v>
      </c>
      <c r="U271" s="10" t="s">
        <v>87</v>
      </c>
      <c r="V271" s="10" t="s">
        <v>87</v>
      </c>
    </row>
    <row r="272" spans="1:22" s="10" customFormat="1" x14ac:dyDescent="0.25">
      <c r="A272" s="10" t="s">
        <v>3366</v>
      </c>
      <c r="B272" s="10" t="s">
        <v>2856</v>
      </c>
      <c r="C272" s="10" t="s">
        <v>215</v>
      </c>
      <c r="D272" s="10" t="s">
        <v>3367</v>
      </c>
      <c r="E272" s="8" t="s">
        <v>3368</v>
      </c>
      <c r="F272" s="8" t="s">
        <v>3369</v>
      </c>
      <c r="G272" s="10" t="s">
        <v>2647</v>
      </c>
      <c r="H272" s="8" t="s">
        <v>3370</v>
      </c>
      <c r="I272" s="10" t="s">
        <v>3371</v>
      </c>
      <c r="J272" s="8" t="s">
        <v>3372</v>
      </c>
      <c r="K272" s="8" t="s">
        <v>2649</v>
      </c>
      <c r="L272" s="8" t="s">
        <v>87</v>
      </c>
      <c r="M272" s="10" t="s">
        <v>1436</v>
      </c>
      <c r="N272" s="8" t="s">
        <v>87</v>
      </c>
      <c r="O272" s="10" t="s">
        <v>22</v>
      </c>
      <c r="P272" s="8" t="s">
        <v>3373</v>
      </c>
      <c r="Q272" s="10" t="s">
        <v>223</v>
      </c>
      <c r="R272" s="10" t="s">
        <v>1438</v>
      </c>
      <c r="S272" s="8" t="s">
        <v>3374</v>
      </c>
      <c r="T272" s="10" t="s">
        <v>3270</v>
      </c>
      <c r="U272" s="10" t="s">
        <v>87</v>
      </c>
      <c r="V272" s="10" t="s">
        <v>87</v>
      </c>
    </row>
    <row r="273" spans="1:22" s="10" customFormat="1" x14ac:dyDescent="0.25">
      <c r="A273" s="10" t="s">
        <v>3375</v>
      </c>
      <c r="B273" s="10" t="s">
        <v>2856</v>
      </c>
      <c r="C273" s="10" t="s">
        <v>215</v>
      </c>
      <c r="D273" s="10" t="s">
        <v>3376</v>
      </c>
      <c r="E273" s="8" t="s">
        <v>3377</v>
      </c>
      <c r="F273" s="8" t="s">
        <v>3378</v>
      </c>
      <c r="G273" s="10" t="s">
        <v>2647</v>
      </c>
      <c r="H273" s="8" t="s">
        <v>3379</v>
      </c>
      <c r="I273" s="10" t="s">
        <v>3380</v>
      </c>
      <c r="J273" s="8" t="s">
        <v>3381</v>
      </c>
      <c r="K273" s="8" t="s">
        <v>2649</v>
      </c>
      <c r="L273" s="8" t="s">
        <v>87</v>
      </c>
      <c r="M273" s="10" t="s">
        <v>1436</v>
      </c>
      <c r="N273" s="8" t="s">
        <v>87</v>
      </c>
      <c r="O273" s="10" t="s">
        <v>22</v>
      </c>
      <c r="P273" s="8" t="s">
        <v>3382</v>
      </c>
      <c r="Q273" s="10" t="s">
        <v>239</v>
      </c>
      <c r="R273" s="10" t="s">
        <v>1438</v>
      </c>
      <c r="S273" s="8" t="s">
        <v>3383</v>
      </c>
      <c r="T273" s="10" t="s">
        <v>3270</v>
      </c>
      <c r="U273" s="10" t="s">
        <v>87</v>
      </c>
      <c r="V273" s="10" t="s">
        <v>87</v>
      </c>
    </row>
    <row r="274" spans="1:22" s="10" customFormat="1" x14ac:dyDescent="0.25">
      <c r="A274" s="10" t="s">
        <v>3384</v>
      </c>
      <c r="B274" s="10" t="s">
        <v>2856</v>
      </c>
      <c r="C274" s="11" t="s">
        <v>346</v>
      </c>
      <c r="D274" s="10" t="s">
        <v>3385</v>
      </c>
      <c r="E274" s="8" t="s">
        <v>3386</v>
      </c>
      <c r="F274" s="8" t="s">
        <v>3387</v>
      </c>
      <c r="G274" s="10" t="s">
        <v>2647</v>
      </c>
      <c r="H274" s="8" t="s">
        <v>3388</v>
      </c>
      <c r="I274" s="10" t="s">
        <v>1470</v>
      </c>
      <c r="J274" s="8" t="s">
        <v>1577</v>
      </c>
      <c r="K274" s="8" t="s">
        <v>2649</v>
      </c>
      <c r="L274" s="8" t="s">
        <v>87</v>
      </c>
      <c r="M274" s="10" t="s">
        <v>1436</v>
      </c>
      <c r="N274" s="8" t="s">
        <v>87</v>
      </c>
      <c r="O274" s="10" t="s">
        <v>22</v>
      </c>
      <c r="P274" s="8" t="s">
        <v>3389</v>
      </c>
      <c r="Q274" s="10" t="s">
        <v>223</v>
      </c>
      <c r="R274" s="10" t="s">
        <v>1438</v>
      </c>
      <c r="S274" s="8" t="s">
        <v>3390</v>
      </c>
      <c r="T274" s="10" t="s">
        <v>3270</v>
      </c>
      <c r="U274" s="10" t="s">
        <v>87</v>
      </c>
      <c r="V274" s="10" t="s">
        <v>87</v>
      </c>
    </row>
    <row r="275" spans="1:22" s="10" customFormat="1" x14ac:dyDescent="0.25">
      <c r="A275" s="10" t="s">
        <v>3391</v>
      </c>
      <c r="B275" s="10" t="s">
        <v>2856</v>
      </c>
      <c r="C275" s="10" t="s">
        <v>215</v>
      </c>
      <c r="D275" s="10" t="s">
        <v>3392</v>
      </c>
      <c r="E275" s="8" t="s">
        <v>3393</v>
      </c>
      <c r="F275" s="8" t="s">
        <v>3394</v>
      </c>
      <c r="G275" s="10" t="s">
        <v>2647</v>
      </c>
      <c r="H275" s="8" t="s">
        <v>3395</v>
      </c>
      <c r="I275" s="10" t="s">
        <v>3396</v>
      </c>
      <c r="J275" s="8" t="s">
        <v>1577</v>
      </c>
      <c r="K275" s="8" t="s">
        <v>2649</v>
      </c>
      <c r="L275" s="8" t="s">
        <v>87</v>
      </c>
      <c r="M275" s="10" t="s">
        <v>1436</v>
      </c>
      <c r="N275" s="8" t="s">
        <v>87</v>
      </c>
      <c r="O275" s="10" t="s">
        <v>22</v>
      </c>
      <c r="P275" s="8" t="s">
        <v>3397</v>
      </c>
      <c r="Q275" s="10" t="s">
        <v>223</v>
      </c>
      <c r="R275" s="10" t="s">
        <v>1438</v>
      </c>
      <c r="S275" s="8" t="s">
        <v>3398</v>
      </c>
      <c r="T275" s="10" t="s">
        <v>3270</v>
      </c>
      <c r="U275" s="10" t="s">
        <v>87</v>
      </c>
      <c r="V275" s="10" t="s">
        <v>87</v>
      </c>
    </row>
    <row r="276" spans="1:22" s="10" customFormat="1" x14ac:dyDescent="0.25">
      <c r="A276" s="10" t="s">
        <v>3399</v>
      </c>
      <c r="B276" s="10" t="s">
        <v>2856</v>
      </c>
      <c r="C276" s="10" t="s">
        <v>215</v>
      </c>
      <c r="D276" s="10" t="s">
        <v>3400</v>
      </c>
      <c r="E276" s="8" t="s">
        <v>3401</v>
      </c>
      <c r="F276" s="8" t="s">
        <v>3402</v>
      </c>
      <c r="G276" s="10" t="s">
        <v>2647</v>
      </c>
      <c r="H276" s="8" t="s">
        <v>3395</v>
      </c>
      <c r="I276" s="10" t="s">
        <v>3276</v>
      </c>
      <c r="J276" s="8" t="s">
        <v>1577</v>
      </c>
      <c r="K276" s="8" t="s">
        <v>2649</v>
      </c>
      <c r="L276" s="8" t="s">
        <v>87</v>
      </c>
      <c r="M276" s="10" t="s">
        <v>1436</v>
      </c>
      <c r="N276" s="8" t="s">
        <v>87</v>
      </c>
      <c r="O276" s="10" t="s">
        <v>22</v>
      </c>
      <c r="P276" s="8" t="s">
        <v>3403</v>
      </c>
      <c r="Q276" s="10" t="s">
        <v>223</v>
      </c>
      <c r="R276" s="10" t="s">
        <v>1438</v>
      </c>
      <c r="S276" s="8" t="s">
        <v>3404</v>
      </c>
      <c r="T276" s="10" t="s">
        <v>3270</v>
      </c>
      <c r="U276" s="10" t="s">
        <v>87</v>
      </c>
      <c r="V276" s="10" t="s">
        <v>87</v>
      </c>
    </row>
    <row r="277" spans="1:22" s="10" customFormat="1" x14ac:dyDescent="0.25">
      <c r="A277" s="10" t="s">
        <v>3405</v>
      </c>
      <c r="B277" s="10" t="s">
        <v>2856</v>
      </c>
      <c r="C277" s="10" t="s">
        <v>215</v>
      </c>
      <c r="D277" s="10" t="s">
        <v>3406</v>
      </c>
      <c r="E277" s="8" t="s">
        <v>3407</v>
      </c>
      <c r="F277" s="8" t="s">
        <v>3408</v>
      </c>
      <c r="G277" s="10" t="s">
        <v>2647</v>
      </c>
      <c r="H277" s="8" t="s">
        <v>3395</v>
      </c>
      <c r="I277" s="10" t="s">
        <v>3276</v>
      </c>
      <c r="J277" s="8" t="s">
        <v>1577</v>
      </c>
      <c r="K277" s="8" t="s">
        <v>2649</v>
      </c>
      <c r="L277" s="8" t="s">
        <v>87</v>
      </c>
      <c r="M277" s="10" t="s">
        <v>1436</v>
      </c>
      <c r="N277" s="8" t="s">
        <v>87</v>
      </c>
      <c r="O277" s="10" t="s">
        <v>22</v>
      </c>
      <c r="P277" s="8" t="s">
        <v>3409</v>
      </c>
      <c r="Q277" s="10" t="s">
        <v>246</v>
      </c>
      <c r="R277" s="10" t="s">
        <v>1438</v>
      </c>
      <c r="S277" s="8" t="s">
        <v>3410</v>
      </c>
      <c r="T277" s="10" t="s">
        <v>3270</v>
      </c>
      <c r="U277" s="10" t="s">
        <v>87</v>
      </c>
      <c r="V277" s="10" t="s">
        <v>87</v>
      </c>
    </row>
    <row r="278" spans="1:22" s="10" customFormat="1" x14ac:dyDescent="0.25">
      <c r="A278" s="10" t="s">
        <v>3411</v>
      </c>
      <c r="B278" s="10" t="s">
        <v>2856</v>
      </c>
      <c r="C278" s="11" t="s">
        <v>346</v>
      </c>
      <c r="D278" s="10" t="s">
        <v>3412</v>
      </c>
      <c r="E278" s="8" t="s">
        <v>3413</v>
      </c>
      <c r="F278" s="8" t="s">
        <v>3414</v>
      </c>
      <c r="G278" s="10" t="s">
        <v>2647</v>
      </c>
      <c r="H278" s="8" t="s">
        <v>3415</v>
      </c>
      <c r="I278" s="10" t="s">
        <v>3371</v>
      </c>
      <c r="J278" s="8" t="s">
        <v>3416</v>
      </c>
      <c r="K278" s="8" t="s">
        <v>2649</v>
      </c>
      <c r="L278" s="8" t="s">
        <v>87</v>
      </c>
      <c r="M278" s="10" t="s">
        <v>1436</v>
      </c>
      <c r="N278" s="8" t="s">
        <v>87</v>
      </c>
      <c r="O278" s="10" t="s">
        <v>22</v>
      </c>
      <c r="P278" s="8" t="s">
        <v>3417</v>
      </c>
      <c r="Q278" s="10" t="s">
        <v>239</v>
      </c>
      <c r="R278" s="10" t="s">
        <v>1438</v>
      </c>
      <c r="S278" s="8" t="s">
        <v>3418</v>
      </c>
      <c r="T278" s="10" t="s">
        <v>3270</v>
      </c>
      <c r="U278" s="10" t="s">
        <v>87</v>
      </c>
      <c r="V278" s="10" t="s">
        <v>87</v>
      </c>
    </row>
    <row r="279" spans="1:22" s="10" customFormat="1" x14ac:dyDescent="0.25">
      <c r="A279" s="10" t="s">
        <v>3419</v>
      </c>
      <c r="B279" s="10" t="s">
        <v>2856</v>
      </c>
      <c r="C279" s="10" t="s">
        <v>215</v>
      </c>
      <c r="D279" s="10" t="s">
        <v>3420</v>
      </c>
      <c r="E279" s="8" t="s">
        <v>3421</v>
      </c>
      <c r="F279" s="8" t="s">
        <v>3422</v>
      </c>
      <c r="G279" s="10" t="s">
        <v>2647</v>
      </c>
      <c r="H279" s="8" t="s">
        <v>3395</v>
      </c>
      <c r="I279" s="10" t="s">
        <v>1151</v>
      </c>
      <c r="J279" s="8" t="s">
        <v>1577</v>
      </c>
      <c r="K279" s="8" t="s">
        <v>2649</v>
      </c>
      <c r="L279" s="8" t="s">
        <v>87</v>
      </c>
      <c r="M279" s="10" t="s">
        <v>1436</v>
      </c>
      <c r="N279" s="8" t="s">
        <v>87</v>
      </c>
      <c r="O279" s="10" t="s">
        <v>22</v>
      </c>
      <c r="P279" s="8" t="s">
        <v>3423</v>
      </c>
      <c r="Q279" s="10" t="s">
        <v>223</v>
      </c>
      <c r="R279" s="10" t="s">
        <v>1438</v>
      </c>
      <c r="S279" s="8" t="s">
        <v>3424</v>
      </c>
      <c r="T279" s="10" t="s">
        <v>3270</v>
      </c>
      <c r="U279" s="10" t="s">
        <v>87</v>
      </c>
      <c r="V279" s="10" t="s">
        <v>87</v>
      </c>
    </row>
    <row r="280" spans="1:22" s="10" customFormat="1" x14ac:dyDescent="0.25">
      <c r="A280" s="10" t="s">
        <v>3425</v>
      </c>
      <c r="B280" s="10" t="s">
        <v>2856</v>
      </c>
      <c r="C280" s="11" t="s">
        <v>346</v>
      </c>
      <c r="D280" s="10" t="s">
        <v>3426</v>
      </c>
      <c r="E280" s="8" t="s">
        <v>3427</v>
      </c>
      <c r="F280" s="8" t="s">
        <v>3428</v>
      </c>
      <c r="G280" s="10" t="s">
        <v>2647</v>
      </c>
      <c r="H280" s="8" t="s">
        <v>1653</v>
      </c>
      <c r="I280" s="10" t="s">
        <v>3429</v>
      </c>
      <c r="J280" s="8" t="s">
        <v>1655</v>
      </c>
      <c r="K280" s="8" t="s">
        <v>2649</v>
      </c>
      <c r="L280" s="8" t="s">
        <v>87</v>
      </c>
      <c r="M280" s="10" t="s">
        <v>1436</v>
      </c>
      <c r="N280" s="8" t="s">
        <v>87</v>
      </c>
      <c r="O280" s="10" t="s">
        <v>22</v>
      </c>
      <c r="P280" s="8" t="s">
        <v>3430</v>
      </c>
      <c r="Q280" s="10" t="s">
        <v>1447</v>
      </c>
      <c r="R280" s="10" t="s">
        <v>1657</v>
      </c>
      <c r="S280" s="8" t="s">
        <v>3431</v>
      </c>
      <c r="T280" s="10" t="s">
        <v>3270</v>
      </c>
      <c r="U280" s="10" t="s">
        <v>87</v>
      </c>
      <c r="V280" s="10" t="s">
        <v>87</v>
      </c>
    </row>
    <row r="281" spans="1:22" s="10" customFormat="1" x14ac:dyDescent="0.25">
      <c r="A281" s="10" t="s">
        <v>3432</v>
      </c>
      <c r="B281" s="10" t="s">
        <v>2856</v>
      </c>
      <c r="C281" s="11" t="s">
        <v>346</v>
      </c>
      <c r="D281" s="10" t="s">
        <v>3433</v>
      </c>
      <c r="E281" s="8" t="s">
        <v>3434</v>
      </c>
      <c r="F281" s="8" t="s">
        <v>3435</v>
      </c>
      <c r="G281" s="10" t="s">
        <v>2647</v>
      </c>
      <c r="H281" s="8" t="s">
        <v>2185</v>
      </c>
      <c r="I281" s="10" t="s">
        <v>1151</v>
      </c>
      <c r="J281" s="8" t="s">
        <v>1664</v>
      </c>
      <c r="K281" s="8" t="s">
        <v>2649</v>
      </c>
      <c r="L281" s="8" t="s">
        <v>87</v>
      </c>
      <c r="M281" s="10" t="s">
        <v>1436</v>
      </c>
      <c r="N281" s="8" t="s">
        <v>87</v>
      </c>
      <c r="O281" s="10" t="s">
        <v>22</v>
      </c>
      <c r="P281" s="8" t="s">
        <v>3436</v>
      </c>
      <c r="Q281" s="10" t="s">
        <v>825</v>
      </c>
      <c r="R281" s="10" t="s">
        <v>2188</v>
      </c>
      <c r="S281" s="8" t="s">
        <v>1669</v>
      </c>
      <c r="T281" s="10" t="s">
        <v>3270</v>
      </c>
      <c r="U281" s="10" t="s">
        <v>87</v>
      </c>
      <c r="V281" s="10" t="s">
        <v>87</v>
      </c>
    </row>
    <row r="282" spans="1:22" s="10" customFormat="1" x14ac:dyDescent="0.25">
      <c r="A282" s="10" t="s">
        <v>3437</v>
      </c>
      <c r="B282" s="10" t="s">
        <v>2856</v>
      </c>
      <c r="C282" s="10" t="s">
        <v>215</v>
      </c>
      <c r="D282" s="10" t="s">
        <v>3438</v>
      </c>
      <c r="E282" s="8" t="s">
        <v>3439</v>
      </c>
      <c r="F282" s="8" t="s">
        <v>3440</v>
      </c>
      <c r="G282" s="10" t="s">
        <v>4</v>
      </c>
      <c r="H282" s="8" t="s">
        <v>3441</v>
      </c>
      <c r="I282" s="10" t="s">
        <v>3442</v>
      </c>
      <c r="J282" s="8" t="s">
        <v>2862</v>
      </c>
      <c r="K282" s="8" t="s">
        <v>1873</v>
      </c>
      <c r="L282" s="8" t="s">
        <v>87</v>
      </c>
      <c r="M282" s="10" t="s">
        <v>1436</v>
      </c>
      <c r="N282" s="8" t="s">
        <v>87</v>
      </c>
      <c r="O282" s="10" t="s">
        <v>22</v>
      </c>
      <c r="P282" s="8" t="s">
        <v>3443</v>
      </c>
      <c r="Q282" s="10" t="s">
        <v>223</v>
      </c>
      <c r="R282" s="10" t="s">
        <v>1438</v>
      </c>
      <c r="S282" s="8" t="s">
        <v>3444</v>
      </c>
      <c r="T282" s="10" t="s">
        <v>3445</v>
      </c>
      <c r="U282" s="10" t="s">
        <v>87</v>
      </c>
      <c r="V282" s="10" t="s">
        <v>87</v>
      </c>
    </row>
    <row r="283" spans="1:22" s="10" customFormat="1" x14ac:dyDescent="0.25">
      <c r="A283" s="10" t="s">
        <v>3446</v>
      </c>
      <c r="B283" s="10" t="s">
        <v>2856</v>
      </c>
      <c r="C283" s="10" t="s">
        <v>384</v>
      </c>
      <c r="D283" s="10" t="s">
        <v>3447</v>
      </c>
      <c r="E283" s="8" t="s">
        <v>3448</v>
      </c>
      <c r="F283" s="8" t="s">
        <v>3449</v>
      </c>
      <c r="G283" s="10" t="s">
        <v>2647</v>
      </c>
      <c r="H283" s="8" t="s">
        <v>3450</v>
      </c>
      <c r="I283" s="10" t="s">
        <v>3451</v>
      </c>
      <c r="J283" s="8" t="s">
        <v>2862</v>
      </c>
      <c r="K283" s="8" t="s">
        <v>2649</v>
      </c>
      <c r="L283" s="8" t="s">
        <v>87</v>
      </c>
      <c r="M283" s="10" t="s">
        <v>1436</v>
      </c>
      <c r="N283" s="8" t="s">
        <v>87</v>
      </c>
      <c r="O283" s="10" t="s">
        <v>22</v>
      </c>
      <c r="P283" s="8" t="s">
        <v>3452</v>
      </c>
      <c r="Q283" s="10" t="s">
        <v>223</v>
      </c>
      <c r="R283" s="10" t="s">
        <v>1438</v>
      </c>
      <c r="S283" s="8" t="s">
        <v>3453</v>
      </c>
      <c r="T283" s="10" t="s">
        <v>3445</v>
      </c>
      <c r="U283" s="10" t="s">
        <v>87</v>
      </c>
      <c r="V283" s="10" t="s">
        <v>87</v>
      </c>
    </row>
    <row r="284" spans="1:22" s="10" customFormat="1" x14ac:dyDescent="0.25">
      <c r="A284" s="10" t="s">
        <v>3454</v>
      </c>
      <c r="B284" s="10" t="s">
        <v>2856</v>
      </c>
      <c r="C284" s="10" t="s">
        <v>384</v>
      </c>
      <c r="D284" s="10" t="s">
        <v>3455</v>
      </c>
      <c r="E284" s="8" t="s">
        <v>3456</v>
      </c>
      <c r="F284" s="8" t="s">
        <v>3457</v>
      </c>
      <c r="G284" s="10" t="s">
        <v>2647</v>
      </c>
      <c r="H284" s="8" t="s">
        <v>3458</v>
      </c>
      <c r="I284" s="10" t="s">
        <v>868</v>
      </c>
      <c r="J284" s="8" t="s">
        <v>2862</v>
      </c>
      <c r="K284" s="8" t="s">
        <v>2649</v>
      </c>
      <c r="L284" s="8" t="s">
        <v>87</v>
      </c>
      <c r="M284" s="10" t="s">
        <v>1436</v>
      </c>
      <c r="N284" s="8" t="s">
        <v>87</v>
      </c>
      <c r="O284" s="10" t="s">
        <v>22</v>
      </c>
      <c r="P284" s="8" t="s">
        <v>3459</v>
      </c>
      <c r="Q284" s="10" t="s">
        <v>223</v>
      </c>
      <c r="R284" s="10" t="s">
        <v>1438</v>
      </c>
      <c r="S284" s="8" t="s">
        <v>1439</v>
      </c>
      <c r="T284" s="10" t="s">
        <v>3445</v>
      </c>
      <c r="U284" s="10" t="s">
        <v>87</v>
      </c>
      <c r="V284" s="10" t="s">
        <v>87</v>
      </c>
    </row>
    <row r="285" spans="1:22" s="10" customFormat="1" x14ac:dyDescent="0.25">
      <c r="A285" s="10" t="s">
        <v>3460</v>
      </c>
      <c r="B285" s="10" t="s">
        <v>2856</v>
      </c>
      <c r="C285" s="11" t="s">
        <v>346</v>
      </c>
      <c r="D285" s="10" t="s">
        <v>3461</v>
      </c>
      <c r="E285" s="8" t="s">
        <v>3462</v>
      </c>
      <c r="F285" s="8" t="s">
        <v>3463</v>
      </c>
      <c r="G285" s="10" t="s">
        <v>2647</v>
      </c>
      <c r="H285" s="8" t="s">
        <v>3464</v>
      </c>
      <c r="I285" s="10" t="s">
        <v>3442</v>
      </c>
      <c r="J285" s="8" t="s">
        <v>2862</v>
      </c>
      <c r="K285" s="8" t="s">
        <v>2649</v>
      </c>
      <c r="L285" s="8" t="s">
        <v>87</v>
      </c>
      <c r="M285" s="10" t="s">
        <v>1436</v>
      </c>
      <c r="N285" s="8" t="s">
        <v>87</v>
      </c>
      <c r="O285" s="10" t="s">
        <v>22</v>
      </c>
      <c r="P285" s="8" t="s">
        <v>3465</v>
      </c>
      <c r="Q285" s="10" t="s">
        <v>223</v>
      </c>
      <c r="R285" s="10" t="s">
        <v>1438</v>
      </c>
      <c r="S285" s="8" t="s">
        <v>3466</v>
      </c>
      <c r="T285" s="10" t="s">
        <v>3445</v>
      </c>
      <c r="U285" s="10" t="s">
        <v>87</v>
      </c>
      <c r="V285" s="10" t="s">
        <v>87</v>
      </c>
    </row>
    <row r="286" spans="1:22" s="10" customFormat="1" x14ac:dyDescent="0.25">
      <c r="A286" s="10" t="s">
        <v>3467</v>
      </c>
      <c r="B286" s="10" t="s">
        <v>2856</v>
      </c>
      <c r="C286" s="11" t="s">
        <v>346</v>
      </c>
      <c r="D286" s="10" t="s">
        <v>3468</v>
      </c>
      <c r="E286" s="8" t="s">
        <v>3469</v>
      </c>
      <c r="F286" s="8" t="s">
        <v>3470</v>
      </c>
      <c r="G286" s="10" t="s">
        <v>2647</v>
      </c>
      <c r="H286" s="8" t="s">
        <v>3471</v>
      </c>
      <c r="I286" s="10" t="s">
        <v>3472</v>
      </c>
      <c r="J286" s="8" t="s">
        <v>2862</v>
      </c>
      <c r="K286" s="8" t="s">
        <v>2649</v>
      </c>
      <c r="L286" s="8" t="s">
        <v>87</v>
      </c>
      <c r="M286" s="10" t="s">
        <v>1436</v>
      </c>
      <c r="N286" s="8" t="s">
        <v>87</v>
      </c>
      <c r="O286" s="10" t="s">
        <v>22</v>
      </c>
      <c r="P286" s="8" t="s">
        <v>3473</v>
      </c>
      <c r="Q286" s="10" t="s">
        <v>246</v>
      </c>
      <c r="R286" s="10" t="s">
        <v>1438</v>
      </c>
      <c r="S286" s="8" t="s">
        <v>3474</v>
      </c>
      <c r="T286" s="10" t="s">
        <v>3445</v>
      </c>
      <c r="U286" s="10" t="s">
        <v>87</v>
      </c>
      <c r="V286" s="10" t="s">
        <v>87</v>
      </c>
    </row>
    <row r="287" spans="1:22" s="10" customFormat="1" x14ac:dyDescent="0.25">
      <c r="A287" s="10" t="s">
        <v>3475</v>
      </c>
      <c r="B287" s="10" t="s">
        <v>2856</v>
      </c>
      <c r="C287" s="10" t="s">
        <v>215</v>
      </c>
      <c r="D287" s="10" t="s">
        <v>3476</v>
      </c>
      <c r="E287" s="8" t="s">
        <v>3477</v>
      </c>
      <c r="F287" s="8" t="s">
        <v>3478</v>
      </c>
      <c r="G287" s="10" t="s">
        <v>2647</v>
      </c>
      <c r="H287" s="8" t="s">
        <v>3479</v>
      </c>
      <c r="I287" s="10" t="s">
        <v>3480</v>
      </c>
      <c r="J287" s="8" t="s">
        <v>2862</v>
      </c>
      <c r="K287" s="8" t="s">
        <v>2649</v>
      </c>
      <c r="L287" s="8" t="s">
        <v>87</v>
      </c>
      <c r="M287" s="10" t="s">
        <v>1436</v>
      </c>
      <c r="N287" s="8" t="s">
        <v>87</v>
      </c>
      <c r="O287" s="10" t="s">
        <v>22</v>
      </c>
      <c r="P287" s="8" t="s">
        <v>3481</v>
      </c>
      <c r="Q287" s="10" t="s">
        <v>223</v>
      </c>
      <c r="R287" s="10" t="s">
        <v>1438</v>
      </c>
      <c r="S287" s="8" t="s">
        <v>3482</v>
      </c>
      <c r="T287" s="10" t="s">
        <v>3445</v>
      </c>
      <c r="U287" s="10" t="s">
        <v>87</v>
      </c>
      <c r="V287" s="10" t="s">
        <v>87</v>
      </c>
    </row>
    <row r="288" spans="1:22" s="10" customFormat="1" x14ac:dyDescent="0.25">
      <c r="A288" s="10" t="s">
        <v>3483</v>
      </c>
      <c r="B288" s="10" t="s">
        <v>2856</v>
      </c>
      <c r="C288" s="10" t="s">
        <v>215</v>
      </c>
      <c r="D288" s="10" t="s">
        <v>3484</v>
      </c>
      <c r="E288" s="8" t="s">
        <v>3485</v>
      </c>
      <c r="F288" s="8" t="s">
        <v>3486</v>
      </c>
      <c r="G288" s="10" t="s">
        <v>2647</v>
      </c>
      <c r="H288" s="8" t="s">
        <v>3487</v>
      </c>
      <c r="I288" s="10" t="s">
        <v>868</v>
      </c>
      <c r="J288" s="8" t="s">
        <v>2862</v>
      </c>
      <c r="K288" s="8" t="s">
        <v>2649</v>
      </c>
      <c r="L288" s="8" t="s">
        <v>87</v>
      </c>
      <c r="M288" s="10" t="s">
        <v>1436</v>
      </c>
      <c r="N288" s="8" t="s">
        <v>87</v>
      </c>
      <c r="O288" s="10" t="s">
        <v>22</v>
      </c>
      <c r="P288" s="8" t="s">
        <v>3488</v>
      </c>
      <c r="Q288" s="10" t="s">
        <v>239</v>
      </c>
      <c r="R288" s="10" t="s">
        <v>1438</v>
      </c>
      <c r="S288" s="8" t="s">
        <v>3489</v>
      </c>
      <c r="T288" s="10" t="s">
        <v>3445</v>
      </c>
      <c r="U288" s="10" t="s">
        <v>87</v>
      </c>
      <c r="V288" s="10" t="s">
        <v>87</v>
      </c>
    </row>
    <row r="289" spans="1:22" s="10" customFormat="1" x14ac:dyDescent="0.25">
      <c r="A289" s="10" t="s">
        <v>3490</v>
      </c>
      <c r="B289" s="10" t="s">
        <v>2856</v>
      </c>
      <c r="C289" s="10" t="s">
        <v>215</v>
      </c>
      <c r="D289" s="10" t="s">
        <v>3491</v>
      </c>
      <c r="E289" s="8" t="s">
        <v>3492</v>
      </c>
      <c r="F289" s="8" t="s">
        <v>3493</v>
      </c>
      <c r="G289" s="10" t="s">
        <v>2647</v>
      </c>
      <c r="H289" s="8" t="s">
        <v>3494</v>
      </c>
      <c r="I289" s="10" t="s">
        <v>3480</v>
      </c>
      <c r="J289" s="8" t="s">
        <v>2862</v>
      </c>
      <c r="K289" s="8" t="s">
        <v>2649</v>
      </c>
      <c r="L289" s="8" t="s">
        <v>87</v>
      </c>
      <c r="M289" s="10" t="s">
        <v>1436</v>
      </c>
      <c r="N289" s="8" t="s">
        <v>87</v>
      </c>
      <c r="O289" s="10" t="s">
        <v>22</v>
      </c>
      <c r="P289" s="8" t="s">
        <v>3495</v>
      </c>
      <c r="Q289" s="10" t="s">
        <v>239</v>
      </c>
      <c r="R289" s="10" t="s">
        <v>1438</v>
      </c>
      <c r="S289" s="8" t="s">
        <v>3496</v>
      </c>
      <c r="T289" s="10" t="s">
        <v>3445</v>
      </c>
      <c r="U289" s="10" t="s">
        <v>87</v>
      </c>
      <c r="V289" s="10" t="s">
        <v>87</v>
      </c>
    </row>
    <row r="290" spans="1:22" s="10" customFormat="1" x14ac:dyDescent="0.25">
      <c r="A290" s="10" t="s">
        <v>3497</v>
      </c>
      <c r="B290" s="10" t="s">
        <v>2856</v>
      </c>
      <c r="C290" s="10" t="s">
        <v>215</v>
      </c>
      <c r="D290" s="10" t="s">
        <v>3498</v>
      </c>
      <c r="E290" s="8" t="s">
        <v>3499</v>
      </c>
      <c r="F290" s="8" t="s">
        <v>3500</v>
      </c>
      <c r="G290" s="10" t="s">
        <v>2647</v>
      </c>
      <c r="H290" s="8" t="s">
        <v>3501</v>
      </c>
      <c r="I290" s="10" t="s">
        <v>3451</v>
      </c>
      <c r="J290" s="8" t="s">
        <v>2862</v>
      </c>
      <c r="K290" s="8" t="s">
        <v>2649</v>
      </c>
      <c r="L290" s="8" t="s">
        <v>87</v>
      </c>
      <c r="M290" s="10" t="s">
        <v>1436</v>
      </c>
      <c r="N290" s="8" t="s">
        <v>87</v>
      </c>
      <c r="O290" s="10" t="s">
        <v>22</v>
      </c>
      <c r="P290" s="8" t="s">
        <v>3502</v>
      </c>
      <c r="Q290" s="10" t="s">
        <v>239</v>
      </c>
      <c r="R290" s="10" t="s">
        <v>1438</v>
      </c>
      <c r="S290" s="8" t="s">
        <v>3503</v>
      </c>
      <c r="T290" s="10" t="s">
        <v>3445</v>
      </c>
      <c r="U290" s="10" t="s">
        <v>87</v>
      </c>
      <c r="V290" s="10" t="s">
        <v>87</v>
      </c>
    </row>
    <row r="291" spans="1:22" s="10" customFormat="1" x14ac:dyDescent="0.25">
      <c r="A291" s="10" t="s">
        <v>3504</v>
      </c>
      <c r="B291" s="10" t="s">
        <v>2856</v>
      </c>
      <c r="C291" s="10" t="s">
        <v>215</v>
      </c>
      <c r="D291" s="10" t="s">
        <v>3505</v>
      </c>
      <c r="E291" s="8" t="s">
        <v>3506</v>
      </c>
      <c r="F291" s="8" t="s">
        <v>3507</v>
      </c>
      <c r="G291" s="10" t="s">
        <v>2647</v>
      </c>
      <c r="H291" s="8" t="s">
        <v>3508</v>
      </c>
      <c r="I291" s="10" t="s">
        <v>3451</v>
      </c>
      <c r="J291" s="8" t="s">
        <v>2862</v>
      </c>
      <c r="K291" s="8" t="s">
        <v>2649</v>
      </c>
      <c r="L291" s="8" t="s">
        <v>87</v>
      </c>
      <c r="M291" s="10" t="s">
        <v>1436</v>
      </c>
      <c r="N291" s="8" t="s">
        <v>87</v>
      </c>
      <c r="O291" s="10" t="s">
        <v>22</v>
      </c>
      <c r="P291" s="8" t="s">
        <v>3509</v>
      </c>
      <c r="Q291" s="10" t="s">
        <v>239</v>
      </c>
      <c r="R291" s="10" t="s">
        <v>1438</v>
      </c>
      <c r="S291" s="8" t="s">
        <v>3510</v>
      </c>
      <c r="T291" s="10" t="s">
        <v>3445</v>
      </c>
      <c r="U291" s="10" t="s">
        <v>87</v>
      </c>
      <c r="V291" s="10" t="s">
        <v>87</v>
      </c>
    </row>
    <row r="292" spans="1:22" s="10" customFormat="1" x14ac:dyDescent="0.25">
      <c r="A292" s="10" t="s">
        <v>3511</v>
      </c>
      <c r="B292" s="10" t="s">
        <v>2856</v>
      </c>
      <c r="C292" s="11" t="s">
        <v>346</v>
      </c>
      <c r="D292" s="10" t="s">
        <v>3512</v>
      </c>
      <c r="E292" s="8" t="s">
        <v>3513</v>
      </c>
      <c r="F292" s="8" t="s">
        <v>3514</v>
      </c>
      <c r="G292" s="10" t="s">
        <v>2647</v>
      </c>
      <c r="H292" s="8" t="s">
        <v>3515</v>
      </c>
      <c r="I292" s="10" t="s">
        <v>3472</v>
      </c>
      <c r="J292" s="8" t="s">
        <v>2862</v>
      </c>
      <c r="K292" s="8" t="s">
        <v>2649</v>
      </c>
      <c r="L292" s="8" t="s">
        <v>87</v>
      </c>
      <c r="M292" s="10" t="s">
        <v>1436</v>
      </c>
      <c r="N292" s="8" t="s">
        <v>87</v>
      </c>
      <c r="O292" s="10" t="s">
        <v>22</v>
      </c>
      <c r="P292" s="8" t="s">
        <v>3516</v>
      </c>
      <c r="Q292" s="10" t="s">
        <v>246</v>
      </c>
      <c r="R292" s="10" t="s">
        <v>1438</v>
      </c>
      <c r="S292" s="8" t="s">
        <v>3517</v>
      </c>
      <c r="T292" s="10" t="s">
        <v>3445</v>
      </c>
      <c r="U292" s="10" t="s">
        <v>87</v>
      </c>
      <c r="V292" s="10" t="s">
        <v>87</v>
      </c>
    </row>
    <row r="293" spans="1:22" s="10" customFormat="1" x14ac:dyDescent="0.25">
      <c r="A293" s="10" t="s">
        <v>3518</v>
      </c>
      <c r="B293" s="10" t="s">
        <v>2856</v>
      </c>
      <c r="C293" s="10" t="s">
        <v>215</v>
      </c>
      <c r="D293" s="10" t="s">
        <v>3519</v>
      </c>
      <c r="E293" s="8" t="s">
        <v>3520</v>
      </c>
      <c r="F293" s="8" t="s">
        <v>3521</v>
      </c>
      <c r="G293" s="10" t="s">
        <v>2647</v>
      </c>
      <c r="H293" s="8" t="s">
        <v>3522</v>
      </c>
      <c r="I293" s="10" t="s">
        <v>3480</v>
      </c>
      <c r="J293" s="8" t="s">
        <v>2862</v>
      </c>
      <c r="K293" s="8" t="s">
        <v>2649</v>
      </c>
      <c r="L293" s="8" t="s">
        <v>87</v>
      </c>
      <c r="M293" s="10" t="s">
        <v>1436</v>
      </c>
      <c r="N293" s="8" t="s">
        <v>87</v>
      </c>
      <c r="O293" s="10" t="s">
        <v>22</v>
      </c>
      <c r="P293" s="8" t="s">
        <v>3523</v>
      </c>
      <c r="Q293" s="10" t="s">
        <v>239</v>
      </c>
      <c r="R293" s="10" t="s">
        <v>1438</v>
      </c>
      <c r="S293" s="8" t="s">
        <v>3524</v>
      </c>
      <c r="T293" s="10" t="s">
        <v>3445</v>
      </c>
      <c r="U293" s="10" t="s">
        <v>87</v>
      </c>
      <c r="V293" s="10" t="s">
        <v>87</v>
      </c>
    </row>
    <row r="294" spans="1:22" s="10" customFormat="1" x14ac:dyDescent="0.25">
      <c r="A294" s="10" t="s">
        <v>3525</v>
      </c>
      <c r="B294" s="10" t="s">
        <v>2856</v>
      </c>
      <c r="C294" s="10" t="s">
        <v>384</v>
      </c>
      <c r="D294" s="10" t="s">
        <v>3526</v>
      </c>
      <c r="E294" s="8" t="s">
        <v>3527</v>
      </c>
      <c r="F294" s="8" t="s">
        <v>3528</v>
      </c>
      <c r="G294" s="10" t="s">
        <v>2647</v>
      </c>
      <c r="H294" s="8" t="s">
        <v>3529</v>
      </c>
      <c r="I294" s="10" t="s">
        <v>868</v>
      </c>
      <c r="J294" s="8" t="s">
        <v>2862</v>
      </c>
      <c r="K294" s="8" t="s">
        <v>2649</v>
      </c>
      <c r="L294" s="8" t="s">
        <v>87</v>
      </c>
      <c r="M294" s="10" t="s">
        <v>1436</v>
      </c>
      <c r="N294" s="8" t="s">
        <v>87</v>
      </c>
      <c r="O294" s="10" t="s">
        <v>22</v>
      </c>
      <c r="P294" s="8" t="s">
        <v>3530</v>
      </c>
      <c r="Q294" s="10" t="s">
        <v>223</v>
      </c>
      <c r="R294" s="10" t="s">
        <v>1438</v>
      </c>
      <c r="S294" s="8" t="s">
        <v>3531</v>
      </c>
      <c r="T294" s="10" t="s">
        <v>3445</v>
      </c>
      <c r="U294" s="10" t="s">
        <v>87</v>
      </c>
      <c r="V294" s="10" t="s">
        <v>87</v>
      </c>
    </row>
    <row r="295" spans="1:22" s="10" customFormat="1" x14ac:dyDescent="0.25">
      <c r="A295" s="10" t="s">
        <v>3532</v>
      </c>
      <c r="B295" s="10" t="s">
        <v>2856</v>
      </c>
      <c r="C295" s="10" t="s">
        <v>215</v>
      </c>
      <c r="D295" s="10" t="s">
        <v>3533</v>
      </c>
      <c r="E295" s="8" t="s">
        <v>3534</v>
      </c>
      <c r="F295" s="8" t="s">
        <v>3535</v>
      </c>
      <c r="G295" s="10" t="s">
        <v>2647</v>
      </c>
      <c r="H295" s="8" t="s">
        <v>3536</v>
      </c>
      <c r="I295" s="10" t="s">
        <v>3480</v>
      </c>
      <c r="J295" s="8" t="s">
        <v>2862</v>
      </c>
      <c r="K295" s="8" t="s">
        <v>2649</v>
      </c>
      <c r="L295" s="8" t="s">
        <v>87</v>
      </c>
      <c r="M295" s="10" t="s">
        <v>1436</v>
      </c>
      <c r="N295" s="8" t="s">
        <v>87</v>
      </c>
      <c r="O295" s="10" t="s">
        <v>22</v>
      </c>
      <c r="P295" s="8" t="s">
        <v>3537</v>
      </c>
      <c r="Q295" s="10" t="s">
        <v>223</v>
      </c>
      <c r="R295" s="10" t="s">
        <v>1438</v>
      </c>
      <c r="S295" s="8" t="s">
        <v>3538</v>
      </c>
      <c r="T295" s="10" t="s">
        <v>3445</v>
      </c>
      <c r="U295" s="10" t="s">
        <v>87</v>
      </c>
      <c r="V295" s="10" t="s">
        <v>87</v>
      </c>
    </row>
    <row r="296" spans="1:22" s="10" customFormat="1" x14ac:dyDescent="0.25">
      <c r="A296" s="10" t="s">
        <v>3539</v>
      </c>
      <c r="B296" s="10" t="s">
        <v>2856</v>
      </c>
      <c r="C296" s="10" t="s">
        <v>215</v>
      </c>
      <c r="D296" s="10" t="s">
        <v>3540</v>
      </c>
      <c r="E296" s="8" t="s">
        <v>3541</v>
      </c>
      <c r="F296" s="8" t="s">
        <v>3542</v>
      </c>
      <c r="G296" s="10" t="s">
        <v>2647</v>
      </c>
      <c r="H296" s="8" t="s">
        <v>3543</v>
      </c>
      <c r="I296" s="10" t="s">
        <v>3451</v>
      </c>
      <c r="J296" s="8" t="s">
        <v>2862</v>
      </c>
      <c r="K296" s="8" t="s">
        <v>2649</v>
      </c>
      <c r="L296" s="8" t="s">
        <v>87</v>
      </c>
      <c r="M296" s="10" t="s">
        <v>1436</v>
      </c>
      <c r="N296" s="8" t="s">
        <v>87</v>
      </c>
      <c r="O296" s="10" t="s">
        <v>22</v>
      </c>
      <c r="P296" s="8" t="s">
        <v>3544</v>
      </c>
      <c r="Q296" s="10" t="s">
        <v>223</v>
      </c>
      <c r="R296" s="10" t="s">
        <v>1438</v>
      </c>
      <c r="S296" s="8" t="s">
        <v>3545</v>
      </c>
      <c r="T296" s="10" t="s">
        <v>3445</v>
      </c>
      <c r="U296" s="10" t="s">
        <v>87</v>
      </c>
      <c r="V296" s="10" t="s">
        <v>87</v>
      </c>
    </row>
    <row r="297" spans="1:22" s="10" customFormat="1" x14ac:dyDescent="0.25">
      <c r="A297" s="10" t="s">
        <v>3546</v>
      </c>
      <c r="B297" s="10" t="s">
        <v>2856</v>
      </c>
      <c r="C297" s="10" t="s">
        <v>215</v>
      </c>
      <c r="D297" s="10" t="s">
        <v>3547</v>
      </c>
      <c r="E297" s="8" t="s">
        <v>3548</v>
      </c>
      <c r="F297" s="8" t="s">
        <v>3549</v>
      </c>
      <c r="G297" s="10" t="s">
        <v>2647</v>
      </c>
      <c r="H297" s="8" t="s">
        <v>3543</v>
      </c>
      <c r="I297" s="10" t="s">
        <v>868</v>
      </c>
      <c r="J297" s="8" t="s">
        <v>2862</v>
      </c>
      <c r="K297" s="8" t="s">
        <v>2649</v>
      </c>
      <c r="L297" s="8" t="s">
        <v>87</v>
      </c>
      <c r="M297" s="10" t="s">
        <v>1436</v>
      </c>
      <c r="N297" s="8" t="s">
        <v>87</v>
      </c>
      <c r="O297" s="10" t="s">
        <v>22</v>
      </c>
      <c r="P297" s="8" t="s">
        <v>3550</v>
      </c>
      <c r="Q297" s="10" t="s">
        <v>223</v>
      </c>
      <c r="R297" s="10" t="s">
        <v>1438</v>
      </c>
      <c r="S297" s="8" t="s">
        <v>3551</v>
      </c>
      <c r="T297" s="10" t="s">
        <v>3445</v>
      </c>
      <c r="U297" s="10" t="s">
        <v>87</v>
      </c>
      <c r="V297" s="10" t="s">
        <v>87</v>
      </c>
    </row>
    <row r="298" spans="1:22" s="10" customFormat="1" x14ac:dyDescent="0.25">
      <c r="A298" s="10" t="s">
        <v>3552</v>
      </c>
      <c r="B298" s="10" t="s">
        <v>2856</v>
      </c>
      <c r="C298" s="10" t="s">
        <v>215</v>
      </c>
      <c r="D298" s="10" t="s">
        <v>3553</v>
      </c>
      <c r="E298" s="8" t="s">
        <v>3554</v>
      </c>
      <c r="F298" s="8" t="s">
        <v>3555</v>
      </c>
      <c r="G298" s="10" t="s">
        <v>2647</v>
      </c>
      <c r="H298" s="8" t="s">
        <v>3479</v>
      </c>
      <c r="I298" s="10" t="s">
        <v>868</v>
      </c>
      <c r="J298" s="8" t="s">
        <v>2862</v>
      </c>
      <c r="K298" s="8" t="s">
        <v>2649</v>
      </c>
      <c r="L298" s="8" t="s">
        <v>87</v>
      </c>
      <c r="M298" s="10" t="s">
        <v>1436</v>
      </c>
      <c r="N298" s="8" t="s">
        <v>87</v>
      </c>
      <c r="O298" s="10" t="s">
        <v>22</v>
      </c>
      <c r="P298" s="8" t="s">
        <v>3556</v>
      </c>
      <c r="Q298" s="10" t="s">
        <v>223</v>
      </c>
      <c r="R298" s="10" t="s">
        <v>1438</v>
      </c>
      <c r="S298" s="8" t="s">
        <v>3557</v>
      </c>
      <c r="T298" s="10" t="s">
        <v>3445</v>
      </c>
      <c r="U298" s="10" t="s">
        <v>87</v>
      </c>
      <c r="V298" s="10" t="s">
        <v>87</v>
      </c>
    </row>
    <row r="299" spans="1:22" s="10" customFormat="1" x14ac:dyDescent="0.25">
      <c r="A299" s="10" t="s">
        <v>3558</v>
      </c>
      <c r="B299" s="10" t="s">
        <v>2856</v>
      </c>
      <c r="C299" s="11" t="s">
        <v>346</v>
      </c>
      <c r="D299" s="10" t="s">
        <v>3559</v>
      </c>
      <c r="E299" s="8" t="s">
        <v>3560</v>
      </c>
      <c r="F299" s="8" t="s">
        <v>3561</v>
      </c>
      <c r="G299" s="10" t="s">
        <v>2647</v>
      </c>
      <c r="H299" s="8" t="s">
        <v>3464</v>
      </c>
      <c r="I299" s="10" t="s">
        <v>3451</v>
      </c>
      <c r="J299" s="8" t="s">
        <v>2862</v>
      </c>
      <c r="K299" s="8" t="s">
        <v>2649</v>
      </c>
      <c r="L299" s="8" t="s">
        <v>87</v>
      </c>
      <c r="M299" s="10" t="s">
        <v>1436</v>
      </c>
      <c r="N299" s="8" t="s">
        <v>87</v>
      </c>
      <c r="O299" s="10" t="s">
        <v>22</v>
      </c>
      <c r="P299" s="8" t="s">
        <v>3562</v>
      </c>
      <c r="Q299" s="10" t="s">
        <v>223</v>
      </c>
      <c r="R299" s="10" t="s">
        <v>1438</v>
      </c>
      <c r="S299" s="8" t="s">
        <v>3531</v>
      </c>
      <c r="T299" s="10" t="s">
        <v>3445</v>
      </c>
      <c r="U299" s="10" t="s">
        <v>87</v>
      </c>
      <c r="V299" s="10" t="s">
        <v>87</v>
      </c>
    </row>
    <row r="300" spans="1:22" s="10" customFormat="1" x14ac:dyDescent="0.25">
      <c r="A300" s="10" t="s">
        <v>3563</v>
      </c>
      <c r="B300" s="10" t="s">
        <v>2856</v>
      </c>
      <c r="C300" s="10" t="s">
        <v>384</v>
      </c>
      <c r="D300" s="10" t="s">
        <v>3564</v>
      </c>
      <c r="E300" s="8" t="s">
        <v>3565</v>
      </c>
      <c r="F300" s="8" t="s">
        <v>3566</v>
      </c>
      <c r="G300" s="10" t="s">
        <v>2647</v>
      </c>
      <c r="H300" s="8" t="s">
        <v>3567</v>
      </c>
      <c r="I300" s="10" t="s">
        <v>3451</v>
      </c>
      <c r="J300" s="8" t="s">
        <v>2862</v>
      </c>
      <c r="K300" s="8" t="s">
        <v>2649</v>
      </c>
      <c r="L300" s="8" t="s">
        <v>87</v>
      </c>
      <c r="M300" s="10" t="s">
        <v>1436</v>
      </c>
      <c r="N300" s="8" t="s">
        <v>87</v>
      </c>
      <c r="O300" s="10" t="s">
        <v>22</v>
      </c>
      <c r="P300" s="8" t="s">
        <v>3568</v>
      </c>
      <c r="Q300" s="10" t="s">
        <v>223</v>
      </c>
      <c r="R300" s="10" t="s">
        <v>1438</v>
      </c>
      <c r="S300" s="8" t="s">
        <v>3569</v>
      </c>
      <c r="T300" s="10" t="s">
        <v>3445</v>
      </c>
      <c r="U300" s="10" t="s">
        <v>87</v>
      </c>
      <c r="V300" s="10" t="s">
        <v>87</v>
      </c>
    </row>
    <row r="301" spans="1:22" s="10" customFormat="1" x14ac:dyDescent="0.25">
      <c r="A301" s="10" t="s">
        <v>3570</v>
      </c>
      <c r="B301" s="10" t="s">
        <v>2856</v>
      </c>
      <c r="C301" s="11" t="s">
        <v>346</v>
      </c>
      <c r="D301" s="10" t="s">
        <v>3571</v>
      </c>
      <c r="E301" s="8" t="s">
        <v>3572</v>
      </c>
      <c r="F301" s="8" t="s">
        <v>3573</v>
      </c>
      <c r="G301" s="10" t="s">
        <v>2647</v>
      </c>
      <c r="H301" s="8" t="s">
        <v>1653</v>
      </c>
      <c r="I301" s="10" t="s">
        <v>3574</v>
      </c>
      <c r="J301" s="8" t="s">
        <v>1655</v>
      </c>
      <c r="K301" s="8" t="s">
        <v>2649</v>
      </c>
      <c r="L301" s="8" t="s">
        <v>87</v>
      </c>
      <c r="M301" s="10" t="s">
        <v>1436</v>
      </c>
      <c r="N301" s="8" t="s">
        <v>87</v>
      </c>
      <c r="O301" s="10" t="s">
        <v>22</v>
      </c>
      <c r="P301" s="8" t="s">
        <v>3575</v>
      </c>
      <c r="Q301" s="10" t="s">
        <v>1447</v>
      </c>
      <c r="R301" s="10" t="s">
        <v>1657</v>
      </c>
      <c r="S301" s="8" t="s">
        <v>3576</v>
      </c>
      <c r="T301" s="10" t="s">
        <v>3445</v>
      </c>
      <c r="U301" s="10" t="s">
        <v>87</v>
      </c>
      <c r="V301" s="10" t="s">
        <v>87</v>
      </c>
    </row>
    <row r="302" spans="1:22" s="10" customFormat="1" x14ac:dyDescent="0.25">
      <c r="A302" s="10" t="s">
        <v>3577</v>
      </c>
      <c r="B302" s="10" t="s">
        <v>2856</v>
      </c>
      <c r="C302" s="11" t="s">
        <v>346</v>
      </c>
      <c r="D302" s="10" t="s">
        <v>3578</v>
      </c>
      <c r="E302" s="8" t="s">
        <v>3579</v>
      </c>
      <c r="F302" s="8" t="s">
        <v>1662</v>
      </c>
      <c r="G302" s="10" t="s">
        <v>2647</v>
      </c>
      <c r="H302" s="8" t="s">
        <v>1663</v>
      </c>
      <c r="I302" s="10" t="s">
        <v>3451</v>
      </c>
      <c r="J302" s="8" t="s">
        <v>1664</v>
      </c>
      <c r="K302" s="8" t="s">
        <v>2649</v>
      </c>
      <c r="L302" s="8" t="s">
        <v>87</v>
      </c>
      <c r="M302" s="10" t="s">
        <v>1436</v>
      </c>
      <c r="N302" s="8" t="s">
        <v>87</v>
      </c>
      <c r="O302" s="10" t="s">
        <v>22</v>
      </c>
      <c r="P302" s="8" t="s">
        <v>3580</v>
      </c>
      <c r="Q302" s="10" t="s">
        <v>825</v>
      </c>
      <c r="R302" s="10" t="s">
        <v>1668</v>
      </c>
      <c r="S302" s="8" t="s">
        <v>1669</v>
      </c>
      <c r="T302" s="10" t="s">
        <v>3445</v>
      </c>
      <c r="U302" s="10" t="s">
        <v>87</v>
      </c>
      <c r="V302" s="10" t="s">
        <v>87</v>
      </c>
    </row>
    <row r="303" spans="1:22" s="10" customFormat="1" x14ac:dyDescent="0.25">
      <c r="A303" s="10" t="s">
        <v>3581</v>
      </c>
      <c r="B303" s="10" t="s">
        <v>2856</v>
      </c>
      <c r="C303" s="10" t="s">
        <v>215</v>
      </c>
      <c r="D303" s="10" t="s">
        <v>3582</v>
      </c>
      <c r="E303" s="8" t="s">
        <v>3583</v>
      </c>
      <c r="F303" s="8" t="s">
        <v>3584</v>
      </c>
      <c r="G303" s="10" t="s">
        <v>2647</v>
      </c>
      <c r="H303" s="8" t="s">
        <v>3543</v>
      </c>
      <c r="I303" s="10" t="s">
        <v>868</v>
      </c>
      <c r="J303" s="8" t="s">
        <v>2862</v>
      </c>
      <c r="K303" s="8" t="s">
        <v>2649</v>
      </c>
      <c r="L303" s="8" t="s">
        <v>87</v>
      </c>
      <c r="M303" s="10" t="s">
        <v>1436</v>
      </c>
      <c r="N303" s="8" t="s">
        <v>87</v>
      </c>
      <c r="O303" s="10" t="s">
        <v>22</v>
      </c>
      <c r="P303" s="8" t="s">
        <v>3585</v>
      </c>
      <c r="Q303" s="10" t="s">
        <v>223</v>
      </c>
      <c r="R303" s="10" t="s">
        <v>1438</v>
      </c>
      <c r="S303" s="8" t="s">
        <v>1648</v>
      </c>
      <c r="T303" s="10" t="s">
        <v>3445</v>
      </c>
      <c r="U303" s="10" t="s">
        <v>87</v>
      </c>
      <c r="V303" s="10" t="s">
        <v>87</v>
      </c>
    </row>
    <row r="304" spans="1:22" s="10" customFormat="1" x14ac:dyDescent="0.25">
      <c r="A304" s="10" t="s">
        <v>3586</v>
      </c>
      <c r="B304" s="10" t="s">
        <v>2856</v>
      </c>
      <c r="C304" s="10" t="s">
        <v>215</v>
      </c>
      <c r="D304" s="10" t="s">
        <v>3587</v>
      </c>
      <c r="E304" s="8" t="s">
        <v>3588</v>
      </c>
      <c r="F304" s="8" t="s">
        <v>3589</v>
      </c>
      <c r="G304" s="10" t="s">
        <v>4</v>
      </c>
      <c r="H304" s="8" t="s">
        <v>3590</v>
      </c>
      <c r="I304" s="10" t="s">
        <v>3591</v>
      </c>
      <c r="J304" s="8" t="s">
        <v>2862</v>
      </c>
      <c r="K304" s="8" t="s">
        <v>1873</v>
      </c>
      <c r="L304" s="8" t="s">
        <v>87</v>
      </c>
      <c r="M304" s="10" t="s">
        <v>1436</v>
      </c>
      <c r="N304" s="8" t="s">
        <v>87</v>
      </c>
      <c r="O304" s="10" t="s">
        <v>22</v>
      </c>
      <c r="P304" s="8" t="s">
        <v>3592</v>
      </c>
      <c r="Q304" s="10" t="s">
        <v>223</v>
      </c>
      <c r="R304" s="10" t="s">
        <v>1438</v>
      </c>
      <c r="S304" s="8" t="s">
        <v>3593</v>
      </c>
      <c r="T304" s="10" t="s">
        <v>3594</v>
      </c>
      <c r="U304" s="10" t="s">
        <v>87</v>
      </c>
      <c r="V304" s="10" t="s">
        <v>87</v>
      </c>
    </row>
    <row r="305" spans="1:22" s="10" customFormat="1" x14ac:dyDescent="0.25">
      <c r="A305" s="10" t="s">
        <v>3595</v>
      </c>
      <c r="B305" s="10" t="s">
        <v>2856</v>
      </c>
      <c r="C305" s="10" t="s">
        <v>384</v>
      </c>
      <c r="D305" s="10" t="s">
        <v>3596</v>
      </c>
      <c r="E305" s="8" t="s">
        <v>3597</v>
      </c>
      <c r="F305" s="8" t="s">
        <v>3598</v>
      </c>
      <c r="G305" s="10" t="s">
        <v>2647</v>
      </c>
      <c r="H305" s="8" t="s">
        <v>3599</v>
      </c>
      <c r="I305" s="10" t="s">
        <v>3600</v>
      </c>
      <c r="J305" s="8" t="s">
        <v>2862</v>
      </c>
      <c r="K305" s="8" t="s">
        <v>2649</v>
      </c>
      <c r="L305" s="8" t="s">
        <v>87</v>
      </c>
      <c r="M305" s="10" t="s">
        <v>1436</v>
      </c>
      <c r="N305" s="8" t="s">
        <v>87</v>
      </c>
      <c r="O305" s="10" t="s">
        <v>22</v>
      </c>
      <c r="P305" s="8" t="s">
        <v>3601</v>
      </c>
      <c r="Q305" s="10" t="s">
        <v>223</v>
      </c>
      <c r="R305" s="10" t="s">
        <v>1438</v>
      </c>
      <c r="S305" s="8" t="s">
        <v>3602</v>
      </c>
      <c r="T305" s="10" t="s">
        <v>3594</v>
      </c>
      <c r="U305" s="10" t="s">
        <v>87</v>
      </c>
      <c r="V305" s="10" t="s">
        <v>87</v>
      </c>
    </row>
    <row r="306" spans="1:22" s="10" customFormat="1" x14ac:dyDescent="0.25">
      <c r="A306" s="10" t="s">
        <v>3603</v>
      </c>
      <c r="B306" s="10" t="s">
        <v>2856</v>
      </c>
      <c r="C306" s="11" t="s">
        <v>346</v>
      </c>
      <c r="D306" s="10" t="s">
        <v>3604</v>
      </c>
      <c r="E306" s="8" t="s">
        <v>3605</v>
      </c>
      <c r="F306" s="8" t="s">
        <v>3606</v>
      </c>
      <c r="G306" s="10" t="s">
        <v>2647</v>
      </c>
      <c r="H306" s="8" t="s">
        <v>3607</v>
      </c>
      <c r="I306" s="10" t="s">
        <v>3608</v>
      </c>
      <c r="J306" s="8" t="s">
        <v>2862</v>
      </c>
      <c r="K306" s="8" t="s">
        <v>2649</v>
      </c>
      <c r="L306" s="8" t="s">
        <v>87</v>
      </c>
      <c r="M306" s="10" t="s">
        <v>1436</v>
      </c>
      <c r="N306" s="8" t="s">
        <v>87</v>
      </c>
      <c r="O306" s="10" t="s">
        <v>22</v>
      </c>
      <c r="P306" s="8" t="s">
        <v>3609</v>
      </c>
      <c r="Q306" s="10" t="s">
        <v>223</v>
      </c>
      <c r="R306" s="10" t="s">
        <v>1438</v>
      </c>
      <c r="S306" s="8" t="s">
        <v>3610</v>
      </c>
      <c r="T306" s="10" t="s">
        <v>3594</v>
      </c>
      <c r="U306" s="10" t="s">
        <v>87</v>
      </c>
      <c r="V306" s="10" t="s">
        <v>87</v>
      </c>
    </row>
    <row r="307" spans="1:22" s="10" customFormat="1" x14ac:dyDescent="0.25">
      <c r="A307" s="10" t="s">
        <v>3611</v>
      </c>
      <c r="B307" s="10" t="s">
        <v>2856</v>
      </c>
      <c r="C307" s="10" t="s">
        <v>215</v>
      </c>
      <c r="D307" s="10" t="s">
        <v>3612</v>
      </c>
      <c r="E307" s="8" t="s">
        <v>3613</v>
      </c>
      <c r="F307" s="8" t="s">
        <v>3614</v>
      </c>
      <c r="G307" s="10" t="s">
        <v>2647</v>
      </c>
      <c r="H307" s="8" t="s">
        <v>3615</v>
      </c>
      <c r="I307" s="10" t="s">
        <v>873</v>
      </c>
      <c r="J307" s="8" t="s">
        <v>2862</v>
      </c>
      <c r="K307" s="8" t="s">
        <v>2649</v>
      </c>
      <c r="L307" s="8" t="s">
        <v>87</v>
      </c>
      <c r="M307" s="10" t="s">
        <v>1436</v>
      </c>
      <c r="N307" s="8" t="s">
        <v>87</v>
      </c>
      <c r="O307" s="10" t="s">
        <v>22</v>
      </c>
      <c r="P307" s="8" t="s">
        <v>3616</v>
      </c>
      <c r="Q307" s="10" t="s">
        <v>239</v>
      </c>
      <c r="R307" s="10" t="s">
        <v>1438</v>
      </c>
      <c r="S307" s="8" t="s">
        <v>3617</v>
      </c>
      <c r="T307" s="10" t="s">
        <v>3594</v>
      </c>
      <c r="U307" s="10" t="s">
        <v>87</v>
      </c>
      <c r="V307" s="10" t="s">
        <v>87</v>
      </c>
    </row>
    <row r="308" spans="1:22" s="10" customFormat="1" x14ac:dyDescent="0.25">
      <c r="A308" s="10" t="s">
        <v>3618</v>
      </c>
      <c r="B308" s="10" t="s">
        <v>2856</v>
      </c>
      <c r="C308" s="10" t="s">
        <v>215</v>
      </c>
      <c r="D308" s="10" t="s">
        <v>3619</v>
      </c>
      <c r="E308" s="8" t="s">
        <v>3620</v>
      </c>
      <c r="F308" s="8" t="s">
        <v>3621</v>
      </c>
      <c r="G308" s="10" t="s">
        <v>2647</v>
      </c>
      <c r="H308" s="8" t="s">
        <v>3622</v>
      </c>
      <c r="I308" s="10" t="s">
        <v>873</v>
      </c>
      <c r="J308" s="8" t="s">
        <v>2862</v>
      </c>
      <c r="K308" s="8" t="s">
        <v>2649</v>
      </c>
      <c r="L308" s="8" t="s">
        <v>87</v>
      </c>
      <c r="M308" s="10" t="s">
        <v>1436</v>
      </c>
      <c r="N308" s="8" t="s">
        <v>87</v>
      </c>
      <c r="O308" s="10" t="s">
        <v>22</v>
      </c>
      <c r="P308" s="8" t="s">
        <v>3623</v>
      </c>
      <c r="Q308" s="10" t="s">
        <v>239</v>
      </c>
      <c r="R308" s="10" t="s">
        <v>1438</v>
      </c>
      <c r="S308" s="8" t="s">
        <v>3624</v>
      </c>
      <c r="T308" s="10" t="s">
        <v>3594</v>
      </c>
      <c r="U308" s="10" t="s">
        <v>87</v>
      </c>
      <c r="V308" s="10" t="s">
        <v>87</v>
      </c>
    </row>
    <row r="309" spans="1:22" s="10" customFormat="1" x14ac:dyDescent="0.25">
      <c r="A309" s="10" t="s">
        <v>3625</v>
      </c>
      <c r="B309" s="10" t="s">
        <v>2856</v>
      </c>
      <c r="C309" s="11" t="s">
        <v>346</v>
      </c>
      <c r="D309" s="10" t="s">
        <v>3626</v>
      </c>
      <c r="E309" s="8" t="s">
        <v>3627</v>
      </c>
      <c r="F309" s="8" t="s">
        <v>3621</v>
      </c>
      <c r="G309" s="10" t="s">
        <v>2647</v>
      </c>
      <c r="H309" s="8" t="s">
        <v>3628</v>
      </c>
      <c r="I309" s="10" t="s">
        <v>2657</v>
      </c>
      <c r="J309" s="8" t="s">
        <v>2862</v>
      </c>
      <c r="K309" s="8" t="s">
        <v>2649</v>
      </c>
      <c r="L309" s="8" t="s">
        <v>87</v>
      </c>
      <c r="M309" s="10" t="s">
        <v>1436</v>
      </c>
      <c r="N309" s="8" t="s">
        <v>87</v>
      </c>
      <c r="O309" s="10" t="s">
        <v>22</v>
      </c>
      <c r="P309" s="8" t="s">
        <v>3629</v>
      </c>
      <c r="Q309" s="10" t="s">
        <v>239</v>
      </c>
      <c r="R309" s="10" t="s">
        <v>1438</v>
      </c>
      <c r="S309" s="8" t="s">
        <v>3630</v>
      </c>
      <c r="T309" s="10" t="s">
        <v>3594</v>
      </c>
      <c r="U309" s="10" t="s">
        <v>87</v>
      </c>
      <c r="V309" s="10" t="s">
        <v>87</v>
      </c>
    </row>
    <row r="310" spans="1:22" s="10" customFormat="1" x14ac:dyDescent="0.25">
      <c r="A310" s="10" t="s">
        <v>3631</v>
      </c>
      <c r="B310" s="10" t="s">
        <v>2856</v>
      </c>
      <c r="C310" s="11" t="s">
        <v>346</v>
      </c>
      <c r="D310" s="10" t="s">
        <v>3632</v>
      </c>
      <c r="E310" s="8" t="s">
        <v>3633</v>
      </c>
      <c r="F310" s="8" t="s">
        <v>3634</v>
      </c>
      <c r="G310" s="10" t="s">
        <v>2647</v>
      </c>
      <c r="H310" s="8" t="s">
        <v>3635</v>
      </c>
      <c r="I310" s="10" t="s">
        <v>2657</v>
      </c>
      <c r="J310" s="8" t="s">
        <v>2862</v>
      </c>
      <c r="K310" s="8" t="s">
        <v>2649</v>
      </c>
      <c r="L310" s="8" t="s">
        <v>87</v>
      </c>
      <c r="M310" s="10" t="s">
        <v>1436</v>
      </c>
      <c r="N310" s="8" t="s">
        <v>87</v>
      </c>
      <c r="O310" s="10" t="s">
        <v>22</v>
      </c>
      <c r="P310" s="8" t="s">
        <v>3636</v>
      </c>
      <c r="Q310" s="10" t="s">
        <v>239</v>
      </c>
      <c r="R310" s="10" t="s">
        <v>1438</v>
      </c>
      <c r="S310" s="8" t="s">
        <v>3637</v>
      </c>
      <c r="T310" s="10" t="s">
        <v>3594</v>
      </c>
      <c r="U310" s="10" t="s">
        <v>87</v>
      </c>
      <c r="V310" s="10" t="s">
        <v>87</v>
      </c>
    </row>
    <row r="311" spans="1:22" s="10" customFormat="1" x14ac:dyDescent="0.25">
      <c r="A311" s="10" t="s">
        <v>3638</v>
      </c>
      <c r="B311" s="10" t="s">
        <v>2856</v>
      </c>
      <c r="C311" s="10" t="s">
        <v>215</v>
      </c>
      <c r="D311" s="10" t="s">
        <v>3639</v>
      </c>
      <c r="E311" s="8" t="s">
        <v>3640</v>
      </c>
      <c r="F311" s="8" t="s">
        <v>3641</v>
      </c>
      <c r="G311" s="10" t="s">
        <v>2647</v>
      </c>
      <c r="H311" s="8" t="s">
        <v>3642</v>
      </c>
      <c r="I311" s="10" t="s">
        <v>2657</v>
      </c>
      <c r="J311" s="8" t="s">
        <v>2862</v>
      </c>
      <c r="K311" s="8" t="s">
        <v>2649</v>
      </c>
      <c r="L311" s="8" t="s">
        <v>87</v>
      </c>
      <c r="M311" s="10" t="s">
        <v>1436</v>
      </c>
      <c r="N311" s="8" t="s">
        <v>87</v>
      </c>
      <c r="O311" s="10" t="s">
        <v>22</v>
      </c>
      <c r="P311" s="8" t="s">
        <v>3643</v>
      </c>
      <c r="Q311" s="10" t="s">
        <v>246</v>
      </c>
      <c r="R311" s="10" t="s">
        <v>1438</v>
      </c>
      <c r="S311" s="8" t="s">
        <v>3644</v>
      </c>
      <c r="T311" s="10" t="s">
        <v>3594</v>
      </c>
      <c r="U311" s="10" t="s">
        <v>87</v>
      </c>
      <c r="V311" s="10" t="s">
        <v>87</v>
      </c>
    </row>
    <row r="312" spans="1:22" s="10" customFormat="1" x14ac:dyDescent="0.25">
      <c r="A312" s="10" t="s">
        <v>3645</v>
      </c>
      <c r="B312" s="10" t="s">
        <v>2856</v>
      </c>
      <c r="C312" s="10" t="s">
        <v>384</v>
      </c>
      <c r="D312" s="10" t="s">
        <v>3646</v>
      </c>
      <c r="E312" s="8" t="s">
        <v>3647</v>
      </c>
      <c r="F312" s="8" t="s">
        <v>3648</v>
      </c>
      <c r="G312" s="10" t="s">
        <v>2647</v>
      </c>
      <c r="H312" s="8" t="s">
        <v>3649</v>
      </c>
      <c r="I312" s="10" t="s">
        <v>873</v>
      </c>
      <c r="J312" s="8" t="s">
        <v>2862</v>
      </c>
      <c r="K312" s="8" t="s">
        <v>2649</v>
      </c>
      <c r="L312" s="8" t="s">
        <v>87</v>
      </c>
      <c r="M312" s="10" t="s">
        <v>1436</v>
      </c>
      <c r="N312" s="8" t="s">
        <v>87</v>
      </c>
      <c r="O312" s="10" t="s">
        <v>22</v>
      </c>
      <c r="P312" s="8" t="s">
        <v>3650</v>
      </c>
      <c r="Q312" s="10" t="s">
        <v>246</v>
      </c>
      <c r="R312" s="10" t="s">
        <v>1438</v>
      </c>
      <c r="S312" s="8" t="s">
        <v>3651</v>
      </c>
      <c r="T312" s="10" t="s">
        <v>3594</v>
      </c>
      <c r="U312" s="10" t="s">
        <v>87</v>
      </c>
      <c r="V312" s="10" t="s">
        <v>87</v>
      </c>
    </row>
    <row r="313" spans="1:22" s="10" customFormat="1" x14ac:dyDescent="0.25">
      <c r="A313" s="10" t="s">
        <v>3652</v>
      </c>
      <c r="B313" s="10" t="s">
        <v>2856</v>
      </c>
      <c r="C313" s="10" t="s">
        <v>215</v>
      </c>
      <c r="D313" s="10" t="s">
        <v>3653</v>
      </c>
      <c r="E313" s="8" t="s">
        <v>3654</v>
      </c>
      <c r="F313" s="8" t="s">
        <v>3655</v>
      </c>
      <c r="G313" s="10" t="s">
        <v>2647</v>
      </c>
      <c r="H313" s="8" t="s">
        <v>3656</v>
      </c>
      <c r="I313" s="10" t="s">
        <v>3600</v>
      </c>
      <c r="J313" s="8" t="s">
        <v>2862</v>
      </c>
      <c r="K313" s="8" t="s">
        <v>2649</v>
      </c>
      <c r="L313" s="8" t="s">
        <v>87</v>
      </c>
      <c r="M313" s="10" t="s">
        <v>1436</v>
      </c>
      <c r="N313" s="8" t="s">
        <v>87</v>
      </c>
      <c r="O313" s="10" t="s">
        <v>22</v>
      </c>
      <c r="P313" s="8" t="s">
        <v>3657</v>
      </c>
      <c r="Q313" s="10" t="s">
        <v>223</v>
      </c>
      <c r="R313" s="10" t="s">
        <v>1438</v>
      </c>
      <c r="S313" s="8" t="s">
        <v>3658</v>
      </c>
      <c r="T313" s="10" t="s">
        <v>3594</v>
      </c>
      <c r="U313" s="10" t="s">
        <v>87</v>
      </c>
      <c r="V313" s="10" t="s">
        <v>87</v>
      </c>
    </row>
    <row r="314" spans="1:22" s="10" customFormat="1" x14ac:dyDescent="0.25">
      <c r="A314" s="10" t="s">
        <v>3659</v>
      </c>
      <c r="B314" s="10" t="s">
        <v>2856</v>
      </c>
      <c r="C314" s="10" t="s">
        <v>215</v>
      </c>
      <c r="D314" s="10" t="s">
        <v>3660</v>
      </c>
      <c r="E314" s="8" t="s">
        <v>3661</v>
      </c>
      <c r="F314" s="8" t="s">
        <v>3662</v>
      </c>
      <c r="G314" s="10" t="s">
        <v>2647</v>
      </c>
      <c r="H314" s="8" t="s">
        <v>3663</v>
      </c>
      <c r="I314" s="10" t="s">
        <v>3600</v>
      </c>
      <c r="J314" s="8" t="s">
        <v>2862</v>
      </c>
      <c r="K314" s="8" t="s">
        <v>2649</v>
      </c>
      <c r="L314" s="8" t="s">
        <v>87</v>
      </c>
      <c r="M314" s="10" t="s">
        <v>1436</v>
      </c>
      <c r="N314" s="8" t="s">
        <v>87</v>
      </c>
      <c r="O314" s="10" t="s">
        <v>22</v>
      </c>
      <c r="P314" s="8" t="s">
        <v>3664</v>
      </c>
      <c r="Q314" s="10" t="s">
        <v>246</v>
      </c>
      <c r="R314" s="10" t="s">
        <v>1438</v>
      </c>
      <c r="S314" s="8" t="s">
        <v>3665</v>
      </c>
      <c r="T314" s="10" t="s">
        <v>3594</v>
      </c>
      <c r="U314" s="10" t="s">
        <v>87</v>
      </c>
      <c r="V314" s="10" t="s">
        <v>87</v>
      </c>
    </row>
    <row r="315" spans="1:22" s="10" customFormat="1" x14ac:dyDescent="0.25">
      <c r="A315" s="10" t="s">
        <v>3666</v>
      </c>
      <c r="B315" s="10" t="s">
        <v>2856</v>
      </c>
      <c r="C315" s="10" t="s">
        <v>215</v>
      </c>
      <c r="D315" s="10" t="s">
        <v>3667</v>
      </c>
      <c r="E315" s="8" t="s">
        <v>3668</v>
      </c>
      <c r="F315" s="8" t="s">
        <v>3669</v>
      </c>
      <c r="G315" s="10" t="s">
        <v>2647</v>
      </c>
      <c r="H315" s="8" t="s">
        <v>3656</v>
      </c>
      <c r="I315" s="10" t="s">
        <v>1999</v>
      </c>
      <c r="J315" s="8" t="s">
        <v>2862</v>
      </c>
      <c r="K315" s="8" t="s">
        <v>2649</v>
      </c>
      <c r="L315" s="8" t="s">
        <v>87</v>
      </c>
      <c r="M315" s="10" t="s">
        <v>1436</v>
      </c>
      <c r="N315" s="8" t="s">
        <v>87</v>
      </c>
      <c r="O315" s="10" t="s">
        <v>22</v>
      </c>
      <c r="P315" s="8" t="s">
        <v>3670</v>
      </c>
      <c r="Q315" s="10" t="s">
        <v>223</v>
      </c>
      <c r="R315" s="10" t="s">
        <v>1438</v>
      </c>
      <c r="S315" s="8" t="s">
        <v>3671</v>
      </c>
      <c r="T315" s="10" t="s">
        <v>3594</v>
      </c>
      <c r="U315" s="10" t="s">
        <v>87</v>
      </c>
      <c r="V315" s="10" t="s">
        <v>87</v>
      </c>
    </row>
    <row r="316" spans="1:22" s="10" customFormat="1" x14ac:dyDescent="0.25">
      <c r="A316" s="10" t="s">
        <v>3672</v>
      </c>
      <c r="B316" s="10" t="s">
        <v>2856</v>
      </c>
      <c r="C316" s="10" t="s">
        <v>215</v>
      </c>
      <c r="D316" s="10" t="s">
        <v>3673</v>
      </c>
      <c r="E316" s="8" t="s">
        <v>3674</v>
      </c>
      <c r="F316" s="8" t="s">
        <v>3675</v>
      </c>
      <c r="G316" s="10" t="s">
        <v>2647</v>
      </c>
      <c r="H316" s="8" t="s">
        <v>3676</v>
      </c>
      <c r="I316" s="10" t="s">
        <v>873</v>
      </c>
      <c r="J316" s="8" t="s">
        <v>2862</v>
      </c>
      <c r="K316" s="8" t="s">
        <v>2649</v>
      </c>
      <c r="L316" s="8" t="s">
        <v>87</v>
      </c>
      <c r="M316" s="10" t="s">
        <v>1436</v>
      </c>
      <c r="N316" s="8" t="s">
        <v>87</v>
      </c>
      <c r="O316" s="10" t="s">
        <v>22</v>
      </c>
      <c r="P316" s="8" t="s">
        <v>3677</v>
      </c>
      <c r="Q316" s="10" t="s">
        <v>223</v>
      </c>
      <c r="R316" s="10" t="s">
        <v>1438</v>
      </c>
      <c r="S316" s="8" t="s">
        <v>3678</v>
      </c>
      <c r="T316" s="10" t="s">
        <v>3594</v>
      </c>
      <c r="U316" s="10" t="s">
        <v>87</v>
      </c>
      <c r="V316" s="10" t="s">
        <v>87</v>
      </c>
    </row>
    <row r="317" spans="1:22" s="10" customFormat="1" x14ac:dyDescent="0.25">
      <c r="A317" s="10" t="s">
        <v>3679</v>
      </c>
      <c r="B317" s="10" t="s">
        <v>2856</v>
      </c>
      <c r="C317" s="10" t="s">
        <v>215</v>
      </c>
      <c r="D317" s="10" t="s">
        <v>3680</v>
      </c>
      <c r="E317" s="8" t="s">
        <v>3681</v>
      </c>
      <c r="F317" s="8" t="s">
        <v>3682</v>
      </c>
      <c r="G317" s="10" t="s">
        <v>2647</v>
      </c>
      <c r="H317" s="8" t="s">
        <v>3590</v>
      </c>
      <c r="I317" s="10" t="s">
        <v>2657</v>
      </c>
      <c r="J317" s="8" t="s">
        <v>2862</v>
      </c>
      <c r="K317" s="8" t="s">
        <v>2649</v>
      </c>
      <c r="L317" s="8" t="s">
        <v>87</v>
      </c>
      <c r="M317" s="10" t="s">
        <v>1436</v>
      </c>
      <c r="N317" s="8" t="s">
        <v>87</v>
      </c>
      <c r="O317" s="10" t="s">
        <v>22</v>
      </c>
      <c r="P317" s="8" t="s">
        <v>3683</v>
      </c>
      <c r="Q317" s="10" t="s">
        <v>223</v>
      </c>
      <c r="R317" s="10" t="s">
        <v>1438</v>
      </c>
      <c r="S317" s="8" t="s">
        <v>3684</v>
      </c>
      <c r="T317" s="10" t="s">
        <v>3594</v>
      </c>
      <c r="U317" s="10" t="s">
        <v>87</v>
      </c>
      <c r="V317" s="10" t="s">
        <v>87</v>
      </c>
    </row>
    <row r="318" spans="1:22" s="10" customFormat="1" x14ac:dyDescent="0.25">
      <c r="A318" s="10" t="s">
        <v>3685</v>
      </c>
      <c r="B318" s="10" t="s">
        <v>2856</v>
      </c>
      <c r="C318" s="10" t="s">
        <v>215</v>
      </c>
      <c r="D318" s="10" t="s">
        <v>3686</v>
      </c>
      <c r="E318" s="8" t="s">
        <v>3687</v>
      </c>
      <c r="F318" s="8" t="s">
        <v>3688</v>
      </c>
      <c r="G318" s="10" t="s">
        <v>2647</v>
      </c>
      <c r="H318" s="8" t="s">
        <v>3689</v>
      </c>
      <c r="I318" s="10" t="s">
        <v>3600</v>
      </c>
      <c r="J318" s="8" t="s">
        <v>2862</v>
      </c>
      <c r="K318" s="8" t="s">
        <v>2649</v>
      </c>
      <c r="L318" s="8" t="s">
        <v>87</v>
      </c>
      <c r="M318" s="10" t="s">
        <v>1436</v>
      </c>
      <c r="N318" s="8" t="s">
        <v>87</v>
      </c>
      <c r="O318" s="10" t="s">
        <v>22</v>
      </c>
      <c r="P318" s="8" t="s">
        <v>3690</v>
      </c>
      <c r="Q318" s="10" t="s">
        <v>239</v>
      </c>
      <c r="R318" s="10" t="s">
        <v>1438</v>
      </c>
      <c r="S318" s="8" t="s">
        <v>3691</v>
      </c>
      <c r="T318" s="10" t="s">
        <v>3594</v>
      </c>
      <c r="U318" s="10" t="s">
        <v>87</v>
      </c>
      <c r="V318" s="10" t="s">
        <v>87</v>
      </c>
    </row>
    <row r="319" spans="1:22" s="10" customFormat="1" x14ac:dyDescent="0.25">
      <c r="A319" s="10" t="s">
        <v>3692</v>
      </c>
      <c r="B319" s="10" t="s">
        <v>2856</v>
      </c>
      <c r="C319" s="11" t="s">
        <v>346</v>
      </c>
      <c r="D319" s="10" t="s">
        <v>3693</v>
      </c>
      <c r="E319" s="8" t="s">
        <v>3694</v>
      </c>
      <c r="F319" s="8" t="s">
        <v>3695</v>
      </c>
      <c r="G319" s="10" t="s">
        <v>2647</v>
      </c>
      <c r="H319" s="8" t="s">
        <v>3590</v>
      </c>
      <c r="I319" s="10" t="s">
        <v>873</v>
      </c>
      <c r="J319" s="8" t="s">
        <v>2862</v>
      </c>
      <c r="K319" s="8" t="s">
        <v>2649</v>
      </c>
      <c r="L319" s="8" t="s">
        <v>87</v>
      </c>
      <c r="M319" s="10" t="s">
        <v>1436</v>
      </c>
      <c r="N319" s="8" t="s">
        <v>87</v>
      </c>
      <c r="O319" s="10" t="s">
        <v>22</v>
      </c>
      <c r="P319" s="8" t="s">
        <v>3696</v>
      </c>
      <c r="Q319" s="10" t="s">
        <v>223</v>
      </c>
      <c r="R319" s="10" t="s">
        <v>1438</v>
      </c>
      <c r="S319" s="8" t="s">
        <v>3697</v>
      </c>
      <c r="T319" s="10" t="s">
        <v>3594</v>
      </c>
      <c r="U319" s="10" t="s">
        <v>87</v>
      </c>
      <c r="V319" s="10" t="s">
        <v>87</v>
      </c>
    </row>
    <row r="320" spans="1:22" s="10" customFormat="1" x14ac:dyDescent="0.25">
      <c r="A320" s="10" t="s">
        <v>3698</v>
      </c>
      <c r="B320" s="10" t="s">
        <v>2856</v>
      </c>
      <c r="C320" s="11" t="s">
        <v>346</v>
      </c>
      <c r="D320" s="10" t="s">
        <v>3699</v>
      </c>
      <c r="E320" s="8" t="s">
        <v>3700</v>
      </c>
      <c r="F320" s="8" t="s">
        <v>3701</v>
      </c>
      <c r="G320" s="10" t="s">
        <v>2647</v>
      </c>
      <c r="H320" s="8" t="s">
        <v>1653</v>
      </c>
      <c r="I320" s="10" t="s">
        <v>2688</v>
      </c>
      <c r="J320" s="8" t="s">
        <v>1655</v>
      </c>
      <c r="K320" s="8" t="s">
        <v>2649</v>
      </c>
      <c r="L320" s="8" t="s">
        <v>87</v>
      </c>
      <c r="M320" s="10" t="s">
        <v>1436</v>
      </c>
      <c r="N320" s="8" t="s">
        <v>87</v>
      </c>
      <c r="O320" s="10" t="s">
        <v>22</v>
      </c>
      <c r="P320" s="8" t="s">
        <v>3702</v>
      </c>
      <c r="Q320" s="10" t="s">
        <v>1447</v>
      </c>
      <c r="R320" s="10" t="s">
        <v>1657</v>
      </c>
      <c r="S320" s="8" t="s">
        <v>3703</v>
      </c>
      <c r="T320" s="10" t="s">
        <v>3594</v>
      </c>
      <c r="U320" s="10" t="s">
        <v>87</v>
      </c>
      <c r="V320" s="10" t="s">
        <v>87</v>
      </c>
    </row>
    <row r="321" spans="1:22" s="10" customFormat="1" x14ac:dyDescent="0.25">
      <c r="A321" s="10" t="s">
        <v>3704</v>
      </c>
      <c r="B321" s="10" t="s">
        <v>2856</v>
      </c>
      <c r="C321" s="11" t="s">
        <v>346</v>
      </c>
      <c r="D321" s="10" t="s">
        <v>3705</v>
      </c>
      <c r="E321" s="8" t="s">
        <v>3706</v>
      </c>
      <c r="F321" s="8" t="s">
        <v>3707</v>
      </c>
      <c r="G321" s="10" t="s">
        <v>2647</v>
      </c>
      <c r="H321" s="8" t="s">
        <v>2185</v>
      </c>
      <c r="I321" s="10" t="s">
        <v>2657</v>
      </c>
      <c r="J321" s="8" t="s">
        <v>1664</v>
      </c>
      <c r="K321" s="8" t="s">
        <v>2649</v>
      </c>
      <c r="L321" s="8" t="s">
        <v>87</v>
      </c>
      <c r="M321" s="10" t="s">
        <v>1436</v>
      </c>
      <c r="N321" s="8" t="s">
        <v>87</v>
      </c>
      <c r="O321" s="10" t="s">
        <v>22</v>
      </c>
      <c r="P321" s="8" t="s">
        <v>3708</v>
      </c>
      <c r="Q321" s="10" t="s">
        <v>825</v>
      </c>
      <c r="R321" s="10" t="s">
        <v>2188</v>
      </c>
      <c r="S321" s="8" t="s">
        <v>1669</v>
      </c>
      <c r="T321" s="10" t="s">
        <v>3594</v>
      </c>
      <c r="U321" s="10" t="s">
        <v>87</v>
      </c>
      <c r="V321" s="10" t="s">
        <v>87</v>
      </c>
    </row>
    <row r="322" spans="1:22" s="10" customFormat="1" x14ac:dyDescent="0.25">
      <c r="A322" s="10" t="s">
        <v>3709</v>
      </c>
      <c r="B322" s="10" t="s">
        <v>2856</v>
      </c>
      <c r="C322" s="10" t="s">
        <v>215</v>
      </c>
      <c r="D322" s="10" t="s">
        <v>3710</v>
      </c>
      <c r="E322" s="8" t="s">
        <v>3711</v>
      </c>
      <c r="F322" s="8" t="s">
        <v>3712</v>
      </c>
      <c r="G322" s="10" t="s">
        <v>4</v>
      </c>
      <c r="H322" s="8" t="s">
        <v>3713</v>
      </c>
      <c r="I322" s="10" t="s">
        <v>357</v>
      </c>
      <c r="J322" s="8" t="s">
        <v>2862</v>
      </c>
      <c r="K322" s="8" t="s">
        <v>1873</v>
      </c>
      <c r="L322" s="8" t="s">
        <v>87</v>
      </c>
      <c r="M322" s="10" t="s">
        <v>1436</v>
      </c>
      <c r="N322" s="8" t="s">
        <v>87</v>
      </c>
      <c r="O322" s="10" t="s">
        <v>22</v>
      </c>
      <c r="P322" s="8" t="s">
        <v>3714</v>
      </c>
      <c r="Q322" s="10" t="s">
        <v>223</v>
      </c>
      <c r="R322" s="10" t="s">
        <v>1438</v>
      </c>
      <c r="S322" s="8" t="s">
        <v>3715</v>
      </c>
      <c r="T322" s="10" t="s">
        <v>3716</v>
      </c>
      <c r="U322" s="10" t="s">
        <v>87</v>
      </c>
      <c r="V322" s="10" t="s">
        <v>87</v>
      </c>
    </row>
    <row r="323" spans="1:22" s="10" customFormat="1" x14ac:dyDescent="0.25">
      <c r="A323" s="10" t="s">
        <v>3717</v>
      </c>
      <c r="B323" s="10" t="s">
        <v>2856</v>
      </c>
      <c r="C323" s="10" t="s">
        <v>384</v>
      </c>
      <c r="D323" s="10" t="s">
        <v>3718</v>
      </c>
      <c r="E323" s="8" t="s">
        <v>3719</v>
      </c>
      <c r="F323" s="8" t="s">
        <v>3720</v>
      </c>
      <c r="G323" s="10" t="s">
        <v>2647</v>
      </c>
      <c r="H323" s="8" t="s">
        <v>3721</v>
      </c>
      <c r="I323" s="10" t="s">
        <v>357</v>
      </c>
      <c r="J323" s="8" t="s">
        <v>2862</v>
      </c>
      <c r="K323" s="8" t="s">
        <v>2649</v>
      </c>
      <c r="L323" s="8" t="s">
        <v>87</v>
      </c>
      <c r="M323" s="10" t="s">
        <v>1436</v>
      </c>
      <c r="N323" s="8" t="s">
        <v>87</v>
      </c>
      <c r="O323" s="10" t="s">
        <v>22</v>
      </c>
      <c r="P323" s="8" t="s">
        <v>3722</v>
      </c>
      <c r="Q323" s="10" t="s">
        <v>223</v>
      </c>
      <c r="R323" s="10" t="s">
        <v>1438</v>
      </c>
      <c r="S323" s="8" t="s">
        <v>1439</v>
      </c>
      <c r="T323" s="10" t="s">
        <v>3716</v>
      </c>
      <c r="U323" s="10" t="s">
        <v>87</v>
      </c>
      <c r="V323" s="10" t="s">
        <v>87</v>
      </c>
    </row>
    <row r="324" spans="1:22" s="10" customFormat="1" x14ac:dyDescent="0.25">
      <c r="A324" s="10" t="s">
        <v>3723</v>
      </c>
      <c r="B324" s="10" t="s">
        <v>2856</v>
      </c>
      <c r="C324" s="10" t="s">
        <v>215</v>
      </c>
      <c r="D324" s="10" t="s">
        <v>3724</v>
      </c>
      <c r="E324" s="8" t="s">
        <v>3725</v>
      </c>
      <c r="F324" s="8" t="s">
        <v>3726</v>
      </c>
      <c r="G324" s="10" t="s">
        <v>2647</v>
      </c>
      <c r="H324" s="8" t="s">
        <v>3727</v>
      </c>
      <c r="I324" s="10" t="s">
        <v>1556</v>
      </c>
      <c r="J324" s="8" t="s">
        <v>2862</v>
      </c>
      <c r="K324" s="8" t="s">
        <v>2649</v>
      </c>
      <c r="L324" s="8" t="s">
        <v>87</v>
      </c>
      <c r="M324" s="10" t="s">
        <v>1436</v>
      </c>
      <c r="N324" s="8" t="s">
        <v>87</v>
      </c>
      <c r="O324" s="10" t="s">
        <v>22</v>
      </c>
      <c r="P324" s="8" t="s">
        <v>3728</v>
      </c>
      <c r="Q324" s="10" t="s">
        <v>223</v>
      </c>
      <c r="R324" s="10" t="s">
        <v>1438</v>
      </c>
      <c r="S324" s="8" t="s">
        <v>3729</v>
      </c>
      <c r="T324" s="10" t="s">
        <v>3716</v>
      </c>
      <c r="U324" s="10" t="s">
        <v>87</v>
      </c>
      <c r="V324" s="10" t="s">
        <v>87</v>
      </c>
    </row>
    <row r="325" spans="1:22" s="10" customFormat="1" x14ac:dyDescent="0.25">
      <c r="A325" s="10" t="s">
        <v>3730</v>
      </c>
      <c r="B325" s="10" t="s">
        <v>2856</v>
      </c>
      <c r="C325" s="10" t="s">
        <v>384</v>
      </c>
      <c r="D325" s="10" t="s">
        <v>3731</v>
      </c>
      <c r="E325" s="8" t="s">
        <v>3732</v>
      </c>
      <c r="F325" s="8" t="s">
        <v>3733</v>
      </c>
      <c r="G325" s="10" t="s">
        <v>2647</v>
      </c>
      <c r="H325" s="8" t="s">
        <v>3734</v>
      </c>
      <c r="I325" s="10" t="s">
        <v>357</v>
      </c>
      <c r="J325" s="8" t="s">
        <v>2862</v>
      </c>
      <c r="K325" s="8" t="s">
        <v>2649</v>
      </c>
      <c r="L325" s="8" t="s">
        <v>87</v>
      </c>
      <c r="M325" s="10" t="s">
        <v>1436</v>
      </c>
      <c r="N325" s="8" t="s">
        <v>87</v>
      </c>
      <c r="O325" s="10" t="s">
        <v>22</v>
      </c>
      <c r="P325" s="8" t="s">
        <v>3735</v>
      </c>
      <c r="Q325" s="10" t="s">
        <v>239</v>
      </c>
      <c r="R325" s="10" t="s">
        <v>1438</v>
      </c>
      <c r="S325" s="8" t="s">
        <v>1439</v>
      </c>
      <c r="T325" s="10" t="s">
        <v>3716</v>
      </c>
      <c r="U325" s="10" t="s">
        <v>87</v>
      </c>
      <c r="V325" s="10" t="s">
        <v>87</v>
      </c>
    </row>
    <row r="326" spans="1:22" s="10" customFormat="1" x14ac:dyDescent="0.25">
      <c r="A326" s="10" t="s">
        <v>3736</v>
      </c>
      <c r="B326" s="10" t="s">
        <v>2856</v>
      </c>
      <c r="C326" s="11" t="s">
        <v>346</v>
      </c>
      <c r="D326" s="10" t="s">
        <v>3737</v>
      </c>
      <c r="E326" s="8" t="s">
        <v>3738</v>
      </c>
      <c r="F326" s="8" t="s">
        <v>3739</v>
      </c>
      <c r="G326" s="10" t="s">
        <v>2647</v>
      </c>
      <c r="H326" s="8" t="s">
        <v>3740</v>
      </c>
      <c r="I326" s="10" t="s">
        <v>3741</v>
      </c>
      <c r="J326" s="8" t="s">
        <v>2862</v>
      </c>
      <c r="K326" s="8" t="s">
        <v>2649</v>
      </c>
      <c r="L326" s="8" t="s">
        <v>87</v>
      </c>
      <c r="M326" s="10" t="s">
        <v>1436</v>
      </c>
      <c r="N326" s="8" t="s">
        <v>87</v>
      </c>
      <c r="O326" s="10" t="s">
        <v>22</v>
      </c>
      <c r="P326" s="8" t="s">
        <v>3742</v>
      </c>
      <c r="Q326" s="10" t="s">
        <v>223</v>
      </c>
      <c r="R326" s="10" t="s">
        <v>1438</v>
      </c>
      <c r="S326" s="8" t="s">
        <v>3743</v>
      </c>
      <c r="T326" s="10" t="s">
        <v>3716</v>
      </c>
      <c r="U326" s="10" t="s">
        <v>87</v>
      </c>
      <c r="V326" s="10" t="s">
        <v>87</v>
      </c>
    </row>
    <row r="327" spans="1:22" s="10" customFormat="1" x14ac:dyDescent="0.25">
      <c r="A327" s="10" t="s">
        <v>3744</v>
      </c>
      <c r="B327" s="10" t="s">
        <v>2856</v>
      </c>
      <c r="C327" s="11" t="s">
        <v>346</v>
      </c>
      <c r="D327" s="10" t="s">
        <v>3745</v>
      </c>
      <c r="E327" s="8" t="s">
        <v>3746</v>
      </c>
      <c r="F327" s="8" t="s">
        <v>3747</v>
      </c>
      <c r="G327" s="10" t="s">
        <v>2647</v>
      </c>
      <c r="H327" s="8" t="s">
        <v>3748</v>
      </c>
      <c r="I327" s="10" t="s">
        <v>3741</v>
      </c>
      <c r="J327" s="8" t="s">
        <v>2862</v>
      </c>
      <c r="K327" s="8" t="s">
        <v>2649</v>
      </c>
      <c r="L327" s="8" t="s">
        <v>87</v>
      </c>
      <c r="M327" s="10" t="s">
        <v>1436</v>
      </c>
      <c r="N327" s="8" t="s">
        <v>87</v>
      </c>
      <c r="O327" s="10" t="s">
        <v>22</v>
      </c>
      <c r="P327" s="8" t="s">
        <v>3749</v>
      </c>
      <c r="Q327" s="10" t="s">
        <v>223</v>
      </c>
      <c r="R327" s="10" t="s">
        <v>1438</v>
      </c>
      <c r="S327" s="8" t="s">
        <v>3750</v>
      </c>
      <c r="T327" s="10" t="s">
        <v>3716</v>
      </c>
      <c r="U327" s="10" t="s">
        <v>87</v>
      </c>
      <c r="V327" s="10" t="s">
        <v>87</v>
      </c>
    </row>
    <row r="328" spans="1:22" s="10" customFormat="1" x14ac:dyDescent="0.25">
      <c r="A328" s="10" t="s">
        <v>3751</v>
      </c>
      <c r="B328" s="10" t="s">
        <v>2856</v>
      </c>
      <c r="C328" s="10" t="s">
        <v>215</v>
      </c>
      <c r="D328" s="10" t="s">
        <v>3752</v>
      </c>
      <c r="E328" s="8" t="s">
        <v>3753</v>
      </c>
      <c r="F328" s="8" t="s">
        <v>3754</v>
      </c>
      <c r="G328" s="10" t="s">
        <v>2647</v>
      </c>
      <c r="H328" s="8" t="s">
        <v>3755</v>
      </c>
      <c r="I328" s="10" t="s">
        <v>3756</v>
      </c>
      <c r="J328" s="8" t="s">
        <v>2862</v>
      </c>
      <c r="K328" s="8" t="s">
        <v>2649</v>
      </c>
      <c r="L328" s="8" t="s">
        <v>87</v>
      </c>
      <c r="M328" s="10" t="s">
        <v>1436</v>
      </c>
      <c r="N328" s="8" t="s">
        <v>87</v>
      </c>
      <c r="O328" s="10" t="s">
        <v>22</v>
      </c>
      <c r="P328" s="8" t="s">
        <v>3757</v>
      </c>
      <c r="Q328" s="10" t="s">
        <v>239</v>
      </c>
      <c r="R328" s="10" t="s">
        <v>1438</v>
      </c>
      <c r="S328" s="8" t="s">
        <v>3758</v>
      </c>
      <c r="T328" s="10" t="s">
        <v>3716</v>
      </c>
      <c r="U328" s="10" t="s">
        <v>87</v>
      </c>
      <c r="V328" s="10" t="s">
        <v>87</v>
      </c>
    </row>
    <row r="329" spans="1:22" s="10" customFormat="1" x14ac:dyDescent="0.25">
      <c r="A329" s="10" t="s">
        <v>3759</v>
      </c>
      <c r="B329" s="10" t="s">
        <v>2856</v>
      </c>
      <c r="C329" s="10" t="s">
        <v>215</v>
      </c>
      <c r="D329" s="10" t="s">
        <v>3760</v>
      </c>
      <c r="E329" s="8" t="s">
        <v>3761</v>
      </c>
      <c r="F329" s="8" t="s">
        <v>3762</v>
      </c>
      <c r="G329" s="10" t="s">
        <v>2647</v>
      </c>
      <c r="H329" s="8" t="s">
        <v>3763</v>
      </c>
      <c r="I329" s="10" t="s">
        <v>3756</v>
      </c>
      <c r="J329" s="8" t="s">
        <v>2862</v>
      </c>
      <c r="K329" s="8" t="s">
        <v>2649</v>
      </c>
      <c r="L329" s="8" t="s">
        <v>87</v>
      </c>
      <c r="M329" s="10" t="s">
        <v>1436</v>
      </c>
      <c r="N329" s="8" t="s">
        <v>87</v>
      </c>
      <c r="O329" s="10" t="s">
        <v>22</v>
      </c>
      <c r="P329" s="8" t="s">
        <v>3764</v>
      </c>
      <c r="Q329" s="10" t="s">
        <v>239</v>
      </c>
      <c r="R329" s="10" t="s">
        <v>1438</v>
      </c>
      <c r="S329" s="8" t="s">
        <v>3765</v>
      </c>
      <c r="T329" s="10" t="s">
        <v>3716</v>
      </c>
      <c r="U329" s="10" t="s">
        <v>87</v>
      </c>
      <c r="V329" s="10" t="s">
        <v>87</v>
      </c>
    </row>
    <row r="330" spans="1:22" s="10" customFormat="1" x14ac:dyDescent="0.25">
      <c r="A330" s="10" t="s">
        <v>3766</v>
      </c>
      <c r="B330" s="10" t="s">
        <v>2856</v>
      </c>
      <c r="C330" s="10" t="s">
        <v>384</v>
      </c>
      <c r="D330" s="10" t="s">
        <v>3767</v>
      </c>
      <c r="E330" s="8" t="s">
        <v>3768</v>
      </c>
      <c r="F330" s="8" t="s">
        <v>3769</v>
      </c>
      <c r="G330" s="10" t="s">
        <v>2647</v>
      </c>
      <c r="H330" s="8" t="s">
        <v>3770</v>
      </c>
      <c r="I330" s="10" t="s">
        <v>3756</v>
      </c>
      <c r="J330" s="8" t="s">
        <v>2862</v>
      </c>
      <c r="K330" s="8" t="s">
        <v>2649</v>
      </c>
      <c r="L330" s="8" t="s">
        <v>87</v>
      </c>
      <c r="M330" s="10" t="s">
        <v>1436</v>
      </c>
      <c r="N330" s="8" t="s">
        <v>87</v>
      </c>
      <c r="O330" s="10" t="s">
        <v>22</v>
      </c>
      <c r="P330" s="8" t="s">
        <v>3771</v>
      </c>
      <c r="Q330" s="10" t="s">
        <v>246</v>
      </c>
      <c r="R330" s="10" t="s">
        <v>1438</v>
      </c>
      <c r="S330" s="8" t="s">
        <v>3772</v>
      </c>
      <c r="T330" s="10" t="s">
        <v>3716</v>
      </c>
      <c r="U330" s="10" t="s">
        <v>87</v>
      </c>
      <c r="V330" s="10" t="s">
        <v>87</v>
      </c>
    </row>
    <row r="331" spans="1:22" s="10" customFormat="1" x14ac:dyDescent="0.25">
      <c r="A331" s="10" t="s">
        <v>3773</v>
      </c>
      <c r="B331" s="10" t="s">
        <v>2856</v>
      </c>
      <c r="C331" s="10" t="s">
        <v>384</v>
      </c>
      <c r="D331" s="10" t="s">
        <v>3774</v>
      </c>
      <c r="E331" s="8" t="s">
        <v>3775</v>
      </c>
      <c r="F331" s="8" t="s">
        <v>3776</v>
      </c>
      <c r="G331" s="10" t="s">
        <v>2647</v>
      </c>
      <c r="H331" s="8" t="s">
        <v>3777</v>
      </c>
      <c r="I331" s="10" t="s">
        <v>3756</v>
      </c>
      <c r="J331" s="8" t="s">
        <v>2862</v>
      </c>
      <c r="K331" s="8" t="s">
        <v>2649</v>
      </c>
      <c r="L331" s="8" t="s">
        <v>87</v>
      </c>
      <c r="M331" s="10" t="s">
        <v>1436</v>
      </c>
      <c r="N331" s="8" t="s">
        <v>87</v>
      </c>
      <c r="O331" s="10" t="s">
        <v>22</v>
      </c>
      <c r="P331" s="8" t="s">
        <v>3778</v>
      </c>
      <c r="Q331" s="10" t="s">
        <v>223</v>
      </c>
      <c r="R331" s="10" t="s">
        <v>1438</v>
      </c>
      <c r="S331" s="8" t="s">
        <v>3779</v>
      </c>
      <c r="T331" s="10" t="s">
        <v>3716</v>
      </c>
      <c r="U331" s="10" t="s">
        <v>87</v>
      </c>
      <c r="V331" s="10" t="s">
        <v>87</v>
      </c>
    </row>
    <row r="332" spans="1:22" s="10" customFormat="1" x14ac:dyDescent="0.25">
      <c r="A332" s="10" t="s">
        <v>3780</v>
      </c>
      <c r="B332" s="10" t="s">
        <v>2856</v>
      </c>
      <c r="C332" s="10" t="s">
        <v>215</v>
      </c>
      <c r="D332" s="10" t="s">
        <v>3781</v>
      </c>
      <c r="E332" s="8" t="s">
        <v>3782</v>
      </c>
      <c r="F332" s="8" t="s">
        <v>3783</v>
      </c>
      <c r="G332" s="10" t="s">
        <v>2647</v>
      </c>
      <c r="H332" s="8" t="s">
        <v>3784</v>
      </c>
      <c r="I332" s="10" t="s">
        <v>3756</v>
      </c>
      <c r="J332" s="8" t="s">
        <v>2862</v>
      </c>
      <c r="K332" s="8" t="s">
        <v>2649</v>
      </c>
      <c r="L332" s="8" t="s">
        <v>87</v>
      </c>
      <c r="M332" s="10" t="s">
        <v>1436</v>
      </c>
      <c r="N332" s="8" t="s">
        <v>87</v>
      </c>
      <c r="O332" s="10" t="s">
        <v>22</v>
      </c>
      <c r="P332" s="8" t="s">
        <v>3785</v>
      </c>
      <c r="Q332" s="10" t="s">
        <v>239</v>
      </c>
      <c r="R332" s="10" t="s">
        <v>1438</v>
      </c>
      <c r="S332" s="8" t="s">
        <v>3786</v>
      </c>
      <c r="T332" s="10" t="s">
        <v>3716</v>
      </c>
      <c r="U332" s="10" t="s">
        <v>87</v>
      </c>
      <c r="V332" s="10" t="s">
        <v>87</v>
      </c>
    </row>
    <row r="333" spans="1:22" s="10" customFormat="1" x14ac:dyDescent="0.25">
      <c r="A333" s="10" t="s">
        <v>3787</v>
      </c>
      <c r="B333" s="10" t="s">
        <v>2856</v>
      </c>
      <c r="C333" s="10" t="s">
        <v>384</v>
      </c>
      <c r="D333" s="10" t="s">
        <v>3788</v>
      </c>
      <c r="E333" s="8" t="s">
        <v>3789</v>
      </c>
      <c r="F333" s="8" t="s">
        <v>3790</v>
      </c>
      <c r="G333" s="10" t="s">
        <v>2647</v>
      </c>
      <c r="H333" s="8" t="s">
        <v>3791</v>
      </c>
      <c r="I333" s="10" t="s">
        <v>3792</v>
      </c>
      <c r="J333" s="8" t="s">
        <v>2862</v>
      </c>
      <c r="K333" s="8" t="s">
        <v>2649</v>
      </c>
      <c r="L333" s="8" t="s">
        <v>87</v>
      </c>
      <c r="M333" s="10" t="s">
        <v>1436</v>
      </c>
      <c r="N333" s="8" t="s">
        <v>87</v>
      </c>
      <c r="O333" s="10" t="s">
        <v>22</v>
      </c>
      <c r="P333" s="8" t="s">
        <v>3793</v>
      </c>
      <c r="Q333" s="10" t="s">
        <v>246</v>
      </c>
      <c r="R333" s="10" t="s">
        <v>1438</v>
      </c>
      <c r="S333" s="8" t="s">
        <v>3794</v>
      </c>
      <c r="T333" s="10" t="s">
        <v>3716</v>
      </c>
      <c r="U333" s="10" t="s">
        <v>87</v>
      </c>
      <c r="V333" s="10" t="s">
        <v>87</v>
      </c>
    </row>
    <row r="334" spans="1:22" s="10" customFormat="1" x14ac:dyDescent="0.25">
      <c r="A334" s="10" t="s">
        <v>3795</v>
      </c>
      <c r="B334" s="10" t="s">
        <v>2856</v>
      </c>
      <c r="C334" s="10" t="s">
        <v>215</v>
      </c>
      <c r="D334" s="10" t="s">
        <v>3796</v>
      </c>
      <c r="E334" s="8" t="s">
        <v>3797</v>
      </c>
      <c r="F334" s="8" t="s">
        <v>3798</v>
      </c>
      <c r="G334" s="10" t="s">
        <v>2647</v>
      </c>
      <c r="H334" s="8" t="s">
        <v>3799</v>
      </c>
      <c r="I334" s="10" t="s">
        <v>3756</v>
      </c>
      <c r="J334" s="8" t="s">
        <v>2862</v>
      </c>
      <c r="K334" s="8" t="s">
        <v>2649</v>
      </c>
      <c r="L334" s="8" t="s">
        <v>87</v>
      </c>
      <c r="M334" s="10" t="s">
        <v>1436</v>
      </c>
      <c r="N334" s="8" t="s">
        <v>87</v>
      </c>
      <c r="O334" s="10" t="s">
        <v>22</v>
      </c>
      <c r="P334" s="8" t="s">
        <v>3800</v>
      </c>
      <c r="Q334" s="10" t="s">
        <v>223</v>
      </c>
      <c r="R334" s="10" t="s">
        <v>1438</v>
      </c>
      <c r="S334" s="8" t="s">
        <v>3801</v>
      </c>
      <c r="T334" s="10" t="s">
        <v>3716</v>
      </c>
      <c r="U334" s="10" t="s">
        <v>87</v>
      </c>
      <c r="V334" s="10" t="s">
        <v>87</v>
      </c>
    </row>
    <row r="335" spans="1:22" s="10" customFormat="1" x14ac:dyDescent="0.25">
      <c r="A335" s="10" t="s">
        <v>3802</v>
      </c>
      <c r="B335" s="10" t="s">
        <v>2856</v>
      </c>
      <c r="C335" s="11" t="s">
        <v>346</v>
      </c>
      <c r="D335" s="10" t="s">
        <v>3803</v>
      </c>
      <c r="E335" s="8" t="s">
        <v>3804</v>
      </c>
      <c r="F335" s="8" t="s">
        <v>3805</v>
      </c>
      <c r="G335" s="10" t="s">
        <v>2647</v>
      </c>
      <c r="H335" s="8" t="s">
        <v>3740</v>
      </c>
      <c r="I335" s="10" t="s">
        <v>3756</v>
      </c>
      <c r="J335" s="8" t="s">
        <v>3806</v>
      </c>
      <c r="K335" s="8" t="s">
        <v>2649</v>
      </c>
      <c r="L335" s="8" t="s">
        <v>87</v>
      </c>
      <c r="M335" s="10" t="s">
        <v>1436</v>
      </c>
      <c r="N335" s="8" t="s">
        <v>87</v>
      </c>
      <c r="O335" s="10" t="s">
        <v>22</v>
      </c>
      <c r="P335" s="8" t="s">
        <v>3807</v>
      </c>
      <c r="Q335" s="10" t="s">
        <v>1447</v>
      </c>
      <c r="R335" s="10" t="s">
        <v>1438</v>
      </c>
      <c r="S335" s="8" t="s">
        <v>3808</v>
      </c>
      <c r="T335" s="10" t="s">
        <v>3716</v>
      </c>
      <c r="U335" s="10" t="s">
        <v>87</v>
      </c>
      <c r="V335" s="10" t="s">
        <v>87</v>
      </c>
    </row>
    <row r="336" spans="1:22" s="10" customFormat="1" x14ac:dyDescent="0.25">
      <c r="A336" s="10" t="s">
        <v>3809</v>
      </c>
      <c r="B336" s="10" t="s">
        <v>2856</v>
      </c>
      <c r="C336" s="11" t="s">
        <v>346</v>
      </c>
      <c r="D336" s="10" t="s">
        <v>3810</v>
      </c>
      <c r="E336" s="8" t="s">
        <v>3811</v>
      </c>
      <c r="F336" s="8" t="s">
        <v>3812</v>
      </c>
      <c r="G336" s="10" t="s">
        <v>2647</v>
      </c>
      <c r="H336" s="8" t="s">
        <v>3813</v>
      </c>
      <c r="I336" s="10" t="s">
        <v>919</v>
      </c>
      <c r="J336" s="8" t="s">
        <v>2862</v>
      </c>
      <c r="K336" s="8" t="s">
        <v>2649</v>
      </c>
      <c r="L336" s="8" t="s">
        <v>87</v>
      </c>
      <c r="M336" s="10" t="s">
        <v>1436</v>
      </c>
      <c r="N336" s="8" t="s">
        <v>87</v>
      </c>
      <c r="O336" s="10" t="s">
        <v>22</v>
      </c>
      <c r="P336" s="8" t="s">
        <v>3814</v>
      </c>
      <c r="Q336" s="10" t="s">
        <v>1447</v>
      </c>
      <c r="R336" s="10" t="s">
        <v>1438</v>
      </c>
      <c r="S336" s="8" t="s">
        <v>3815</v>
      </c>
      <c r="T336" s="10" t="s">
        <v>3716</v>
      </c>
      <c r="U336" s="10" t="s">
        <v>87</v>
      </c>
      <c r="V336" s="10" t="s">
        <v>87</v>
      </c>
    </row>
    <row r="337" spans="1:22" s="10" customFormat="1" x14ac:dyDescent="0.25">
      <c r="A337" s="10" t="s">
        <v>3816</v>
      </c>
      <c r="B337" s="10" t="s">
        <v>2856</v>
      </c>
      <c r="C337" s="11" t="s">
        <v>346</v>
      </c>
      <c r="D337" s="10" t="s">
        <v>3817</v>
      </c>
      <c r="E337" s="8" t="s">
        <v>3818</v>
      </c>
      <c r="F337" s="8" t="s">
        <v>3819</v>
      </c>
      <c r="G337" s="10" t="s">
        <v>2647</v>
      </c>
      <c r="H337" s="8" t="s">
        <v>3331</v>
      </c>
      <c r="I337" s="10" t="s">
        <v>3820</v>
      </c>
      <c r="J337" s="8" t="s">
        <v>2862</v>
      </c>
      <c r="K337" s="8" t="s">
        <v>2649</v>
      </c>
      <c r="L337" s="8" t="s">
        <v>87</v>
      </c>
      <c r="M337" s="10" t="s">
        <v>1436</v>
      </c>
      <c r="N337" s="8" t="s">
        <v>87</v>
      </c>
      <c r="O337" s="10" t="s">
        <v>22</v>
      </c>
      <c r="P337" s="8" t="s">
        <v>3821</v>
      </c>
      <c r="Q337" s="10" t="s">
        <v>1447</v>
      </c>
      <c r="R337" s="10" t="s">
        <v>1438</v>
      </c>
      <c r="S337" s="8" t="s">
        <v>3822</v>
      </c>
      <c r="T337" s="10" t="s">
        <v>3716</v>
      </c>
      <c r="U337" s="10" t="s">
        <v>87</v>
      </c>
      <c r="V337" s="10" t="s">
        <v>87</v>
      </c>
    </row>
    <row r="338" spans="1:22" s="10" customFormat="1" x14ac:dyDescent="0.25">
      <c r="A338" s="10" t="s">
        <v>3823</v>
      </c>
      <c r="B338" s="10" t="s">
        <v>2856</v>
      </c>
      <c r="C338" s="11" t="s">
        <v>346</v>
      </c>
      <c r="D338" s="10" t="s">
        <v>3824</v>
      </c>
      <c r="E338" s="8" t="s">
        <v>3825</v>
      </c>
      <c r="F338" s="8" t="s">
        <v>3826</v>
      </c>
      <c r="G338" s="10" t="s">
        <v>2647</v>
      </c>
      <c r="H338" s="8" t="s">
        <v>3827</v>
      </c>
      <c r="I338" s="10" t="s">
        <v>3756</v>
      </c>
      <c r="J338" s="8" t="s">
        <v>2862</v>
      </c>
      <c r="K338" s="8" t="s">
        <v>2649</v>
      </c>
      <c r="L338" s="8" t="s">
        <v>87</v>
      </c>
      <c r="M338" s="10" t="s">
        <v>1436</v>
      </c>
      <c r="N338" s="8" t="s">
        <v>87</v>
      </c>
      <c r="O338" s="10" t="s">
        <v>22</v>
      </c>
      <c r="P338" s="8" t="s">
        <v>3828</v>
      </c>
      <c r="Q338" s="10" t="s">
        <v>223</v>
      </c>
      <c r="R338" s="10" t="s">
        <v>1438</v>
      </c>
      <c r="S338" s="8" t="s">
        <v>3829</v>
      </c>
      <c r="T338" s="10" t="s">
        <v>3716</v>
      </c>
      <c r="U338" s="10" t="s">
        <v>87</v>
      </c>
      <c r="V338" s="10" t="s">
        <v>87</v>
      </c>
    </row>
    <row r="339" spans="1:22" s="10" customFormat="1" x14ac:dyDescent="0.25">
      <c r="A339" s="10" t="s">
        <v>3830</v>
      </c>
      <c r="B339" s="10" t="s">
        <v>2856</v>
      </c>
      <c r="C339" s="11" t="s">
        <v>346</v>
      </c>
      <c r="D339" s="10" t="s">
        <v>3831</v>
      </c>
      <c r="E339" s="8" t="s">
        <v>3832</v>
      </c>
      <c r="F339" s="8" t="s">
        <v>3833</v>
      </c>
      <c r="G339" s="10" t="s">
        <v>2647</v>
      </c>
      <c r="H339" s="8" t="s">
        <v>1653</v>
      </c>
      <c r="I339" s="10" t="s">
        <v>1654</v>
      </c>
      <c r="J339" s="8" t="s">
        <v>1655</v>
      </c>
      <c r="K339" s="8" t="s">
        <v>2649</v>
      </c>
      <c r="L339" s="8" t="s">
        <v>87</v>
      </c>
      <c r="M339" s="10" t="s">
        <v>1436</v>
      </c>
      <c r="N339" s="8" t="s">
        <v>87</v>
      </c>
      <c r="O339" s="10" t="s">
        <v>22</v>
      </c>
      <c r="P339" s="8" t="s">
        <v>3834</v>
      </c>
      <c r="Q339" s="10" t="s">
        <v>1447</v>
      </c>
      <c r="R339" s="10" t="s">
        <v>1657</v>
      </c>
      <c r="S339" s="8" t="s">
        <v>3835</v>
      </c>
      <c r="T339" s="10" t="s">
        <v>3716</v>
      </c>
      <c r="U339" s="10" t="s">
        <v>87</v>
      </c>
      <c r="V339" s="10" t="s">
        <v>87</v>
      </c>
    </row>
    <row r="340" spans="1:22" s="10" customFormat="1" x14ac:dyDescent="0.25">
      <c r="A340" s="10" t="s">
        <v>3836</v>
      </c>
      <c r="B340" s="10" t="s">
        <v>2856</v>
      </c>
      <c r="C340" s="11" t="s">
        <v>346</v>
      </c>
      <c r="D340" s="10" t="s">
        <v>3837</v>
      </c>
      <c r="E340" s="8" t="s">
        <v>3838</v>
      </c>
      <c r="F340" s="8" t="s">
        <v>1662</v>
      </c>
      <c r="G340" s="10" t="s">
        <v>2647</v>
      </c>
      <c r="H340" s="8" t="s">
        <v>1663</v>
      </c>
      <c r="I340" s="10" t="s">
        <v>357</v>
      </c>
      <c r="J340" s="8" t="s">
        <v>1664</v>
      </c>
      <c r="K340" s="8" t="s">
        <v>2649</v>
      </c>
      <c r="L340" s="8" t="s">
        <v>87</v>
      </c>
      <c r="M340" s="10" t="s">
        <v>1436</v>
      </c>
      <c r="N340" s="8" t="s">
        <v>87</v>
      </c>
      <c r="O340" s="10" t="s">
        <v>22</v>
      </c>
      <c r="P340" s="8" t="s">
        <v>3839</v>
      </c>
      <c r="Q340" s="10" t="s">
        <v>825</v>
      </c>
      <c r="R340" s="10" t="s">
        <v>1668</v>
      </c>
      <c r="S340" s="8" t="s">
        <v>1669</v>
      </c>
      <c r="T340" s="10" t="s">
        <v>3716</v>
      </c>
      <c r="U340" s="10" t="s">
        <v>87</v>
      </c>
      <c r="V340" s="10" t="s">
        <v>87</v>
      </c>
    </row>
    <row r="341" spans="1:22" s="10" customFormat="1" x14ac:dyDescent="0.25">
      <c r="A341" s="10" t="s">
        <v>3840</v>
      </c>
      <c r="B341" s="10" t="s">
        <v>2856</v>
      </c>
      <c r="C341" s="10" t="s">
        <v>215</v>
      </c>
      <c r="D341" s="10" t="s">
        <v>3841</v>
      </c>
      <c r="E341" s="8" t="s">
        <v>3842</v>
      </c>
      <c r="F341" s="8" t="s">
        <v>3843</v>
      </c>
      <c r="G341" s="10" t="s">
        <v>2647</v>
      </c>
      <c r="H341" s="8" t="s">
        <v>3713</v>
      </c>
      <c r="I341" s="10" t="s">
        <v>357</v>
      </c>
      <c r="J341" s="8" t="s">
        <v>2862</v>
      </c>
      <c r="K341" s="8" t="s">
        <v>2649</v>
      </c>
      <c r="L341" s="8" t="s">
        <v>87</v>
      </c>
      <c r="M341" s="10" t="s">
        <v>1436</v>
      </c>
      <c r="N341" s="8" t="s">
        <v>87</v>
      </c>
      <c r="O341" s="10" t="s">
        <v>22</v>
      </c>
      <c r="P341" s="8" t="s">
        <v>3844</v>
      </c>
      <c r="Q341" s="10" t="s">
        <v>223</v>
      </c>
      <c r="R341" s="10" t="s">
        <v>1438</v>
      </c>
      <c r="S341" s="8" t="s">
        <v>1648</v>
      </c>
      <c r="T341" s="10" t="s">
        <v>3716</v>
      </c>
      <c r="U341" s="10" t="s">
        <v>87</v>
      </c>
      <c r="V341" s="10" t="s">
        <v>87</v>
      </c>
    </row>
    <row r="342" spans="1:22" s="10" customFormat="1" x14ac:dyDescent="0.25">
      <c r="A342" s="10" t="s">
        <v>3845</v>
      </c>
      <c r="B342" s="10" t="s">
        <v>2856</v>
      </c>
      <c r="C342" s="10" t="s">
        <v>215</v>
      </c>
      <c r="D342" s="10" t="s">
        <v>3846</v>
      </c>
      <c r="E342" s="8" t="s">
        <v>3847</v>
      </c>
      <c r="F342" s="8" t="s">
        <v>3848</v>
      </c>
      <c r="G342" s="10" t="s">
        <v>2647</v>
      </c>
      <c r="H342" s="8" t="s">
        <v>3849</v>
      </c>
      <c r="I342" s="10" t="s">
        <v>3850</v>
      </c>
      <c r="J342" s="8" t="s">
        <v>2862</v>
      </c>
      <c r="K342" s="8" t="s">
        <v>2649</v>
      </c>
      <c r="L342" s="8" t="s">
        <v>87</v>
      </c>
      <c r="M342" s="10" t="s">
        <v>1436</v>
      </c>
      <c r="N342" s="8" t="s">
        <v>87</v>
      </c>
      <c r="O342" s="10" t="s">
        <v>22</v>
      </c>
      <c r="P342" s="8" t="s">
        <v>3851</v>
      </c>
      <c r="Q342" s="10" t="s">
        <v>223</v>
      </c>
      <c r="R342" s="10" t="s">
        <v>1438</v>
      </c>
      <c r="S342" s="8" t="s">
        <v>3852</v>
      </c>
      <c r="T342" s="10" t="s">
        <v>3716</v>
      </c>
      <c r="U342" s="10" t="s">
        <v>87</v>
      </c>
      <c r="V342" s="10" t="s">
        <v>87</v>
      </c>
    </row>
    <row r="343" spans="1:22" s="10" customFormat="1" x14ac:dyDescent="0.25">
      <c r="A343" s="10" t="s">
        <v>3853</v>
      </c>
      <c r="B343" s="10" t="s">
        <v>2856</v>
      </c>
      <c r="C343" s="11" t="s">
        <v>346</v>
      </c>
      <c r="D343" s="10" t="s">
        <v>3854</v>
      </c>
      <c r="E343" s="8" t="s">
        <v>3855</v>
      </c>
      <c r="F343" s="8" t="s">
        <v>3856</v>
      </c>
      <c r="G343" s="10" t="s">
        <v>2647</v>
      </c>
      <c r="H343" s="8" t="s">
        <v>3857</v>
      </c>
      <c r="I343" s="10" t="s">
        <v>3741</v>
      </c>
      <c r="J343" s="8" t="s">
        <v>2862</v>
      </c>
      <c r="K343" s="8" t="s">
        <v>2649</v>
      </c>
      <c r="L343" s="8" t="s">
        <v>87</v>
      </c>
      <c r="M343" s="10" t="s">
        <v>1436</v>
      </c>
      <c r="N343" s="8" t="s">
        <v>87</v>
      </c>
      <c r="O343" s="10" t="s">
        <v>22</v>
      </c>
      <c r="P343" s="8" t="s">
        <v>3858</v>
      </c>
      <c r="Q343" s="10" t="s">
        <v>223</v>
      </c>
      <c r="R343" s="10" t="s">
        <v>1438</v>
      </c>
      <c r="S343" s="8" t="s">
        <v>3859</v>
      </c>
      <c r="T343" s="10" t="s">
        <v>3716</v>
      </c>
      <c r="U343" s="10" t="s">
        <v>87</v>
      </c>
      <c r="V343" s="10" t="s">
        <v>87</v>
      </c>
    </row>
    <row r="344" spans="1:22" s="10" customFormat="1" x14ac:dyDescent="0.25">
      <c r="A344" s="10" t="s">
        <v>3860</v>
      </c>
      <c r="B344" s="10" t="s">
        <v>2856</v>
      </c>
      <c r="C344" s="10" t="s">
        <v>215</v>
      </c>
      <c r="D344" s="10" t="s">
        <v>3861</v>
      </c>
      <c r="E344" s="8" t="s">
        <v>3862</v>
      </c>
      <c r="F344" s="8" t="s">
        <v>3863</v>
      </c>
      <c r="G344" s="10" t="s">
        <v>2647</v>
      </c>
      <c r="H344" s="8" t="s">
        <v>3864</v>
      </c>
      <c r="I344" s="10" t="s">
        <v>1504</v>
      </c>
      <c r="J344" s="8" t="s">
        <v>2862</v>
      </c>
      <c r="K344" s="8" t="s">
        <v>2649</v>
      </c>
      <c r="L344" s="8" t="s">
        <v>87</v>
      </c>
      <c r="M344" s="10" t="s">
        <v>1436</v>
      </c>
      <c r="N344" s="8" t="s">
        <v>87</v>
      </c>
      <c r="O344" s="10" t="s">
        <v>22</v>
      </c>
      <c r="P344" s="8" t="s">
        <v>3865</v>
      </c>
      <c r="Q344" s="10" t="s">
        <v>223</v>
      </c>
      <c r="R344" s="10" t="s">
        <v>1438</v>
      </c>
      <c r="S344" s="8" t="s">
        <v>3866</v>
      </c>
      <c r="T344" s="10" t="s">
        <v>3716</v>
      </c>
      <c r="U344" s="10" t="s">
        <v>87</v>
      </c>
      <c r="V344" s="10" t="s">
        <v>87</v>
      </c>
    </row>
    <row r="345" spans="1:22" s="10" customFormat="1" x14ac:dyDescent="0.25">
      <c r="A345" s="10" t="s">
        <v>3867</v>
      </c>
      <c r="B345" s="10" t="s">
        <v>2856</v>
      </c>
      <c r="C345" s="11" t="s">
        <v>346</v>
      </c>
      <c r="D345" s="10" t="s">
        <v>3868</v>
      </c>
      <c r="E345" s="8" t="s">
        <v>3869</v>
      </c>
      <c r="F345" s="8" t="s">
        <v>3870</v>
      </c>
      <c r="G345" s="10" t="s">
        <v>2647</v>
      </c>
      <c r="H345" s="8" t="s">
        <v>3871</v>
      </c>
      <c r="I345" s="10" t="s">
        <v>3741</v>
      </c>
      <c r="J345" s="8" t="s">
        <v>2862</v>
      </c>
      <c r="K345" s="8" t="s">
        <v>2649</v>
      </c>
      <c r="L345" s="8" t="s">
        <v>87</v>
      </c>
      <c r="M345" s="10" t="s">
        <v>1436</v>
      </c>
      <c r="N345" s="8" t="s">
        <v>87</v>
      </c>
      <c r="O345" s="10" t="s">
        <v>22</v>
      </c>
      <c r="P345" s="8" t="s">
        <v>3872</v>
      </c>
      <c r="Q345" s="10" t="s">
        <v>223</v>
      </c>
      <c r="R345" s="10" t="s">
        <v>1438</v>
      </c>
      <c r="S345" s="8" t="s">
        <v>3873</v>
      </c>
      <c r="T345" s="10" t="s">
        <v>3716</v>
      </c>
      <c r="U345" s="10" t="s">
        <v>87</v>
      </c>
      <c r="V345" s="10" t="s">
        <v>87</v>
      </c>
    </row>
    <row r="346" spans="1:22" s="10" customFormat="1" x14ac:dyDescent="0.25">
      <c r="A346" s="10" t="s">
        <v>3874</v>
      </c>
      <c r="B346" s="10" t="s">
        <v>2856</v>
      </c>
      <c r="C346" s="11" t="s">
        <v>346</v>
      </c>
      <c r="D346" s="10" t="s">
        <v>3875</v>
      </c>
      <c r="E346" s="8" t="s">
        <v>3876</v>
      </c>
      <c r="F346" s="8" t="s">
        <v>3877</v>
      </c>
      <c r="G346" s="10" t="s">
        <v>2647</v>
      </c>
      <c r="H346" s="8" t="s">
        <v>3878</v>
      </c>
      <c r="I346" s="10" t="s">
        <v>3741</v>
      </c>
      <c r="J346" s="8" t="s">
        <v>2862</v>
      </c>
      <c r="K346" s="8" t="s">
        <v>2649</v>
      </c>
      <c r="L346" s="8" t="s">
        <v>87</v>
      </c>
      <c r="M346" s="10" t="s">
        <v>1436</v>
      </c>
      <c r="N346" s="8" t="s">
        <v>87</v>
      </c>
      <c r="O346" s="10" t="s">
        <v>22</v>
      </c>
      <c r="P346" s="8" t="s">
        <v>3879</v>
      </c>
      <c r="Q346" s="10" t="s">
        <v>223</v>
      </c>
      <c r="R346" s="10" t="s">
        <v>1438</v>
      </c>
      <c r="S346" s="8" t="s">
        <v>3880</v>
      </c>
      <c r="T346" s="10" t="s">
        <v>3716</v>
      </c>
      <c r="U346" s="10" t="s">
        <v>87</v>
      </c>
      <c r="V346" s="10" t="s">
        <v>87</v>
      </c>
    </row>
    <row r="347" spans="1:22" s="10" customFormat="1" x14ac:dyDescent="0.25">
      <c r="A347" s="10" t="s">
        <v>3881</v>
      </c>
      <c r="B347" s="10" t="s">
        <v>2856</v>
      </c>
      <c r="C347" s="10" t="s">
        <v>215</v>
      </c>
      <c r="D347" s="10" t="s">
        <v>3882</v>
      </c>
      <c r="E347" s="8" t="s">
        <v>3883</v>
      </c>
      <c r="F347" s="8" t="s">
        <v>3884</v>
      </c>
      <c r="G347" s="10" t="s">
        <v>2647</v>
      </c>
      <c r="H347" s="8" t="s">
        <v>3885</v>
      </c>
      <c r="I347" s="10" t="s">
        <v>3886</v>
      </c>
      <c r="J347" s="8" t="s">
        <v>2862</v>
      </c>
      <c r="K347" s="8" t="s">
        <v>2649</v>
      </c>
      <c r="L347" s="8" t="s">
        <v>87</v>
      </c>
      <c r="M347" s="10" t="s">
        <v>1436</v>
      </c>
      <c r="N347" s="8" t="s">
        <v>87</v>
      </c>
      <c r="O347" s="10" t="s">
        <v>22</v>
      </c>
      <c r="P347" s="8" t="s">
        <v>3887</v>
      </c>
      <c r="Q347" s="10" t="s">
        <v>223</v>
      </c>
      <c r="R347" s="10" t="s">
        <v>1438</v>
      </c>
      <c r="S347" s="8" t="s">
        <v>3888</v>
      </c>
      <c r="T347" s="10" t="s">
        <v>3716</v>
      </c>
      <c r="U347" s="10" t="s">
        <v>87</v>
      </c>
      <c r="V347" s="10" t="s">
        <v>87</v>
      </c>
    </row>
    <row r="348" spans="1:22" s="10" customFormat="1" x14ac:dyDescent="0.25">
      <c r="A348" s="10" t="s">
        <v>3889</v>
      </c>
      <c r="B348" s="10" t="s">
        <v>2856</v>
      </c>
      <c r="C348" s="10" t="s">
        <v>215</v>
      </c>
      <c r="D348" s="10" t="s">
        <v>3890</v>
      </c>
      <c r="E348" s="8" t="s">
        <v>3891</v>
      </c>
      <c r="F348" s="8" t="s">
        <v>3892</v>
      </c>
      <c r="G348" s="10" t="s">
        <v>2647</v>
      </c>
      <c r="H348" s="8" t="s">
        <v>3893</v>
      </c>
      <c r="I348" s="10" t="s">
        <v>3894</v>
      </c>
      <c r="J348" s="8" t="s">
        <v>2862</v>
      </c>
      <c r="K348" s="8" t="s">
        <v>2649</v>
      </c>
      <c r="L348" s="8" t="s">
        <v>87</v>
      </c>
      <c r="M348" s="10" t="s">
        <v>1436</v>
      </c>
      <c r="N348" s="8" t="s">
        <v>87</v>
      </c>
      <c r="O348" s="10" t="s">
        <v>22</v>
      </c>
      <c r="P348" s="8" t="s">
        <v>3895</v>
      </c>
      <c r="Q348" s="10" t="s">
        <v>223</v>
      </c>
      <c r="R348" s="10" t="s">
        <v>1438</v>
      </c>
      <c r="S348" s="8" t="s">
        <v>3896</v>
      </c>
      <c r="T348" s="10" t="s">
        <v>3716</v>
      </c>
      <c r="U348" s="10" t="s">
        <v>87</v>
      </c>
      <c r="V348" s="10" t="s">
        <v>87</v>
      </c>
    </row>
    <row r="349" spans="1:22" s="10" customFormat="1" x14ac:dyDescent="0.25">
      <c r="A349" s="10" t="s">
        <v>3897</v>
      </c>
      <c r="B349" s="10" t="s">
        <v>2856</v>
      </c>
      <c r="C349" s="10" t="s">
        <v>215</v>
      </c>
      <c r="D349" s="10" t="s">
        <v>3898</v>
      </c>
      <c r="E349" s="8" t="s">
        <v>3899</v>
      </c>
      <c r="F349" s="8" t="s">
        <v>3900</v>
      </c>
      <c r="G349" s="10" t="s">
        <v>2647</v>
      </c>
      <c r="H349" s="8" t="s">
        <v>3901</v>
      </c>
      <c r="I349" s="10" t="s">
        <v>1000</v>
      </c>
      <c r="J349" s="8" t="s">
        <v>2862</v>
      </c>
      <c r="K349" s="8" t="s">
        <v>2649</v>
      </c>
      <c r="L349" s="8" t="s">
        <v>87</v>
      </c>
      <c r="M349" s="10" t="s">
        <v>1436</v>
      </c>
      <c r="N349" s="8" t="s">
        <v>87</v>
      </c>
      <c r="O349" s="10" t="s">
        <v>22</v>
      </c>
      <c r="P349" s="8" t="s">
        <v>3902</v>
      </c>
      <c r="Q349" s="10" t="s">
        <v>223</v>
      </c>
      <c r="R349" s="10" t="s">
        <v>1438</v>
      </c>
      <c r="S349" s="8" t="s">
        <v>3903</v>
      </c>
      <c r="T349" s="10" t="s">
        <v>3716</v>
      </c>
      <c r="U349" s="10" t="s">
        <v>87</v>
      </c>
      <c r="V349" s="10" t="s">
        <v>87</v>
      </c>
    </row>
    <row r="350" spans="1:22" s="10" customFormat="1" x14ac:dyDescent="0.25">
      <c r="A350" s="10" t="s">
        <v>3904</v>
      </c>
      <c r="B350" s="10" t="s">
        <v>2856</v>
      </c>
      <c r="C350" s="10" t="s">
        <v>215</v>
      </c>
      <c r="D350" s="10" t="s">
        <v>3905</v>
      </c>
      <c r="E350" s="8" t="s">
        <v>3906</v>
      </c>
      <c r="F350" s="8" t="s">
        <v>3907</v>
      </c>
      <c r="G350" s="10" t="s">
        <v>2647</v>
      </c>
      <c r="H350" s="8" t="s">
        <v>3908</v>
      </c>
      <c r="I350" s="10" t="s">
        <v>3909</v>
      </c>
      <c r="J350" s="8" t="s">
        <v>2862</v>
      </c>
      <c r="K350" s="8" t="s">
        <v>2649</v>
      </c>
      <c r="L350" s="8" t="s">
        <v>87</v>
      </c>
      <c r="M350" s="10" t="s">
        <v>1436</v>
      </c>
      <c r="N350" s="8" t="s">
        <v>87</v>
      </c>
      <c r="O350" s="10" t="s">
        <v>22</v>
      </c>
      <c r="P350" s="8" t="s">
        <v>3910</v>
      </c>
      <c r="Q350" s="10" t="s">
        <v>223</v>
      </c>
      <c r="R350" s="10" t="s">
        <v>1438</v>
      </c>
      <c r="S350" s="8" t="s">
        <v>3911</v>
      </c>
      <c r="T350" s="10" t="s">
        <v>3716</v>
      </c>
      <c r="U350" s="10" t="s">
        <v>87</v>
      </c>
      <c r="V350" s="10" t="s">
        <v>87</v>
      </c>
    </row>
    <row r="351" spans="1:22" s="10" customFormat="1" x14ac:dyDescent="0.25">
      <c r="A351" s="10" t="s">
        <v>3912</v>
      </c>
      <c r="B351" s="10" t="s">
        <v>2856</v>
      </c>
      <c r="C351" s="10" t="s">
        <v>215</v>
      </c>
      <c r="D351" s="10" t="s">
        <v>3913</v>
      </c>
      <c r="E351" s="8" t="s">
        <v>3914</v>
      </c>
      <c r="F351" s="8" t="s">
        <v>3915</v>
      </c>
      <c r="G351" s="10" t="s">
        <v>2647</v>
      </c>
      <c r="H351" s="8" t="s">
        <v>3916</v>
      </c>
      <c r="I351" s="10" t="s">
        <v>3917</v>
      </c>
      <c r="J351" s="8" t="s">
        <v>2862</v>
      </c>
      <c r="K351" s="8" t="s">
        <v>2649</v>
      </c>
      <c r="L351" s="8" t="s">
        <v>87</v>
      </c>
      <c r="M351" s="10" t="s">
        <v>1436</v>
      </c>
      <c r="N351" s="8" t="s">
        <v>87</v>
      </c>
      <c r="O351" s="10" t="s">
        <v>22</v>
      </c>
      <c r="P351" s="8" t="s">
        <v>3918</v>
      </c>
      <c r="Q351" s="10" t="s">
        <v>223</v>
      </c>
      <c r="R351" s="10" t="s">
        <v>1438</v>
      </c>
      <c r="S351" s="8" t="s">
        <v>3919</v>
      </c>
      <c r="T351" s="10" t="s">
        <v>3716</v>
      </c>
      <c r="U351" s="10" t="s">
        <v>87</v>
      </c>
      <c r="V351" s="10" t="s">
        <v>87</v>
      </c>
    </row>
    <row r="352" spans="1:22" s="10" customFormat="1" x14ac:dyDescent="0.25">
      <c r="A352" s="10" t="s">
        <v>3920</v>
      </c>
      <c r="B352" s="10" t="s">
        <v>2856</v>
      </c>
      <c r="C352" s="10" t="s">
        <v>215</v>
      </c>
      <c r="D352" s="10" t="s">
        <v>3921</v>
      </c>
      <c r="E352" s="8" t="s">
        <v>3922</v>
      </c>
      <c r="F352" s="8" t="s">
        <v>3923</v>
      </c>
      <c r="G352" s="10" t="s">
        <v>2647</v>
      </c>
      <c r="H352" s="8" t="s">
        <v>3924</v>
      </c>
      <c r="I352" s="10" t="s">
        <v>868</v>
      </c>
      <c r="J352" s="8" t="s">
        <v>2862</v>
      </c>
      <c r="K352" s="8" t="s">
        <v>2649</v>
      </c>
      <c r="L352" s="8" t="s">
        <v>87</v>
      </c>
      <c r="M352" s="10" t="s">
        <v>1436</v>
      </c>
      <c r="N352" s="8" t="s">
        <v>87</v>
      </c>
      <c r="O352" s="10" t="s">
        <v>22</v>
      </c>
      <c r="P352" s="8" t="s">
        <v>3925</v>
      </c>
      <c r="Q352" s="10" t="s">
        <v>223</v>
      </c>
      <c r="R352" s="10" t="s">
        <v>1438</v>
      </c>
      <c r="S352" s="8" t="s">
        <v>3926</v>
      </c>
      <c r="T352" s="10" t="s">
        <v>3716</v>
      </c>
      <c r="U352" s="10" t="s">
        <v>87</v>
      </c>
      <c r="V352" s="10" t="s">
        <v>87</v>
      </c>
    </row>
    <row r="353" spans="1:22" s="10" customFormat="1" x14ac:dyDescent="0.25">
      <c r="A353" s="10" t="s">
        <v>3927</v>
      </c>
      <c r="B353" s="10" t="s">
        <v>2856</v>
      </c>
      <c r="C353" s="10" t="s">
        <v>215</v>
      </c>
      <c r="D353" s="10" t="s">
        <v>3928</v>
      </c>
      <c r="E353" s="8" t="s">
        <v>3929</v>
      </c>
      <c r="F353" s="8" t="s">
        <v>3930</v>
      </c>
      <c r="G353" s="10" t="s">
        <v>2647</v>
      </c>
      <c r="H353" s="8" t="s">
        <v>3931</v>
      </c>
      <c r="I353" s="10" t="s">
        <v>868</v>
      </c>
      <c r="J353" s="8" t="s">
        <v>2862</v>
      </c>
      <c r="K353" s="8" t="s">
        <v>2649</v>
      </c>
      <c r="L353" s="8" t="s">
        <v>87</v>
      </c>
      <c r="M353" s="10" t="s">
        <v>1436</v>
      </c>
      <c r="N353" s="8" t="s">
        <v>87</v>
      </c>
      <c r="O353" s="10" t="s">
        <v>22</v>
      </c>
      <c r="P353" s="8" t="s">
        <v>3932</v>
      </c>
      <c r="Q353" s="10" t="s">
        <v>223</v>
      </c>
      <c r="R353" s="10" t="s">
        <v>1438</v>
      </c>
      <c r="S353" s="8" t="s">
        <v>3933</v>
      </c>
      <c r="T353" s="10" t="s">
        <v>3716</v>
      </c>
      <c r="U353" s="10" t="s">
        <v>87</v>
      </c>
      <c r="V353" s="10" t="s">
        <v>87</v>
      </c>
    </row>
    <row r="354" spans="1:22" s="10" customFormat="1" x14ac:dyDescent="0.25">
      <c r="A354" s="10" t="s">
        <v>3934</v>
      </c>
      <c r="B354" s="10" t="s">
        <v>2856</v>
      </c>
      <c r="C354" s="10" t="s">
        <v>215</v>
      </c>
      <c r="D354" s="10" t="s">
        <v>3935</v>
      </c>
      <c r="E354" s="8" t="s">
        <v>3936</v>
      </c>
      <c r="F354" s="8" t="s">
        <v>3937</v>
      </c>
      <c r="G354" s="10" t="s">
        <v>2647</v>
      </c>
      <c r="H354" s="8" t="s">
        <v>3938</v>
      </c>
      <c r="I354" s="10" t="s">
        <v>993</v>
      </c>
      <c r="J354" s="8" t="s">
        <v>2862</v>
      </c>
      <c r="K354" s="8" t="s">
        <v>2649</v>
      </c>
      <c r="L354" s="8" t="s">
        <v>87</v>
      </c>
      <c r="M354" s="10" t="s">
        <v>1436</v>
      </c>
      <c r="N354" s="8" t="s">
        <v>87</v>
      </c>
      <c r="O354" s="10" t="s">
        <v>22</v>
      </c>
      <c r="P354" s="8" t="s">
        <v>3939</v>
      </c>
      <c r="Q354" s="10" t="s">
        <v>223</v>
      </c>
      <c r="R354" s="10" t="s">
        <v>1438</v>
      </c>
      <c r="S354" s="8" t="s">
        <v>3940</v>
      </c>
      <c r="T354" s="10" t="s">
        <v>3716</v>
      </c>
      <c r="U354" s="10" t="s">
        <v>87</v>
      </c>
      <c r="V354" s="10" t="s">
        <v>87</v>
      </c>
    </row>
    <row r="355" spans="1:22" s="10" customFormat="1" x14ac:dyDescent="0.25">
      <c r="A355" s="10" t="s">
        <v>3941</v>
      </c>
      <c r="B355" s="10" t="s">
        <v>2856</v>
      </c>
      <c r="C355" s="10" t="s">
        <v>215</v>
      </c>
      <c r="D355" s="10" t="s">
        <v>3942</v>
      </c>
      <c r="E355" s="8" t="s">
        <v>3943</v>
      </c>
      <c r="F355" s="8" t="s">
        <v>3944</v>
      </c>
      <c r="G355" s="10" t="s">
        <v>2647</v>
      </c>
      <c r="H355" s="8" t="s">
        <v>3945</v>
      </c>
      <c r="I355" s="10" t="s">
        <v>3946</v>
      </c>
      <c r="J355" s="8" t="s">
        <v>2862</v>
      </c>
      <c r="K355" s="8" t="s">
        <v>2649</v>
      </c>
      <c r="L355" s="8" t="s">
        <v>87</v>
      </c>
      <c r="M355" s="10" t="s">
        <v>1436</v>
      </c>
      <c r="N355" s="8" t="s">
        <v>87</v>
      </c>
      <c r="O355" s="10" t="s">
        <v>22</v>
      </c>
      <c r="P355" s="8" t="s">
        <v>3947</v>
      </c>
      <c r="Q355" s="10" t="s">
        <v>223</v>
      </c>
      <c r="R355" s="10" t="s">
        <v>1438</v>
      </c>
      <c r="S355" s="8" t="s">
        <v>3948</v>
      </c>
      <c r="T355" s="10" t="s">
        <v>3716</v>
      </c>
      <c r="U355" s="10" t="s">
        <v>87</v>
      </c>
      <c r="V355" s="10" t="s">
        <v>87</v>
      </c>
    </row>
    <row r="356" spans="1:22" s="10" customFormat="1" x14ac:dyDescent="0.25">
      <c r="A356" s="10" t="s">
        <v>3949</v>
      </c>
      <c r="B356" s="10" t="s">
        <v>2856</v>
      </c>
      <c r="C356" s="10" t="s">
        <v>215</v>
      </c>
      <c r="D356" s="10" t="s">
        <v>3950</v>
      </c>
      <c r="E356" s="8" t="s">
        <v>3951</v>
      </c>
      <c r="F356" s="8" t="s">
        <v>3952</v>
      </c>
      <c r="G356" s="10" t="s">
        <v>2647</v>
      </c>
      <c r="H356" s="8" t="s">
        <v>3953</v>
      </c>
      <c r="I356" s="10" t="s">
        <v>993</v>
      </c>
      <c r="J356" s="8" t="s">
        <v>2862</v>
      </c>
      <c r="K356" s="8" t="s">
        <v>2649</v>
      </c>
      <c r="L356" s="8" t="s">
        <v>87</v>
      </c>
      <c r="M356" s="10" t="s">
        <v>1436</v>
      </c>
      <c r="N356" s="8" t="s">
        <v>87</v>
      </c>
      <c r="O356" s="10" t="s">
        <v>22</v>
      </c>
      <c r="P356" s="8" t="s">
        <v>3954</v>
      </c>
      <c r="Q356" s="10" t="s">
        <v>223</v>
      </c>
      <c r="R356" s="10" t="s">
        <v>1438</v>
      </c>
      <c r="S356" s="8" t="s">
        <v>3955</v>
      </c>
      <c r="T356" s="10" t="s">
        <v>3716</v>
      </c>
      <c r="U356" s="10" t="s">
        <v>87</v>
      </c>
      <c r="V356" s="10" t="s">
        <v>87</v>
      </c>
    </row>
    <row r="357" spans="1:22" s="10" customFormat="1" x14ac:dyDescent="0.25">
      <c r="A357" s="10" t="s">
        <v>3956</v>
      </c>
      <c r="B357" s="10" t="s">
        <v>2856</v>
      </c>
      <c r="C357" s="10" t="s">
        <v>215</v>
      </c>
      <c r="D357" s="10" t="s">
        <v>3957</v>
      </c>
      <c r="E357" s="8" t="s">
        <v>3958</v>
      </c>
      <c r="F357" s="8" t="s">
        <v>3959</v>
      </c>
      <c r="G357" s="10" t="s">
        <v>2647</v>
      </c>
      <c r="H357" s="8" t="s">
        <v>3960</v>
      </c>
      <c r="I357" s="10" t="s">
        <v>993</v>
      </c>
      <c r="J357" s="8" t="s">
        <v>2862</v>
      </c>
      <c r="K357" s="8" t="s">
        <v>2649</v>
      </c>
      <c r="L357" s="8" t="s">
        <v>87</v>
      </c>
      <c r="M357" s="10" t="s">
        <v>1436</v>
      </c>
      <c r="N357" s="8" t="s">
        <v>87</v>
      </c>
      <c r="O357" s="10" t="s">
        <v>22</v>
      </c>
      <c r="P357" s="8" t="s">
        <v>3961</v>
      </c>
      <c r="Q357" s="10" t="s">
        <v>223</v>
      </c>
      <c r="R357" s="10" t="s">
        <v>1438</v>
      </c>
      <c r="S357" s="8" t="s">
        <v>3962</v>
      </c>
      <c r="T357" s="10" t="s">
        <v>3716</v>
      </c>
      <c r="U357" s="10" t="s">
        <v>87</v>
      </c>
      <c r="V357" s="10" t="s">
        <v>87</v>
      </c>
    </row>
    <row r="358" spans="1:22" s="10" customFormat="1" x14ac:dyDescent="0.25">
      <c r="A358" s="10" t="s">
        <v>3963</v>
      </c>
      <c r="B358" s="10" t="s">
        <v>2856</v>
      </c>
      <c r="C358" s="10" t="s">
        <v>215</v>
      </c>
      <c r="D358" s="10" t="s">
        <v>3964</v>
      </c>
      <c r="E358" s="8" t="s">
        <v>3965</v>
      </c>
      <c r="F358" s="8" t="s">
        <v>3966</v>
      </c>
      <c r="G358" s="10" t="s">
        <v>2647</v>
      </c>
      <c r="H358" s="8" t="s">
        <v>3967</v>
      </c>
      <c r="I358" s="10" t="s">
        <v>919</v>
      </c>
      <c r="J358" s="8" t="s">
        <v>2862</v>
      </c>
      <c r="K358" s="8" t="s">
        <v>2649</v>
      </c>
      <c r="L358" s="8" t="s">
        <v>87</v>
      </c>
      <c r="M358" s="10" t="s">
        <v>1436</v>
      </c>
      <c r="N358" s="8" t="s">
        <v>87</v>
      </c>
      <c r="O358" s="10" t="s">
        <v>22</v>
      </c>
      <c r="P358" s="8" t="s">
        <v>3968</v>
      </c>
      <c r="Q358" s="10" t="s">
        <v>223</v>
      </c>
      <c r="R358" s="10" t="s">
        <v>1438</v>
      </c>
      <c r="S358" s="8" t="s">
        <v>3969</v>
      </c>
      <c r="T358" s="10" t="s">
        <v>3716</v>
      </c>
      <c r="U358" s="10" t="s">
        <v>87</v>
      </c>
      <c r="V358" s="10" t="s">
        <v>87</v>
      </c>
    </row>
    <row r="359" spans="1:22" s="10" customFormat="1" x14ac:dyDescent="0.25">
      <c r="A359" s="10" t="s">
        <v>3970</v>
      </c>
      <c r="B359" s="10" t="s">
        <v>2856</v>
      </c>
      <c r="C359" s="10" t="s">
        <v>215</v>
      </c>
      <c r="D359" s="10" t="s">
        <v>3971</v>
      </c>
      <c r="E359" s="8" t="s">
        <v>3972</v>
      </c>
      <c r="F359" s="8" t="s">
        <v>3973</v>
      </c>
      <c r="G359" s="10" t="s">
        <v>2647</v>
      </c>
      <c r="H359" s="8" t="s">
        <v>3974</v>
      </c>
      <c r="I359" s="10" t="s">
        <v>919</v>
      </c>
      <c r="J359" s="8" t="s">
        <v>2862</v>
      </c>
      <c r="K359" s="8" t="s">
        <v>2649</v>
      </c>
      <c r="L359" s="8" t="s">
        <v>87</v>
      </c>
      <c r="M359" s="10" t="s">
        <v>1436</v>
      </c>
      <c r="N359" s="8" t="s">
        <v>87</v>
      </c>
      <c r="O359" s="10" t="s">
        <v>22</v>
      </c>
      <c r="P359" s="8" t="s">
        <v>3975</v>
      </c>
      <c r="Q359" s="10" t="s">
        <v>223</v>
      </c>
      <c r="R359" s="10" t="s">
        <v>1438</v>
      </c>
      <c r="S359" s="8" t="s">
        <v>3976</v>
      </c>
      <c r="T359" s="10" t="s">
        <v>3716</v>
      </c>
      <c r="U359" s="10" t="s">
        <v>87</v>
      </c>
      <c r="V359" s="10" t="s">
        <v>87</v>
      </c>
    </row>
    <row r="360" spans="1:22" s="10" customFormat="1" x14ac:dyDescent="0.25">
      <c r="A360" s="10" t="s">
        <v>3977</v>
      </c>
      <c r="B360" s="10" t="s">
        <v>2856</v>
      </c>
      <c r="C360" s="10" t="s">
        <v>215</v>
      </c>
      <c r="D360" s="10" t="s">
        <v>3978</v>
      </c>
      <c r="E360" s="8" t="s">
        <v>3979</v>
      </c>
      <c r="F360" s="8" t="s">
        <v>3980</v>
      </c>
      <c r="G360" s="10" t="s">
        <v>2647</v>
      </c>
      <c r="H360" s="8" t="s">
        <v>3981</v>
      </c>
      <c r="I360" s="10" t="s">
        <v>3982</v>
      </c>
      <c r="J360" s="8" t="s">
        <v>2862</v>
      </c>
      <c r="K360" s="8" t="s">
        <v>2649</v>
      </c>
      <c r="L360" s="8" t="s">
        <v>87</v>
      </c>
      <c r="M360" s="10" t="s">
        <v>1436</v>
      </c>
      <c r="N360" s="8" t="s">
        <v>87</v>
      </c>
      <c r="O360" s="10" t="s">
        <v>22</v>
      </c>
      <c r="P360" s="8" t="s">
        <v>3983</v>
      </c>
      <c r="Q360" s="10" t="s">
        <v>223</v>
      </c>
      <c r="R360" s="10" t="s">
        <v>1438</v>
      </c>
      <c r="S360" s="8" t="s">
        <v>3984</v>
      </c>
      <c r="T360" s="10" t="s">
        <v>3716</v>
      </c>
      <c r="U360" s="10" t="s">
        <v>87</v>
      </c>
      <c r="V360" s="10" t="s">
        <v>87</v>
      </c>
    </row>
    <row r="361" spans="1:22" s="10" customFormat="1" x14ac:dyDescent="0.25">
      <c r="A361" s="10" t="s">
        <v>3985</v>
      </c>
      <c r="B361" s="10" t="s">
        <v>2856</v>
      </c>
      <c r="C361" s="10" t="s">
        <v>215</v>
      </c>
      <c r="D361" s="10" t="s">
        <v>3986</v>
      </c>
      <c r="E361" s="8" t="s">
        <v>3987</v>
      </c>
      <c r="F361" s="8" t="s">
        <v>3988</v>
      </c>
      <c r="G361" s="10" t="s">
        <v>2647</v>
      </c>
      <c r="H361" s="8" t="s">
        <v>3989</v>
      </c>
      <c r="I361" s="10" t="s">
        <v>3982</v>
      </c>
      <c r="J361" s="8" t="s">
        <v>2862</v>
      </c>
      <c r="K361" s="8" t="s">
        <v>2649</v>
      </c>
      <c r="L361" s="8" t="s">
        <v>87</v>
      </c>
      <c r="M361" s="10" t="s">
        <v>1436</v>
      </c>
      <c r="N361" s="8" t="s">
        <v>87</v>
      </c>
      <c r="O361" s="10" t="s">
        <v>22</v>
      </c>
      <c r="P361" s="8" t="s">
        <v>3990</v>
      </c>
      <c r="Q361" s="10" t="s">
        <v>223</v>
      </c>
      <c r="R361" s="10" t="s">
        <v>1438</v>
      </c>
      <c r="S361" s="8" t="s">
        <v>3991</v>
      </c>
      <c r="T361" s="10" t="s">
        <v>3716</v>
      </c>
      <c r="U361" s="10" t="s">
        <v>87</v>
      </c>
      <c r="V361" s="10" t="s">
        <v>87</v>
      </c>
    </row>
    <row r="362" spans="1:22" s="10" customFormat="1" x14ac:dyDescent="0.25">
      <c r="A362" s="10" t="s">
        <v>3992</v>
      </c>
      <c r="B362" s="10" t="s">
        <v>2856</v>
      </c>
      <c r="C362" s="10" t="s">
        <v>215</v>
      </c>
      <c r="D362" s="10" t="s">
        <v>3993</v>
      </c>
      <c r="E362" s="8" t="s">
        <v>3994</v>
      </c>
      <c r="F362" s="8" t="s">
        <v>3995</v>
      </c>
      <c r="G362" s="10" t="s">
        <v>2647</v>
      </c>
      <c r="H362" s="8" t="s">
        <v>3996</v>
      </c>
      <c r="I362" s="10" t="s">
        <v>3997</v>
      </c>
      <c r="J362" s="8" t="s">
        <v>2862</v>
      </c>
      <c r="K362" s="8" t="s">
        <v>2649</v>
      </c>
      <c r="L362" s="8" t="s">
        <v>87</v>
      </c>
      <c r="M362" s="10" t="s">
        <v>1436</v>
      </c>
      <c r="N362" s="8" t="s">
        <v>87</v>
      </c>
      <c r="O362" s="10" t="s">
        <v>22</v>
      </c>
      <c r="P362" s="8" t="s">
        <v>3998</v>
      </c>
      <c r="Q362" s="10" t="s">
        <v>223</v>
      </c>
      <c r="R362" s="10" t="s">
        <v>1438</v>
      </c>
      <c r="S362" s="8" t="s">
        <v>3999</v>
      </c>
      <c r="T362" s="10" t="s">
        <v>3716</v>
      </c>
      <c r="U362" s="10" t="s">
        <v>87</v>
      </c>
      <c r="V362" s="10" t="s">
        <v>87</v>
      </c>
    </row>
    <row r="363" spans="1:22" s="10" customFormat="1" x14ac:dyDescent="0.25">
      <c r="A363" s="10" t="s">
        <v>4000</v>
      </c>
      <c r="B363" s="10" t="s">
        <v>2856</v>
      </c>
      <c r="C363" s="10" t="s">
        <v>215</v>
      </c>
      <c r="D363" s="10" t="s">
        <v>4001</v>
      </c>
      <c r="E363" s="8" t="s">
        <v>4002</v>
      </c>
      <c r="F363" s="8" t="s">
        <v>4003</v>
      </c>
      <c r="G363" s="10" t="s">
        <v>2647</v>
      </c>
      <c r="H363" s="8" t="s">
        <v>4004</v>
      </c>
      <c r="I363" s="10" t="s">
        <v>4005</v>
      </c>
      <c r="J363" s="8" t="s">
        <v>2862</v>
      </c>
      <c r="K363" s="8" t="s">
        <v>2649</v>
      </c>
      <c r="L363" s="8" t="s">
        <v>87</v>
      </c>
      <c r="M363" s="10" t="s">
        <v>1436</v>
      </c>
      <c r="N363" s="8" t="s">
        <v>87</v>
      </c>
      <c r="O363" s="10" t="s">
        <v>22</v>
      </c>
      <c r="P363" s="8" t="s">
        <v>4006</v>
      </c>
      <c r="Q363" s="10" t="s">
        <v>223</v>
      </c>
      <c r="R363" s="10" t="s">
        <v>1438</v>
      </c>
      <c r="S363" s="8" t="s">
        <v>4007</v>
      </c>
      <c r="T363" s="10" t="s">
        <v>3716</v>
      </c>
      <c r="U363" s="10" t="s">
        <v>87</v>
      </c>
      <c r="V363" s="10" t="s">
        <v>87</v>
      </c>
    </row>
    <row r="364" spans="1:22" s="10" customFormat="1" x14ac:dyDescent="0.25">
      <c r="A364" s="10" t="s">
        <v>4008</v>
      </c>
      <c r="B364" s="10" t="s">
        <v>2856</v>
      </c>
      <c r="C364" s="11" t="s">
        <v>346</v>
      </c>
      <c r="D364" s="10" t="s">
        <v>4009</v>
      </c>
      <c r="E364" s="8" t="s">
        <v>4010</v>
      </c>
      <c r="F364" s="8" t="s">
        <v>4011</v>
      </c>
      <c r="G364" s="10" t="s">
        <v>2647</v>
      </c>
      <c r="H364" s="8" t="s">
        <v>4012</v>
      </c>
      <c r="I364" s="10" t="s">
        <v>3820</v>
      </c>
      <c r="J364" s="8" t="s">
        <v>2862</v>
      </c>
      <c r="K364" s="8" t="s">
        <v>2649</v>
      </c>
      <c r="L364" s="8" t="s">
        <v>87</v>
      </c>
      <c r="M364" s="10" t="s">
        <v>1436</v>
      </c>
      <c r="N364" s="8" t="s">
        <v>87</v>
      </c>
      <c r="O364" s="10" t="s">
        <v>22</v>
      </c>
      <c r="P364" s="8" t="s">
        <v>4013</v>
      </c>
      <c r="Q364" s="10" t="s">
        <v>223</v>
      </c>
      <c r="R364" s="10" t="s">
        <v>1438</v>
      </c>
      <c r="S364" s="8" t="s">
        <v>4014</v>
      </c>
      <c r="T364" s="10" t="s">
        <v>3716</v>
      </c>
      <c r="U364" s="10" t="s">
        <v>87</v>
      </c>
      <c r="V364" s="10" t="s">
        <v>87</v>
      </c>
    </row>
    <row r="365" spans="1:22" s="10" customFormat="1" x14ac:dyDescent="0.25">
      <c r="A365" s="10" t="s">
        <v>4015</v>
      </c>
      <c r="B365" s="10" t="s">
        <v>4016</v>
      </c>
      <c r="C365" s="10" t="s">
        <v>215</v>
      </c>
      <c r="D365" s="10" t="s">
        <v>4017</v>
      </c>
      <c r="E365" s="8" t="s">
        <v>4018</v>
      </c>
      <c r="F365" s="8" t="s">
        <v>4019</v>
      </c>
      <c r="G365" s="10" t="s">
        <v>4</v>
      </c>
      <c r="H365" s="8" t="s">
        <v>2562</v>
      </c>
      <c r="I365" s="10" t="s">
        <v>4020</v>
      </c>
      <c r="J365" s="8" t="s">
        <v>4021</v>
      </c>
      <c r="K365" s="8" t="s">
        <v>1873</v>
      </c>
      <c r="L365" s="8" t="s">
        <v>87</v>
      </c>
      <c r="M365" s="10" t="s">
        <v>1436</v>
      </c>
      <c r="N365" s="8" t="s">
        <v>87</v>
      </c>
      <c r="O365" s="10" t="s">
        <v>22</v>
      </c>
      <c r="P365" s="8" t="s">
        <v>4022</v>
      </c>
      <c r="Q365" s="10" t="s">
        <v>223</v>
      </c>
      <c r="R365" s="10" t="s">
        <v>1438</v>
      </c>
      <c r="S365" s="8" t="s">
        <v>4023</v>
      </c>
      <c r="T365" s="10" t="s">
        <v>4024</v>
      </c>
      <c r="U365" s="10" t="s">
        <v>87</v>
      </c>
      <c r="V365" s="10" t="s">
        <v>87</v>
      </c>
    </row>
    <row r="366" spans="1:22" s="10" customFormat="1" x14ac:dyDescent="0.25">
      <c r="A366" s="10" t="s">
        <v>4025</v>
      </c>
      <c r="B366" s="10" t="s">
        <v>4016</v>
      </c>
      <c r="C366" s="10" t="s">
        <v>384</v>
      </c>
      <c r="D366" s="10" t="s">
        <v>4026</v>
      </c>
      <c r="E366" s="8" t="s">
        <v>4027</v>
      </c>
      <c r="F366" s="8" t="s">
        <v>4028</v>
      </c>
      <c r="G366" s="10" t="s">
        <v>2647</v>
      </c>
      <c r="H366" s="8" t="s">
        <v>2870</v>
      </c>
      <c r="I366" s="10" t="s">
        <v>868</v>
      </c>
      <c r="J366" s="8" t="s">
        <v>4021</v>
      </c>
      <c r="K366" s="8" t="s">
        <v>2649</v>
      </c>
      <c r="L366" s="8" t="s">
        <v>87</v>
      </c>
      <c r="M366" s="10" t="s">
        <v>1436</v>
      </c>
      <c r="N366" s="8" t="s">
        <v>87</v>
      </c>
      <c r="O366" s="10" t="s">
        <v>22</v>
      </c>
      <c r="P366" s="8" t="s">
        <v>4029</v>
      </c>
      <c r="Q366" s="10" t="s">
        <v>223</v>
      </c>
      <c r="R366" s="10" t="s">
        <v>1438</v>
      </c>
      <c r="S366" s="8" t="s">
        <v>1439</v>
      </c>
      <c r="T366" s="10" t="s">
        <v>4024</v>
      </c>
      <c r="U366" s="10" t="s">
        <v>87</v>
      </c>
      <c r="V366" s="10" t="s">
        <v>87</v>
      </c>
    </row>
    <row r="367" spans="1:22" s="10" customFormat="1" x14ac:dyDescent="0.25">
      <c r="A367" s="10" t="s">
        <v>4030</v>
      </c>
      <c r="B367" s="10" t="s">
        <v>4016</v>
      </c>
      <c r="C367" s="11" t="s">
        <v>346</v>
      </c>
      <c r="D367" s="10" t="s">
        <v>4031</v>
      </c>
      <c r="E367" s="8" t="s">
        <v>4032</v>
      </c>
      <c r="F367" s="8" t="s">
        <v>4033</v>
      </c>
      <c r="G367" s="10" t="s">
        <v>2647</v>
      </c>
      <c r="H367" s="8" t="s">
        <v>4034</v>
      </c>
      <c r="I367" s="10" t="s">
        <v>4035</v>
      </c>
      <c r="J367" s="8" t="s">
        <v>4021</v>
      </c>
      <c r="K367" s="8" t="s">
        <v>2649</v>
      </c>
      <c r="L367" s="8" t="s">
        <v>87</v>
      </c>
      <c r="M367" s="10" t="s">
        <v>1436</v>
      </c>
      <c r="N367" s="8" t="s">
        <v>87</v>
      </c>
      <c r="O367" s="10" t="s">
        <v>22</v>
      </c>
      <c r="P367" s="8" t="s">
        <v>4036</v>
      </c>
      <c r="Q367" s="10" t="s">
        <v>223</v>
      </c>
      <c r="R367" s="10" t="s">
        <v>1438</v>
      </c>
      <c r="S367" s="8" t="s">
        <v>4037</v>
      </c>
      <c r="T367" s="10" t="s">
        <v>4024</v>
      </c>
      <c r="U367" s="10" t="s">
        <v>87</v>
      </c>
      <c r="V367" s="10" t="s">
        <v>87</v>
      </c>
    </row>
    <row r="368" spans="1:22" s="10" customFormat="1" x14ac:dyDescent="0.25">
      <c r="A368" s="10" t="s">
        <v>4038</v>
      </c>
      <c r="B368" s="10" t="s">
        <v>4016</v>
      </c>
      <c r="C368" s="11" t="s">
        <v>346</v>
      </c>
      <c r="D368" s="10" t="s">
        <v>4039</v>
      </c>
      <c r="E368" s="8" t="s">
        <v>4040</v>
      </c>
      <c r="F368" s="8" t="s">
        <v>4041</v>
      </c>
      <c r="G368" s="10" t="s">
        <v>2647</v>
      </c>
      <c r="H368" s="8" t="s">
        <v>4042</v>
      </c>
      <c r="I368" s="10" t="s">
        <v>4043</v>
      </c>
      <c r="J368" s="8" t="s">
        <v>4021</v>
      </c>
      <c r="K368" s="8" t="s">
        <v>2649</v>
      </c>
      <c r="L368" s="8" t="s">
        <v>87</v>
      </c>
      <c r="M368" s="10" t="s">
        <v>1436</v>
      </c>
      <c r="N368" s="8" t="s">
        <v>87</v>
      </c>
      <c r="O368" s="10" t="s">
        <v>22</v>
      </c>
      <c r="P368" s="8" t="s">
        <v>4044</v>
      </c>
      <c r="Q368" s="10" t="s">
        <v>1447</v>
      </c>
      <c r="R368" s="10" t="s">
        <v>1438</v>
      </c>
      <c r="S368" s="8" t="s">
        <v>4045</v>
      </c>
      <c r="T368" s="10" t="s">
        <v>4024</v>
      </c>
      <c r="U368" s="10" t="s">
        <v>87</v>
      </c>
      <c r="V368" s="10" t="s">
        <v>87</v>
      </c>
    </row>
    <row r="369" spans="1:22" s="10" customFormat="1" x14ac:dyDescent="0.25">
      <c r="A369" s="10" t="s">
        <v>4046</v>
      </c>
      <c r="B369" s="10" t="s">
        <v>4016</v>
      </c>
      <c r="C369" s="11" t="s">
        <v>346</v>
      </c>
      <c r="D369" s="10" t="s">
        <v>4047</v>
      </c>
      <c r="E369" s="8" t="s">
        <v>4048</v>
      </c>
      <c r="F369" s="8" t="s">
        <v>4049</v>
      </c>
      <c r="G369" s="10" t="s">
        <v>2647</v>
      </c>
      <c r="H369" s="8" t="s">
        <v>4050</v>
      </c>
      <c r="I369" s="10" t="s">
        <v>4043</v>
      </c>
      <c r="J369" s="8" t="s">
        <v>4021</v>
      </c>
      <c r="K369" s="8" t="s">
        <v>2649</v>
      </c>
      <c r="L369" s="8" t="s">
        <v>87</v>
      </c>
      <c r="M369" s="10" t="s">
        <v>1436</v>
      </c>
      <c r="N369" s="8" t="s">
        <v>87</v>
      </c>
      <c r="O369" s="10" t="s">
        <v>22</v>
      </c>
      <c r="P369" s="8" t="s">
        <v>4051</v>
      </c>
      <c r="Q369" s="10" t="s">
        <v>1447</v>
      </c>
      <c r="R369" s="10" t="s">
        <v>1438</v>
      </c>
      <c r="S369" s="8" t="s">
        <v>4052</v>
      </c>
      <c r="T369" s="10" t="s">
        <v>4024</v>
      </c>
      <c r="U369" s="10" t="s">
        <v>87</v>
      </c>
      <c r="V369" s="10" t="s">
        <v>87</v>
      </c>
    </row>
    <row r="370" spans="1:22" s="10" customFormat="1" x14ac:dyDescent="0.25">
      <c r="A370" s="10" t="s">
        <v>4053</v>
      </c>
      <c r="B370" s="10" t="s">
        <v>4016</v>
      </c>
      <c r="C370" s="11" t="s">
        <v>346</v>
      </c>
      <c r="D370" s="10" t="s">
        <v>4054</v>
      </c>
      <c r="E370" s="8" t="s">
        <v>4055</v>
      </c>
      <c r="F370" s="8" t="s">
        <v>4056</v>
      </c>
      <c r="G370" s="10" t="s">
        <v>2647</v>
      </c>
      <c r="H370" s="8" t="s">
        <v>4057</v>
      </c>
      <c r="I370" s="10" t="s">
        <v>4058</v>
      </c>
      <c r="J370" s="8" t="s">
        <v>4021</v>
      </c>
      <c r="K370" s="8" t="s">
        <v>2649</v>
      </c>
      <c r="L370" s="8" t="s">
        <v>87</v>
      </c>
      <c r="M370" s="10" t="s">
        <v>1436</v>
      </c>
      <c r="N370" s="8" t="s">
        <v>87</v>
      </c>
      <c r="O370" s="10" t="s">
        <v>22</v>
      </c>
      <c r="P370" s="8" t="s">
        <v>4059</v>
      </c>
      <c r="Q370" s="10" t="s">
        <v>1447</v>
      </c>
      <c r="R370" s="10" t="s">
        <v>1438</v>
      </c>
      <c r="S370" s="8" t="s">
        <v>4060</v>
      </c>
      <c r="T370" s="10" t="s">
        <v>4024</v>
      </c>
      <c r="U370" s="10" t="s">
        <v>87</v>
      </c>
      <c r="V370" s="10" t="s">
        <v>87</v>
      </c>
    </row>
    <row r="371" spans="1:22" s="10" customFormat="1" x14ac:dyDescent="0.25">
      <c r="A371" s="10" t="s">
        <v>4061</v>
      </c>
      <c r="B371" s="10" t="s">
        <v>4016</v>
      </c>
      <c r="C371" s="10" t="s">
        <v>215</v>
      </c>
      <c r="D371" s="10" t="s">
        <v>4062</v>
      </c>
      <c r="E371" s="8" t="s">
        <v>4063</v>
      </c>
      <c r="F371" s="8" t="s">
        <v>4064</v>
      </c>
      <c r="G371" s="10" t="s">
        <v>2647</v>
      </c>
      <c r="H371" s="8" t="s">
        <v>4065</v>
      </c>
      <c r="I371" s="10" t="s">
        <v>3371</v>
      </c>
      <c r="J371" s="8" t="s">
        <v>4021</v>
      </c>
      <c r="K371" s="8" t="s">
        <v>2649</v>
      </c>
      <c r="L371" s="8" t="s">
        <v>87</v>
      </c>
      <c r="M371" s="10" t="s">
        <v>1436</v>
      </c>
      <c r="N371" s="8" t="s">
        <v>87</v>
      </c>
      <c r="O371" s="10" t="s">
        <v>22</v>
      </c>
      <c r="P371" s="8" t="s">
        <v>4066</v>
      </c>
      <c r="Q371" s="10" t="s">
        <v>239</v>
      </c>
      <c r="R371" s="10" t="s">
        <v>1438</v>
      </c>
      <c r="S371" s="8" t="s">
        <v>4067</v>
      </c>
      <c r="T371" s="10" t="s">
        <v>4024</v>
      </c>
      <c r="U371" s="10" t="s">
        <v>87</v>
      </c>
      <c r="V371" s="10" t="s">
        <v>87</v>
      </c>
    </row>
    <row r="372" spans="1:22" s="10" customFormat="1" x14ac:dyDescent="0.25">
      <c r="A372" s="10" t="s">
        <v>4068</v>
      </c>
      <c r="B372" s="10" t="s">
        <v>4016</v>
      </c>
      <c r="C372" s="10" t="s">
        <v>215</v>
      </c>
      <c r="D372" s="10" t="s">
        <v>4069</v>
      </c>
      <c r="E372" s="8" t="s">
        <v>4070</v>
      </c>
      <c r="F372" s="8" t="s">
        <v>4064</v>
      </c>
      <c r="G372" s="10" t="s">
        <v>2647</v>
      </c>
      <c r="H372" s="8" t="s">
        <v>4071</v>
      </c>
      <c r="I372" s="10" t="s">
        <v>868</v>
      </c>
      <c r="J372" s="8" t="s">
        <v>4021</v>
      </c>
      <c r="K372" s="8" t="s">
        <v>2649</v>
      </c>
      <c r="L372" s="8" t="s">
        <v>87</v>
      </c>
      <c r="M372" s="10" t="s">
        <v>1436</v>
      </c>
      <c r="N372" s="8" t="s">
        <v>87</v>
      </c>
      <c r="O372" s="10" t="s">
        <v>22</v>
      </c>
      <c r="P372" s="8" t="s">
        <v>4072</v>
      </c>
      <c r="Q372" s="10" t="s">
        <v>239</v>
      </c>
      <c r="R372" s="10" t="s">
        <v>1438</v>
      </c>
      <c r="S372" s="8" t="s">
        <v>4073</v>
      </c>
      <c r="T372" s="10" t="s">
        <v>4024</v>
      </c>
      <c r="U372" s="10" t="s">
        <v>87</v>
      </c>
      <c r="V372" s="10" t="s">
        <v>87</v>
      </c>
    </row>
    <row r="373" spans="1:22" s="10" customFormat="1" x14ac:dyDescent="0.25">
      <c r="A373" s="10" t="s">
        <v>4074</v>
      </c>
      <c r="B373" s="10" t="s">
        <v>4016</v>
      </c>
      <c r="C373" s="10" t="s">
        <v>215</v>
      </c>
      <c r="D373" s="10" t="s">
        <v>4075</v>
      </c>
      <c r="E373" s="8" t="s">
        <v>4076</v>
      </c>
      <c r="F373" s="8" t="s">
        <v>4077</v>
      </c>
      <c r="G373" s="10" t="s">
        <v>2647</v>
      </c>
      <c r="H373" s="8" t="s">
        <v>4078</v>
      </c>
      <c r="I373" s="10" t="s">
        <v>4079</v>
      </c>
      <c r="J373" s="8" t="s">
        <v>4021</v>
      </c>
      <c r="K373" s="8" t="s">
        <v>2649</v>
      </c>
      <c r="L373" s="8" t="s">
        <v>87</v>
      </c>
      <c r="M373" s="10" t="s">
        <v>1436</v>
      </c>
      <c r="N373" s="8" t="s">
        <v>87</v>
      </c>
      <c r="O373" s="10" t="s">
        <v>22</v>
      </c>
      <c r="P373" s="8" t="s">
        <v>4080</v>
      </c>
      <c r="Q373" s="10" t="s">
        <v>239</v>
      </c>
      <c r="R373" s="10" t="s">
        <v>1438</v>
      </c>
      <c r="S373" s="8" t="s">
        <v>4081</v>
      </c>
      <c r="T373" s="10" t="s">
        <v>4024</v>
      </c>
      <c r="U373" s="10" t="s">
        <v>87</v>
      </c>
      <c r="V373" s="10" t="s">
        <v>87</v>
      </c>
    </row>
    <row r="374" spans="1:22" s="10" customFormat="1" x14ac:dyDescent="0.25">
      <c r="A374" s="10" t="s">
        <v>4082</v>
      </c>
      <c r="B374" s="10" t="s">
        <v>4016</v>
      </c>
      <c r="C374" s="10" t="s">
        <v>215</v>
      </c>
      <c r="D374" s="10" t="s">
        <v>4083</v>
      </c>
      <c r="E374" s="8" t="s">
        <v>4084</v>
      </c>
      <c r="F374" s="8" t="s">
        <v>4077</v>
      </c>
      <c r="G374" s="10" t="s">
        <v>2647</v>
      </c>
      <c r="H374" s="8" t="s">
        <v>4085</v>
      </c>
      <c r="I374" s="10" t="s">
        <v>4079</v>
      </c>
      <c r="J374" s="8" t="s">
        <v>4021</v>
      </c>
      <c r="K374" s="8" t="s">
        <v>2649</v>
      </c>
      <c r="L374" s="8" t="s">
        <v>87</v>
      </c>
      <c r="M374" s="10" t="s">
        <v>1436</v>
      </c>
      <c r="N374" s="8" t="s">
        <v>87</v>
      </c>
      <c r="O374" s="10" t="s">
        <v>22</v>
      </c>
      <c r="P374" s="8" t="s">
        <v>4086</v>
      </c>
      <c r="Q374" s="10" t="s">
        <v>239</v>
      </c>
      <c r="R374" s="10" t="s">
        <v>1438</v>
      </c>
      <c r="S374" s="8" t="s">
        <v>4087</v>
      </c>
      <c r="T374" s="10" t="s">
        <v>4024</v>
      </c>
      <c r="U374" s="10" t="s">
        <v>87</v>
      </c>
      <c r="V374" s="10" t="s">
        <v>87</v>
      </c>
    </row>
    <row r="375" spans="1:22" s="10" customFormat="1" x14ac:dyDescent="0.25">
      <c r="A375" s="10" t="s">
        <v>4088</v>
      </c>
      <c r="B375" s="10" t="s">
        <v>4016</v>
      </c>
      <c r="C375" s="10" t="s">
        <v>215</v>
      </c>
      <c r="D375" s="10" t="s">
        <v>4089</v>
      </c>
      <c r="E375" s="8" t="s">
        <v>4090</v>
      </c>
      <c r="F375" s="8" t="s">
        <v>4091</v>
      </c>
      <c r="G375" s="10" t="s">
        <v>2647</v>
      </c>
      <c r="H375" s="8" t="s">
        <v>4092</v>
      </c>
      <c r="I375" s="10" t="s">
        <v>4093</v>
      </c>
      <c r="J375" s="8" t="s">
        <v>4021</v>
      </c>
      <c r="K375" s="8" t="s">
        <v>2649</v>
      </c>
      <c r="L375" s="8" t="s">
        <v>87</v>
      </c>
      <c r="M375" s="10" t="s">
        <v>1436</v>
      </c>
      <c r="N375" s="8" t="s">
        <v>87</v>
      </c>
      <c r="O375" s="10" t="s">
        <v>22</v>
      </c>
      <c r="P375" s="8" t="s">
        <v>4094</v>
      </c>
      <c r="Q375" s="10" t="s">
        <v>239</v>
      </c>
      <c r="R375" s="10" t="s">
        <v>1438</v>
      </c>
      <c r="S375" s="8" t="s">
        <v>4095</v>
      </c>
      <c r="T375" s="10" t="s">
        <v>4024</v>
      </c>
      <c r="U375" s="10" t="s">
        <v>87</v>
      </c>
      <c r="V375" s="10" t="s">
        <v>87</v>
      </c>
    </row>
    <row r="376" spans="1:22" s="10" customFormat="1" x14ac:dyDescent="0.25">
      <c r="A376" s="10" t="s">
        <v>4096</v>
      </c>
      <c r="B376" s="10" t="s">
        <v>4016</v>
      </c>
      <c r="C376" s="11" t="s">
        <v>346</v>
      </c>
      <c r="D376" s="10" t="s">
        <v>4097</v>
      </c>
      <c r="E376" s="8" t="s">
        <v>4098</v>
      </c>
      <c r="F376" s="8" t="s">
        <v>4099</v>
      </c>
      <c r="G376" s="10" t="s">
        <v>2647</v>
      </c>
      <c r="H376" s="8" t="s">
        <v>4100</v>
      </c>
      <c r="I376" s="10" t="s">
        <v>4093</v>
      </c>
      <c r="J376" s="8" t="s">
        <v>4021</v>
      </c>
      <c r="K376" s="8" t="s">
        <v>2649</v>
      </c>
      <c r="L376" s="8" t="s">
        <v>87</v>
      </c>
      <c r="M376" s="10" t="s">
        <v>1436</v>
      </c>
      <c r="N376" s="8" t="s">
        <v>87</v>
      </c>
      <c r="O376" s="10" t="s">
        <v>22</v>
      </c>
      <c r="P376" s="8" t="s">
        <v>4101</v>
      </c>
      <c r="Q376" s="10" t="s">
        <v>239</v>
      </c>
      <c r="R376" s="10" t="s">
        <v>1438</v>
      </c>
      <c r="S376" s="8" t="s">
        <v>4102</v>
      </c>
      <c r="T376" s="10" t="s">
        <v>4024</v>
      </c>
      <c r="U376" s="10" t="s">
        <v>87</v>
      </c>
      <c r="V376" s="10" t="s">
        <v>87</v>
      </c>
    </row>
    <row r="377" spans="1:22" s="10" customFormat="1" x14ac:dyDescent="0.25">
      <c r="A377" s="10" t="s">
        <v>4103</v>
      </c>
      <c r="B377" s="10" t="s">
        <v>4016</v>
      </c>
      <c r="C377" s="11" t="s">
        <v>346</v>
      </c>
      <c r="D377" s="10" t="s">
        <v>4104</v>
      </c>
      <c r="E377" s="8" t="s">
        <v>4105</v>
      </c>
      <c r="F377" s="8" t="s">
        <v>4106</v>
      </c>
      <c r="G377" s="10" t="s">
        <v>2647</v>
      </c>
      <c r="H377" s="8" t="s">
        <v>4107</v>
      </c>
      <c r="I377" s="10" t="s">
        <v>4108</v>
      </c>
      <c r="J377" s="8" t="s">
        <v>4021</v>
      </c>
      <c r="K377" s="8" t="s">
        <v>2649</v>
      </c>
      <c r="L377" s="8" t="s">
        <v>87</v>
      </c>
      <c r="M377" s="10" t="s">
        <v>1436</v>
      </c>
      <c r="N377" s="8" t="s">
        <v>87</v>
      </c>
      <c r="O377" s="10" t="s">
        <v>22</v>
      </c>
      <c r="P377" s="8" t="s">
        <v>4109</v>
      </c>
      <c r="Q377" s="10" t="s">
        <v>246</v>
      </c>
      <c r="R377" s="10" t="s">
        <v>1438</v>
      </c>
      <c r="S377" s="8" t="s">
        <v>4110</v>
      </c>
      <c r="T377" s="10" t="s">
        <v>4024</v>
      </c>
      <c r="U377" s="10" t="s">
        <v>87</v>
      </c>
      <c r="V377" s="10" t="s">
        <v>87</v>
      </c>
    </row>
    <row r="378" spans="1:22" s="10" customFormat="1" x14ac:dyDescent="0.25">
      <c r="A378" s="10" t="s">
        <v>4111</v>
      </c>
      <c r="B378" s="10" t="s">
        <v>4016</v>
      </c>
      <c r="C378" s="10" t="s">
        <v>215</v>
      </c>
      <c r="D378" s="10" t="s">
        <v>4112</v>
      </c>
      <c r="E378" s="8" t="s">
        <v>4113</v>
      </c>
      <c r="F378" s="8" t="s">
        <v>4114</v>
      </c>
      <c r="G378" s="10" t="s">
        <v>2647</v>
      </c>
      <c r="H378" s="8" t="s">
        <v>1663</v>
      </c>
      <c r="I378" s="10" t="s">
        <v>4115</v>
      </c>
      <c r="J378" s="8" t="s">
        <v>4021</v>
      </c>
      <c r="K378" s="8" t="s">
        <v>2649</v>
      </c>
      <c r="L378" s="8" t="s">
        <v>87</v>
      </c>
      <c r="M378" s="10" t="s">
        <v>1436</v>
      </c>
      <c r="N378" s="8" t="s">
        <v>87</v>
      </c>
      <c r="O378" s="10" t="s">
        <v>22</v>
      </c>
      <c r="P378" s="8" t="s">
        <v>4116</v>
      </c>
      <c r="Q378" s="10" t="s">
        <v>223</v>
      </c>
      <c r="R378" s="10" t="s">
        <v>1438</v>
      </c>
      <c r="S378" s="8" t="s">
        <v>4117</v>
      </c>
      <c r="T378" s="10" t="s">
        <v>4024</v>
      </c>
      <c r="U378" s="10" t="s">
        <v>87</v>
      </c>
      <c r="V378" s="10" t="s">
        <v>87</v>
      </c>
    </row>
    <row r="379" spans="1:22" s="10" customFormat="1" x14ac:dyDescent="0.25">
      <c r="A379" s="10" t="s">
        <v>4118</v>
      </c>
      <c r="B379" s="10" t="s">
        <v>4016</v>
      </c>
      <c r="C379" s="10" t="s">
        <v>215</v>
      </c>
      <c r="D379" s="10" t="s">
        <v>4119</v>
      </c>
      <c r="E379" s="8" t="s">
        <v>4120</v>
      </c>
      <c r="F379" s="8" t="s">
        <v>4121</v>
      </c>
      <c r="G379" s="10" t="s">
        <v>2647</v>
      </c>
      <c r="H379" s="8" t="s">
        <v>4122</v>
      </c>
      <c r="I379" s="10" t="s">
        <v>4123</v>
      </c>
      <c r="J379" s="8" t="s">
        <v>4021</v>
      </c>
      <c r="K379" s="8" t="s">
        <v>2649</v>
      </c>
      <c r="L379" s="8" t="s">
        <v>87</v>
      </c>
      <c r="M379" s="10" t="s">
        <v>1436</v>
      </c>
      <c r="N379" s="8" t="s">
        <v>87</v>
      </c>
      <c r="O379" s="10" t="s">
        <v>22</v>
      </c>
      <c r="P379" s="8" t="s">
        <v>4124</v>
      </c>
      <c r="Q379" s="10" t="s">
        <v>223</v>
      </c>
      <c r="R379" s="10" t="s">
        <v>1438</v>
      </c>
      <c r="S379" s="8" t="s">
        <v>4125</v>
      </c>
      <c r="T379" s="10" t="s">
        <v>4024</v>
      </c>
      <c r="U379" s="10" t="s">
        <v>87</v>
      </c>
      <c r="V379" s="10" t="s">
        <v>87</v>
      </c>
    </row>
    <row r="380" spans="1:22" s="10" customFormat="1" x14ac:dyDescent="0.25">
      <c r="A380" s="10" t="s">
        <v>4126</v>
      </c>
      <c r="B380" s="10" t="s">
        <v>4016</v>
      </c>
      <c r="C380" s="10" t="s">
        <v>384</v>
      </c>
      <c r="D380" s="10" t="s">
        <v>4127</v>
      </c>
      <c r="E380" s="8" t="s">
        <v>4128</v>
      </c>
      <c r="F380" s="8" t="s">
        <v>4129</v>
      </c>
      <c r="G380" s="10" t="s">
        <v>2647</v>
      </c>
      <c r="H380" s="8" t="s">
        <v>4130</v>
      </c>
      <c r="I380" s="10" t="s">
        <v>4131</v>
      </c>
      <c r="J380" s="8" t="s">
        <v>4021</v>
      </c>
      <c r="K380" s="8" t="s">
        <v>2649</v>
      </c>
      <c r="L380" s="8" t="s">
        <v>87</v>
      </c>
      <c r="M380" s="10" t="s">
        <v>1436</v>
      </c>
      <c r="N380" s="8" t="s">
        <v>87</v>
      </c>
      <c r="O380" s="10" t="s">
        <v>22</v>
      </c>
      <c r="P380" s="8" t="s">
        <v>4132</v>
      </c>
      <c r="Q380" s="10" t="s">
        <v>223</v>
      </c>
      <c r="R380" s="10" t="s">
        <v>1438</v>
      </c>
      <c r="S380" s="8" t="s">
        <v>4133</v>
      </c>
      <c r="T380" s="10" t="s">
        <v>4024</v>
      </c>
      <c r="U380" s="10" t="s">
        <v>87</v>
      </c>
      <c r="V380" s="10" t="s">
        <v>87</v>
      </c>
    </row>
    <row r="381" spans="1:22" s="10" customFormat="1" x14ac:dyDescent="0.25">
      <c r="A381" s="10" t="s">
        <v>4134</v>
      </c>
      <c r="B381" s="10" t="s">
        <v>4016</v>
      </c>
      <c r="C381" s="10" t="s">
        <v>215</v>
      </c>
      <c r="D381" s="10" t="s">
        <v>4135</v>
      </c>
      <c r="E381" s="8" t="s">
        <v>4136</v>
      </c>
      <c r="F381" s="8" t="s">
        <v>4137</v>
      </c>
      <c r="G381" s="10" t="s">
        <v>2647</v>
      </c>
      <c r="H381" s="8" t="s">
        <v>4138</v>
      </c>
      <c r="I381" s="10" t="s">
        <v>4035</v>
      </c>
      <c r="J381" s="8" t="s">
        <v>4139</v>
      </c>
      <c r="K381" s="8" t="s">
        <v>2649</v>
      </c>
      <c r="L381" s="8" t="s">
        <v>87</v>
      </c>
      <c r="M381" s="10" t="s">
        <v>1436</v>
      </c>
      <c r="N381" s="8" t="s">
        <v>87</v>
      </c>
      <c r="O381" s="10" t="s">
        <v>22</v>
      </c>
      <c r="P381" s="8" t="s">
        <v>4140</v>
      </c>
      <c r="Q381" s="10" t="s">
        <v>223</v>
      </c>
      <c r="R381" s="10" t="s">
        <v>1438</v>
      </c>
      <c r="S381" s="8" t="s">
        <v>4141</v>
      </c>
      <c r="T381" s="10" t="s">
        <v>4024</v>
      </c>
      <c r="U381" s="10" t="s">
        <v>87</v>
      </c>
      <c r="V381" s="10" t="s">
        <v>87</v>
      </c>
    </row>
    <row r="382" spans="1:22" s="10" customFormat="1" x14ac:dyDescent="0.25">
      <c r="A382" s="10" t="s">
        <v>4142</v>
      </c>
      <c r="B382" s="10" t="s">
        <v>4016</v>
      </c>
      <c r="C382" s="11" t="s">
        <v>346</v>
      </c>
      <c r="D382" s="10" t="s">
        <v>4143</v>
      </c>
      <c r="E382" s="8" t="s">
        <v>4144</v>
      </c>
      <c r="F382" s="8" t="s">
        <v>4145</v>
      </c>
      <c r="G382" s="10" t="s">
        <v>2647</v>
      </c>
      <c r="H382" s="8" t="s">
        <v>4146</v>
      </c>
      <c r="I382" s="10" t="s">
        <v>3574</v>
      </c>
      <c r="J382" s="8" t="s">
        <v>4021</v>
      </c>
      <c r="K382" s="8" t="s">
        <v>2649</v>
      </c>
      <c r="L382" s="8" t="s">
        <v>87</v>
      </c>
      <c r="M382" s="10" t="s">
        <v>1436</v>
      </c>
      <c r="N382" s="8" t="s">
        <v>87</v>
      </c>
      <c r="O382" s="10" t="s">
        <v>22</v>
      </c>
      <c r="P382" s="8" t="s">
        <v>4147</v>
      </c>
      <c r="Q382" s="10" t="s">
        <v>239</v>
      </c>
      <c r="R382" s="10" t="s">
        <v>1438</v>
      </c>
      <c r="S382" s="8" t="s">
        <v>4148</v>
      </c>
      <c r="T382" s="10" t="s">
        <v>4024</v>
      </c>
      <c r="U382" s="10" t="s">
        <v>87</v>
      </c>
      <c r="V382" s="10" t="s">
        <v>87</v>
      </c>
    </row>
    <row r="383" spans="1:22" s="10" customFormat="1" x14ac:dyDescent="0.25">
      <c r="A383" s="10" t="s">
        <v>4149</v>
      </c>
      <c r="B383" s="10" t="s">
        <v>4016</v>
      </c>
      <c r="C383" s="10" t="s">
        <v>215</v>
      </c>
      <c r="D383" s="10" t="s">
        <v>4150</v>
      </c>
      <c r="E383" s="8" t="s">
        <v>4151</v>
      </c>
      <c r="F383" s="8" t="s">
        <v>4152</v>
      </c>
      <c r="G383" s="10" t="s">
        <v>2647</v>
      </c>
      <c r="H383" s="8" t="s">
        <v>4153</v>
      </c>
      <c r="I383" s="10" t="s">
        <v>3480</v>
      </c>
      <c r="J383" s="8" t="s">
        <v>4021</v>
      </c>
      <c r="K383" s="8" t="s">
        <v>2649</v>
      </c>
      <c r="L383" s="8" t="s">
        <v>87</v>
      </c>
      <c r="M383" s="10" t="s">
        <v>1436</v>
      </c>
      <c r="N383" s="8" t="s">
        <v>87</v>
      </c>
      <c r="O383" s="10" t="s">
        <v>22</v>
      </c>
      <c r="P383" s="8" t="s">
        <v>4154</v>
      </c>
      <c r="Q383" s="10" t="s">
        <v>223</v>
      </c>
      <c r="R383" s="10" t="s">
        <v>1438</v>
      </c>
      <c r="S383" s="8" t="s">
        <v>4155</v>
      </c>
      <c r="T383" s="10" t="s">
        <v>4024</v>
      </c>
      <c r="U383" s="10" t="s">
        <v>87</v>
      </c>
      <c r="V383" s="10" t="s">
        <v>87</v>
      </c>
    </row>
    <row r="384" spans="1:22" s="10" customFormat="1" x14ac:dyDescent="0.25">
      <c r="A384" s="10" t="s">
        <v>4156</v>
      </c>
      <c r="B384" s="10" t="s">
        <v>4016</v>
      </c>
      <c r="C384" s="10" t="s">
        <v>215</v>
      </c>
      <c r="D384" s="10" t="s">
        <v>4157</v>
      </c>
      <c r="E384" s="8" t="s">
        <v>4158</v>
      </c>
      <c r="F384" s="8" t="s">
        <v>4159</v>
      </c>
      <c r="G384" s="10" t="s">
        <v>2647</v>
      </c>
      <c r="H384" s="8" t="s">
        <v>4160</v>
      </c>
      <c r="I384" s="10" t="s">
        <v>4161</v>
      </c>
      <c r="J384" s="8" t="s">
        <v>4021</v>
      </c>
      <c r="K384" s="8" t="s">
        <v>2649</v>
      </c>
      <c r="L384" s="8" t="s">
        <v>87</v>
      </c>
      <c r="M384" s="10" t="s">
        <v>1436</v>
      </c>
      <c r="N384" s="8" t="s">
        <v>87</v>
      </c>
      <c r="O384" s="10" t="s">
        <v>22</v>
      </c>
      <c r="P384" s="8" t="s">
        <v>4162</v>
      </c>
      <c r="Q384" s="10" t="s">
        <v>223</v>
      </c>
      <c r="R384" s="10" t="s">
        <v>1438</v>
      </c>
      <c r="S384" s="8" t="s">
        <v>4163</v>
      </c>
      <c r="T384" s="10" t="s">
        <v>4024</v>
      </c>
      <c r="U384" s="10" t="s">
        <v>87</v>
      </c>
      <c r="V384" s="10" t="s">
        <v>87</v>
      </c>
    </row>
    <row r="385" spans="1:22" s="10" customFormat="1" x14ac:dyDescent="0.25">
      <c r="A385" s="10" t="s">
        <v>4164</v>
      </c>
      <c r="B385" s="10" t="s">
        <v>4016</v>
      </c>
      <c r="C385" s="10" t="s">
        <v>384</v>
      </c>
      <c r="D385" s="10" t="s">
        <v>4165</v>
      </c>
      <c r="E385" s="8" t="s">
        <v>4166</v>
      </c>
      <c r="F385" s="8" t="s">
        <v>4167</v>
      </c>
      <c r="G385" s="10" t="s">
        <v>2647</v>
      </c>
      <c r="H385" s="8" t="s">
        <v>1695</v>
      </c>
      <c r="I385" s="10" t="s">
        <v>3480</v>
      </c>
      <c r="J385" s="8" t="s">
        <v>4021</v>
      </c>
      <c r="K385" s="8" t="s">
        <v>2649</v>
      </c>
      <c r="L385" s="8" t="s">
        <v>87</v>
      </c>
      <c r="M385" s="10" t="s">
        <v>1436</v>
      </c>
      <c r="N385" s="8" t="s">
        <v>87</v>
      </c>
      <c r="O385" s="10" t="s">
        <v>22</v>
      </c>
      <c r="P385" s="8" t="s">
        <v>4168</v>
      </c>
      <c r="Q385" s="10" t="s">
        <v>223</v>
      </c>
      <c r="R385" s="10" t="s">
        <v>1438</v>
      </c>
      <c r="S385" s="8" t="s">
        <v>4169</v>
      </c>
      <c r="T385" s="10" t="s">
        <v>4024</v>
      </c>
      <c r="U385" s="10" t="s">
        <v>87</v>
      </c>
      <c r="V385" s="10" t="s">
        <v>87</v>
      </c>
    </row>
    <row r="386" spans="1:22" s="10" customFormat="1" x14ac:dyDescent="0.25">
      <c r="A386" s="10" t="s">
        <v>4170</v>
      </c>
      <c r="B386" s="10" t="s">
        <v>4016</v>
      </c>
      <c r="C386" s="10" t="s">
        <v>215</v>
      </c>
      <c r="D386" s="10" t="s">
        <v>4171</v>
      </c>
      <c r="E386" s="8" t="s">
        <v>4172</v>
      </c>
      <c r="F386" s="8" t="s">
        <v>4173</v>
      </c>
      <c r="G386" s="10" t="s">
        <v>2647</v>
      </c>
      <c r="H386" s="8" t="s">
        <v>4174</v>
      </c>
      <c r="I386" s="10" t="s">
        <v>4043</v>
      </c>
      <c r="J386" s="8" t="s">
        <v>4021</v>
      </c>
      <c r="K386" s="8" t="s">
        <v>2649</v>
      </c>
      <c r="L386" s="8" t="s">
        <v>87</v>
      </c>
      <c r="M386" s="10" t="s">
        <v>1436</v>
      </c>
      <c r="N386" s="8" t="s">
        <v>87</v>
      </c>
      <c r="O386" s="10" t="s">
        <v>22</v>
      </c>
      <c r="P386" s="8" t="s">
        <v>4175</v>
      </c>
      <c r="Q386" s="10" t="s">
        <v>239</v>
      </c>
      <c r="R386" s="10" t="s">
        <v>1438</v>
      </c>
      <c r="S386" s="8" t="s">
        <v>4176</v>
      </c>
      <c r="T386" s="10" t="s">
        <v>4024</v>
      </c>
      <c r="U386" s="10" t="s">
        <v>87</v>
      </c>
      <c r="V386" s="10" t="s">
        <v>87</v>
      </c>
    </row>
    <row r="387" spans="1:22" s="10" customFormat="1" x14ac:dyDescent="0.25">
      <c r="A387" s="10" t="s">
        <v>4177</v>
      </c>
      <c r="B387" s="10" t="s">
        <v>4016</v>
      </c>
      <c r="C387" s="10" t="s">
        <v>215</v>
      </c>
      <c r="D387" s="10" t="s">
        <v>4178</v>
      </c>
      <c r="E387" s="8" t="s">
        <v>4179</v>
      </c>
      <c r="F387" s="8" t="s">
        <v>4180</v>
      </c>
      <c r="G387" s="10" t="s">
        <v>2647</v>
      </c>
      <c r="H387" s="8" t="s">
        <v>4181</v>
      </c>
      <c r="I387" s="10" t="s">
        <v>4043</v>
      </c>
      <c r="J387" s="8" t="s">
        <v>4021</v>
      </c>
      <c r="K387" s="8" t="s">
        <v>2649</v>
      </c>
      <c r="L387" s="8" t="s">
        <v>87</v>
      </c>
      <c r="M387" s="10" t="s">
        <v>1436</v>
      </c>
      <c r="N387" s="8" t="s">
        <v>87</v>
      </c>
      <c r="O387" s="10" t="s">
        <v>22</v>
      </c>
      <c r="P387" s="8" t="s">
        <v>4182</v>
      </c>
      <c r="Q387" s="10" t="s">
        <v>246</v>
      </c>
      <c r="R387" s="10" t="s">
        <v>1438</v>
      </c>
      <c r="S387" s="8" t="s">
        <v>4183</v>
      </c>
      <c r="T387" s="10" t="s">
        <v>4024</v>
      </c>
      <c r="U387" s="10" t="s">
        <v>87</v>
      </c>
      <c r="V387" s="10" t="s">
        <v>87</v>
      </c>
    </row>
    <row r="388" spans="1:22" s="10" customFormat="1" x14ac:dyDescent="0.25">
      <c r="A388" s="10" t="s">
        <v>4184</v>
      </c>
      <c r="B388" s="10" t="s">
        <v>4016</v>
      </c>
      <c r="C388" s="10" t="s">
        <v>215</v>
      </c>
      <c r="D388" s="10" t="s">
        <v>4185</v>
      </c>
      <c r="E388" s="8" t="s">
        <v>4186</v>
      </c>
      <c r="F388" s="8" t="s">
        <v>4187</v>
      </c>
      <c r="G388" s="10" t="s">
        <v>2647</v>
      </c>
      <c r="H388" s="8" t="s">
        <v>4188</v>
      </c>
      <c r="I388" s="10" t="s">
        <v>4189</v>
      </c>
      <c r="J388" s="8" t="s">
        <v>4021</v>
      </c>
      <c r="K388" s="8" t="s">
        <v>2649</v>
      </c>
      <c r="L388" s="8" t="s">
        <v>87</v>
      </c>
      <c r="M388" s="10" t="s">
        <v>1436</v>
      </c>
      <c r="N388" s="8" t="s">
        <v>87</v>
      </c>
      <c r="O388" s="10" t="s">
        <v>22</v>
      </c>
      <c r="P388" s="8" t="s">
        <v>4190</v>
      </c>
      <c r="Q388" s="10" t="s">
        <v>223</v>
      </c>
      <c r="R388" s="10" t="s">
        <v>1438</v>
      </c>
      <c r="S388" s="8" t="s">
        <v>4191</v>
      </c>
      <c r="T388" s="10" t="s">
        <v>4024</v>
      </c>
      <c r="U388" s="10" t="s">
        <v>87</v>
      </c>
      <c r="V388" s="10" t="s">
        <v>87</v>
      </c>
    </row>
    <row r="389" spans="1:22" s="10" customFormat="1" x14ac:dyDescent="0.25">
      <c r="A389" s="10" t="s">
        <v>4192</v>
      </c>
      <c r="B389" s="10" t="s">
        <v>4016</v>
      </c>
      <c r="C389" s="10" t="s">
        <v>215</v>
      </c>
      <c r="D389" s="10" t="s">
        <v>4193</v>
      </c>
      <c r="E389" s="8" t="s">
        <v>4194</v>
      </c>
      <c r="F389" s="8" t="s">
        <v>4195</v>
      </c>
      <c r="G389" s="10" t="s">
        <v>2647</v>
      </c>
      <c r="H389" s="8" t="s">
        <v>4196</v>
      </c>
      <c r="I389" s="10" t="s">
        <v>4079</v>
      </c>
      <c r="J389" s="8" t="s">
        <v>4021</v>
      </c>
      <c r="K389" s="8" t="s">
        <v>2649</v>
      </c>
      <c r="L389" s="8" t="s">
        <v>87</v>
      </c>
      <c r="M389" s="10" t="s">
        <v>1436</v>
      </c>
      <c r="N389" s="8" t="s">
        <v>87</v>
      </c>
      <c r="O389" s="10" t="s">
        <v>22</v>
      </c>
      <c r="P389" s="8" t="s">
        <v>4197</v>
      </c>
      <c r="Q389" s="10" t="s">
        <v>223</v>
      </c>
      <c r="R389" s="10" t="s">
        <v>1438</v>
      </c>
      <c r="S389" s="8" t="s">
        <v>4198</v>
      </c>
      <c r="T389" s="10" t="s">
        <v>4024</v>
      </c>
      <c r="U389" s="10" t="s">
        <v>87</v>
      </c>
      <c r="V389" s="10" t="s">
        <v>87</v>
      </c>
    </row>
    <row r="390" spans="1:22" s="10" customFormat="1" x14ac:dyDescent="0.25">
      <c r="A390" s="10" t="s">
        <v>4199</v>
      </c>
      <c r="B390" s="10" t="s">
        <v>4016</v>
      </c>
      <c r="C390" s="11" t="s">
        <v>346</v>
      </c>
      <c r="D390" s="10" t="s">
        <v>4200</v>
      </c>
      <c r="E390" s="8" t="s">
        <v>4201</v>
      </c>
      <c r="F390" s="8" t="s">
        <v>4202</v>
      </c>
      <c r="G390" s="10" t="s">
        <v>2647</v>
      </c>
      <c r="H390" s="8" t="s">
        <v>4196</v>
      </c>
      <c r="I390" s="10" t="s">
        <v>4203</v>
      </c>
      <c r="J390" s="8" t="s">
        <v>4021</v>
      </c>
      <c r="K390" s="8" t="s">
        <v>2649</v>
      </c>
      <c r="L390" s="8" t="s">
        <v>87</v>
      </c>
      <c r="M390" s="10" t="s">
        <v>1436</v>
      </c>
      <c r="N390" s="8" t="s">
        <v>87</v>
      </c>
      <c r="O390" s="10" t="s">
        <v>22</v>
      </c>
      <c r="P390" s="8" t="s">
        <v>4204</v>
      </c>
      <c r="Q390" s="10" t="s">
        <v>223</v>
      </c>
      <c r="R390" s="10" t="s">
        <v>1438</v>
      </c>
      <c r="S390" s="8" t="s">
        <v>4205</v>
      </c>
      <c r="T390" s="10" t="s">
        <v>4024</v>
      </c>
      <c r="U390" s="10" t="s">
        <v>87</v>
      </c>
      <c r="V390" s="10" t="s">
        <v>87</v>
      </c>
    </row>
    <row r="391" spans="1:22" s="10" customFormat="1" x14ac:dyDescent="0.25">
      <c r="A391" s="10" t="s">
        <v>4206</v>
      </c>
      <c r="B391" s="10" t="s">
        <v>4016</v>
      </c>
      <c r="C391" s="11" t="s">
        <v>346</v>
      </c>
      <c r="D391" s="10" t="s">
        <v>4207</v>
      </c>
      <c r="E391" s="8" t="s">
        <v>4208</v>
      </c>
      <c r="F391" s="8" t="s">
        <v>4209</v>
      </c>
      <c r="G391" s="10" t="s">
        <v>2647</v>
      </c>
      <c r="H391" s="8" t="s">
        <v>4210</v>
      </c>
      <c r="I391" s="10" t="s">
        <v>4211</v>
      </c>
      <c r="J391" s="8" t="s">
        <v>4021</v>
      </c>
      <c r="K391" s="8" t="s">
        <v>2649</v>
      </c>
      <c r="L391" s="8" t="s">
        <v>87</v>
      </c>
      <c r="M391" s="10" t="s">
        <v>1436</v>
      </c>
      <c r="N391" s="8" t="s">
        <v>87</v>
      </c>
      <c r="O391" s="10" t="s">
        <v>22</v>
      </c>
      <c r="P391" s="8" t="s">
        <v>4212</v>
      </c>
      <c r="Q391" s="10" t="s">
        <v>1447</v>
      </c>
      <c r="R391" s="10" t="s">
        <v>1438</v>
      </c>
      <c r="S391" s="8" t="s">
        <v>4213</v>
      </c>
      <c r="T391" s="10" t="s">
        <v>4024</v>
      </c>
      <c r="U391" s="10" t="s">
        <v>87</v>
      </c>
      <c r="V391" s="10" t="s">
        <v>87</v>
      </c>
    </row>
    <row r="392" spans="1:22" s="10" customFormat="1" x14ac:dyDescent="0.25">
      <c r="A392" s="10" t="s">
        <v>4214</v>
      </c>
      <c r="B392" s="10" t="s">
        <v>4016</v>
      </c>
      <c r="C392" s="11" t="s">
        <v>346</v>
      </c>
      <c r="D392" s="10" t="s">
        <v>4215</v>
      </c>
      <c r="E392" s="8" t="s">
        <v>4216</v>
      </c>
      <c r="F392" s="8" t="s">
        <v>4217</v>
      </c>
      <c r="G392" s="10" t="s">
        <v>2647</v>
      </c>
      <c r="H392" s="8" t="s">
        <v>4210</v>
      </c>
      <c r="I392" s="10" t="s">
        <v>4218</v>
      </c>
      <c r="J392" s="8" t="s">
        <v>4021</v>
      </c>
      <c r="K392" s="8" t="s">
        <v>2649</v>
      </c>
      <c r="L392" s="8" t="s">
        <v>87</v>
      </c>
      <c r="M392" s="10" t="s">
        <v>1436</v>
      </c>
      <c r="N392" s="8" t="s">
        <v>87</v>
      </c>
      <c r="O392" s="10" t="s">
        <v>22</v>
      </c>
      <c r="P392" s="8" t="s">
        <v>4219</v>
      </c>
      <c r="Q392" s="10" t="s">
        <v>1447</v>
      </c>
      <c r="R392" s="10" t="s">
        <v>4220</v>
      </c>
      <c r="S392" s="8" t="s">
        <v>4221</v>
      </c>
      <c r="T392" s="10" t="s">
        <v>4024</v>
      </c>
      <c r="U392" s="10" t="s">
        <v>87</v>
      </c>
      <c r="V392" s="10" t="s">
        <v>87</v>
      </c>
    </row>
    <row r="393" spans="1:22" s="10" customFormat="1" x14ac:dyDescent="0.25">
      <c r="A393" s="10" t="s">
        <v>4222</v>
      </c>
      <c r="B393" s="10" t="s">
        <v>4016</v>
      </c>
      <c r="C393" s="10" t="s">
        <v>215</v>
      </c>
      <c r="D393" s="10" t="s">
        <v>4223</v>
      </c>
      <c r="E393" s="8" t="s">
        <v>4224</v>
      </c>
      <c r="F393" s="8" t="s">
        <v>4225</v>
      </c>
      <c r="G393" s="10" t="s">
        <v>2647</v>
      </c>
      <c r="H393" s="8" t="s">
        <v>4196</v>
      </c>
      <c r="I393" s="10" t="s">
        <v>3371</v>
      </c>
      <c r="J393" s="8" t="s">
        <v>4021</v>
      </c>
      <c r="K393" s="8" t="s">
        <v>2649</v>
      </c>
      <c r="L393" s="8" t="s">
        <v>87</v>
      </c>
      <c r="M393" s="10" t="s">
        <v>1436</v>
      </c>
      <c r="N393" s="8" t="s">
        <v>87</v>
      </c>
      <c r="O393" s="10" t="s">
        <v>22</v>
      </c>
      <c r="P393" s="8" t="s">
        <v>4226</v>
      </c>
      <c r="Q393" s="10" t="s">
        <v>223</v>
      </c>
      <c r="R393" s="10" t="s">
        <v>1438</v>
      </c>
      <c r="S393" s="8" t="s">
        <v>4227</v>
      </c>
      <c r="T393" s="10" t="s">
        <v>4024</v>
      </c>
      <c r="U393" s="10" t="s">
        <v>87</v>
      </c>
      <c r="V393" s="10" t="s">
        <v>87</v>
      </c>
    </row>
    <row r="394" spans="1:22" s="10" customFormat="1" x14ac:dyDescent="0.25">
      <c r="A394" s="10" t="s">
        <v>4228</v>
      </c>
      <c r="B394" s="10" t="s">
        <v>4016</v>
      </c>
      <c r="C394" s="10" t="s">
        <v>215</v>
      </c>
      <c r="D394" s="10" t="s">
        <v>4229</v>
      </c>
      <c r="E394" s="8" t="s">
        <v>4230</v>
      </c>
      <c r="F394" s="8" t="s">
        <v>4231</v>
      </c>
      <c r="G394" s="10" t="s">
        <v>2647</v>
      </c>
      <c r="H394" s="8" t="s">
        <v>4232</v>
      </c>
      <c r="I394" s="10" t="s">
        <v>4093</v>
      </c>
      <c r="J394" s="8" t="s">
        <v>4021</v>
      </c>
      <c r="K394" s="8" t="s">
        <v>2649</v>
      </c>
      <c r="L394" s="8" t="s">
        <v>87</v>
      </c>
      <c r="M394" s="10" t="s">
        <v>1436</v>
      </c>
      <c r="N394" s="8" t="s">
        <v>87</v>
      </c>
      <c r="O394" s="10" t="s">
        <v>22</v>
      </c>
      <c r="P394" s="8" t="s">
        <v>4233</v>
      </c>
      <c r="Q394" s="10" t="s">
        <v>223</v>
      </c>
      <c r="R394" s="10" t="s">
        <v>1438</v>
      </c>
      <c r="S394" s="8" t="s">
        <v>4234</v>
      </c>
      <c r="T394" s="10" t="s">
        <v>4024</v>
      </c>
      <c r="U394" s="10" t="s">
        <v>87</v>
      </c>
      <c r="V394" s="10" t="s">
        <v>87</v>
      </c>
    </row>
    <row r="395" spans="1:22" s="10" customFormat="1" x14ac:dyDescent="0.25">
      <c r="A395" s="10" t="s">
        <v>4235</v>
      </c>
      <c r="B395" s="10" t="s">
        <v>4016</v>
      </c>
      <c r="C395" s="11" t="s">
        <v>346</v>
      </c>
      <c r="D395" s="10" t="s">
        <v>4236</v>
      </c>
      <c r="E395" s="8" t="s">
        <v>4237</v>
      </c>
      <c r="F395" s="8" t="s">
        <v>4238</v>
      </c>
      <c r="G395" s="10" t="s">
        <v>2647</v>
      </c>
      <c r="H395" s="8" t="s">
        <v>4239</v>
      </c>
      <c r="I395" s="10" t="s">
        <v>4240</v>
      </c>
      <c r="J395" s="8" t="s">
        <v>4021</v>
      </c>
      <c r="K395" s="8" t="s">
        <v>2649</v>
      </c>
      <c r="L395" s="8" t="s">
        <v>87</v>
      </c>
      <c r="M395" s="10" t="s">
        <v>1436</v>
      </c>
      <c r="N395" s="8" t="s">
        <v>87</v>
      </c>
      <c r="O395" s="10" t="s">
        <v>22</v>
      </c>
      <c r="P395" s="8" t="s">
        <v>4241</v>
      </c>
      <c r="Q395" s="10" t="s">
        <v>223</v>
      </c>
      <c r="R395" s="10" t="s">
        <v>1438</v>
      </c>
      <c r="S395" s="8" t="s">
        <v>4242</v>
      </c>
      <c r="T395" s="10" t="s">
        <v>4024</v>
      </c>
      <c r="U395" s="10" t="s">
        <v>87</v>
      </c>
      <c r="V395" s="10" t="s">
        <v>87</v>
      </c>
    </row>
    <row r="396" spans="1:22" s="10" customFormat="1" x14ac:dyDescent="0.25">
      <c r="A396" s="10" t="s">
        <v>4243</v>
      </c>
      <c r="B396" s="10" t="s">
        <v>4016</v>
      </c>
      <c r="C396" s="11" t="s">
        <v>346</v>
      </c>
      <c r="D396" s="10" t="s">
        <v>4244</v>
      </c>
      <c r="E396" s="8" t="s">
        <v>4245</v>
      </c>
      <c r="F396" s="8" t="s">
        <v>4246</v>
      </c>
      <c r="G396" s="10" t="s">
        <v>2647</v>
      </c>
      <c r="H396" s="8" t="s">
        <v>4247</v>
      </c>
      <c r="I396" s="10" t="s">
        <v>4248</v>
      </c>
      <c r="J396" s="8" t="s">
        <v>1655</v>
      </c>
      <c r="K396" s="8" t="s">
        <v>2649</v>
      </c>
      <c r="L396" s="8" t="s">
        <v>87</v>
      </c>
      <c r="M396" s="10" t="s">
        <v>1436</v>
      </c>
      <c r="N396" s="8" t="s">
        <v>87</v>
      </c>
      <c r="O396" s="10" t="s">
        <v>22</v>
      </c>
      <c r="P396" s="8" t="s">
        <v>4249</v>
      </c>
      <c r="Q396" s="10" t="s">
        <v>1447</v>
      </c>
      <c r="R396" s="10" t="s">
        <v>1657</v>
      </c>
      <c r="S396" s="8" t="s">
        <v>4250</v>
      </c>
      <c r="T396" s="10" t="s">
        <v>4024</v>
      </c>
      <c r="U396" s="10" t="s">
        <v>87</v>
      </c>
      <c r="V396" s="10" t="s">
        <v>87</v>
      </c>
    </row>
    <row r="397" spans="1:22" s="10" customFormat="1" x14ac:dyDescent="0.25">
      <c r="A397" s="10" t="s">
        <v>4251</v>
      </c>
      <c r="B397" s="10" t="s">
        <v>4016</v>
      </c>
      <c r="C397" s="11" t="s">
        <v>346</v>
      </c>
      <c r="D397" s="10" t="s">
        <v>4252</v>
      </c>
      <c r="E397" s="8" t="s">
        <v>4253</v>
      </c>
      <c r="F397" s="8" t="s">
        <v>4254</v>
      </c>
      <c r="G397" s="10" t="s">
        <v>2647</v>
      </c>
      <c r="H397" s="8" t="s">
        <v>1663</v>
      </c>
      <c r="I397" s="10" t="s">
        <v>4255</v>
      </c>
      <c r="J397" s="8" t="s">
        <v>1664</v>
      </c>
      <c r="K397" s="8" t="s">
        <v>2649</v>
      </c>
      <c r="L397" s="8" t="s">
        <v>87</v>
      </c>
      <c r="M397" s="10" t="s">
        <v>1436</v>
      </c>
      <c r="N397" s="8" t="s">
        <v>87</v>
      </c>
      <c r="O397" s="10" t="s">
        <v>22</v>
      </c>
      <c r="P397" s="8" t="s">
        <v>4256</v>
      </c>
      <c r="Q397" s="10" t="s">
        <v>825</v>
      </c>
      <c r="R397" s="10" t="s">
        <v>1668</v>
      </c>
      <c r="S397" s="8" t="s">
        <v>1669</v>
      </c>
      <c r="T397" s="10" t="s">
        <v>4024</v>
      </c>
      <c r="U397" s="10" t="s">
        <v>87</v>
      </c>
      <c r="V397" s="10" t="s">
        <v>87</v>
      </c>
    </row>
    <row r="398" spans="1:22" s="10" customFormat="1" x14ac:dyDescent="0.25">
      <c r="A398" s="10" t="s">
        <v>4257</v>
      </c>
      <c r="B398" s="10" t="s">
        <v>4016</v>
      </c>
      <c r="C398" s="10" t="s">
        <v>215</v>
      </c>
      <c r="D398" s="10" t="s">
        <v>4258</v>
      </c>
      <c r="E398" s="8" t="s">
        <v>4259</v>
      </c>
      <c r="F398" s="8" t="s">
        <v>4260</v>
      </c>
      <c r="G398" s="10" t="s">
        <v>2647</v>
      </c>
      <c r="H398" s="8" t="s">
        <v>4196</v>
      </c>
      <c r="I398" s="10" t="s">
        <v>4240</v>
      </c>
      <c r="J398" s="8" t="s">
        <v>4021</v>
      </c>
      <c r="K398" s="8" t="s">
        <v>2649</v>
      </c>
      <c r="L398" s="8" t="s">
        <v>87</v>
      </c>
      <c r="M398" s="10" t="s">
        <v>1436</v>
      </c>
      <c r="N398" s="8" t="s">
        <v>87</v>
      </c>
      <c r="O398" s="10" t="s">
        <v>22</v>
      </c>
      <c r="P398" s="8" t="s">
        <v>4261</v>
      </c>
      <c r="Q398" s="10" t="s">
        <v>223</v>
      </c>
      <c r="R398" s="10" t="s">
        <v>1438</v>
      </c>
      <c r="S398" s="8" t="s">
        <v>1648</v>
      </c>
      <c r="T398" s="10" t="s">
        <v>4024</v>
      </c>
      <c r="U398" s="10" t="s">
        <v>87</v>
      </c>
      <c r="V398" s="10" t="s">
        <v>87</v>
      </c>
    </row>
    <row r="399" spans="1:22" s="10" customFormat="1" x14ac:dyDescent="0.25">
      <c r="A399" s="10" t="s">
        <v>4262</v>
      </c>
      <c r="B399" s="10" t="s">
        <v>4016</v>
      </c>
      <c r="C399" s="10" t="s">
        <v>215</v>
      </c>
      <c r="D399" s="10" t="s">
        <v>4263</v>
      </c>
      <c r="E399" s="8" t="s">
        <v>4264</v>
      </c>
      <c r="F399" s="8" t="s">
        <v>4265</v>
      </c>
      <c r="G399" s="10" t="s">
        <v>4</v>
      </c>
      <c r="H399" s="8" t="s">
        <v>4266</v>
      </c>
      <c r="I399" s="10" t="s">
        <v>4267</v>
      </c>
      <c r="J399" s="8" t="s">
        <v>4021</v>
      </c>
      <c r="K399" s="8" t="s">
        <v>1873</v>
      </c>
      <c r="L399" s="8" t="s">
        <v>87</v>
      </c>
      <c r="M399" s="10" t="s">
        <v>1436</v>
      </c>
      <c r="N399" s="8" t="s">
        <v>87</v>
      </c>
      <c r="O399" s="10" t="s">
        <v>22</v>
      </c>
      <c r="P399" s="8" t="s">
        <v>4268</v>
      </c>
      <c r="Q399" s="10" t="s">
        <v>223</v>
      </c>
      <c r="R399" s="10" t="s">
        <v>1438</v>
      </c>
      <c r="S399" s="8" t="s">
        <v>4269</v>
      </c>
      <c r="T399" s="10" t="s">
        <v>4270</v>
      </c>
      <c r="U399" s="10" t="s">
        <v>87</v>
      </c>
      <c r="V399" s="10" t="s">
        <v>87</v>
      </c>
    </row>
    <row r="400" spans="1:22" s="10" customFormat="1" x14ac:dyDescent="0.25">
      <c r="A400" s="10" t="s">
        <v>4271</v>
      </c>
      <c r="B400" s="10" t="s">
        <v>4016</v>
      </c>
      <c r="C400" s="11" t="s">
        <v>346</v>
      </c>
      <c r="D400" s="10" t="s">
        <v>4272</v>
      </c>
      <c r="E400" s="8" t="s">
        <v>4273</v>
      </c>
      <c r="F400" s="8" t="s">
        <v>4274</v>
      </c>
      <c r="G400" s="10" t="s">
        <v>2647</v>
      </c>
      <c r="H400" s="8" t="s">
        <v>4275</v>
      </c>
      <c r="I400" s="10" t="s">
        <v>4267</v>
      </c>
      <c r="J400" s="8" t="s">
        <v>4021</v>
      </c>
      <c r="K400" s="8" t="s">
        <v>2649</v>
      </c>
      <c r="L400" s="8" t="s">
        <v>87</v>
      </c>
      <c r="M400" s="10" t="s">
        <v>1436</v>
      </c>
      <c r="N400" s="8" t="s">
        <v>87</v>
      </c>
      <c r="O400" s="10" t="s">
        <v>22</v>
      </c>
      <c r="P400" s="8" t="s">
        <v>4276</v>
      </c>
      <c r="Q400" s="10" t="s">
        <v>223</v>
      </c>
      <c r="R400" s="10" t="s">
        <v>1438</v>
      </c>
      <c r="S400" s="8" t="s">
        <v>4277</v>
      </c>
      <c r="T400" s="10" t="s">
        <v>4270</v>
      </c>
      <c r="U400" s="10" t="s">
        <v>87</v>
      </c>
      <c r="V400" s="10" t="s">
        <v>87</v>
      </c>
    </row>
    <row r="401" spans="1:22" s="10" customFormat="1" x14ac:dyDescent="0.25">
      <c r="A401" s="10" t="s">
        <v>4278</v>
      </c>
      <c r="B401" s="10" t="s">
        <v>4016</v>
      </c>
      <c r="C401" s="11" t="s">
        <v>346</v>
      </c>
      <c r="D401" s="10" t="s">
        <v>4279</v>
      </c>
      <c r="E401" s="8" t="s">
        <v>4280</v>
      </c>
      <c r="F401" s="8" t="s">
        <v>4281</v>
      </c>
      <c r="G401" s="10" t="s">
        <v>2647</v>
      </c>
      <c r="H401" s="8" t="s">
        <v>2839</v>
      </c>
      <c r="I401" s="10" t="s">
        <v>4282</v>
      </c>
      <c r="J401" s="8" t="s">
        <v>4021</v>
      </c>
      <c r="K401" s="8" t="s">
        <v>2649</v>
      </c>
      <c r="L401" s="8" t="s">
        <v>87</v>
      </c>
      <c r="M401" s="10" t="s">
        <v>1436</v>
      </c>
      <c r="N401" s="8" t="s">
        <v>87</v>
      </c>
      <c r="O401" s="10" t="s">
        <v>22</v>
      </c>
      <c r="P401" s="8" t="s">
        <v>4283</v>
      </c>
      <c r="Q401" s="10" t="s">
        <v>1447</v>
      </c>
      <c r="R401" s="10" t="s">
        <v>1438</v>
      </c>
      <c r="S401" s="8" t="s">
        <v>4284</v>
      </c>
      <c r="T401" s="10" t="s">
        <v>4270</v>
      </c>
      <c r="U401" s="10" t="s">
        <v>87</v>
      </c>
      <c r="V401" s="10" t="s">
        <v>87</v>
      </c>
    </row>
    <row r="402" spans="1:22" s="10" customFormat="1" x14ac:dyDescent="0.25">
      <c r="A402" s="10" t="s">
        <v>4285</v>
      </c>
      <c r="B402" s="10" t="s">
        <v>4016</v>
      </c>
      <c r="C402" s="11" t="s">
        <v>346</v>
      </c>
      <c r="D402" s="10" t="s">
        <v>4286</v>
      </c>
      <c r="E402" s="8" t="s">
        <v>4287</v>
      </c>
      <c r="F402" s="8" t="s">
        <v>4288</v>
      </c>
      <c r="G402" s="10" t="s">
        <v>2647</v>
      </c>
      <c r="H402" s="8" t="s">
        <v>4289</v>
      </c>
      <c r="I402" s="10" t="s">
        <v>4290</v>
      </c>
      <c r="J402" s="8" t="s">
        <v>4021</v>
      </c>
      <c r="K402" s="8" t="s">
        <v>2649</v>
      </c>
      <c r="L402" s="8" t="s">
        <v>87</v>
      </c>
      <c r="M402" s="10" t="s">
        <v>1436</v>
      </c>
      <c r="N402" s="8" t="s">
        <v>87</v>
      </c>
      <c r="O402" s="10" t="s">
        <v>22</v>
      </c>
      <c r="P402" s="8" t="s">
        <v>4291</v>
      </c>
      <c r="Q402" s="10" t="s">
        <v>1447</v>
      </c>
      <c r="R402" s="10" t="s">
        <v>1438</v>
      </c>
      <c r="S402" s="8" t="s">
        <v>4292</v>
      </c>
      <c r="T402" s="10" t="s">
        <v>4270</v>
      </c>
      <c r="U402" s="10" t="s">
        <v>87</v>
      </c>
      <c r="V402" s="10" t="s">
        <v>87</v>
      </c>
    </row>
    <row r="403" spans="1:22" s="10" customFormat="1" x14ac:dyDescent="0.25">
      <c r="A403" s="10" t="s">
        <v>4293</v>
      </c>
      <c r="B403" s="10" t="s">
        <v>4016</v>
      </c>
      <c r="C403" s="11" t="s">
        <v>346</v>
      </c>
      <c r="D403" s="10" t="s">
        <v>4294</v>
      </c>
      <c r="E403" s="8" t="s">
        <v>4295</v>
      </c>
      <c r="F403" s="8" t="s">
        <v>4296</v>
      </c>
      <c r="G403" s="10" t="s">
        <v>2647</v>
      </c>
      <c r="H403" s="8" t="s">
        <v>4297</v>
      </c>
      <c r="I403" s="10" t="s">
        <v>4298</v>
      </c>
      <c r="J403" s="8" t="s">
        <v>4021</v>
      </c>
      <c r="K403" s="8" t="s">
        <v>2649</v>
      </c>
      <c r="L403" s="8" t="s">
        <v>87</v>
      </c>
      <c r="M403" s="10" t="s">
        <v>1436</v>
      </c>
      <c r="N403" s="8" t="s">
        <v>87</v>
      </c>
      <c r="O403" s="10" t="s">
        <v>22</v>
      </c>
      <c r="P403" s="8" t="s">
        <v>4299</v>
      </c>
      <c r="Q403" s="10" t="s">
        <v>239</v>
      </c>
      <c r="R403" s="10" t="s">
        <v>1438</v>
      </c>
      <c r="S403" s="8" t="s">
        <v>4300</v>
      </c>
      <c r="T403" s="10" t="s">
        <v>4270</v>
      </c>
      <c r="U403" s="10" t="s">
        <v>87</v>
      </c>
      <c r="V403" s="10" t="s">
        <v>87</v>
      </c>
    </row>
    <row r="404" spans="1:22" s="10" customFormat="1" x14ac:dyDescent="0.25">
      <c r="A404" s="10" t="s">
        <v>4301</v>
      </c>
      <c r="B404" s="10" t="s">
        <v>4016</v>
      </c>
      <c r="C404" s="10" t="s">
        <v>215</v>
      </c>
      <c r="D404" s="10" t="s">
        <v>4302</v>
      </c>
      <c r="E404" s="8" t="s">
        <v>4303</v>
      </c>
      <c r="F404" s="8" t="s">
        <v>4304</v>
      </c>
      <c r="G404" s="10" t="s">
        <v>2647</v>
      </c>
      <c r="H404" s="8" t="s">
        <v>4305</v>
      </c>
      <c r="I404" s="10" t="s">
        <v>4306</v>
      </c>
      <c r="J404" s="8" t="s">
        <v>4021</v>
      </c>
      <c r="K404" s="8" t="s">
        <v>2649</v>
      </c>
      <c r="L404" s="8" t="s">
        <v>87</v>
      </c>
      <c r="M404" s="10" t="s">
        <v>1436</v>
      </c>
      <c r="N404" s="8" t="s">
        <v>87</v>
      </c>
      <c r="O404" s="10" t="s">
        <v>22</v>
      </c>
      <c r="P404" s="8" t="s">
        <v>4307</v>
      </c>
      <c r="Q404" s="10" t="s">
        <v>223</v>
      </c>
      <c r="R404" s="10" t="s">
        <v>1438</v>
      </c>
      <c r="S404" s="8" t="s">
        <v>4308</v>
      </c>
      <c r="T404" s="10" t="s">
        <v>4270</v>
      </c>
      <c r="U404" s="10" t="s">
        <v>87</v>
      </c>
      <c r="V404" s="10" t="s">
        <v>87</v>
      </c>
    </row>
    <row r="405" spans="1:22" s="10" customFormat="1" x14ac:dyDescent="0.25">
      <c r="A405" s="10" t="s">
        <v>4309</v>
      </c>
      <c r="B405" s="10" t="s">
        <v>4016</v>
      </c>
      <c r="C405" s="10" t="s">
        <v>384</v>
      </c>
      <c r="D405" s="10" t="s">
        <v>4310</v>
      </c>
      <c r="E405" s="8" t="s">
        <v>4311</v>
      </c>
      <c r="F405" s="8" t="s">
        <v>4312</v>
      </c>
      <c r="G405" s="10" t="s">
        <v>2647</v>
      </c>
      <c r="H405" s="8" t="s">
        <v>4313</v>
      </c>
      <c r="I405" s="10" t="s">
        <v>4314</v>
      </c>
      <c r="J405" s="8" t="s">
        <v>4021</v>
      </c>
      <c r="K405" s="8" t="s">
        <v>2649</v>
      </c>
      <c r="L405" s="8" t="s">
        <v>87</v>
      </c>
      <c r="M405" s="10" t="s">
        <v>1436</v>
      </c>
      <c r="N405" s="8" t="s">
        <v>87</v>
      </c>
      <c r="O405" s="10" t="s">
        <v>22</v>
      </c>
      <c r="P405" s="8" t="s">
        <v>4315</v>
      </c>
      <c r="Q405" s="10" t="s">
        <v>223</v>
      </c>
      <c r="R405" s="10" t="s">
        <v>1438</v>
      </c>
      <c r="S405" s="8" t="s">
        <v>4316</v>
      </c>
      <c r="T405" s="10" t="s">
        <v>4270</v>
      </c>
      <c r="U405" s="10" t="s">
        <v>87</v>
      </c>
      <c r="V405" s="10" t="s">
        <v>87</v>
      </c>
    </row>
    <row r="406" spans="1:22" s="10" customFormat="1" x14ac:dyDescent="0.25">
      <c r="A406" s="10" t="s">
        <v>4317</v>
      </c>
      <c r="B406" s="10" t="s">
        <v>4016</v>
      </c>
      <c r="C406" s="10" t="s">
        <v>215</v>
      </c>
      <c r="D406" s="10" t="s">
        <v>4318</v>
      </c>
      <c r="E406" s="8" t="s">
        <v>4319</v>
      </c>
      <c r="F406" s="8" t="s">
        <v>4320</v>
      </c>
      <c r="G406" s="10" t="s">
        <v>2647</v>
      </c>
      <c r="H406" s="8" t="s">
        <v>4321</v>
      </c>
      <c r="I406" s="10" t="s">
        <v>4322</v>
      </c>
      <c r="J406" s="8" t="s">
        <v>4021</v>
      </c>
      <c r="K406" s="8" t="s">
        <v>2649</v>
      </c>
      <c r="L406" s="8" t="s">
        <v>87</v>
      </c>
      <c r="M406" s="10" t="s">
        <v>1436</v>
      </c>
      <c r="N406" s="8" t="s">
        <v>87</v>
      </c>
      <c r="O406" s="10" t="s">
        <v>22</v>
      </c>
      <c r="P406" s="8" t="s">
        <v>4323</v>
      </c>
      <c r="Q406" s="10" t="s">
        <v>246</v>
      </c>
      <c r="R406" s="10" t="s">
        <v>1438</v>
      </c>
      <c r="S406" s="8" t="s">
        <v>4324</v>
      </c>
      <c r="T406" s="10" t="s">
        <v>4270</v>
      </c>
      <c r="U406" s="10" t="s">
        <v>87</v>
      </c>
      <c r="V406" s="10" t="s">
        <v>87</v>
      </c>
    </row>
    <row r="407" spans="1:22" s="10" customFormat="1" x14ac:dyDescent="0.25">
      <c r="A407" s="10" t="s">
        <v>4325</v>
      </c>
      <c r="B407" s="10" t="s">
        <v>4016</v>
      </c>
      <c r="C407" s="11" t="s">
        <v>346</v>
      </c>
      <c r="D407" s="10" t="s">
        <v>4326</v>
      </c>
      <c r="E407" s="8" t="s">
        <v>4327</v>
      </c>
      <c r="F407" s="8" t="s">
        <v>4328</v>
      </c>
      <c r="G407" s="10" t="s">
        <v>2647</v>
      </c>
      <c r="H407" s="8" t="s">
        <v>4329</v>
      </c>
      <c r="I407" s="10" t="s">
        <v>4330</v>
      </c>
      <c r="J407" s="8" t="s">
        <v>4021</v>
      </c>
      <c r="K407" s="8" t="s">
        <v>2649</v>
      </c>
      <c r="L407" s="8" t="s">
        <v>87</v>
      </c>
      <c r="M407" s="10" t="s">
        <v>1436</v>
      </c>
      <c r="N407" s="8" t="s">
        <v>87</v>
      </c>
      <c r="O407" s="10" t="s">
        <v>22</v>
      </c>
      <c r="P407" s="8" t="s">
        <v>4331</v>
      </c>
      <c r="Q407" s="10" t="s">
        <v>246</v>
      </c>
      <c r="R407" s="10" t="s">
        <v>1438</v>
      </c>
      <c r="S407" s="8" t="s">
        <v>4332</v>
      </c>
      <c r="T407" s="10" t="s">
        <v>4270</v>
      </c>
      <c r="U407" s="10" t="s">
        <v>87</v>
      </c>
      <c r="V407" s="10" t="s">
        <v>87</v>
      </c>
    </row>
    <row r="408" spans="1:22" s="10" customFormat="1" x14ac:dyDescent="0.25">
      <c r="A408" s="10" t="s">
        <v>4333</v>
      </c>
      <c r="B408" s="10" t="s">
        <v>4016</v>
      </c>
      <c r="C408" s="10" t="s">
        <v>215</v>
      </c>
      <c r="D408" s="10" t="s">
        <v>4334</v>
      </c>
      <c r="E408" s="8" t="s">
        <v>4335</v>
      </c>
      <c r="F408" s="8" t="s">
        <v>4336</v>
      </c>
      <c r="G408" s="10" t="s">
        <v>2647</v>
      </c>
      <c r="H408" s="8" t="s">
        <v>4337</v>
      </c>
      <c r="I408" s="10" t="s">
        <v>4338</v>
      </c>
      <c r="J408" s="8" t="s">
        <v>4021</v>
      </c>
      <c r="K408" s="8" t="s">
        <v>2649</v>
      </c>
      <c r="L408" s="8" t="s">
        <v>87</v>
      </c>
      <c r="M408" s="10" t="s">
        <v>1436</v>
      </c>
      <c r="N408" s="8" t="s">
        <v>87</v>
      </c>
      <c r="O408" s="10" t="s">
        <v>22</v>
      </c>
      <c r="P408" s="8" t="s">
        <v>4339</v>
      </c>
      <c r="Q408" s="10" t="s">
        <v>223</v>
      </c>
      <c r="R408" s="10" t="s">
        <v>1438</v>
      </c>
      <c r="S408" s="8" t="s">
        <v>4340</v>
      </c>
      <c r="T408" s="10" t="s">
        <v>4270</v>
      </c>
      <c r="U408" s="10" t="s">
        <v>87</v>
      </c>
      <c r="V408" s="10" t="s">
        <v>87</v>
      </c>
    </row>
    <row r="409" spans="1:22" s="10" customFormat="1" x14ac:dyDescent="0.25">
      <c r="A409" s="10" t="s">
        <v>4341</v>
      </c>
      <c r="B409" s="10" t="s">
        <v>4016</v>
      </c>
      <c r="C409" s="10" t="s">
        <v>215</v>
      </c>
      <c r="D409" s="10" t="s">
        <v>4342</v>
      </c>
      <c r="E409" s="8" t="s">
        <v>4343</v>
      </c>
      <c r="F409" s="8" t="s">
        <v>4344</v>
      </c>
      <c r="G409" s="10" t="s">
        <v>2647</v>
      </c>
      <c r="H409" s="8" t="s">
        <v>4345</v>
      </c>
      <c r="I409" s="10" t="s">
        <v>825</v>
      </c>
      <c r="J409" s="8" t="s">
        <v>4021</v>
      </c>
      <c r="K409" s="8" t="s">
        <v>2649</v>
      </c>
      <c r="L409" s="8" t="s">
        <v>87</v>
      </c>
      <c r="M409" s="10" t="s">
        <v>1436</v>
      </c>
      <c r="N409" s="8" t="s">
        <v>87</v>
      </c>
      <c r="O409" s="10" t="s">
        <v>22</v>
      </c>
      <c r="P409" s="8" t="s">
        <v>4346</v>
      </c>
      <c r="Q409" s="10" t="s">
        <v>239</v>
      </c>
      <c r="R409" s="10" t="s">
        <v>1438</v>
      </c>
      <c r="S409" s="8" t="s">
        <v>4347</v>
      </c>
      <c r="T409" s="10" t="s">
        <v>4270</v>
      </c>
      <c r="U409" s="10" t="s">
        <v>87</v>
      </c>
      <c r="V409" s="10" t="s">
        <v>87</v>
      </c>
    </row>
    <row r="410" spans="1:22" s="10" customFormat="1" x14ac:dyDescent="0.25">
      <c r="A410" s="10" t="s">
        <v>4348</v>
      </c>
      <c r="B410" s="10" t="s">
        <v>4016</v>
      </c>
      <c r="C410" s="10" t="s">
        <v>215</v>
      </c>
      <c r="D410" s="10" t="s">
        <v>4349</v>
      </c>
      <c r="E410" s="8" t="s">
        <v>4350</v>
      </c>
      <c r="F410" s="8" t="s">
        <v>4351</v>
      </c>
      <c r="G410" s="10" t="s">
        <v>2647</v>
      </c>
      <c r="H410" s="8" t="s">
        <v>4352</v>
      </c>
      <c r="I410" s="10" t="s">
        <v>825</v>
      </c>
      <c r="J410" s="8" t="s">
        <v>4021</v>
      </c>
      <c r="K410" s="8" t="s">
        <v>2649</v>
      </c>
      <c r="L410" s="8" t="s">
        <v>87</v>
      </c>
      <c r="M410" s="10" t="s">
        <v>1436</v>
      </c>
      <c r="N410" s="8" t="s">
        <v>87</v>
      </c>
      <c r="O410" s="10" t="s">
        <v>22</v>
      </c>
      <c r="P410" s="8" t="s">
        <v>4353</v>
      </c>
      <c r="Q410" s="10" t="s">
        <v>239</v>
      </c>
      <c r="R410" s="10" t="s">
        <v>1438</v>
      </c>
      <c r="S410" s="8" t="s">
        <v>4354</v>
      </c>
      <c r="T410" s="10" t="s">
        <v>4270</v>
      </c>
      <c r="U410" s="10" t="s">
        <v>87</v>
      </c>
      <c r="V410" s="10" t="s">
        <v>87</v>
      </c>
    </row>
    <row r="411" spans="1:22" s="10" customFormat="1" x14ac:dyDescent="0.25">
      <c r="A411" s="10" t="s">
        <v>4355</v>
      </c>
      <c r="B411" s="10" t="s">
        <v>4016</v>
      </c>
      <c r="C411" s="11" t="s">
        <v>346</v>
      </c>
      <c r="D411" s="10" t="s">
        <v>4356</v>
      </c>
      <c r="E411" s="8" t="s">
        <v>4357</v>
      </c>
      <c r="F411" s="8" t="s">
        <v>4358</v>
      </c>
      <c r="G411" s="10" t="s">
        <v>2647</v>
      </c>
      <c r="H411" s="8" t="s">
        <v>4359</v>
      </c>
      <c r="I411" s="10" t="s">
        <v>4298</v>
      </c>
      <c r="J411" s="8" t="s">
        <v>4021</v>
      </c>
      <c r="K411" s="8" t="s">
        <v>2649</v>
      </c>
      <c r="L411" s="8" t="s">
        <v>87</v>
      </c>
      <c r="M411" s="10" t="s">
        <v>1436</v>
      </c>
      <c r="N411" s="8" t="s">
        <v>87</v>
      </c>
      <c r="O411" s="10" t="s">
        <v>22</v>
      </c>
      <c r="P411" s="8" t="s">
        <v>4360</v>
      </c>
      <c r="Q411" s="10" t="s">
        <v>246</v>
      </c>
      <c r="R411" s="10" t="s">
        <v>1438</v>
      </c>
      <c r="S411" s="8" t="s">
        <v>4361</v>
      </c>
      <c r="T411" s="10" t="s">
        <v>4270</v>
      </c>
      <c r="U411" s="10" t="s">
        <v>87</v>
      </c>
      <c r="V411" s="10" t="s">
        <v>87</v>
      </c>
    </row>
    <row r="412" spans="1:22" s="10" customFormat="1" x14ac:dyDescent="0.25">
      <c r="A412" s="10" t="s">
        <v>4362</v>
      </c>
      <c r="B412" s="10" t="s">
        <v>4016</v>
      </c>
      <c r="C412" s="11" t="s">
        <v>346</v>
      </c>
      <c r="D412" s="10" t="s">
        <v>4363</v>
      </c>
      <c r="E412" s="8" t="s">
        <v>4364</v>
      </c>
      <c r="F412" s="8" t="s">
        <v>4365</v>
      </c>
      <c r="G412" s="10" t="s">
        <v>2647</v>
      </c>
      <c r="H412" s="8" t="s">
        <v>4366</v>
      </c>
      <c r="I412" s="10" t="s">
        <v>4298</v>
      </c>
      <c r="J412" s="8" t="s">
        <v>4021</v>
      </c>
      <c r="K412" s="8" t="s">
        <v>2649</v>
      </c>
      <c r="L412" s="8" t="s">
        <v>87</v>
      </c>
      <c r="M412" s="10" t="s">
        <v>1436</v>
      </c>
      <c r="N412" s="8" t="s">
        <v>87</v>
      </c>
      <c r="O412" s="10" t="s">
        <v>22</v>
      </c>
      <c r="P412" s="8" t="s">
        <v>4367</v>
      </c>
      <c r="Q412" s="10" t="s">
        <v>239</v>
      </c>
      <c r="R412" s="10" t="s">
        <v>1438</v>
      </c>
      <c r="S412" s="8" t="s">
        <v>4368</v>
      </c>
      <c r="T412" s="10" t="s">
        <v>4270</v>
      </c>
      <c r="U412" s="10" t="s">
        <v>87</v>
      </c>
      <c r="V412" s="10" t="s">
        <v>87</v>
      </c>
    </row>
    <row r="413" spans="1:22" s="10" customFormat="1" x14ac:dyDescent="0.25">
      <c r="A413" s="10" t="s">
        <v>4369</v>
      </c>
      <c r="B413" s="10" t="s">
        <v>4016</v>
      </c>
      <c r="C413" s="10" t="s">
        <v>215</v>
      </c>
      <c r="D413" s="10" t="s">
        <v>4370</v>
      </c>
      <c r="E413" s="8" t="s">
        <v>4371</v>
      </c>
      <c r="F413" s="8" t="s">
        <v>4372</v>
      </c>
      <c r="G413" s="10" t="s">
        <v>2647</v>
      </c>
      <c r="H413" s="8" t="s">
        <v>4373</v>
      </c>
      <c r="I413" s="10" t="s">
        <v>825</v>
      </c>
      <c r="J413" s="8" t="s">
        <v>4021</v>
      </c>
      <c r="K413" s="8" t="s">
        <v>2649</v>
      </c>
      <c r="L413" s="8" t="s">
        <v>87</v>
      </c>
      <c r="M413" s="10" t="s">
        <v>1436</v>
      </c>
      <c r="N413" s="8" t="s">
        <v>87</v>
      </c>
      <c r="O413" s="10" t="s">
        <v>22</v>
      </c>
      <c r="P413" s="8" t="s">
        <v>4374</v>
      </c>
      <c r="Q413" s="10" t="s">
        <v>223</v>
      </c>
      <c r="R413" s="10" t="s">
        <v>1438</v>
      </c>
      <c r="S413" s="8" t="s">
        <v>4375</v>
      </c>
      <c r="T413" s="10" t="s">
        <v>4270</v>
      </c>
      <c r="U413" s="10" t="s">
        <v>87</v>
      </c>
      <c r="V413" s="10" t="s">
        <v>87</v>
      </c>
    </row>
    <row r="414" spans="1:22" s="10" customFormat="1" x14ac:dyDescent="0.25">
      <c r="A414" s="10" t="s">
        <v>4376</v>
      </c>
      <c r="B414" s="10" t="s">
        <v>4016</v>
      </c>
      <c r="C414" s="11" t="s">
        <v>346</v>
      </c>
      <c r="D414" s="10" t="s">
        <v>4377</v>
      </c>
      <c r="E414" s="8" t="s">
        <v>4378</v>
      </c>
      <c r="F414" s="8" t="s">
        <v>4379</v>
      </c>
      <c r="G414" s="10" t="s">
        <v>2647</v>
      </c>
      <c r="H414" s="8" t="s">
        <v>4380</v>
      </c>
      <c r="I414" s="10" t="s">
        <v>4338</v>
      </c>
      <c r="J414" s="8" t="s">
        <v>4021</v>
      </c>
      <c r="K414" s="8" t="s">
        <v>2649</v>
      </c>
      <c r="L414" s="8" t="s">
        <v>87</v>
      </c>
      <c r="M414" s="10" t="s">
        <v>1436</v>
      </c>
      <c r="N414" s="8" t="s">
        <v>87</v>
      </c>
      <c r="O414" s="10" t="s">
        <v>22</v>
      </c>
      <c r="P414" s="8" t="s">
        <v>4381</v>
      </c>
      <c r="Q414" s="10" t="s">
        <v>246</v>
      </c>
      <c r="R414" s="10" t="s">
        <v>1438</v>
      </c>
      <c r="S414" s="8" t="s">
        <v>4382</v>
      </c>
      <c r="T414" s="10" t="s">
        <v>4270</v>
      </c>
      <c r="U414" s="10" t="s">
        <v>87</v>
      </c>
      <c r="V414" s="10" t="s">
        <v>87</v>
      </c>
    </row>
    <row r="415" spans="1:22" s="10" customFormat="1" x14ac:dyDescent="0.25">
      <c r="A415" s="10" t="s">
        <v>4383</v>
      </c>
      <c r="B415" s="10" t="s">
        <v>4016</v>
      </c>
      <c r="C415" s="11" t="s">
        <v>346</v>
      </c>
      <c r="D415" s="10" t="s">
        <v>4384</v>
      </c>
      <c r="E415" s="8" t="s">
        <v>4385</v>
      </c>
      <c r="F415" s="8" t="s">
        <v>4386</v>
      </c>
      <c r="G415" s="10" t="s">
        <v>2647</v>
      </c>
      <c r="H415" s="8" t="s">
        <v>1653</v>
      </c>
      <c r="I415" s="10" t="s">
        <v>4387</v>
      </c>
      <c r="J415" s="8" t="s">
        <v>1655</v>
      </c>
      <c r="K415" s="8" t="s">
        <v>2649</v>
      </c>
      <c r="L415" s="8" t="s">
        <v>87</v>
      </c>
      <c r="M415" s="10" t="s">
        <v>1436</v>
      </c>
      <c r="N415" s="8" t="s">
        <v>87</v>
      </c>
      <c r="O415" s="10" t="s">
        <v>22</v>
      </c>
      <c r="P415" s="8" t="s">
        <v>4388</v>
      </c>
      <c r="Q415" s="10" t="s">
        <v>1447</v>
      </c>
      <c r="R415" s="10" t="s">
        <v>1657</v>
      </c>
      <c r="S415" s="8" t="s">
        <v>4389</v>
      </c>
      <c r="T415" s="10" t="s">
        <v>4270</v>
      </c>
      <c r="U415" s="10" t="s">
        <v>87</v>
      </c>
      <c r="V415" s="10" t="s">
        <v>87</v>
      </c>
    </row>
    <row r="416" spans="1:22" s="10" customFormat="1" x14ac:dyDescent="0.25">
      <c r="A416" s="10" t="s">
        <v>4390</v>
      </c>
      <c r="B416" s="10" t="s">
        <v>4016</v>
      </c>
      <c r="C416" s="11" t="s">
        <v>346</v>
      </c>
      <c r="D416" s="10" t="s">
        <v>4391</v>
      </c>
      <c r="E416" s="8" t="s">
        <v>4392</v>
      </c>
      <c r="F416" s="8" t="s">
        <v>1662</v>
      </c>
      <c r="G416" s="10" t="s">
        <v>2647</v>
      </c>
      <c r="H416" s="8" t="s">
        <v>2839</v>
      </c>
      <c r="I416" s="10" t="s">
        <v>4298</v>
      </c>
      <c r="J416" s="8" t="s">
        <v>1664</v>
      </c>
      <c r="K416" s="8" t="s">
        <v>2649</v>
      </c>
      <c r="L416" s="8" t="s">
        <v>87</v>
      </c>
      <c r="M416" s="10" t="s">
        <v>1436</v>
      </c>
      <c r="N416" s="8" t="s">
        <v>87</v>
      </c>
      <c r="O416" s="10" t="s">
        <v>22</v>
      </c>
      <c r="P416" s="8" t="s">
        <v>4393</v>
      </c>
      <c r="Q416" s="10" t="s">
        <v>825</v>
      </c>
      <c r="R416" s="10" t="s">
        <v>2841</v>
      </c>
      <c r="S416" s="8" t="s">
        <v>1669</v>
      </c>
      <c r="T416" s="10" t="s">
        <v>4270</v>
      </c>
      <c r="U416" s="10" t="s">
        <v>87</v>
      </c>
      <c r="V416" s="10" t="s">
        <v>87</v>
      </c>
    </row>
    <row r="417" spans="1:22" s="10" customFormat="1" x14ac:dyDescent="0.25">
      <c r="A417" s="10" t="s">
        <v>4394</v>
      </c>
      <c r="B417" s="10" t="s">
        <v>4016</v>
      </c>
      <c r="C417" s="11" t="s">
        <v>346</v>
      </c>
      <c r="D417" s="10" t="s">
        <v>4395</v>
      </c>
      <c r="E417" s="8" t="s">
        <v>4396</v>
      </c>
      <c r="F417" s="8" t="s">
        <v>4397</v>
      </c>
      <c r="G417" s="10" t="s">
        <v>2647</v>
      </c>
      <c r="H417" s="8" t="s">
        <v>1663</v>
      </c>
      <c r="I417" s="10" t="s">
        <v>4398</v>
      </c>
      <c r="J417" s="8" t="s">
        <v>1655</v>
      </c>
      <c r="K417" s="8" t="s">
        <v>2649</v>
      </c>
      <c r="L417" s="8" t="s">
        <v>87</v>
      </c>
      <c r="M417" s="10" t="s">
        <v>1436</v>
      </c>
      <c r="N417" s="8" t="s">
        <v>87</v>
      </c>
      <c r="O417" s="10" t="s">
        <v>22</v>
      </c>
      <c r="P417" s="8" t="s">
        <v>4399</v>
      </c>
      <c r="Q417" s="10" t="s">
        <v>239</v>
      </c>
      <c r="R417" s="10" t="s">
        <v>1668</v>
      </c>
      <c r="S417" s="8" t="s">
        <v>4400</v>
      </c>
      <c r="T417" s="10" t="s">
        <v>4270</v>
      </c>
      <c r="U417" s="10" t="s">
        <v>87</v>
      </c>
      <c r="V417" s="10" t="s">
        <v>87</v>
      </c>
    </row>
    <row r="418" spans="1:22" s="10" customFormat="1" x14ac:dyDescent="0.25">
      <c r="A418" s="10" t="s">
        <v>4401</v>
      </c>
      <c r="B418" s="10" t="s">
        <v>4016</v>
      </c>
      <c r="C418" s="10" t="s">
        <v>215</v>
      </c>
      <c r="D418" s="10" t="s">
        <v>4402</v>
      </c>
      <c r="E418" s="8" t="s">
        <v>4403</v>
      </c>
      <c r="F418" s="8" t="s">
        <v>4404</v>
      </c>
      <c r="G418" s="10" t="s">
        <v>2647</v>
      </c>
      <c r="H418" s="8" t="s">
        <v>4373</v>
      </c>
      <c r="I418" s="10" t="s">
        <v>4405</v>
      </c>
      <c r="J418" s="8" t="s">
        <v>4021</v>
      </c>
      <c r="K418" s="8" t="s">
        <v>2649</v>
      </c>
      <c r="L418" s="8" t="s">
        <v>87</v>
      </c>
      <c r="M418" s="10" t="s">
        <v>1436</v>
      </c>
      <c r="N418" s="8" t="s">
        <v>87</v>
      </c>
      <c r="O418" s="10" t="s">
        <v>22</v>
      </c>
      <c r="P418" s="8" t="s">
        <v>4406</v>
      </c>
      <c r="Q418" s="10" t="s">
        <v>223</v>
      </c>
      <c r="R418" s="10" t="s">
        <v>1438</v>
      </c>
      <c r="S418" s="8" t="s">
        <v>1648</v>
      </c>
      <c r="T418" s="10" t="s">
        <v>4270</v>
      </c>
      <c r="U418" s="10" t="s">
        <v>87</v>
      </c>
      <c r="V418" s="10" t="s">
        <v>87</v>
      </c>
    </row>
    <row r="419" spans="1:22" s="10" customFormat="1" x14ac:dyDescent="0.25">
      <c r="A419" s="10" t="s">
        <v>4407</v>
      </c>
      <c r="B419" s="10" t="s">
        <v>4016</v>
      </c>
      <c r="C419" s="10" t="s">
        <v>215</v>
      </c>
      <c r="D419" s="10" t="s">
        <v>4408</v>
      </c>
      <c r="E419" s="8" t="s">
        <v>4409</v>
      </c>
      <c r="F419" s="8" t="s">
        <v>4410</v>
      </c>
      <c r="G419" s="10" t="s">
        <v>4</v>
      </c>
      <c r="H419" s="8" t="s">
        <v>4411</v>
      </c>
      <c r="I419" s="10" t="s">
        <v>4412</v>
      </c>
      <c r="J419" s="8" t="s">
        <v>4413</v>
      </c>
      <c r="K419" s="8" t="s">
        <v>1873</v>
      </c>
      <c r="L419" s="8" t="s">
        <v>87</v>
      </c>
      <c r="M419" s="10" t="s">
        <v>1456</v>
      </c>
      <c r="N419" s="8" t="s">
        <v>87</v>
      </c>
      <c r="O419" s="10" t="s">
        <v>22</v>
      </c>
      <c r="P419" s="8" t="s">
        <v>4414</v>
      </c>
      <c r="Q419" s="10" t="s">
        <v>223</v>
      </c>
      <c r="R419" s="10" t="s">
        <v>1438</v>
      </c>
      <c r="S419" s="8" t="s">
        <v>4415</v>
      </c>
      <c r="T419" s="10" t="s">
        <v>4416</v>
      </c>
      <c r="U419" s="10" t="s">
        <v>87</v>
      </c>
      <c r="V419" s="10" t="s">
        <v>87</v>
      </c>
    </row>
    <row r="420" spans="1:22" s="10" customFormat="1" x14ac:dyDescent="0.25">
      <c r="A420" s="10" t="s">
        <v>4417</v>
      </c>
      <c r="B420" s="10" t="s">
        <v>4016</v>
      </c>
      <c r="C420" s="10" t="s">
        <v>384</v>
      </c>
      <c r="D420" s="10" t="s">
        <v>4418</v>
      </c>
      <c r="E420" s="8" t="s">
        <v>4419</v>
      </c>
      <c r="F420" s="8" t="s">
        <v>4420</v>
      </c>
      <c r="G420" s="10" t="s">
        <v>4</v>
      </c>
      <c r="H420" s="8" t="s">
        <v>4421</v>
      </c>
      <c r="I420" s="10" t="s">
        <v>1151</v>
      </c>
      <c r="J420" s="8" t="s">
        <v>4021</v>
      </c>
      <c r="K420" s="8" t="s">
        <v>1873</v>
      </c>
      <c r="L420" s="8" t="s">
        <v>87</v>
      </c>
      <c r="M420" s="10" t="s">
        <v>1456</v>
      </c>
      <c r="N420" s="8" t="s">
        <v>87</v>
      </c>
      <c r="O420" s="10" t="s">
        <v>22</v>
      </c>
      <c r="P420" s="8" t="s">
        <v>4422</v>
      </c>
      <c r="Q420" s="10" t="s">
        <v>223</v>
      </c>
      <c r="R420" s="10" t="s">
        <v>1438</v>
      </c>
      <c r="S420" s="8" t="s">
        <v>2492</v>
      </c>
      <c r="T420" s="10" t="s">
        <v>4416</v>
      </c>
      <c r="U420" s="10" t="s">
        <v>87</v>
      </c>
      <c r="V420" s="10" t="s">
        <v>87</v>
      </c>
    </row>
    <row r="421" spans="1:22" s="10" customFormat="1" x14ac:dyDescent="0.25">
      <c r="A421" s="10" t="s">
        <v>4423</v>
      </c>
      <c r="B421" s="10" t="s">
        <v>4016</v>
      </c>
      <c r="C421" s="11" t="s">
        <v>346</v>
      </c>
      <c r="D421" s="10" t="s">
        <v>4424</v>
      </c>
      <c r="E421" s="8" t="s">
        <v>4425</v>
      </c>
      <c r="F421" s="8" t="s">
        <v>4426</v>
      </c>
      <c r="G421" s="10" t="s">
        <v>4</v>
      </c>
      <c r="H421" s="8" t="s">
        <v>4427</v>
      </c>
      <c r="I421" s="10" t="s">
        <v>4412</v>
      </c>
      <c r="J421" s="8" t="s">
        <v>4413</v>
      </c>
      <c r="K421" s="8" t="s">
        <v>1873</v>
      </c>
      <c r="L421" s="8" t="s">
        <v>87</v>
      </c>
      <c r="M421" s="10" t="s">
        <v>1456</v>
      </c>
      <c r="N421" s="8" t="s">
        <v>87</v>
      </c>
      <c r="O421" s="10" t="s">
        <v>22</v>
      </c>
      <c r="P421" s="8" t="s">
        <v>4428</v>
      </c>
      <c r="Q421" s="10" t="s">
        <v>223</v>
      </c>
      <c r="R421" s="10" t="s">
        <v>1438</v>
      </c>
      <c r="S421" s="8" t="s">
        <v>4429</v>
      </c>
      <c r="T421" s="10" t="s">
        <v>4416</v>
      </c>
      <c r="U421" s="10" t="s">
        <v>87</v>
      </c>
      <c r="V421" s="10" t="s">
        <v>87</v>
      </c>
    </row>
    <row r="422" spans="1:22" s="10" customFormat="1" x14ac:dyDescent="0.25">
      <c r="A422" s="10" t="s">
        <v>4430</v>
      </c>
      <c r="B422" s="10" t="s">
        <v>4016</v>
      </c>
      <c r="C422" s="10" t="s">
        <v>215</v>
      </c>
      <c r="D422" s="10" t="s">
        <v>4431</v>
      </c>
      <c r="E422" s="8" t="s">
        <v>4432</v>
      </c>
      <c r="F422" s="8" t="s">
        <v>4433</v>
      </c>
      <c r="G422" s="10" t="s">
        <v>4</v>
      </c>
      <c r="H422" s="8" t="s">
        <v>4434</v>
      </c>
      <c r="I422" s="10" t="s">
        <v>1151</v>
      </c>
      <c r="J422" s="8" t="s">
        <v>4021</v>
      </c>
      <c r="K422" s="8" t="s">
        <v>1873</v>
      </c>
      <c r="L422" s="8" t="s">
        <v>87</v>
      </c>
      <c r="M422" s="10" t="s">
        <v>1456</v>
      </c>
      <c r="N422" s="8" t="s">
        <v>87</v>
      </c>
      <c r="O422" s="10" t="s">
        <v>22</v>
      </c>
      <c r="P422" s="8" t="s">
        <v>4435</v>
      </c>
      <c r="Q422" s="10" t="s">
        <v>239</v>
      </c>
      <c r="R422" s="10" t="s">
        <v>1438</v>
      </c>
      <c r="S422" s="8" t="s">
        <v>4436</v>
      </c>
      <c r="T422" s="10" t="s">
        <v>4416</v>
      </c>
      <c r="U422" s="10" t="s">
        <v>87</v>
      </c>
      <c r="V422" s="10" t="s">
        <v>87</v>
      </c>
    </row>
    <row r="423" spans="1:22" s="10" customFormat="1" x14ac:dyDescent="0.25">
      <c r="A423" s="10" t="s">
        <v>4437</v>
      </c>
      <c r="B423" s="10" t="s">
        <v>4016</v>
      </c>
      <c r="C423" s="11" t="s">
        <v>346</v>
      </c>
      <c r="D423" s="10" t="s">
        <v>4438</v>
      </c>
      <c r="E423" s="8" t="s">
        <v>4439</v>
      </c>
      <c r="F423" s="8" t="s">
        <v>4440</v>
      </c>
      <c r="G423" s="10" t="s">
        <v>4</v>
      </c>
      <c r="H423" s="8" t="s">
        <v>4441</v>
      </c>
      <c r="I423" s="10" t="s">
        <v>4412</v>
      </c>
      <c r="J423" s="8" t="s">
        <v>4021</v>
      </c>
      <c r="K423" s="8" t="s">
        <v>1873</v>
      </c>
      <c r="L423" s="8" t="s">
        <v>87</v>
      </c>
      <c r="M423" s="10" t="s">
        <v>1456</v>
      </c>
      <c r="N423" s="8" t="s">
        <v>87</v>
      </c>
      <c r="O423" s="10" t="s">
        <v>22</v>
      </c>
      <c r="P423" s="8" t="s">
        <v>4442</v>
      </c>
      <c r="Q423" s="10" t="s">
        <v>239</v>
      </c>
      <c r="R423" s="10" t="s">
        <v>1438</v>
      </c>
      <c r="S423" s="8" t="s">
        <v>4443</v>
      </c>
      <c r="T423" s="10" t="s">
        <v>4416</v>
      </c>
      <c r="U423" s="10" t="s">
        <v>87</v>
      </c>
      <c r="V423" s="10" t="s">
        <v>87</v>
      </c>
    </row>
    <row r="424" spans="1:22" s="10" customFormat="1" x14ac:dyDescent="0.25">
      <c r="A424" s="10" t="s">
        <v>4444</v>
      </c>
      <c r="B424" s="10" t="s">
        <v>4016</v>
      </c>
      <c r="C424" s="10" t="s">
        <v>215</v>
      </c>
      <c r="D424" s="10" t="s">
        <v>4445</v>
      </c>
      <c r="E424" s="8" t="s">
        <v>4446</v>
      </c>
      <c r="F424" s="8" t="s">
        <v>4447</v>
      </c>
      <c r="G424" s="10" t="s">
        <v>4</v>
      </c>
      <c r="H424" s="8" t="s">
        <v>4448</v>
      </c>
      <c r="I424" s="10" t="s">
        <v>1151</v>
      </c>
      <c r="J424" s="8" t="s">
        <v>4021</v>
      </c>
      <c r="K424" s="8" t="s">
        <v>1873</v>
      </c>
      <c r="L424" s="8" t="s">
        <v>87</v>
      </c>
      <c r="M424" s="10" t="s">
        <v>1456</v>
      </c>
      <c r="N424" s="8" t="s">
        <v>87</v>
      </c>
      <c r="O424" s="10" t="s">
        <v>22</v>
      </c>
      <c r="P424" s="8" t="s">
        <v>4449</v>
      </c>
      <c r="Q424" s="10" t="s">
        <v>246</v>
      </c>
      <c r="R424" s="10" t="s">
        <v>1438</v>
      </c>
      <c r="S424" s="8" t="s">
        <v>4450</v>
      </c>
      <c r="T424" s="10" t="s">
        <v>4416</v>
      </c>
      <c r="U424" s="10" t="s">
        <v>87</v>
      </c>
      <c r="V424" s="10" t="s">
        <v>87</v>
      </c>
    </row>
    <row r="425" spans="1:22" s="10" customFormat="1" x14ac:dyDescent="0.25">
      <c r="A425" s="10" t="s">
        <v>4451</v>
      </c>
      <c r="B425" s="10" t="s">
        <v>4016</v>
      </c>
      <c r="C425" s="11" t="s">
        <v>346</v>
      </c>
      <c r="D425" s="10" t="s">
        <v>4452</v>
      </c>
      <c r="E425" s="8" t="s">
        <v>4453</v>
      </c>
      <c r="F425" s="8" t="s">
        <v>4454</v>
      </c>
      <c r="G425" s="10" t="s">
        <v>4</v>
      </c>
      <c r="H425" s="8" t="s">
        <v>4427</v>
      </c>
      <c r="I425" s="10" t="s">
        <v>4412</v>
      </c>
      <c r="J425" s="8" t="s">
        <v>4021</v>
      </c>
      <c r="K425" s="8" t="s">
        <v>1873</v>
      </c>
      <c r="L425" s="8" t="s">
        <v>87</v>
      </c>
      <c r="M425" s="10" t="s">
        <v>1456</v>
      </c>
      <c r="N425" s="8" t="s">
        <v>87</v>
      </c>
      <c r="O425" s="10" t="s">
        <v>22</v>
      </c>
      <c r="P425" s="8" t="s">
        <v>4455</v>
      </c>
      <c r="Q425" s="10" t="s">
        <v>1447</v>
      </c>
      <c r="R425" s="10" t="s">
        <v>1438</v>
      </c>
      <c r="S425" s="8" t="s">
        <v>4456</v>
      </c>
      <c r="T425" s="10" t="s">
        <v>4416</v>
      </c>
      <c r="U425" s="10" t="s">
        <v>87</v>
      </c>
      <c r="V425" s="10" t="s">
        <v>87</v>
      </c>
    </row>
    <row r="426" spans="1:22" s="10" customFormat="1" x14ac:dyDescent="0.25">
      <c r="A426" s="10" t="s">
        <v>4457</v>
      </c>
      <c r="B426" s="10" t="s">
        <v>4016</v>
      </c>
      <c r="C426" s="10" t="s">
        <v>215</v>
      </c>
      <c r="D426" s="10" t="s">
        <v>4458</v>
      </c>
      <c r="E426" s="8" t="s">
        <v>4459</v>
      </c>
      <c r="F426" s="8" t="s">
        <v>4460</v>
      </c>
      <c r="G426" s="10" t="s">
        <v>4</v>
      </c>
      <c r="H426" s="8" t="s">
        <v>4461</v>
      </c>
      <c r="I426" s="10" t="s">
        <v>1151</v>
      </c>
      <c r="J426" s="8" t="s">
        <v>4021</v>
      </c>
      <c r="K426" s="8" t="s">
        <v>1873</v>
      </c>
      <c r="L426" s="8" t="s">
        <v>87</v>
      </c>
      <c r="M426" s="10" t="s">
        <v>1456</v>
      </c>
      <c r="N426" s="8" t="s">
        <v>87</v>
      </c>
      <c r="O426" s="10" t="s">
        <v>22</v>
      </c>
      <c r="P426" s="8" t="s">
        <v>4462</v>
      </c>
      <c r="Q426" s="10" t="s">
        <v>223</v>
      </c>
      <c r="R426" s="10" t="s">
        <v>1438</v>
      </c>
      <c r="S426" s="8" t="s">
        <v>4463</v>
      </c>
      <c r="T426" s="10" t="s">
        <v>4416</v>
      </c>
      <c r="U426" s="10" t="s">
        <v>87</v>
      </c>
      <c r="V426" s="10" t="s">
        <v>87</v>
      </c>
    </row>
    <row r="427" spans="1:22" s="10" customFormat="1" x14ac:dyDescent="0.25">
      <c r="A427" s="10" t="s">
        <v>4464</v>
      </c>
      <c r="B427" s="10" t="s">
        <v>4016</v>
      </c>
      <c r="C427" s="11" t="s">
        <v>346</v>
      </c>
      <c r="D427" s="10" t="s">
        <v>4465</v>
      </c>
      <c r="E427" s="8" t="s">
        <v>4466</v>
      </c>
      <c r="F427" s="8" t="s">
        <v>4467</v>
      </c>
      <c r="G427" s="10" t="s">
        <v>4</v>
      </c>
      <c r="H427" s="8" t="s">
        <v>4042</v>
      </c>
      <c r="I427" s="10" t="s">
        <v>4043</v>
      </c>
      <c r="J427" s="8" t="s">
        <v>4021</v>
      </c>
      <c r="K427" s="8" t="s">
        <v>1873</v>
      </c>
      <c r="L427" s="8" t="s">
        <v>87</v>
      </c>
      <c r="M427" s="10" t="s">
        <v>1456</v>
      </c>
      <c r="N427" s="8" t="s">
        <v>87</v>
      </c>
      <c r="O427" s="10" t="s">
        <v>22</v>
      </c>
      <c r="P427" s="8" t="s">
        <v>4468</v>
      </c>
      <c r="Q427" s="10" t="s">
        <v>1447</v>
      </c>
      <c r="R427" s="10" t="s">
        <v>1438</v>
      </c>
      <c r="S427" s="8" t="s">
        <v>4469</v>
      </c>
      <c r="T427" s="10" t="s">
        <v>4416</v>
      </c>
      <c r="U427" s="10" t="s">
        <v>87</v>
      </c>
      <c r="V427" s="10" t="s">
        <v>87</v>
      </c>
    </row>
    <row r="428" spans="1:22" s="10" customFormat="1" x14ac:dyDescent="0.25">
      <c r="A428" s="10" t="s">
        <v>4470</v>
      </c>
      <c r="B428" s="10" t="s">
        <v>4016</v>
      </c>
      <c r="C428" s="10" t="s">
        <v>215</v>
      </c>
      <c r="D428" s="10" t="s">
        <v>4471</v>
      </c>
      <c r="E428" s="8" t="s">
        <v>4472</v>
      </c>
      <c r="F428" s="8" t="s">
        <v>4473</v>
      </c>
      <c r="G428" s="10" t="s">
        <v>4</v>
      </c>
      <c r="H428" s="8" t="s">
        <v>4474</v>
      </c>
      <c r="I428" s="10" t="s">
        <v>4475</v>
      </c>
      <c r="J428" s="8" t="s">
        <v>4021</v>
      </c>
      <c r="K428" s="8" t="s">
        <v>1873</v>
      </c>
      <c r="L428" s="8" t="s">
        <v>87</v>
      </c>
      <c r="M428" s="10" t="s">
        <v>1456</v>
      </c>
      <c r="N428" s="8" t="s">
        <v>87</v>
      </c>
      <c r="O428" s="10" t="s">
        <v>22</v>
      </c>
      <c r="P428" s="8" t="s">
        <v>4476</v>
      </c>
      <c r="Q428" s="10" t="s">
        <v>223</v>
      </c>
      <c r="R428" s="10" t="s">
        <v>1438</v>
      </c>
      <c r="S428" s="8" t="s">
        <v>4477</v>
      </c>
      <c r="T428" s="10" t="s">
        <v>4416</v>
      </c>
      <c r="U428" s="10" t="s">
        <v>87</v>
      </c>
      <c r="V428" s="10" t="s">
        <v>87</v>
      </c>
    </row>
    <row r="429" spans="1:22" s="10" customFormat="1" x14ac:dyDescent="0.25">
      <c r="A429" s="10" t="s">
        <v>4478</v>
      </c>
      <c r="B429" s="10" t="s">
        <v>4016</v>
      </c>
      <c r="C429" s="10" t="s">
        <v>215</v>
      </c>
      <c r="D429" s="10" t="s">
        <v>4479</v>
      </c>
      <c r="E429" s="8" t="s">
        <v>4480</v>
      </c>
      <c r="F429" s="8" t="s">
        <v>4481</v>
      </c>
      <c r="G429" s="10" t="s">
        <v>4</v>
      </c>
      <c r="H429" s="8" t="s">
        <v>4482</v>
      </c>
      <c r="I429" s="10" t="s">
        <v>4475</v>
      </c>
      <c r="J429" s="8" t="s">
        <v>4021</v>
      </c>
      <c r="K429" s="8" t="s">
        <v>1873</v>
      </c>
      <c r="L429" s="8" t="s">
        <v>87</v>
      </c>
      <c r="M429" s="10" t="s">
        <v>1456</v>
      </c>
      <c r="N429" s="8" t="s">
        <v>87</v>
      </c>
      <c r="O429" s="10" t="s">
        <v>22</v>
      </c>
      <c r="P429" s="8" t="s">
        <v>4483</v>
      </c>
      <c r="Q429" s="10" t="s">
        <v>246</v>
      </c>
      <c r="R429" s="10" t="s">
        <v>1438</v>
      </c>
      <c r="S429" s="8" t="s">
        <v>4484</v>
      </c>
      <c r="T429" s="10" t="s">
        <v>4416</v>
      </c>
      <c r="U429" s="10" t="s">
        <v>87</v>
      </c>
      <c r="V429" s="10" t="s">
        <v>87</v>
      </c>
    </row>
    <row r="430" spans="1:22" s="10" customFormat="1" x14ac:dyDescent="0.25">
      <c r="A430" s="10" t="s">
        <v>4485</v>
      </c>
      <c r="B430" s="10" t="s">
        <v>4016</v>
      </c>
      <c r="C430" s="10" t="s">
        <v>215</v>
      </c>
      <c r="D430" s="10" t="s">
        <v>4486</v>
      </c>
      <c r="E430" s="8" t="s">
        <v>4487</v>
      </c>
      <c r="F430" s="8" t="s">
        <v>4488</v>
      </c>
      <c r="G430" s="10" t="s">
        <v>4</v>
      </c>
      <c r="H430" s="8" t="s">
        <v>4489</v>
      </c>
      <c r="I430" s="10" t="s">
        <v>4211</v>
      </c>
      <c r="J430" s="8" t="s">
        <v>4021</v>
      </c>
      <c r="K430" s="8" t="s">
        <v>1873</v>
      </c>
      <c r="L430" s="8" t="s">
        <v>87</v>
      </c>
      <c r="M430" s="10" t="s">
        <v>1456</v>
      </c>
      <c r="N430" s="8" t="s">
        <v>87</v>
      </c>
      <c r="O430" s="10" t="s">
        <v>22</v>
      </c>
      <c r="P430" s="8" t="s">
        <v>4490</v>
      </c>
      <c r="Q430" s="10" t="s">
        <v>223</v>
      </c>
      <c r="R430" s="10" t="s">
        <v>1438</v>
      </c>
      <c r="S430" s="8" t="s">
        <v>4491</v>
      </c>
      <c r="T430" s="10" t="s">
        <v>4416</v>
      </c>
      <c r="U430" s="10" t="s">
        <v>87</v>
      </c>
      <c r="V430" s="10" t="s">
        <v>87</v>
      </c>
    </row>
    <row r="431" spans="1:22" s="10" customFormat="1" x14ac:dyDescent="0.25">
      <c r="A431" s="10" t="s">
        <v>4492</v>
      </c>
      <c r="B431" s="10" t="s">
        <v>4016</v>
      </c>
      <c r="C431" s="11" t="s">
        <v>346</v>
      </c>
      <c r="D431" s="10" t="s">
        <v>4493</v>
      </c>
      <c r="E431" s="8" t="s">
        <v>4494</v>
      </c>
      <c r="F431" s="8" t="s">
        <v>4495</v>
      </c>
      <c r="G431" s="10" t="s">
        <v>4</v>
      </c>
      <c r="H431" s="8" t="s">
        <v>4496</v>
      </c>
      <c r="I431" s="10" t="s">
        <v>4475</v>
      </c>
      <c r="J431" s="8" t="s">
        <v>4021</v>
      </c>
      <c r="K431" s="8" t="s">
        <v>1873</v>
      </c>
      <c r="L431" s="8" t="s">
        <v>87</v>
      </c>
      <c r="M431" s="10" t="s">
        <v>1456</v>
      </c>
      <c r="N431" s="8" t="s">
        <v>87</v>
      </c>
      <c r="O431" s="10" t="s">
        <v>22</v>
      </c>
      <c r="P431" s="8" t="s">
        <v>4497</v>
      </c>
      <c r="Q431" s="10" t="s">
        <v>1447</v>
      </c>
      <c r="R431" s="10" t="s">
        <v>1438</v>
      </c>
      <c r="S431" s="8" t="s">
        <v>4498</v>
      </c>
      <c r="T431" s="10" t="s">
        <v>4416</v>
      </c>
      <c r="U431" s="10" t="s">
        <v>87</v>
      </c>
      <c r="V431" s="10" t="s">
        <v>87</v>
      </c>
    </row>
    <row r="432" spans="1:22" s="10" customFormat="1" x14ac:dyDescent="0.25">
      <c r="A432" s="10" t="s">
        <v>4499</v>
      </c>
      <c r="B432" s="10" t="s">
        <v>4016</v>
      </c>
      <c r="C432" s="10" t="s">
        <v>215</v>
      </c>
      <c r="D432" s="10" t="s">
        <v>4500</v>
      </c>
      <c r="E432" s="8" t="s">
        <v>4501</v>
      </c>
      <c r="F432" s="8" t="s">
        <v>4502</v>
      </c>
      <c r="G432" s="10" t="s">
        <v>4</v>
      </c>
      <c r="H432" s="8" t="s">
        <v>4503</v>
      </c>
      <c r="I432" s="10" t="s">
        <v>4211</v>
      </c>
      <c r="J432" s="8" t="s">
        <v>4021</v>
      </c>
      <c r="K432" s="8" t="s">
        <v>1873</v>
      </c>
      <c r="L432" s="8" t="s">
        <v>87</v>
      </c>
      <c r="M432" s="10" t="s">
        <v>1456</v>
      </c>
      <c r="N432" s="8" t="s">
        <v>87</v>
      </c>
      <c r="O432" s="10" t="s">
        <v>22</v>
      </c>
      <c r="P432" s="8" t="s">
        <v>4504</v>
      </c>
      <c r="Q432" s="10" t="s">
        <v>239</v>
      </c>
      <c r="R432" s="10" t="s">
        <v>1438</v>
      </c>
      <c r="S432" s="8" t="s">
        <v>4505</v>
      </c>
      <c r="T432" s="10" t="s">
        <v>4416</v>
      </c>
      <c r="U432" s="10" t="s">
        <v>87</v>
      </c>
      <c r="V432" s="10" t="s">
        <v>87</v>
      </c>
    </row>
    <row r="433" spans="1:22" s="10" customFormat="1" x14ac:dyDescent="0.25">
      <c r="A433" s="10" t="s">
        <v>4506</v>
      </c>
      <c r="B433" s="10" t="s">
        <v>4016</v>
      </c>
      <c r="C433" s="10" t="s">
        <v>215</v>
      </c>
      <c r="D433" s="10" t="s">
        <v>4507</v>
      </c>
      <c r="E433" s="8" t="s">
        <v>4508</v>
      </c>
      <c r="F433" s="8" t="s">
        <v>4509</v>
      </c>
      <c r="G433" s="10" t="s">
        <v>4</v>
      </c>
      <c r="H433" s="8" t="s">
        <v>4427</v>
      </c>
      <c r="I433" s="10" t="s">
        <v>1151</v>
      </c>
      <c r="J433" s="8" t="s">
        <v>4021</v>
      </c>
      <c r="K433" s="8" t="s">
        <v>1873</v>
      </c>
      <c r="L433" s="8" t="s">
        <v>87</v>
      </c>
      <c r="M433" s="10" t="s">
        <v>1456</v>
      </c>
      <c r="N433" s="8" t="s">
        <v>87</v>
      </c>
      <c r="O433" s="10" t="s">
        <v>22</v>
      </c>
      <c r="P433" s="8" t="s">
        <v>4510</v>
      </c>
      <c r="Q433" s="10" t="s">
        <v>223</v>
      </c>
      <c r="R433" s="10" t="s">
        <v>1438</v>
      </c>
      <c r="S433" s="8" t="s">
        <v>4511</v>
      </c>
      <c r="T433" s="10" t="s">
        <v>4416</v>
      </c>
      <c r="U433" s="10" t="s">
        <v>87</v>
      </c>
      <c r="V433" s="10" t="s">
        <v>87</v>
      </c>
    </row>
    <row r="434" spans="1:22" s="10" customFormat="1" x14ac:dyDescent="0.25">
      <c r="A434" s="10" t="s">
        <v>4512</v>
      </c>
      <c r="B434" s="10" t="s">
        <v>4016</v>
      </c>
      <c r="C434" s="11" t="s">
        <v>346</v>
      </c>
      <c r="D434" s="10" t="s">
        <v>4513</v>
      </c>
      <c r="E434" s="8" t="s">
        <v>4514</v>
      </c>
      <c r="F434" s="8" t="s">
        <v>4515</v>
      </c>
      <c r="G434" s="10" t="s">
        <v>4</v>
      </c>
      <c r="H434" s="8" t="s">
        <v>1653</v>
      </c>
      <c r="I434" s="10" t="s">
        <v>3429</v>
      </c>
      <c r="J434" s="8" t="s">
        <v>1655</v>
      </c>
      <c r="K434" s="8" t="s">
        <v>1873</v>
      </c>
      <c r="L434" s="8" t="s">
        <v>87</v>
      </c>
      <c r="M434" s="10" t="s">
        <v>1456</v>
      </c>
      <c r="N434" s="8" t="s">
        <v>87</v>
      </c>
      <c r="O434" s="10" t="s">
        <v>22</v>
      </c>
      <c r="P434" s="8" t="s">
        <v>4516</v>
      </c>
      <c r="Q434" s="10" t="s">
        <v>1447</v>
      </c>
      <c r="R434" s="10" t="s">
        <v>1657</v>
      </c>
      <c r="S434" s="8" t="s">
        <v>4517</v>
      </c>
      <c r="T434" s="10" t="s">
        <v>4416</v>
      </c>
      <c r="U434" s="10" t="s">
        <v>87</v>
      </c>
      <c r="V434" s="10" t="s">
        <v>87</v>
      </c>
    </row>
    <row r="435" spans="1:22" s="10" customFormat="1" x14ac:dyDescent="0.25">
      <c r="A435" s="10" t="s">
        <v>4518</v>
      </c>
      <c r="B435" s="10" t="s">
        <v>4016</v>
      </c>
      <c r="C435" s="10" t="s">
        <v>215</v>
      </c>
      <c r="D435" s="10" t="s">
        <v>4519</v>
      </c>
      <c r="E435" s="8" t="s">
        <v>4520</v>
      </c>
      <c r="F435" s="8" t="s">
        <v>1662</v>
      </c>
      <c r="G435" s="10" t="s">
        <v>3</v>
      </c>
      <c r="H435" s="8" t="s">
        <v>2185</v>
      </c>
      <c r="I435" s="10" t="s">
        <v>4211</v>
      </c>
      <c r="J435" s="8" t="s">
        <v>1664</v>
      </c>
      <c r="K435" s="8" t="s">
        <v>1435</v>
      </c>
      <c r="L435" s="8" t="s">
        <v>2367</v>
      </c>
      <c r="M435" s="10" t="s">
        <v>1436</v>
      </c>
      <c r="N435" s="8" t="s">
        <v>87</v>
      </c>
      <c r="O435" s="10" t="s">
        <v>22</v>
      </c>
      <c r="P435" s="8" t="s">
        <v>4521</v>
      </c>
      <c r="Q435" s="10" t="s">
        <v>825</v>
      </c>
      <c r="R435" s="10" t="s">
        <v>2188</v>
      </c>
      <c r="S435" s="8" t="s">
        <v>1669</v>
      </c>
      <c r="T435" s="10" t="s">
        <v>4416</v>
      </c>
      <c r="U435" s="10" t="s">
        <v>87</v>
      </c>
      <c r="V435" s="10" t="s">
        <v>87</v>
      </c>
    </row>
    <row r="436" spans="1:22" s="10" customFormat="1" x14ac:dyDescent="0.25">
      <c r="A436" s="10" t="s">
        <v>4522</v>
      </c>
      <c r="B436" s="10" t="s">
        <v>4016</v>
      </c>
      <c r="C436" s="10" t="s">
        <v>215</v>
      </c>
      <c r="D436" s="10" t="s">
        <v>4523</v>
      </c>
      <c r="E436" s="8" t="s">
        <v>4524</v>
      </c>
      <c r="F436" s="8" t="s">
        <v>4525</v>
      </c>
      <c r="G436" s="10" t="s">
        <v>4</v>
      </c>
      <c r="H436" s="8" t="s">
        <v>4427</v>
      </c>
      <c r="I436" s="10" t="s">
        <v>1151</v>
      </c>
      <c r="J436" s="8" t="s">
        <v>4021</v>
      </c>
      <c r="K436" s="8" t="s">
        <v>1873</v>
      </c>
      <c r="L436" s="8" t="s">
        <v>87</v>
      </c>
      <c r="M436" s="10" t="s">
        <v>1456</v>
      </c>
      <c r="N436" s="8" t="s">
        <v>87</v>
      </c>
      <c r="O436" s="10" t="s">
        <v>22</v>
      </c>
      <c r="P436" s="8" t="s">
        <v>4526</v>
      </c>
      <c r="Q436" s="10" t="s">
        <v>223</v>
      </c>
      <c r="R436" s="10" t="s">
        <v>1438</v>
      </c>
      <c r="S436" s="8" t="s">
        <v>1648</v>
      </c>
      <c r="T436" s="10" t="s">
        <v>4416</v>
      </c>
      <c r="U436" s="10" t="s">
        <v>87</v>
      </c>
      <c r="V436" s="10" t="s">
        <v>87</v>
      </c>
    </row>
    <row r="437" spans="1:22" s="10" customFormat="1" x14ac:dyDescent="0.25">
      <c r="A437" s="10" t="s">
        <v>4527</v>
      </c>
      <c r="B437" s="10" t="s">
        <v>4528</v>
      </c>
      <c r="C437" s="10" t="s">
        <v>215</v>
      </c>
      <c r="D437" s="10" t="s">
        <v>4529</v>
      </c>
      <c r="E437" s="8" t="s">
        <v>4530</v>
      </c>
      <c r="F437" s="8" t="s">
        <v>4531</v>
      </c>
      <c r="G437" s="10" t="s">
        <v>4</v>
      </c>
      <c r="H437" s="8" t="s">
        <v>4532</v>
      </c>
      <c r="I437" s="10" t="s">
        <v>4533</v>
      </c>
      <c r="J437" s="8" t="s">
        <v>2862</v>
      </c>
      <c r="K437" s="8" t="s">
        <v>1873</v>
      </c>
      <c r="L437" s="8" t="s">
        <v>87</v>
      </c>
      <c r="M437" s="10" t="s">
        <v>1436</v>
      </c>
      <c r="N437" s="8" t="s">
        <v>87</v>
      </c>
      <c r="O437" s="10" t="s">
        <v>22</v>
      </c>
      <c r="P437" s="8" t="s">
        <v>4534</v>
      </c>
      <c r="Q437" s="10" t="s">
        <v>223</v>
      </c>
      <c r="R437" s="10" t="s">
        <v>1438</v>
      </c>
      <c r="S437" s="8" t="s">
        <v>4535</v>
      </c>
      <c r="T437" s="10" t="s">
        <v>4536</v>
      </c>
      <c r="U437" s="10" t="s">
        <v>87</v>
      </c>
      <c r="V437" s="10" t="s">
        <v>87</v>
      </c>
    </row>
    <row r="438" spans="1:22" s="10" customFormat="1" x14ac:dyDescent="0.25">
      <c r="A438" s="10" t="s">
        <v>4537</v>
      </c>
      <c r="B438" s="10" t="s">
        <v>4528</v>
      </c>
      <c r="C438" s="11" t="s">
        <v>346</v>
      </c>
      <c r="D438" s="10" t="s">
        <v>4538</v>
      </c>
      <c r="E438" s="8" t="s">
        <v>4539</v>
      </c>
      <c r="F438" s="8" t="s">
        <v>4540</v>
      </c>
      <c r="G438" s="10" t="s">
        <v>2647</v>
      </c>
      <c r="H438" s="8" t="s">
        <v>4541</v>
      </c>
      <c r="I438" s="10" t="s">
        <v>4542</v>
      </c>
      <c r="J438" s="8" t="s">
        <v>2862</v>
      </c>
      <c r="K438" s="8" t="s">
        <v>2649</v>
      </c>
      <c r="L438" s="8" t="s">
        <v>87</v>
      </c>
      <c r="M438" s="10" t="s">
        <v>1436</v>
      </c>
      <c r="N438" s="8" t="s">
        <v>87</v>
      </c>
      <c r="O438" s="10" t="s">
        <v>22</v>
      </c>
      <c r="P438" s="8" t="s">
        <v>4543</v>
      </c>
      <c r="Q438" s="10" t="s">
        <v>223</v>
      </c>
      <c r="R438" s="10" t="s">
        <v>1438</v>
      </c>
      <c r="S438" s="8" t="s">
        <v>4544</v>
      </c>
      <c r="T438" s="10" t="s">
        <v>4536</v>
      </c>
      <c r="U438" s="10" t="s">
        <v>87</v>
      </c>
      <c r="V438" s="10" t="s">
        <v>87</v>
      </c>
    </row>
    <row r="439" spans="1:22" s="10" customFormat="1" x14ac:dyDescent="0.25">
      <c r="A439" s="10" t="s">
        <v>4545</v>
      </c>
      <c r="B439" s="10" t="s">
        <v>4528</v>
      </c>
      <c r="C439" s="11" t="s">
        <v>346</v>
      </c>
      <c r="D439" s="10" t="s">
        <v>4546</v>
      </c>
      <c r="E439" s="8" t="s">
        <v>4547</v>
      </c>
      <c r="F439" s="8" t="s">
        <v>4548</v>
      </c>
      <c r="G439" s="10" t="s">
        <v>2647</v>
      </c>
      <c r="H439" s="8" t="s">
        <v>4549</v>
      </c>
      <c r="I439" s="10" t="s">
        <v>1889</v>
      </c>
      <c r="J439" s="8" t="s">
        <v>4550</v>
      </c>
      <c r="K439" s="8" t="s">
        <v>2649</v>
      </c>
      <c r="L439" s="8" t="s">
        <v>87</v>
      </c>
      <c r="M439" s="10" t="s">
        <v>1436</v>
      </c>
      <c r="N439" s="8" t="s">
        <v>87</v>
      </c>
      <c r="O439" s="10" t="s">
        <v>22</v>
      </c>
      <c r="P439" s="8" t="s">
        <v>4551</v>
      </c>
      <c r="Q439" s="10" t="s">
        <v>239</v>
      </c>
      <c r="R439" s="10" t="s">
        <v>1438</v>
      </c>
      <c r="S439" s="8" t="s">
        <v>4552</v>
      </c>
      <c r="T439" s="10" t="s">
        <v>4536</v>
      </c>
      <c r="U439" s="10" t="s">
        <v>87</v>
      </c>
      <c r="V439" s="10" t="s">
        <v>87</v>
      </c>
    </row>
    <row r="440" spans="1:22" s="10" customFormat="1" x14ac:dyDescent="0.25">
      <c r="A440" s="10" t="s">
        <v>4553</v>
      </c>
      <c r="B440" s="10" t="s">
        <v>4528</v>
      </c>
      <c r="C440" s="10" t="s">
        <v>215</v>
      </c>
      <c r="D440" s="10" t="s">
        <v>4554</v>
      </c>
      <c r="E440" s="8" t="s">
        <v>4555</v>
      </c>
      <c r="F440" s="8" t="s">
        <v>4556</v>
      </c>
      <c r="G440" s="10" t="s">
        <v>2647</v>
      </c>
      <c r="H440" s="8" t="s">
        <v>4557</v>
      </c>
      <c r="I440" s="10" t="s">
        <v>539</v>
      </c>
      <c r="J440" s="8" t="s">
        <v>2862</v>
      </c>
      <c r="K440" s="8" t="s">
        <v>2649</v>
      </c>
      <c r="L440" s="8" t="s">
        <v>87</v>
      </c>
      <c r="M440" s="10" t="s">
        <v>1436</v>
      </c>
      <c r="N440" s="8" t="s">
        <v>87</v>
      </c>
      <c r="O440" s="10" t="s">
        <v>22</v>
      </c>
      <c r="P440" s="8" t="s">
        <v>4558</v>
      </c>
      <c r="Q440" s="10" t="s">
        <v>239</v>
      </c>
      <c r="R440" s="10" t="s">
        <v>1438</v>
      </c>
      <c r="S440" s="8" t="s">
        <v>4559</v>
      </c>
      <c r="T440" s="10" t="s">
        <v>4536</v>
      </c>
      <c r="U440" s="10" t="s">
        <v>87</v>
      </c>
      <c r="V440" s="10" t="s">
        <v>87</v>
      </c>
    </row>
    <row r="441" spans="1:22" s="10" customFormat="1" x14ac:dyDescent="0.25">
      <c r="A441" s="10" t="s">
        <v>4560</v>
      </c>
      <c r="B441" s="10" t="s">
        <v>4528</v>
      </c>
      <c r="C441" s="11" t="s">
        <v>346</v>
      </c>
      <c r="D441" s="10" t="s">
        <v>4561</v>
      </c>
      <c r="E441" s="8" t="s">
        <v>4562</v>
      </c>
      <c r="F441" s="8" t="s">
        <v>4563</v>
      </c>
      <c r="G441" s="10" t="s">
        <v>2647</v>
      </c>
      <c r="H441" s="8" t="s">
        <v>4564</v>
      </c>
      <c r="I441" s="10" t="s">
        <v>4565</v>
      </c>
      <c r="J441" s="8" t="s">
        <v>2862</v>
      </c>
      <c r="K441" s="8" t="s">
        <v>2649</v>
      </c>
      <c r="L441" s="8" t="s">
        <v>87</v>
      </c>
      <c r="M441" s="10" t="s">
        <v>1436</v>
      </c>
      <c r="N441" s="8" t="s">
        <v>87</v>
      </c>
      <c r="O441" s="10" t="s">
        <v>22</v>
      </c>
      <c r="P441" s="8" t="s">
        <v>4566</v>
      </c>
      <c r="Q441" s="10" t="s">
        <v>239</v>
      </c>
      <c r="R441" s="10" t="s">
        <v>1438</v>
      </c>
      <c r="S441" s="8" t="s">
        <v>4567</v>
      </c>
      <c r="T441" s="10" t="s">
        <v>4536</v>
      </c>
      <c r="U441" s="10" t="s">
        <v>87</v>
      </c>
      <c r="V441" s="10" t="s">
        <v>87</v>
      </c>
    </row>
    <row r="442" spans="1:22" s="10" customFormat="1" x14ac:dyDescent="0.25">
      <c r="A442" s="10" t="s">
        <v>4568</v>
      </c>
      <c r="B442" s="10" t="s">
        <v>4528</v>
      </c>
      <c r="C442" s="10" t="s">
        <v>215</v>
      </c>
      <c r="D442" s="10" t="s">
        <v>4569</v>
      </c>
      <c r="E442" s="8" t="s">
        <v>4570</v>
      </c>
      <c r="F442" s="8" t="s">
        <v>4571</v>
      </c>
      <c r="G442" s="10" t="s">
        <v>2647</v>
      </c>
      <c r="H442" s="8" t="s">
        <v>4174</v>
      </c>
      <c r="I442" s="10" t="s">
        <v>539</v>
      </c>
      <c r="J442" s="8" t="s">
        <v>2862</v>
      </c>
      <c r="K442" s="8" t="s">
        <v>2649</v>
      </c>
      <c r="L442" s="8" t="s">
        <v>87</v>
      </c>
      <c r="M442" s="10" t="s">
        <v>1436</v>
      </c>
      <c r="N442" s="8" t="s">
        <v>87</v>
      </c>
      <c r="O442" s="10" t="s">
        <v>22</v>
      </c>
      <c r="P442" s="8" t="s">
        <v>4572</v>
      </c>
      <c r="Q442" s="10" t="s">
        <v>239</v>
      </c>
      <c r="R442" s="10" t="s">
        <v>1438</v>
      </c>
      <c r="S442" s="8" t="s">
        <v>4573</v>
      </c>
      <c r="T442" s="10" t="s">
        <v>4536</v>
      </c>
      <c r="U442" s="10" t="s">
        <v>87</v>
      </c>
      <c r="V442" s="10" t="s">
        <v>87</v>
      </c>
    </row>
    <row r="443" spans="1:22" s="10" customFormat="1" x14ac:dyDescent="0.25">
      <c r="A443" s="10" t="s">
        <v>4574</v>
      </c>
      <c r="B443" s="10" t="s">
        <v>4528</v>
      </c>
      <c r="C443" s="11" t="s">
        <v>346</v>
      </c>
      <c r="D443" s="10" t="s">
        <v>4575</v>
      </c>
      <c r="E443" s="8" t="s">
        <v>4576</v>
      </c>
      <c r="F443" s="8" t="s">
        <v>4577</v>
      </c>
      <c r="G443" s="10" t="s">
        <v>2647</v>
      </c>
      <c r="H443" s="8" t="s">
        <v>4578</v>
      </c>
      <c r="I443" s="10" t="s">
        <v>1628</v>
      </c>
      <c r="J443" s="8" t="s">
        <v>2862</v>
      </c>
      <c r="K443" s="8" t="s">
        <v>2649</v>
      </c>
      <c r="L443" s="8" t="s">
        <v>87</v>
      </c>
      <c r="M443" s="10" t="s">
        <v>1436</v>
      </c>
      <c r="N443" s="8" t="s">
        <v>87</v>
      </c>
      <c r="O443" s="10" t="s">
        <v>22</v>
      </c>
      <c r="P443" s="8" t="s">
        <v>4579</v>
      </c>
      <c r="Q443" s="10" t="s">
        <v>246</v>
      </c>
      <c r="R443" s="10" t="s">
        <v>1438</v>
      </c>
      <c r="S443" s="8" t="s">
        <v>4580</v>
      </c>
      <c r="T443" s="10" t="s">
        <v>4536</v>
      </c>
      <c r="U443" s="10" t="s">
        <v>87</v>
      </c>
      <c r="V443" s="10" t="s">
        <v>87</v>
      </c>
    </row>
    <row r="444" spans="1:22" s="10" customFormat="1" x14ac:dyDescent="0.25">
      <c r="A444" s="10" t="s">
        <v>4581</v>
      </c>
      <c r="B444" s="10" t="s">
        <v>4528</v>
      </c>
      <c r="C444" s="10" t="s">
        <v>215</v>
      </c>
      <c r="D444" s="10" t="s">
        <v>4582</v>
      </c>
      <c r="E444" s="8" t="s">
        <v>4583</v>
      </c>
      <c r="F444" s="8" t="s">
        <v>4584</v>
      </c>
      <c r="G444" s="10" t="s">
        <v>2647</v>
      </c>
      <c r="H444" s="8" t="s">
        <v>4585</v>
      </c>
      <c r="I444" s="10" t="s">
        <v>4586</v>
      </c>
      <c r="J444" s="8" t="s">
        <v>2862</v>
      </c>
      <c r="K444" s="8" t="s">
        <v>2649</v>
      </c>
      <c r="L444" s="8" t="s">
        <v>87</v>
      </c>
      <c r="M444" s="10" t="s">
        <v>1436</v>
      </c>
      <c r="N444" s="8" t="s">
        <v>87</v>
      </c>
      <c r="O444" s="10" t="s">
        <v>22</v>
      </c>
      <c r="P444" s="8" t="s">
        <v>4587</v>
      </c>
      <c r="Q444" s="10" t="s">
        <v>246</v>
      </c>
      <c r="R444" s="10" t="s">
        <v>1438</v>
      </c>
      <c r="S444" s="8" t="s">
        <v>4588</v>
      </c>
      <c r="T444" s="10" t="s">
        <v>4536</v>
      </c>
      <c r="U444" s="10" t="s">
        <v>87</v>
      </c>
      <c r="V444" s="10" t="s">
        <v>87</v>
      </c>
    </row>
    <row r="445" spans="1:22" s="10" customFormat="1" x14ac:dyDescent="0.25">
      <c r="A445" s="10" t="s">
        <v>4589</v>
      </c>
      <c r="B445" s="10" t="s">
        <v>4528</v>
      </c>
      <c r="C445" s="10" t="s">
        <v>215</v>
      </c>
      <c r="D445" s="10" t="s">
        <v>4590</v>
      </c>
      <c r="E445" s="8" t="s">
        <v>4591</v>
      </c>
      <c r="F445" s="8" t="s">
        <v>4592</v>
      </c>
      <c r="G445" s="10" t="s">
        <v>2647</v>
      </c>
      <c r="H445" s="8" t="s">
        <v>4593</v>
      </c>
      <c r="I445" s="10" t="s">
        <v>4594</v>
      </c>
      <c r="J445" s="8" t="s">
        <v>2862</v>
      </c>
      <c r="K445" s="8" t="s">
        <v>2649</v>
      </c>
      <c r="L445" s="8" t="s">
        <v>87</v>
      </c>
      <c r="M445" s="10" t="s">
        <v>1436</v>
      </c>
      <c r="N445" s="8" t="s">
        <v>87</v>
      </c>
      <c r="O445" s="10" t="s">
        <v>22</v>
      </c>
      <c r="P445" s="8" t="s">
        <v>4595</v>
      </c>
      <c r="Q445" s="10" t="s">
        <v>246</v>
      </c>
      <c r="R445" s="10" t="s">
        <v>1438</v>
      </c>
      <c r="S445" s="8" t="s">
        <v>4596</v>
      </c>
      <c r="T445" s="10" t="s">
        <v>4536</v>
      </c>
      <c r="U445" s="10" t="s">
        <v>87</v>
      </c>
      <c r="V445" s="10" t="s">
        <v>87</v>
      </c>
    </row>
    <row r="446" spans="1:22" s="10" customFormat="1" x14ac:dyDescent="0.25">
      <c r="A446" s="10" t="s">
        <v>4597</v>
      </c>
      <c r="B446" s="10" t="s">
        <v>4528</v>
      </c>
      <c r="C446" s="10" t="s">
        <v>215</v>
      </c>
      <c r="D446" s="10" t="s">
        <v>4598</v>
      </c>
      <c r="E446" s="8" t="s">
        <v>4599</v>
      </c>
      <c r="F446" s="8" t="s">
        <v>4600</v>
      </c>
      <c r="G446" s="10" t="s">
        <v>2647</v>
      </c>
      <c r="H446" s="8" t="s">
        <v>4601</v>
      </c>
      <c r="I446" s="10" t="s">
        <v>1628</v>
      </c>
      <c r="J446" s="8" t="s">
        <v>2862</v>
      </c>
      <c r="K446" s="8" t="s">
        <v>2649</v>
      </c>
      <c r="L446" s="8" t="s">
        <v>87</v>
      </c>
      <c r="M446" s="10" t="s">
        <v>1436</v>
      </c>
      <c r="N446" s="8" t="s">
        <v>87</v>
      </c>
      <c r="O446" s="10" t="s">
        <v>22</v>
      </c>
      <c r="P446" s="8" t="s">
        <v>4602</v>
      </c>
      <c r="Q446" s="10" t="s">
        <v>239</v>
      </c>
      <c r="R446" s="10" t="s">
        <v>1438</v>
      </c>
      <c r="S446" s="8" t="s">
        <v>4603</v>
      </c>
      <c r="T446" s="10" t="s">
        <v>4536</v>
      </c>
      <c r="U446" s="10" t="s">
        <v>87</v>
      </c>
      <c r="V446" s="10" t="s">
        <v>87</v>
      </c>
    </row>
    <row r="447" spans="1:22" s="10" customFormat="1" x14ac:dyDescent="0.25">
      <c r="A447" s="10" t="s">
        <v>4604</v>
      </c>
      <c r="B447" s="10" t="s">
        <v>4528</v>
      </c>
      <c r="C447" s="11" t="s">
        <v>346</v>
      </c>
      <c r="D447" s="10" t="s">
        <v>4605</v>
      </c>
      <c r="E447" s="8" t="s">
        <v>4606</v>
      </c>
      <c r="F447" s="8" t="s">
        <v>4607</v>
      </c>
      <c r="G447" s="10" t="s">
        <v>2647</v>
      </c>
      <c r="H447" s="8" t="s">
        <v>4608</v>
      </c>
      <c r="I447" s="10" t="s">
        <v>4565</v>
      </c>
      <c r="J447" s="8" t="s">
        <v>2862</v>
      </c>
      <c r="K447" s="8" t="s">
        <v>2649</v>
      </c>
      <c r="L447" s="8" t="s">
        <v>87</v>
      </c>
      <c r="M447" s="10" t="s">
        <v>1436</v>
      </c>
      <c r="N447" s="8" t="s">
        <v>87</v>
      </c>
      <c r="O447" s="10" t="s">
        <v>22</v>
      </c>
      <c r="P447" s="8" t="s">
        <v>4609</v>
      </c>
      <c r="Q447" s="10" t="s">
        <v>223</v>
      </c>
      <c r="R447" s="10" t="s">
        <v>1438</v>
      </c>
      <c r="S447" s="8" t="s">
        <v>4610</v>
      </c>
      <c r="T447" s="10" t="s">
        <v>4536</v>
      </c>
      <c r="U447" s="10" t="s">
        <v>87</v>
      </c>
      <c r="V447" s="10" t="s">
        <v>87</v>
      </c>
    </row>
    <row r="448" spans="1:22" s="10" customFormat="1" x14ac:dyDescent="0.25">
      <c r="A448" s="10" t="s">
        <v>4611</v>
      </c>
      <c r="B448" s="10" t="s">
        <v>4528</v>
      </c>
      <c r="C448" s="10" t="s">
        <v>215</v>
      </c>
      <c r="D448" s="10" t="s">
        <v>4612</v>
      </c>
      <c r="E448" s="8" t="s">
        <v>4613</v>
      </c>
      <c r="F448" s="8" t="s">
        <v>4614</v>
      </c>
      <c r="G448" s="10" t="s">
        <v>2647</v>
      </c>
      <c r="H448" s="8" t="s">
        <v>4615</v>
      </c>
      <c r="I448" s="10" t="s">
        <v>4565</v>
      </c>
      <c r="J448" s="8" t="s">
        <v>2862</v>
      </c>
      <c r="K448" s="8" t="s">
        <v>2649</v>
      </c>
      <c r="L448" s="8" t="s">
        <v>87</v>
      </c>
      <c r="M448" s="10" t="s">
        <v>1436</v>
      </c>
      <c r="N448" s="8" t="s">
        <v>87</v>
      </c>
      <c r="O448" s="10" t="s">
        <v>22</v>
      </c>
      <c r="P448" s="8" t="s">
        <v>4616</v>
      </c>
      <c r="Q448" s="10" t="s">
        <v>223</v>
      </c>
      <c r="R448" s="10" t="s">
        <v>1438</v>
      </c>
      <c r="S448" s="8" t="s">
        <v>4617</v>
      </c>
      <c r="T448" s="10" t="s">
        <v>4536</v>
      </c>
      <c r="U448" s="10" t="s">
        <v>87</v>
      </c>
      <c r="V448" s="10" t="s">
        <v>87</v>
      </c>
    </row>
    <row r="449" spans="1:22" s="10" customFormat="1" x14ac:dyDescent="0.25">
      <c r="A449" s="10" t="s">
        <v>4618</v>
      </c>
      <c r="B449" s="10" t="s">
        <v>4528</v>
      </c>
      <c r="C449" s="10" t="s">
        <v>215</v>
      </c>
      <c r="D449" s="10" t="s">
        <v>4619</v>
      </c>
      <c r="E449" s="8" t="s">
        <v>4620</v>
      </c>
      <c r="F449" s="8" t="s">
        <v>4621</v>
      </c>
      <c r="G449" s="10" t="s">
        <v>2647</v>
      </c>
      <c r="H449" s="8" t="s">
        <v>4622</v>
      </c>
      <c r="I449" s="10" t="s">
        <v>4565</v>
      </c>
      <c r="J449" s="8" t="s">
        <v>2862</v>
      </c>
      <c r="K449" s="8" t="s">
        <v>2649</v>
      </c>
      <c r="L449" s="8" t="s">
        <v>87</v>
      </c>
      <c r="M449" s="10" t="s">
        <v>1436</v>
      </c>
      <c r="N449" s="8" t="s">
        <v>87</v>
      </c>
      <c r="O449" s="10" t="s">
        <v>22</v>
      </c>
      <c r="P449" s="8" t="s">
        <v>4623</v>
      </c>
      <c r="Q449" s="10" t="s">
        <v>223</v>
      </c>
      <c r="R449" s="10" t="s">
        <v>1438</v>
      </c>
      <c r="S449" s="8" t="s">
        <v>4624</v>
      </c>
      <c r="T449" s="10" t="s">
        <v>4536</v>
      </c>
      <c r="U449" s="10" t="s">
        <v>87</v>
      </c>
      <c r="V449" s="10" t="s">
        <v>87</v>
      </c>
    </row>
    <row r="450" spans="1:22" s="10" customFormat="1" x14ac:dyDescent="0.25">
      <c r="A450" s="10" t="s">
        <v>4625</v>
      </c>
      <c r="B450" s="10" t="s">
        <v>4528</v>
      </c>
      <c r="C450" s="10" t="s">
        <v>215</v>
      </c>
      <c r="D450" s="10" t="s">
        <v>4626</v>
      </c>
      <c r="E450" s="8" t="s">
        <v>4627</v>
      </c>
      <c r="F450" s="8" t="s">
        <v>4628</v>
      </c>
      <c r="G450" s="10" t="s">
        <v>2647</v>
      </c>
      <c r="H450" s="8" t="s">
        <v>4629</v>
      </c>
      <c r="I450" s="10" t="s">
        <v>4565</v>
      </c>
      <c r="J450" s="8" t="s">
        <v>2862</v>
      </c>
      <c r="K450" s="8" t="s">
        <v>2649</v>
      </c>
      <c r="L450" s="8" t="s">
        <v>87</v>
      </c>
      <c r="M450" s="10" t="s">
        <v>1436</v>
      </c>
      <c r="N450" s="8" t="s">
        <v>87</v>
      </c>
      <c r="O450" s="10" t="s">
        <v>22</v>
      </c>
      <c r="P450" s="8" t="s">
        <v>4630</v>
      </c>
      <c r="Q450" s="10" t="s">
        <v>223</v>
      </c>
      <c r="R450" s="10" t="s">
        <v>1438</v>
      </c>
      <c r="S450" s="8" t="s">
        <v>4631</v>
      </c>
      <c r="T450" s="10" t="s">
        <v>4536</v>
      </c>
      <c r="U450" s="10" t="s">
        <v>87</v>
      </c>
      <c r="V450" s="10" t="s">
        <v>87</v>
      </c>
    </row>
    <row r="451" spans="1:22" s="10" customFormat="1" x14ac:dyDescent="0.25">
      <c r="A451" s="10" t="s">
        <v>4632</v>
      </c>
      <c r="B451" s="10" t="s">
        <v>4528</v>
      </c>
      <c r="C451" s="11" t="s">
        <v>346</v>
      </c>
      <c r="D451" s="10" t="s">
        <v>4633</v>
      </c>
      <c r="E451" s="8" t="s">
        <v>4634</v>
      </c>
      <c r="F451" s="8" t="s">
        <v>4635</v>
      </c>
      <c r="G451" s="10" t="s">
        <v>2647</v>
      </c>
      <c r="H451" s="8" t="s">
        <v>4636</v>
      </c>
      <c r="I451" s="10" t="s">
        <v>1881</v>
      </c>
      <c r="J451" s="8" t="s">
        <v>2862</v>
      </c>
      <c r="K451" s="8" t="s">
        <v>2649</v>
      </c>
      <c r="L451" s="8" t="s">
        <v>87</v>
      </c>
      <c r="M451" s="10" t="s">
        <v>1436</v>
      </c>
      <c r="N451" s="8" t="s">
        <v>87</v>
      </c>
      <c r="O451" s="10" t="s">
        <v>22</v>
      </c>
      <c r="P451" s="8" t="s">
        <v>4637</v>
      </c>
      <c r="Q451" s="10" t="s">
        <v>246</v>
      </c>
      <c r="R451" s="10" t="s">
        <v>1438</v>
      </c>
      <c r="S451" s="8" t="s">
        <v>4638</v>
      </c>
      <c r="T451" s="10" t="s">
        <v>4536</v>
      </c>
      <c r="U451" s="10" t="s">
        <v>87</v>
      </c>
      <c r="V451" s="10" t="s">
        <v>87</v>
      </c>
    </row>
    <row r="452" spans="1:22" s="10" customFormat="1" x14ac:dyDescent="0.25">
      <c r="A452" s="10" t="s">
        <v>4639</v>
      </c>
      <c r="B452" s="10" t="s">
        <v>4528</v>
      </c>
      <c r="C452" s="11" t="s">
        <v>346</v>
      </c>
      <c r="D452" s="10" t="s">
        <v>4640</v>
      </c>
      <c r="E452" s="8" t="s">
        <v>4641</v>
      </c>
      <c r="F452" s="8" t="s">
        <v>4642</v>
      </c>
      <c r="G452" s="10" t="s">
        <v>2647</v>
      </c>
      <c r="H452" s="8" t="s">
        <v>4643</v>
      </c>
      <c r="I452" s="10" t="s">
        <v>1889</v>
      </c>
      <c r="J452" s="8" t="s">
        <v>2862</v>
      </c>
      <c r="K452" s="8" t="s">
        <v>2649</v>
      </c>
      <c r="L452" s="8" t="s">
        <v>87</v>
      </c>
      <c r="M452" s="10" t="s">
        <v>1436</v>
      </c>
      <c r="N452" s="8" t="s">
        <v>87</v>
      </c>
      <c r="O452" s="10" t="s">
        <v>22</v>
      </c>
      <c r="P452" s="8" t="s">
        <v>4644</v>
      </c>
      <c r="Q452" s="10" t="s">
        <v>246</v>
      </c>
      <c r="R452" s="10" t="s">
        <v>1438</v>
      </c>
      <c r="S452" s="8" t="s">
        <v>4645</v>
      </c>
      <c r="T452" s="10" t="s">
        <v>4536</v>
      </c>
      <c r="U452" s="10" t="s">
        <v>87</v>
      </c>
      <c r="V452" s="10" t="s">
        <v>87</v>
      </c>
    </row>
    <row r="453" spans="1:22" s="10" customFormat="1" x14ac:dyDescent="0.25">
      <c r="A453" s="10" t="s">
        <v>4646</v>
      </c>
      <c r="B453" s="10" t="s">
        <v>4528</v>
      </c>
      <c r="C453" s="10" t="s">
        <v>215</v>
      </c>
      <c r="D453" s="10" t="s">
        <v>4647</v>
      </c>
      <c r="E453" s="8" t="s">
        <v>4648</v>
      </c>
      <c r="F453" s="8" t="s">
        <v>4649</v>
      </c>
      <c r="G453" s="10" t="s">
        <v>2647</v>
      </c>
      <c r="H453" s="8" t="s">
        <v>4650</v>
      </c>
      <c r="I453" s="10" t="s">
        <v>1889</v>
      </c>
      <c r="J453" s="8" t="s">
        <v>2862</v>
      </c>
      <c r="K453" s="8" t="s">
        <v>2649</v>
      </c>
      <c r="L453" s="8" t="s">
        <v>87</v>
      </c>
      <c r="M453" s="10" t="s">
        <v>1436</v>
      </c>
      <c r="N453" s="8" t="s">
        <v>87</v>
      </c>
      <c r="O453" s="10" t="s">
        <v>22</v>
      </c>
      <c r="P453" s="8" t="s">
        <v>4651</v>
      </c>
      <c r="Q453" s="10" t="s">
        <v>246</v>
      </c>
      <c r="R453" s="10" t="s">
        <v>1438</v>
      </c>
      <c r="S453" s="8" t="s">
        <v>4652</v>
      </c>
      <c r="T453" s="10" t="s">
        <v>4536</v>
      </c>
      <c r="U453" s="10" t="s">
        <v>87</v>
      </c>
      <c r="V453" s="10" t="s">
        <v>87</v>
      </c>
    </row>
    <row r="454" spans="1:22" s="10" customFormat="1" x14ac:dyDescent="0.25">
      <c r="A454" s="10" t="s">
        <v>4653</v>
      </c>
      <c r="B454" s="10" t="s">
        <v>4528</v>
      </c>
      <c r="C454" s="11" t="s">
        <v>346</v>
      </c>
      <c r="D454" s="10" t="s">
        <v>4654</v>
      </c>
      <c r="E454" s="8" t="s">
        <v>4655</v>
      </c>
      <c r="F454" s="8" t="s">
        <v>4656</v>
      </c>
      <c r="G454" s="10" t="s">
        <v>2647</v>
      </c>
      <c r="H454" s="8" t="s">
        <v>4657</v>
      </c>
      <c r="I454" s="10" t="s">
        <v>1889</v>
      </c>
      <c r="J454" s="8" t="s">
        <v>2862</v>
      </c>
      <c r="K454" s="8" t="s">
        <v>2649</v>
      </c>
      <c r="L454" s="8" t="s">
        <v>87</v>
      </c>
      <c r="M454" s="10" t="s">
        <v>1436</v>
      </c>
      <c r="N454" s="8" t="s">
        <v>87</v>
      </c>
      <c r="O454" s="10" t="s">
        <v>22</v>
      </c>
      <c r="P454" s="8" t="s">
        <v>4658</v>
      </c>
      <c r="Q454" s="10" t="s">
        <v>239</v>
      </c>
      <c r="R454" s="10" t="s">
        <v>1438</v>
      </c>
      <c r="S454" s="8" t="s">
        <v>4659</v>
      </c>
      <c r="T454" s="10" t="s">
        <v>4536</v>
      </c>
      <c r="U454" s="10" t="s">
        <v>87</v>
      </c>
      <c r="V454" s="10" t="s">
        <v>87</v>
      </c>
    </row>
    <row r="455" spans="1:22" s="10" customFormat="1" x14ac:dyDescent="0.25">
      <c r="A455" s="10" t="s">
        <v>4660</v>
      </c>
      <c r="B455" s="10" t="s">
        <v>4528</v>
      </c>
      <c r="C455" s="10" t="s">
        <v>215</v>
      </c>
      <c r="D455" s="10" t="s">
        <v>4661</v>
      </c>
      <c r="E455" s="8" t="s">
        <v>4662</v>
      </c>
      <c r="F455" s="8" t="s">
        <v>4663</v>
      </c>
      <c r="G455" s="10" t="s">
        <v>2647</v>
      </c>
      <c r="H455" s="8" t="s">
        <v>4664</v>
      </c>
      <c r="I455" s="10" t="s">
        <v>1889</v>
      </c>
      <c r="J455" s="8" t="s">
        <v>2862</v>
      </c>
      <c r="K455" s="8" t="s">
        <v>2649</v>
      </c>
      <c r="L455" s="8" t="s">
        <v>87</v>
      </c>
      <c r="M455" s="10" t="s">
        <v>1436</v>
      </c>
      <c r="N455" s="8" t="s">
        <v>87</v>
      </c>
      <c r="O455" s="10" t="s">
        <v>22</v>
      </c>
      <c r="P455" s="8" t="s">
        <v>4665</v>
      </c>
      <c r="Q455" s="10" t="s">
        <v>246</v>
      </c>
      <c r="R455" s="10" t="s">
        <v>1438</v>
      </c>
      <c r="S455" s="8" t="s">
        <v>4666</v>
      </c>
      <c r="T455" s="10" t="s">
        <v>4536</v>
      </c>
      <c r="U455" s="10" t="s">
        <v>87</v>
      </c>
      <c r="V455" s="10" t="s">
        <v>87</v>
      </c>
    </row>
    <row r="456" spans="1:22" s="10" customFormat="1" x14ac:dyDescent="0.25">
      <c r="A456" s="10" t="s">
        <v>4667</v>
      </c>
      <c r="B456" s="10" t="s">
        <v>4528</v>
      </c>
      <c r="C456" s="11" t="s">
        <v>346</v>
      </c>
      <c r="D456" s="10" t="s">
        <v>4668</v>
      </c>
      <c r="E456" s="8" t="s">
        <v>4669</v>
      </c>
      <c r="F456" s="8" t="s">
        <v>4670</v>
      </c>
      <c r="G456" s="10" t="s">
        <v>2647</v>
      </c>
      <c r="H456" s="8" t="s">
        <v>4671</v>
      </c>
      <c r="I456" s="10" t="s">
        <v>4672</v>
      </c>
      <c r="J456" s="8" t="s">
        <v>2862</v>
      </c>
      <c r="K456" s="8" t="s">
        <v>2649</v>
      </c>
      <c r="L456" s="8" t="s">
        <v>87</v>
      </c>
      <c r="M456" s="10" t="s">
        <v>1436</v>
      </c>
      <c r="N456" s="8" t="s">
        <v>87</v>
      </c>
      <c r="O456" s="10" t="s">
        <v>22</v>
      </c>
      <c r="P456" s="8" t="s">
        <v>4673</v>
      </c>
      <c r="Q456" s="10" t="s">
        <v>223</v>
      </c>
      <c r="R456" s="10" t="s">
        <v>1438</v>
      </c>
      <c r="S456" s="8" t="s">
        <v>4674</v>
      </c>
      <c r="T456" s="10" t="s">
        <v>4536</v>
      </c>
      <c r="U456" s="10" t="s">
        <v>87</v>
      </c>
      <c r="V456" s="10" t="s">
        <v>87</v>
      </c>
    </row>
    <row r="457" spans="1:22" s="10" customFormat="1" x14ac:dyDescent="0.25">
      <c r="A457" s="10" t="s">
        <v>4675</v>
      </c>
      <c r="B457" s="10" t="s">
        <v>4528</v>
      </c>
      <c r="C457" s="11" t="s">
        <v>346</v>
      </c>
      <c r="D457" s="10" t="s">
        <v>4676</v>
      </c>
      <c r="E457" s="8" t="s">
        <v>4677</v>
      </c>
      <c r="F457" s="8" t="s">
        <v>4678</v>
      </c>
      <c r="G457" s="10" t="s">
        <v>2647</v>
      </c>
      <c r="H457" s="8" t="s">
        <v>4671</v>
      </c>
      <c r="I457" s="10" t="s">
        <v>4679</v>
      </c>
      <c r="J457" s="8" t="s">
        <v>4680</v>
      </c>
      <c r="K457" s="8" t="s">
        <v>2649</v>
      </c>
      <c r="L457" s="8" t="s">
        <v>87</v>
      </c>
      <c r="M457" s="10" t="s">
        <v>1436</v>
      </c>
      <c r="N457" s="8" t="s">
        <v>87</v>
      </c>
      <c r="O457" s="10" t="s">
        <v>22</v>
      </c>
      <c r="P457" s="8" t="s">
        <v>4681</v>
      </c>
      <c r="Q457" s="10" t="s">
        <v>1447</v>
      </c>
      <c r="R457" s="10" t="s">
        <v>1438</v>
      </c>
      <c r="S457" s="8" t="s">
        <v>4682</v>
      </c>
      <c r="T457" s="10" t="s">
        <v>4536</v>
      </c>
      <c r="U457" s="10" t="s">
        <v>87</v>
      </c>
      <c r="V457" s="10" t="s">
        <v>87</v>
      </c>
    </row>
    <row r="458" spans="1:22" s="10" customFormat="1" x14ac:dyDescent="0.25">
      <c r="A458" s="10" t="s">
        <v>4683</v>
      </c>
      <c r="B458" s="10" t="s">
        <v>4528</v>
      </c>
      <c r="C458" s="11" t="s">
        <v>346</v>
      </c>
      <c r="D458" s="10" t="s">
        <v>4684</v>
      </c>
      <c r="E458" s="8" t="s">
        <v>4685</v>
      </c>
      <c r="F458" s="8" t="s">
        <v>4686</v>
      </c>
      <c r="G458" s="10" t="s">
        <v>2647</v>
      </c>
      <c r="H458" s="8" t="s">
        <v>4687</v>
      </c>
      <c r="I458" s="10" t="s">
        <v>4043</v>
      </c>
      <c r="J458" s="8" t="s">
        <v>2862</v>
      </c>
      <c r="K458" s="8" t="s">
        <v>2649</v>
      </c>
      <c r="L458" s="8" t="s">
        <v>87</v>
      </c>
      <c r="M458" s="10" t="s">
        <v>1436</v>
      </c>
      <c r="N458" s="8" t="s">
        <v>87</v>
      </c>
      <c r="O458" s="10" t="s">
        <v>22</v>
      </c>
      <c r="P458" s="8" t="s">
        <v>4688</v>
      </c>
      <c r="Q458" s="10" t="s">
        <v>1447</v>
      </c>
      <c r="R458" s="10" t="s">
        <v>1438</v>
      </c>
      <c r="S458" s="8" t="s">
        <v>4689</v>
      </c>
      <c r="T458" s="10" t="s">
        <v>4536</v>
      </c>
      <c r="U458" s="10" t="s">
        <v>87</v>
      </c>
      <c r="V458" s="10" t="s">
        <v>87</v>
      </c>
    </row>
    <row r="459" spans="1:22" s="10" customFormat="1" x14ac:dyDescent="0.25">
      <c r="A459" s="10" t="s">
        <v>4690</v>
      </c>
      <c r="B459" s="10" t="s">
        <v>4528</v>
      </c>
      <c r="C459" s="10" t="s">
        <v>215</v>
      </c>
      <c r="D459" s="10" t="s">
        <v>4691</v>
      </c>
      <c r="E459" s="8" t="s">
        <v>4692</v>
      </c>
      <c r="F459" s="8" t="s">
        <v>4693</v>
      </c>
      <c r="G459" s="10" t="s">
        <v>2647</v>
      </c>
      <c r="H459" s="8" t="s">
        <v>4694</v>
      </c>
      <c r="I459" s="10" t="s">
        <v>539</v>
      </c>
      <c r="J459" s="8" t="s">
        <v>2862</v>
      </c>
      <c r="K459" s="8" t="s">
        <v>2649</v>
      </c>
      <c r="L459" s="8" t="s">
        <v>87</v>
      </c>
      <c r="M459" s="10" t="s">
        <v>1436</v>
      </c>
      <c r="N459" s="8" t="s">
        <v>87</v>
      </c>
      <c r="O459" s="10" t="s">
        <v>22</v>
      </c>
      <c r="P459" s="8" t="s">
        <v>4695</v>
      </c>
      <c r="Q459" s="10" t="s">
        <v>223</v>
      </c>
      <c r="R459" s="10" t="s">
        <v>1438</v>
      </c>
      <c r="S459" s="8" t="s">
        <v>4696</v>
      </c>
      <c r="T459" s="10" t="s">
        <v>4536</v>
      </c>
      <c r="U459" s="10" t="s">
        <v>87</v>
      </c>
      <c r="V459" s="10" t="s">
        <v>87</v>
      </c>
    </row>
    <row r="460" spans="1:22" s="10" customFormat="1" x14ac:dyDescent="0.25">
      <c r="A460" s="10" t="s">
        <v>4697</v>
      </c>
      <c r="B460" s="10" t="s">
        <v>4528</v>
      </c>
      <c r="C460" s="11" t="s">
        <v>346</v>
      </c>
      <c r="D460" s="10" t="s">
        <v>4698</v>
      </c>
      <c r="E460" s="8" t="s">
        <v>4699</v>
      </c>
      <c r="F460" s="8" t="s">
        <v>4700</v>
      </c>
      <c r="G460" s="10" t="s">
        <v>2647</v>
      </c>
      <c r="H460" s="8" t="s">
        <v>4701</v>
      </c>
      <c r="I460" s="10" t="s">
        <v>3018</v>
      </c>
      <c r="J460" s="8" t="s">
        <v>2862</v>
      </c>
      <c r="K460" s="8" t="s">
        <v>2649</v>
      </c>
      <c r="L460" s="8" t="s">
        <v>87</v>
      </c>
      <c r="M460" s="10" t="s">
        <v>1436</v>
      </c>
      <c r="N460" s="8" t="s">
        <v>87</v>
      </c>
      <c r="O460" s="10" t="s">
        <v>22</v>
      </c>
      <c r="P460" s="8" t="s">
        <v>4702</v>
      </c>
      <c r="Q460" s="10" t="s">
        <v>1447</v>
      </c>
      <c r="R460" s="10" t="s">
        <v>1438</v>
      </c>
      <c r="S460" s="8" t="s">
        <v>4703</v>
      </c>
      <c r="T460" s="10" t="s">
        <v>4536</v>
      </c>
      <c r="U460" s="10" t="s">
        <v>87</v>
      </c>
      <c r="V460" s="10" t="s">
        <v>87</v>
      </c>
    </row>
    <row r="461" spans="1:22" s="10" customFormat="1" x14ac:dyDescent="0.25">
      <c r="A461" s="10" t="s">
        <v>4704</v>
      </c>
      <c r="B461" s="10" t="s">
        <v>4528</v>
      </c>
      <c r="C461" s="11" t="s">
        <v>346</v>
      </c>
      <c r="D461" s="10" t="s">
        <v>4705</v>
      </c>
      <c r="E461" s="8" t="s">
        <v>4706</v>
      </c>
      <c r="F461" s="8" t="s">
        <v>4707</v>
      </c>
      <c r="G461" s="10" t="s">
        <v>2647</v>
      </c>
      <c r="H461" s="8" t="s">
        <v>4708</v>
      </c>
      <c r="I461" s="10" t="s">
        <v>1504</v>
      </c>
      <c r="J461" s="8" t="s">
        <v>4709</v>
      </c>
      <c r="K461" s="8" t="s">
        <v>2649</v>
      </c>
      <c r="L461" s="8" t="s">
        <v>87</v>
      </c>
      <c r="M461" s="10" t="s">
        <v>1436</v>
      </c>
      <c r="N461" s="8" t="s">
        <v>87</v>
      </c>
      <c r="O461" s="10" t="s">
        <v>22</v>
      </c>
      <c r="P461" s="8" t="s">
        <v>4710</v>
      </c>
      <c r="Q461" s="10" t="s">
        <v>1447</v>
      </c>
      <c r="R461" s="10" t="s">
        <v>1438</v>
      </c>
      <c r="S461" s="8" t="s">
        <v>4711</v>
      </c>
      <c r="T461" s="10" t="s">
        <v>4536</v>
      </c>
      <c r="U461" s="10" t="s">
        <v>87</v>
      </c>
      <c r="V461" s="10" t="s">
        <v>87</v>
      </c>
    </row>
    <row r="462" spans="1:22" s="10" customFormat="1" x14ac:dyDescent="0.25">
      <c r="A462" s="10" t="s">
        <v>4712</v>
      </c>
      <c r="B462" s="10" t="s">
        <v>4528</v>
      </c>
      <c r="C462" s="10" t="s">
        <v>215</v>
      </c>
      <c r="D462" s="10" t="s">
        <v>4713</v>
      </c>
      <c r="E462" s="8" t="s">
        <v>4714</v>
      </c>
      <c r="F462" s="8" t="s">
        <v>4715</v>
      </c>
      <c r="G462" s="10" t="s">
        <v>2647</v>
      </c>
      <c r="H462" s="8" t="s">
        <v>4716</v>
      </c>
      <c r="I462" s="10" t="s">
        <v>4717</v>
      </c>
      <c r="J462" s="8" t="s">
        <v>2862</v>
      </c>
      <c r="K462" s="8" t="s">
        <v>2649</v>
      </c>
      <c r="L462" s="8" t="s">
        <v>87</v>
      </c>
      <c r="M462" s="10" t="s">
        <v>1436</v>
      </c>
      <c r="N462" s="8" t="s">
        <v>87</v>
      </c>
      <c r="O462" s="10" t="s">
        <v>22</v>
      </c>
      <c r="P462" s="8" t="s">
        <v>4718</v>
      </c>
      <c r="Q462" s="10" t="s">
        <v>223</v>
      </c>
      <c r="R462" s="10" t="s">
        <v>1438</v>
      </c>
      <c r="S462" s="8" t="s">
        <v>4719</v>
      </c>
      <c r="T462" s="10" t="s">
        <v>4536</v>
      </c>
      <c r="U462" s="10" t="s">
        <v>87</v>
      </c>
      <c r="V462" s="10" t="s">
        <v>87</v>
      </c>
    </row>
    <row r="463" spans="1:22" s="10" customFormat="1" x14ac:dyDescent="0.25">
      <c r="A463" s="10" t="s">
        <v>4720</v>
      </c>
      <c r="B463" s="10" t="s">
        <v>4528</v>
      </c>
      <c r="C463" s="10" t="s">
        <v>215</v>
      </c>
      <c r="D463" s="10" t="s">
        <v>4721</v>
      </c>
      <c r="E463" s="8" t="s">
        <v>4722</v>
      </c>
      <c r="F463" s="8" t="s">
        <v>4723</v>
      </c>
      <c r="G463" s="10" t="s">
        <v>2647</v>
      </c>
      <c r="H463" s="8" t="s">
        <v>4724</v>
      </c>
      <c r="I463" s="10" t="s">
        <v>4725</v>
      </c>
      <c r="J463" s="8" t="s">
        <v>2862</v>
      </c>
      <c r="K463" s="8" t="s">
        <v>2649</v>
      </c>
      <c r="L463" s="8" t="s">
        <v>87</v>
      </c>
      <c r="M463" s="10" t="s">
        <v>1436</v>
      </c>
      <c r="N463" s="8" t="s">
        <v>87</v>
      </c>
      <c r="O463" s="10" t="s">
        <v>22</v>
      </c>
      <c r="P463" s="8" t="s">
        <v>4726</v>
      </c>
      <c r="Q463" s="10" t="s">
        <v>223</v>
      </c>
      <c r="R463" s="10" t="s">
        <v>1438</v>
      </c>
      <c r="S463" s="8" t="s">
        <v>4727</v>
      </c>
      <c r="T463" s="10" t="s">
        <v>4536</v>
      </c>
      <c r="U463" s="10" t="s">
        <v>87</v>
      </c>
      <c r="V463" s="10" t="s">
        <v>87</v>
      </c>
    </row>
    <row r="464" spans="1:22" s="10" customFormat="1" x14ac:dyDescent="0.25">
      <c r="A464" s="10" t="s">
        <v>4728</v>
      </c>
      <c r="B464" s="10" t="s">
        <v>4528</v>
      </c>
      <c r="C464" s="10" t="s">
        <v>215</v>
      </c>
      <c r="D464" s="10" t="s">
        <v>4729</v>
      </c>
      <c r="E464" s="8" t="s">
        <v>4730</v>
      </c>
      <c r="F464" s="8" t="s">
        <v>4731</v>
      </c>
      <c r="G464" s="10" t="s">
        <v>2647</v>
      </c>
      <c r="H464" s="8" t="s">
        <v>4732</v>
      </c>
      <c r="I464" s="10" t="s">
        <v>539</v>
      </c>
      <c r="J464" s="8" t="s">
        <v>2862</v>
      </c>
      <c r="K464" s="8" t="s">
        <v>2649</v>
      </c>
      <c r="L464" s="8" t="s">
        <v>87</v>
      </c>
      <c r="M464" s="10" t="s">
        <v>1436</v>
      </c>
      <c r="N464" s="8" t="s">
        <v>87</v>
      </c>
      <c r="O464" s="10" t="s">
        <v>22</v>
      </c>
      <c r="P464" s="8" t="s">
        <v>4733</v>
      </c>
      <c r="Q464" s="10" t="s">
        <v>223</v>
      </c>
      <c r="R464" s="10" t="s">
        <v>1438</v>
      </c>
      <c r="S464" s="8" t="s">
        <v>4734</v>
      </c>
      <c r="T464" s="10" t="s">
        <v>4536</v>
      </c>
      <c r="U464" s="10" t="s">
        <v>87</v>
      </c>
      <c r="V464" s="10" t="s">
        <v>87</v>
      </c>
    </row>
    <row r="465" spans="1:22" s="10" customFormat="1" x14ac:dyDescent="0.25">
      <c r="A465" s="10" t="s">
        <v>4735</v>
      </c>
      <c r="B465" s="10" t="s">
        <v>4528</v>
      </c>
      <c r="C465" s="10" t="s">
        <v>215</v>
      </c>
      <c r="D465" s="10" t="s">
        <v>4736</v>
      </c>
      <c r="E465" s="8" t="s">
        <v>4737</v>
      </c>
      <c r="F465" s="8" t="s">
        <v>4738</v>
      </c>
      <c r="G465" s="10" t="s">
        <v>2647</v>
      </c>
      <c r="H465" s="8" t="s">
        <v>4739</v>
      </c>
      <c r="I465" s="10" t="s">
        <v>4672</v>
      </c>
      <c r="J465" s="8" t="s">
        <v>2862</v>
      </c>
      <c r="K465" s="8" t="s">
        <v>2649</v>
      </c>
      <c r="L465" s="8" t="s">
        <v>87</v>
      </c>
      <c r="M465" s="10" t="s">
        <v>1436</v>
      </c>
      <c r="N465" s="8" t="s">
        <v>87</v>
      </c>
      <c r="O465" s="10" t="s">
        <v>22</v>
      </c>
      <c r="P465" s="8" t="s">
        <v>4740</v>
      </c>
      <c r="Q465" s="10" t="s">
        <v>1447</v>
      </c>
      <c r="R465" s="10" t="s">
        <v>1438</v>
      </c>
      <c r="S465" s="8" t="s">
        <v>4741</v>
      </c>
      <c r="T465" s="10" t="s">
        <v>4536</v>
      </c>
      <c r="U465" s="10" t="s">
        <v>87</v>
      </c>
      <c r="V465" s="10" t="s">
        <v>87</v>
      </c>
    </row>
    <row r="466" spans="1:22" s="10" customFormat="1" x14ac:dyDescent="0.25">
      <c r="A466" s="10" t="s">
        <v>4742</v>
      </c>
      <c r="B466" s="10" t="s">
        <v>4528</v>
      </c>
      <c r="C466" s="11" t="s">
        <v>346</v>
      </c>
      <c r="D466" s="10" t="s">
        <v>4743</v>
      </c>
      <c r="E466" s="8" t="s">
        <v>4744</v>
      </c>
      <c r="F466" s="8" t="s">
        <v>4745</v>
      </c>
      <c r="G466" s="10" t="s">
        <v>2647</v>
      </c>
      <c r="H466" s="8" t="s">
        <v>4732</v>
      </c>
      <c r="I466" s="10" t="s">
        <v>539</v>
      </c>
      <c r="J466" s="8" t="s">
        <v>2862</v>
      </c>
      <c r="K466" s="8" t="s">
        <v>2649</v>
      </c>
      <c r="L466" s="8" t="s">
        <v>87</v>
      </c>
      <c r="M466" s="10" t="s">
        <v>1436</v>
      </c>
      <c r="N466" s="8" t="s">
        <v>87</v>
      </c>
      <c r="O466" s="10" t="s">
        <v>22</v>
      </c>
      <c r="P466" s="8" t="s">
        <v>4746</v>
      </c>
      <c r="Q466" s="10" t="s">
        <v>223</v>
      </c>
      <c r="R466" s="10" t="s">
        <v>1438</v>
      </c>
      <c r="S466" s="8" t="s">
        <v>4747</v>
      </c>
      <c r="T466" s="10" t="s">
        <v>4536</v>
      </c>
      <c r="U466" s="10" t="s">
        <v>87</v>
      </c>
      <c r="V466" s="10" t="s">
        <v>87</v>
      </c>
    </row>
    <row r="467" spans="1:22" s="10" customFormat="1" x14ac:dyDescent="0.25">
      <c r="A467" s="10" t="s">
        <v>4748</v>
      </c>
      <c r="B467" s="10" t="s">
        <v>4528</v>
      </c>
      <c r="C467" s="11" t="s">
        <v>346</v>
      </c>
      <c r="D467" s="10" t="s">
        <v>4749</v>
      </c>
      <c r="E467" s="8" t="s">
        <v>4750</v>
      </c>
      <c r="F467" s="8" t="s">
        <v>4751</v>
      </c>
      <c r="G467" s="10" t="s">
        <v>2647</v>
      </c>
      <c r="H467" s="8" t="s">
        <v>1653</v>
      </c>
      <c r="I467" s="10" t="s">
        <v>4752</v>
      </c>
      <c r="J467" s="8" t="s">
        <v>1655</v>
      </c>
      <c r="K467" s="8" t="s">
        <v>2649</v>
      </c>
      <c r="L467" s="8" t="s">
        <v>87</v>
      </c>
      <c r="M467" s="10" t="s">
        <v>1436</v>
      </c>
      <c r="N467" s="8" t="s">
        <v>87</v>
      </c>
      <c r="O467" s="10" t="s">
        <v>22</v>
      </c>
      <c r="P467" s="8" t="s">
        <v>4753</v>
      </c>
      <c r="Q467" s="10" t="s">
        <v>1447</v>
      </c>
      <c r="R467" s="10" t="s">
        <v>1657</v>
      </c>
      <c r="S467" s="8" t="s">
        <v>4754</v>
      </c>
      <c r="T467" s="10" t="s">
        <v>4536</v>
      </c>
      <c r="U467" s="10" t="s">
        <v>87</v>
      </c>
      <c r="V467" s="10" t="s">
        <v>87</v>
      </c>
    </row>
    <row r="468" spans="1:22" s="10" customFormat="1" x14ac:dyDescent="0.25">
      <c r="A468" s="10" t="s">
        <v>4755</v>
      </c>
      <c r="B468" s="10" t="s">
        <v>4528</v>
      </c>
      <c r="C468" s="11" t="s">
        <v>346</v>
      </c>
      <c r="D468" s="10" t="s">
        <v>4756</v>
      </c>
      <c r="E468" s="8" t="s">
        <v>4757</v>
      </c>
      <c r="F468" s="8" t="s">
        <v>1662</v>
      </c>
      <c r="G468" s="10" t="s">
        <v>2647</v>
      </c>
      <c r="H468" s="8" t="s">
        <v>2185</v>
      </c>
      <c r="I468" s="10" t="s">
        <v>539</v>
      </c>
      <c r="J468" s="8" t="s">
        <v>1664</v>
      </c>
      <c r="K468" s="8" t="s">
        <v>2649</v>
      </c>
      <c r="L468" s="8" t="s">
        <v>87</v>
      </c>
      <c r="M468" s="10" t="s">
        <v>1436</v>
      </c>
      <c r="N468" s="8" t="s">
        <v>87</v>
      </c>
      <c r="O468" s="10" t="s">
        <v>22</v>
      </c>
      <c r="P468" s="8" t="s">
        <v>4758</v>
      </c>
      <c r="Q468" s="10" t="s">
        <v>825</v>
      </c>
      <c r="R468" s="10" t="s">
        <v>2188</v>
      </c>
      <c r="S468" s="8" t="s">
        <v>1669</v>
      </c>
      <c r="T468" s="10" t="s">
        <v>4536</v>
      </c>
      <c r="U468" s="10" t="s">
        <v>87</v>
      </c>
      <c r="V468" s="10" t="s">
        <v>87</v>
      </c>
    </row>
    <row r="469" spans="1:22" s="10" customFormat="1" x14ac:dyDescent="0.25">
      <c r="A469" s="10" t="s">
        <v>4759</v>
      </c>
      <c r="B469" s="10" t="s">
        <v>4528</v>
      </c>
      <c r="C469" s="11" t="s">
        <v>346</v>
      </c>
      <c r="D469" s="10" t="s">
        <v>4760</v>
      </c>
      <c r="E469" s="8" t="s">
        <v>4761</v>
      </c>
      <c r="F469" s="8" t="s">
        <v>4762</v>
      </c>
      <c r="G469" s="10" t="s">
        <v>2647</v>
      </c>
      <c r="H469" s="8" t="s">
        <v>2839</v>
      </c>
      <c r="I469" s="10" t="s">
        <v>4586</v>
      </c>
      <c r="J469" s="8" t="s">
        <v>1664</v>
      </c>
      <c r="K469" s="8" t="s">
        <v>2649</v>
      </c>
      <c r="L469" s="8" t="s">
        <v>87</v>
      </c>
      <c r="M469" s="10" t="s">
        <v>1436</v>
      </c>
      <c r="N469" s="8" t="s">
        <v>87</v>
      </c>
      <c r="O469" s="10" t="s">
        <v>22</v>
      </c>
      <c r="P469" s="8" t="s">
        <v>4763</v>
      </c>
      <c r="Q469" s="10" t="s">
        <v>825</v>
      </c>
      <c r="R469" s="10" t="s">
        <v>2841</v>
      </c>
      <c r="S469" s="8" t="s">
        <v>1669</v>
      </c>
      <c r="T469" s="10" t="s">
        <v>4536</v>
      </c>
      <c r="U469" s="10" t="s">
        <v>87</v>
      </c>
      <c r="V469" s="10" t="s">
        <v>87</v>
      </c>
    </row>
    <row r="470" spans="1:22" s="10" customFormat="1" x14ac:dyDescent="0.25">
      <c r="A470" s="10" t="s">
        <v>4764</v>
      </c>
      <c r="B470" s="10" t="s">
        <v>4528</v>
      </c>
      <c r="C470" s="10" t="s">
        <v>215</v>
      </c>
      <c r="D470" s="10" t="s">
        <v>4765</v>
      </c>
      <c r="E470" s="8" t="s">
        <v>4766</v>
      </c>
      <c r="F470" s="8" t="s">
        <v>4767</v>
      </c>
      <c r="G470" s="10" t="s">
        <v>2647</v>
      </c>
      <c r="H470" s="8" t="s">
        <v>4732</v>
      </c>
      <c r="I470" s="10" t="s">
        <v>4672</v>
      </c>
      <c r="J470" s="8" t="s">
        <v>2862</v>
      </c>
      <c r="K470" s="8" t="s">
        <v>2649</v>
      </c>
      <c r="L470" s="8" t="s">
        <v>87</v>
      </c>
      <c r="M470" s="10" t="s">
        <v>1436</v>
      </c>
      <c r="N470" s="8" t="s">
        <v>87</v>
      </c>
      <c r="O470" s="10" t="s">
        <v>22</v>
      </c>
      <c r="P470" s="8" t="s">
        <v>4768</v>
      </c>
      <c r="Q470" s="10" t="s">
        <v>223</v>
      </c>
      <c r="R470" s="10" t="s">
        <v>1438</v>
      </c>
      <c r="S470" s="8" t="s">
        <v>1648</v>
      </c>
      <c r="T470" s="10" t="s">
        <v>4536</v>
      </c>
      <c r="U470" s="10" t="s">
        <v>87</v>
      </c>
      <c r="V470" s="10" t="s">
        <v>87</v>
      </c>
    </row>
    <row r="471" spans="1:22" s="10" customFormat="1" x14ac:dyDescent="0.25">
      <c r="A471" s="10" t="s">
        <v>4769</v>
      </c>
      <c r="B471" s="10" t="s">
        <v>4528</v>
      </c>
      <c r="C471" s="10" t="s">
        <v>215</v>
      </c>
      <c r="D471" s="10" t="s">
        <v>4770</v>
      </c>
      <c r="E471" s="8" t="s">
        <v>4771</v>
      </c>
      <c r="F471" s="8" t="s">
        <v>4772</v>
      </c>
      <c r="G471" s="10" t="s">
        <v>3</v>
      </c>
      <c r="H471" s="8" t="s">
        <v>4773</v>
      </c>
      <c r="I471" s="10" t="s">
        <v>4774</v>
      </c>
      <c r="J471" s="8" t="s">
        <v>2862</v>
      </c>
      <c r="K471" s="8" t="s">
        <v>1435</v>
      </c>
      <c r="L471" s="8" t="s">
        <v>87</v>
      </c>
      <c r="M471" s="10" t="s">
        <v>1436</v>
      </c>
      <c r="N471" s="8" t="s">
        <v>87</v>
      </c>
      <c r="O471" s="10" t="s">
        <v>22</v>
      </c>
      <c r="P471" s="8" t="s">
        <v>4775</v>
      </c>
      <c r="Q471" s="10" t="s">
        <v>223</v>
      </c>
      <c r="R471" s="10" t="s">
        <v>1438</v>
      </c>
      <c r="S471" s="8" t="s">
        <v>4776</v>
      </c>
      <c r="T471" s="10" t="s">
        <v>4536</v>
      </c>
      <c r="U471" s="10" t="s">
        <v>87</v>
      </c>
      <c r="V471" s="10" t="s">
        <v>87</v>
      </c>
    </row>
    <row r="472" spans="1:22" s="10" customFormat="1" x14ac:dyDescent="0.25">
      <c r="A472" s="10" t="s">
        <v>4777</v>
      </c>
      <c r="B472" s="10" t="s">
        <v>4528</v>
      </c>
      <c r="C472" s="11" t="s">
        <v>346</v>
      </c>
      <c r="D472" s="10" t="s">
        <v>4778</v>
      </c>
      <c r="E472" s="8" t="s">
        <v>4779</v>
      </c>
      <c r="F472" s="8" t="s">
        <v>4780</v>
      </c>
      <c r="G472" s="10" t="s">
        <v>4</v>
      </c>
      <c r="H472" s="8" t="s">
        <v>4781</v>
      </c>
      <c r="I472" s="10" t="s">
        <v>4782</v>
      </c>
      <c r="J472" s="8" t="s">
        <v>2862</v>
      </c>
      <c r="K472" s="8" t="s">
        <v>1873</v>
      </c>
      <c r="L472" s="8" t="s">
        <v>87</v>
      </c>
      <c r="M472" s="10" t="s">
        <v>1456</v>
      </c>
      <c r="N472" s="8" t="s">
        <v>87</v>
      </c>
      <c r="O472" s="10" t="s">
        <v>22</v>
      </c>
      <c r="P472" s="8" t="s">
        <v>4783</v>
      </c>
      <c r="Q472" s="10" t="s">
        <v>223</v>
      </c>
      <c r="R472" s="10" t="s">
        <v>1438</v>
      </c>
      <c r="S472" s="8" t="s">
        <v>4784</v>
      </c>
      <c r="T472" s="10" t="s">
        <v>4536</v>
      </c>
      <c r="U472" s="10" t="s">
        <v>87</v>
      </c>
      <c r="V472" s="10" t="s">
        <v>87</v>
      </c>
    </row>
    <row r="473" spans="1:22" s="10" customFormat="1" x14ac:dyDescent="0.25">
      <c r="A473" s="10" t="s">
        <v>4785</v>
      </c>
      <c r="B473" s="10" t="s">
        <v>4528</v>
      </c>
      <c r="C473" s="11" t="s">
        <v>346</v>
      </c>
      <c r="D473" s="10" t="s">
        <v>4786</v>
      </c>
      <c r="E473" s="8" t="s">
        <v>4787</v>
      </c>
      <c r="F473" s="8" t="s">
        <v>4788</v>
      </c>
      <c r="G473" s="10" t="s">
        <v>4</v>
      </c>
      <c r="H473" s="8" t="s">
        <v>4789</v>
      </c>
      <c r="I473" s="10" t="s">
        <v>4790</v>
      </c>
      <c r="J473" s="8" t="s">
        <v>2862</v>
      </c>
      <c r="K473" s="8" t="s">
        <v>1873</v>
      </c>
      <c r="L473" s="8" t="s">
        <v>87</v>
      </c>
      <c r="M473" s="10" t="s">
        <v>1456</v>
      </c>
      <c r="N473" s="8" t="s">
        <v>87</v>
      </c>
      <c r="O473" s="10" t="s">
        <v>22</v>
      </c>
      <c r="P473" s="8" t="s">
        <v>4791</v>
      </c>
      <c r="Q473" s="10" t="s">
        <v>223</v>
      </c>
      <c r="R473" s="10" t="s">
        <v>1438</v>
      </c>
      <c r="S473" s="8" t="s">
        <v>4792</v>
      </c>
      <c r="T473" s="10" t="s">
        <v>4536</v>
      </c>
      <c r="U473" s="10" t="s">
        <v>87</v>
      </c>
      <c r="V473" s="10" t="s">
        <v>87</v>
      </c>
    </row>
    <row r="474" spans="1:22" s="10" customFormat="1" x14ac:dyDescent="0.25">
      <c r="A474" s="10" t="s">
        <v>4793</v>
      </c>
      <c r="B474" s="10" t="s">
        <v>4528</v>
      </c>
      <c r="C474" s="11" t="s">
        <v>346</v>
      </c>
      <c r="D474" s="10" t="s">
        <v>4794</v>
      </c>
      <c r="E474" s="8" t="s">
        <v>4795</v>
      </c>
      <c r="F474" s="8" t="s">
        <v>4796</v>
      </c>
      <c r="G474" s="10" t="s">
        <v>4</v>
      </c>
      <c r="H474" s="8" t="s">
        <v>4708</v>
      </c>
      <c r="I474" s="10" t="s">
        <v>4790</v>
      </c>
      <c r="J474" s="8" t="s">
        <v>2862</v>
      </c>
      <c r="K474" s="8" t="s">
        <v>1873</v>
      </c>
      <c r="L474" s="8" t="s">
        <v>87</v>
      </c>
      <c r="M474" s="10" t="s">
        <v>1456</v>
      </c>
      <c r="N474" s="8" t="s">
        <v>87</v>
      </c>
      <c r="O474" s="10" t="s">
        <v>22</v>
      </c>
      <c r="P474" s="8" t="s">
        <v>4797</v>
      </c>
      <c r="Q474" s="10" t="s">
        <v>223</v>
      </c>
      <c r="R474" s="10" t="s">
        <v>1438</v>
      </c>
      <c r="S474" s="8" t="s">
        <v>4798</v>
      </c>
      <c r="T474" s="10" t="s">
        <v>4536</v>
      </c>
      <c r="U474" s="10" t="s">
        <v>87</v>
      </c>
      <c r="V474" s="10" t="s">
        <v>87</v>
      </c>
    </row>
    <row r="475" spans="1:22" s="10" customFormat="1" x14ac:dyDescent="0.25">
      <c r="A475" s="10" t="s">
        <v>4799</v>
      </c>
      <c r="B475" s="10" t="s">
        <v>4528</v>
      </c>
      <c r="C475" s="11" t="s">
        <v>346</v>
      </c>
      <c r="D475" s="10" t="s">
        <v>4800</v>
      </c>
      <c r="E475" s="8" t="s">
        <v>4801</v>
      </c>
      <c r="F475" s="8" t="s">
        <v>4802</v>
      </c>
      <c r="G475" s="10" t="s">
        <v>4</v>
      </c>
      <c r="H475" s="8" t="s">
        <v>4803</v>
      </c>
      <c r="I475" s="10" t="s">
        <v>4790</v>
      </c>
      <c r="J475" s="8" t="s">
        <v>2862</v>
      </c>
      <c r="K475" s="8" t="s">
        <v>1873</v>
      </c>
      <c r="L475" s="8" t="s">
        <v>87</v>
      </c>
      <c r="M475" s="10" t="s">
        <v>1456</v>
      </c>
      <c r="N475" s="8" t="s">
        <v>87</v>
      </c>
      <c r="O475" s="10" t="s">
        <v>22</v>
      </c>
      <c r="P475" s="8" t="s">
        <v>4804</v>
      </c>
      <c r="Q475" s="10" t="s">
        <v>223</v>
      </c>
      <c r="R475" s="10" t="s">
        <v>1438</v>
      </c>
      <c r="S475" s="8" t="s">
        <v>4805</v>
      </c>
      <c r="T475" s="10" t="s">
        <v>4536</v>
      </c>
      <c r="U475" s="10" t="s">
        <v>87</v>
      </c>
      <c r="V475" s="10" t="s">
        <v>87</v>
      </c>
    </row>
    <row r="476" spans="1:22" s="10" customFormat="1" x14ac:dyDescent="0.25">
      <c r="A476" s="10" t="s">
        <v>4806</v>
      </c>
      <c r="B476" s="10" t="s">
        <v>4528</v>
      </c>
      <c r="C476" s="11" t="s">
        <v>346</v>
      </c>
      <c r="D476" s="10" t="s">
        <v>4807</v>
      </c>
      <c r="E476" s="8" t="s">
        <v>4808</v>
      </c>
      <c r="F476" s="8" t="s">
        <v>4809</v>
      </c>
      <c r="G476" s="10" t="s">
        <v>4</v>
      </c>
      <c r="H476" s="8" t="s">
        <v>4810</v>
      </c>
      <c r="I476" s="10" t="s">
        <v>4790</v>
      </c>
      <c r="J476" s="8" t="s">
        <v>2862</v>
      </c>
      <c r="K476" s="8" t="s">
        <v>1873</v>
      </c>
      <c r="L476" s="8" t="s">
        <v>87</v>
      </c>
      <c r="M476" s="10" t="s">
        <v>1456</v>
      </c>
      <c r="N476" s="8" t="s">
        <v>87</v>
      </c>
      <c r="O476" s="10" t="s">
        <v>22</v>
      </c>
      <c r="P476" s="8" t="s">
        <v>4811</v>
      </c>
      <c r="Q476" s="10" t="s">
        <v>223</v>
      </c>
      <c r="R476" s="10" t="s">
        <v>1438</v>
      </c>
      <c r="S476" s="8" t="s">
        <v>4812</v>
      </c>
      <c r="T476" s="10" t="s">
        <v>4536</v>
      </c>
      <c r="U476" s="10" t="s">
        <v>87</v>
      </c>
      <c r="V476" s="10" t="s">
        <v>87</v>
      </c>
    </row>
    <row r="477" spans="1:22" s="10" customFormat="1" x14ac:dyDescent="0.25">
      <c r="A477" s="10" t="s">
        <v>4813</v>
      </c>
      <c r="B477" s="10" t="s">
        <v>4528</v>
      </c>
      <c r="C477" s="10" t="s">
        <v>215</v>
      </c>
      <c r="D477" s="10" t="s">
        <v>4814</v>
      </c>
      <c r="E477" s="8" t="s">
        <v>4815</v>
      </c>
      <c r="F477" s="8" t="s">
        <v>4816</v>
      </c>
      <c r="G477" s="10" t="s">
        <v>4</v>
      </c>
      <c r="H477" s="8" t="s">
        <v>4817</v>
      </c>
      <c r="I477" s="10" t="s">
        <v>1504</v>
      </c>
      <c r="J477" s="8" t="s">
        <v>2862</v>
      </c>
      <c r="K477" s="8" t="s">
        <v>1873</v>
      </c>
      <c r="L477" s="8" t="s">
        <v>87</v>
      </c>
      <c r="M477" s="10" t="s">
        <v>1456</v>
      </c>
      <c r="N477" s="8" t="s">
        <v>87</v>
      </c>
      <c r="O477" s="10" t="s">
        <v>22</v>
      </c>
      <c r="P477" s="8" t="s">
        <v>4818</v>
      </c>
      <c r="Q477" s="10" t="s">
        <v>239</v>
      </c>
      <c r="R477" s="10" t="s">
        <v>1438</v>
      </c>
      <c r="S477" s="8" t="s">
        <v>4819</v>
      </c>
      <c r="T477" s="10" t="s">
        <v>4536</v>
      </c>
      <c r="U477" s="10" t="s">
        <v>87</v>
      </c>
      <c r="V477" s="10" t="s">
        <v>87</v>
      </c>
    </row>
    <row r="478" spans="1:22" s="10" customFormat="1" x14ac:dyDescent="0.25">
      <c r="A478" s="10" t="s">
        <v>4820</v>
      </c>
      <c r="B478" s="10" t="s">
        <v>4528</v>
      </c>
      <c r="C478" s="10" t="s">
        <v>215</v>
      </c>
      <c r="D478" s="10" t="s">
        <v>4821</v>
      </c>
      <c r="E478" s="8" t="s">
        <v>4822</v>
      </c>
      <c r="F478" s="8" t="s">
        <v>4823</v>
      </c>
      <c r="G478" s="10" t="s">
        <v>4</v>
      </c>
      <c r="H478" s="8" t="s">
        <v>4824</v>
      </c>
      <c r="I478" s="10" t="s">
        <v>1504</v>
      </c>
      <c r="J478" s="8" t="s">
        <v>2862</v>
      </c>
      <c r="K478" s="8" t="s">
        <v>1873</v>
      </c>
      <c r="L478" s="8" t="s">
        <v>87</v>
      </c>
      <c r="M478" s="10" t="s">
        <v>1456</v>
      </c>
      <c r="N478" s="8" t="s">
        <v>87</v>
      </c>
      <c r="O478" s="10" t="s">
        <v>22</v>
      </c>
      <c r="P478" s="8" t="s">
        <v>4825</v>
      </c>
      <c r="Q478" s="10" t="s">
        <v>239</v>
      </c>
      <c r="R478" s="10" t="s">
        <v>1438</v>
      </c>
      <c r="S478" s="8" t="s">
        <v>4826</v>
      </c>
      <c r="T478" s="10" t="s">
        <v>4536</v>
      </c>
      <c r="U478" s="10" t="s">
        <v>87</v>
      </c>
      <c r="V478" s="10" t="s">
        <v>87</v>
      </c>
    </row>
    <row r="479" spans="1:22" s="10" customFormat="1" x14ac:dyDescent="0.25">
      <c r="A479" s="10" t="s">
        <v>4827</v>
      </c>
      <c r="B479" s="10" t="s">
        <v>4528</v>
      </c>
      <c r="C479" s="11" t="s">
        <v>346</v>
      </c>
      <c r="D479" s="10" t="s">
        <v>4828</v>
      </c>
      <c r="E479" s="8" t="s">
        <v>4829</v>
      </c>
      <c r="F479" s="8" t="s">
        <v>4830</v>
      </c>
      <c r="G479" s="10" t="s">
        <v>4</v>
      </c>
      <c r="H479" s="8" t="s">
        <v>4831</v>
      </c>
      <c r="I479" s="10" t="s">
        <v>1504</v>
      </c>
      <c r="J479" s="8" t="s">
        <v>2862</v>
      </c>
      <c r="K479" s="8" t="s">
        <v>1873</v>
      </c>
      <c r="L479" s="8" t="s">
        <v>87</v>
      </c>
      <c r="M479" s="10" t="s">
        <v>1456</v>
      </c>
      <c r="N479" s="8" t="s">
        <v>87</v>
      </c>
      <c r="O479" s="10" t="s">
        <v>22</v>
      </c>
      <c r="P479" s="8" t="s">
        <v>4832</v>
      </c>
      <c r="Q479" s="10" t="s">
        <v>246</v>
      </c>
      <c r="R479" s="10" t="s">
        <v>1438</v>
      </c>
      <c r="S479" s="8" t="s">
        <v>4833</v>
      </c>
      <c r="T479" s="10" t="s">
        <v>4536</v>
      </c>
      <c r="U479" s="10" t="s">
        <v>87</v>
      </c>
      <c r="V479" s="10" t="s">
        <v>87</v>
      </c>
    </row>
    <row r="480" spans="1:22" s="10" customFormat="1" x14ac:dyDescent="0.25">
      <c r="A480" s="10" t="s">
        <v>4834</v>
      </c>
      <c r="B480" s="10" t="s">
        <v>4528</v>
      </c>
      <c r="C480" s="10" t="s">
        <v>215</v>
      </c>
      <c r="D480" s="10" t="s">
        <v>4835</v>
      </c>
      <c r="E480" s="8" t="s">
        <v>4836</v>
      </c>
      <c r="F480" s="8" t="s">
        <v>4837</v>
      </c>
      <c r="G480" s="10" t="s">
        <v>4</v>
      </c>
      <c r="H480" s="8" t="s">
        <v>4838</v>
      </c>
      <c r="I480" s="10" t="s">
        <v>1504</v>
      </c>
      <c r="J480" s="8" t="s">
        <v>2862</v>
      </c>
      <c r="K480" s="8" t="s">
        <v>1873</v>
      </c>
      <c r="L480" s="8" t="s">
        <v>87</v>
      </c>
      <c r="M480" s="10" t="s">
        <v>1456</v>
      </c>
      <c r="N480" s="8" t="s">
        <v>87</v>
      </c>
      <c r="O480" s="10" t="s">
        <v>22</v>
      </c>
      <c r="P480" s="8" t="s">
        <v>4839</v>
      </c>
      <c r="Q480" s="10" t="s">
        <v>246</v>
      </c>
      <c r="R480" s="10" t="s">
        <v>1438</v>
      </c>
      <c r="S480" s="8" t="s">
        <v>4840</v>
      </c>
      <c r="T480" s="10" t="s">
        <v>4536</v>
      </c>
      <c r="U480" s="10" t="s">
        <v>87</v>
      </c>
      <c r="V480" s="10" t="s">
        <v>87</v>
      </c>
    </row>
    <row r="481" spans="1:22" s="10" customFormat="1" x14ac:dyDescent="0.25">
      <c r="A481" s="10" t="s">
        <v>4841</v>
      </c>
      <c r="B481" s="10" t="s">
        <v>4528</v>
      </c>
      <c r="C481" s="11" t="s">
        <v>346</v>
      </c>
      <c r="D481" s="10" t="s">
        <v>4842</v>
      </c>
      <c r="E481" s="8" t="s">
        <v>4843</v>
      </c>
      <c r="F481" s="8" t="s">
        <v>4844</v>
      </c>
      <c r="G481" s="10" t="s">
        <v>4</v>
      </c>
      <c r="H481" s="8" t="s">
        <v>4845</v>
      </c>
      <c r="I481" s="10" t="s">
        <v>4846</v>
      </c>
      <c r="J481" s="8" t="s">
        <v>4847</v>
      </c>
      <c r="K481" s="8" t="s">
        <v>1873</v>
      </c>
      <c r="L481" s="8" t="s">
        <v>87</v>
      </c>
      <c r="M481" s="10" t="s">
        <v>1456</v>
      </c>
      <c r="N481" s="8" t="s">
        <v>87</v>
      </c>
      <c r="O481" s="10" t="s">
        <v>22</v>
      </c>
      <c r="P481" s="8" t="s">
        <v>4848</v>
      </c>
      <c r="Q481" s="10" t="s">
        <v>1447</v>
      </c>
      <c r="R481" s="10" t="s">
        <v>1438</v>
      </c>
      <c r="S481" s="8" t="s">
        <v>4849</v>
      </c>
      <c r="T481" s="10" t="s">
        <v>4536</v>
      </c>
      <c r="U481" s="10" t="s">
        <v>87</v>
      </c>
      <c r="V481" s="10" t="s">
        <v>87</v>
      </c>
    </row>
    <row r="482" spans="1:22" s="10" customFormat="1" x14ac:dyDescent="0.25">
      <c r="A482" s="10" t="s">
        <v>4850</v>
      </c>
      <c r="B482" s="10" t="s">
        <v>4528</v>
      </c>
      <c r="C482" s="10" t="s">
        <v>215</v>
      </c>
      <c r="D482" s="10" t="s">
        <v>4851</v>
      </c>
      <c r="E482" s="8" t="s">
        <v>4852</v>
      </c>
      <c r="F482" s="8" t="s">
        <v>4853</v>
      </c>
      <c r="G482" s="10" t="s">
        <v>4</v>
      </c>
      <c r="H482" s="8" t="s">
        <v>4854</v>
      </c>
      <c r="I482" s="10" t="s">
        <v>4846</v>
      </c>
      <c r="J482" s="8" t="s">
        <v>2862</v>
      </c>
      <c r="K482" s="8" t="s">
        <v>1873</v>
      </c>
      <c r="L482" s="8" t="s">
        <v>87</v>
      </c>
      <c r="M482" s="10" t="s">
        <v>1456</v>
      </c>
      <c r="N482" s="8" t="s">
        <v>87</v>
      </c>
      <c r="O482" s="10" t="s">
        <v>22</v>
      </c>
      <c r="P482" s="8" t="s">
        <v>4855</v>
      </c>
      <c r="Q482" s="10" t="s">
        <v>246</v>
      </c>
      <c r="R482" s="10" t="s">
        <v>1438</v>
      </c>
      <c r="S482" s="8" t="s">
        <v>4856</v>
      </c>
      <c r="T482" s="10" t="s">
        <v>4536</v>
      </c>
      <c r="U482" s="10" t="s">
        <v>87</v>
      </c>
      <c r="V482" s="10" t="s">
        <v>87</v>
      </c>
    </row>
    <row r="483" spans="1:22" s="10" customFormat="1" x14ac:dyDescent="0.25">
      <c r="A483" s="10" t="s">
        <v>4857</v>
      </c>
      <c r="B483" s="10" t="s">
        <v>4528</v>
      </c>
      <c r="C483" s="10" t="s">
        <v>215</v>
      </c>
      <c r="D483" s="10" t="s">
        <v>4858</v>
      </c>
      <c r="E483" s="8" t="s">
        <v>4859</v>
      </c>
      <c r="F483" s="8" t="s">
        <v>4860</v>
      </c>
      <c r="G483" s="10" t="s">
        <v>4</v>
      </c>
      <c r="H483" s="8" t="s">
        <v>4861</v>
      </c>
      <c r="I483" s="10" t="s">
        <v>1504</v>
      </c>
      <c r="J483" s="8" t="s">
        <v>2862</v>
      </c>
      <c r="K483" s="8" t="s">
        <v>1873</v>
      </c>
      <c r="L483" s="8" t="s">
        <v>87</v>
      </c>
      <c r="M483" s="10" t="s">
        <v>1456</v>
      </c>
      <c r="N483" s="8" t="s">
        <v>87</v>
      </c>
      <c r="O483" s="10" t="s">
        <v>22</v>
      </c>
      <c r="P483" s="8" t="s">
        <v>4862</v>
      </c>
      <c r="Q483" s="10" t="s">
        <v>223</v>
      </c>
      <c r="R483" s="10" t="s">
        <v>1438</v>
      </c>
      <c r="S483" s="8" t="s">
        <v>4863</v>
      </c>
      <c r="T483" s="10" t="s">
        <v>4536</v>
      </c>
      <c r="U483" s="10" t="s">
        <v>87</v>
      </c>
      <c r="V483" s="10" t="s">
        <v>87</v>
      </c>
    </row>
    <row r="484" spans="1:22" s="10" customFormat="1" x14ac:dyDescent="0.25">
      <c r="A484" s="10" t="s">
        <v>4864</v>
      </c>
      <c r="B484" s="10" t="s">
        <v>4528</v>
      </c>
      <c r="C484" s="10" t="s">
        <v>384</v>
      </c>
      <c r="D484" s="10" t="s">
        <v>4865</v>
      </c>
      <c r="E484" s="8" t="s">
        <v>4866</v>
      </c>
      <c r="F484" s="8" t="s">
        <v>4867</v>
      </c>
      <c r="G484" s="10" t="s">
        <v>4</v>
      </c>
      <c r="H484" s="8" t="s">
        <v>4868</v>
      </c>
      <c r="I484" s="10" t="s">
        <v>993</v>
      </c>
      <c r="J484" s="8" t="s">
        <v>2862</v>
      </c>
      <c r="K484" s="8" t="s">
        <v>1873</v>
      </c>
      <c r="L484" s="8" t="s">
        <v>87</v>
      </c>
      <c r="M484" s="10" t="s">
        <v>1456</v>
      </c>
      <c r="N484" s="8" t="s">
        <v>87</v>
      </c>
      <c r="O484" s="10" t="s">
        <v>22</v>
      </c>
      <c r="P484" s="8" t="s">
        <v>4869</v>
      </c>
      <c r="Q484" s="10" t="s">
        <v>223</v>
      </c>
      <c r="R484" s="10" t="s">
        <v>1438</v>
      </c>
      <c r="S484" s="8" t="s">
        <v>4870</v>
      </c>
      <c r="T484" s="10" t="s">
        <v>4536</v>
      </c>
      <c r="U484" s="10" t="s">
        <v>87</v>
      </c>
      <c r="V484" s="10" t="s">
        <v>87</v>
      </c>
    </row>
    <row r="485" spans="1:22" s="10" customFormat="1" x14ac:dyDescent="0.25">
      <c r="A485" s="10" t="s">
        <v>4871</v>
      </c>
      <c r="B485" s="10" t="s">
        <v>4528</v>
      </c>
      <c r="C485" s="10" t="s">
        <v>215</v>
      </c>
      <c r="D485" s="10" t="s">
        <v>4872</v>
      </c>
      <c r="E485" s="8" t="s">
        <v>4873</v>
      </c>
      <c r="F485" s="8" t="s">
        <v>4077</v>
      </c>
      <c r="G485" s="10" t="s">
        <v>4</v>
      </c>
      <c r="H485" s="8" t="s">
        <v>4078</v>
      </c>
      <c r="I485" s="10" t="s">
        <v>993</v>
      </c>
      <c r="J485" s="8" t="s">
        <v>2862</v>
      </c>
      <c r="K485" s="8" t="s">
        <v>1873</v>
      </c>
      <c r="L485" s="8" t="s">
        <v>87</v>
      </c>
      <c r="M485" s="10" t="s">
        <v>1456</v>
      </c>
      <c r="N485" s="8" t="s">
        <v>87</v>
      </c>
      <c r="O485" s="10" t="s">
        <v>22</v>
      </c>
      <c r="P485" s="8" t="s">
        <v>4874</v>
      </c>
      <c r="Q485" s="10" t="s">
        <v>239</v>
      </c>
      <c r="R485" s="10" t="s">
        <v>1438</v>
      </c>
      <c r="S485" s="8" t="s">
        <v>4875</v>
      </c>
      <c r="T485" s="10" t="s">
        <v>4536</v>
      </c>
      <c r="U485" s="10" t="s">
        <v>87</v>
      </c>
      <c r="V485" s="10" t="s">
        <v>87</v>
      </c>
    </row>
    <row r="486" spans="1:22" s="10" customFormat="1" x14ac:dyDescent="0.25">
      <c r="A486" s="10" t="s">
        <v>4876</v>
      </c>
      <c r="B486" s="10" t="s">
        <v>4528</v>
      </c>
      <c r="C486" s="10" t="s">
        <v>384</v>
      </c>
      <c r="D486" s="10" t="s">
        <v>4877</v>
      </c>
      <c r="E486" s="8" t="s">
        <v>4878</v>
      </c>
      <c r="F486" s="8" t="s">
        <v>4879</v>
      </c>
      <c r="G486" s="10" t="s">
        <v>4</v>
      </c>
      <c r="H486" s="8" t="s">
        <v>4810</v>
      </c>
      <c r="I486" s="10" t="s">
        <v>4880</v>
      </c>
      <c r="J486" s="8" t="s">
        <v>2862</v>
      </c>
      <c r="K486" s="8" t="s">
        <v>1873</v>
      </c>
      <c r="L486" s="8" t="s">
        <v>87</v>
      </c>
      <c r="M486" s="10" t="s">
        <v>1456</v>
      </c>
      <c r="N486" s="8" t="s">
        <v>87</v>
      </c>
      <c r="O486" s="10" t="s">
        <v>22</v>
      </c>
      <c r="P486" s="8" t="s">
        <v>4881</v>
      </c>
      <c r="Q486" s="10" t="s">
        <v>223</v>
      </c>
      <c r="R486" s="10" t="s">
        <v>1438</v>
      </c>
      <c r="S486" s="8" t="s">
        <v>4882</v>
      </c>
      <c r="T486" s="10" t="s">
        <v>4536</v>
      </c>
      <c r="U486" s="10" t="s">
        <v>87</v>
      </c>
      <c r="V486" s="10" t="s">
        <v>87</v>
      </c>
    </row>
    <row r="487" spans="1:22" s="10" customFormat="1" x14ac:dyDescent="0.25">
      <c r="A487" s="10" t="s">
        <v>4883</v>
      </c>
      <c r="B487" s="10" t="s">
        <v>4528</v>
      </c>
      <c r="C487" s="11" t="s">
        <v>346</v>
      </c>
      <c r="D487" s="10" t="s">
        <v>4884</v>
      </c>
      <c r="E487" s="8" t="s">
        <v>4885</v>
      </c>
      <c r="F487" s="8" t="s">
        <v>4886</v>
      </c>
      <c r="G487" s="10" t="s">
        <v>4</v>
      </c>
      <c r="H487" s="8" t="s">
        <v>4887</v>
      </c>
      <c r="I487" s="10" t="s">
        <v>1504</v>
      </c>
      <c r="J487" s="8" t="s">
        <v>2862</v>
      </c>
      <c r="K487" s="8" t="s">
        <v>1873</v>
      </c>
      <c r="L487" s="8" t="s">
        <v>87</v>
      </c>
      <c r="M487" s="10" t="s">
        <v>1456</v>
      </c>
      <c r="N487" s="8" t="s">
        <v>87</v>
      </c>
      <c r="O487" s="10" t="s">
        <v>22</v>
      </c>
      <c r="P487" s="8" t="s">
        <v>4888</v>
      </c>
      <c r="Q487" s="10" t="s">
        <v>223</v>
      </c>
      <c r="R487" s="10" t="s">
        <v>1438</v>
      </c>
      <c r="S487" s="8" t="s">
        <v>4889</v>
      </c>
      <c r="T487" s="10" t="s">
        <v>4536</v>
      </c>
      <c r="U487" s="10" t="s">
        <v>87</v>
      </c>
      <c r="V487" s="10" t="s">
        <v>87</v>
      </c>
    </row>
    <row r="488" spans="1:22" s="10" customFormat="1" x14ac:dyDescent="0.25">
      <c r="A488" s="10" t="s">
        <v>4890</v>
      </c>
      <c r="B488" s="10" t="s">
        <v>4528</v>
      </c>
      <c r="C488" s="10" t="s">
        <v>215</v>
      </c>
      <c r="D488" s="10" t="s">
        <v>4891</v>
      </c>
      <c r="E488" s="8" t="s">
        <v>4892</v>
      </c>
      <c r="F488" s="8" t="s">
        <v>4893</v>
      </c>
      <c r="G488" s="10" t="s">
        <v>4</v>
      </c>
      <c r="H488" s="8" t="s">
        <v>4894</v>
      </c>
      <c r="I488" s="10" t="s">
        <v>1504</v>
      </c>
      <c r="J488" s="8" t="s">
        <v>2862</v>
      </c>
      <c r="K488" s="8" t="s">
        <v>1873</v>
      </c>
      <c r="L488" s="8" t="s">
        <v>87</v>
      </c>
      <c r="M488" s="10" t="s">
        <v>1456</v>
      </c>
      <c r="N488" s="8" t="s">
        <v>87</v>
      </c>
      <c r="O488" s="10" t="s">
        <v>22</v>
      </c>
      <c r="P488" s="8" t="s">
        <v>4895</v>
      </c>
      <c r="Q488" s="10" t="s">
        <v>239</v>
      </c>
      <c r="R488" s="10" t="s">
        <v>1438</v>
      </c>
      <c r="S488" s="8" t="s">
        <v>4896</v>
      </c>
      <c r="T488" s="10" t="s">
        <v>4536</v>
      </c>
      <c r="U488" s="10" t="s">
        <v>87</v>
      </c>
      <c r="V488" s="10" t="s">
        <v>87</v>
      </c>
    </row>
    <row r="489" spans="1:22" s="10" customFormat="1" x14ac:dyDescent="0.25">
      <c r="A489" s="10" t="s">
        <v>4897</v>
      </c>
      <c r="B489" s="10" t="s">
        <v>4528</v>
      </c>
      <c r="C489" s="11" t="s">
        <v>346</v>
      </c>
      <c r="D489" s="10" t="s">
        <v>4898</v>
      </c>
      <c r="E489" s="8" t="s">
        <v>4899</v>
      </c>
      <c r="F489" s="8" t="s">
        <v>4900</v>
      </c>
      <c r="G489" s="10" t="s">
        <v>4</v>
      </c>
      <c r="H489" s="8" t="s">
        <v>4901</v>
      </c>
      <c r="I489" s="10" t="s">
        <v>1504</v>
      </c>
      <c r="J489" s="8" t="s">
        <v>2862</v>
      </c>
      <c r="K489" s="8" t="s">
        <v>4902</v>
      </c>
      <c r="L489" s="8" t="s">
        <v>87</v>
      </c>
      <c r="M489" s="10" t="s">
        <v>1456</v>
      </c>
      <c r="N489" s="8" t="s">
        <v>87</v>
      </c>
      <c r="O489" s="10" t="s">
        <v>22</v>
      </c>
      <c r="P489" s="8" t="s">
        <v>4903</v>
      </c>
      <c r="Q489" s="10" t="s">
        <v>223</v>
      </c>
      <c r="R489" s="10" t="s">
        <v>1438</v>
      </c>
      <c r="S489" s="8" t="s">
        <v>4904</v>
      </c>
      <c r="T489" s="10" t="s">
        <v>4536</v>
      </c>
      <c r="U489" s="10" t="s">
        <v>87</v>
      </c>
      <c r="V489" s="10" t="s">
        <v>87</v>
      </c>
    </row>
    <row r="490" spans="1:22" s="10" customFormat="1" x14ac:dyDescent="0.25">
      <c r="A490" s="10" t="s">
        <v>4905</v>
      </c>
      <c r="B490" s="10" t="s">
        <v>4528</v>
      </c>
      <c r="C490" s="11" t="s">
        <v>346</v>
      </c>
      <c r="D490" s="10" t="s">
        <v>4906</v>
      </c>
      <c r="E490" s="8" t="s">
        <v>4907</v>
      </c>
      <c r="F490" s="8" t="s">
        <v>4908</v>
      </c>
      <c r="G490" s="10" t="s">
        <v>4</v>
      </c>
      <c r="H490" s="8" t="s">
        <v>1653</v>
      </c>
      <c r="I490" s="10" t="s">
        <v>4909</v>
      </c>
      <c r="J490" s="8" t="s">
        <v>1655</v>
      </c>
      <c r="K490" s="8" t="s">
        <v>1873</v>
      </c>
      <c r="L490" s="8" t="s">
        <v>87</v>
      </c>
      <c r="M490" s="10" t="s">
        <v>1456</v>
      </c>
      <c r="N490" s="8" t="s">
        <v>87</v>
      </c>
      <c r="O490" s="10" t="s">
        <v>22</v>
      </c>
      <c r="P490" s="8" t="s">
        <v>4910</v>
      </c>
      <c r="Q490" s="10" t="s">
        <v>1447</v>
      </c>
      <c r="R490" s="10" t="s">
        <v>1657</v>
      </c>
      <c r="S490" s="8" t="s">
        <v>4911</v>
      </c>
      <c r="T490" s="10" t="s">
        <v>4536</v>
      </c>
      <c r="U490" s="10" t="s">
        <v>87</v>
      </c>
      <c r="V490" s="10" t="s">
        <v>87</v>
      </c>
    </row>
    <row r="491" spans="1:22" s="10" customFormat="1" x14ac:dyDescent="0.25">
      <c r="A491" s="10" t="s">
        <v>4912</v>
      </c>
      <c r="B491" s="10" t="s">
        <v>4528</v>
      </c>
      <c r="C491" s="10" t="s">
        <v>215</v>
      </c>
      <c r="D491" s="10" t="s">
        <v>4913</v>
      </c>
      <c r="E491" s="8" t="s">
        <v>4914</v>
      </c>
      <c r="F491" s="8" t="s">
        <v>1662</v>
      </c>
      <c r="G491" s="10" t="s">
        <v>3</v>
      </c>
      <c r="H491" s="8" t="s">
        <v>2185</v>
      </c>
      <c r="I491" s="10" t="s">
        <v>1504</v>
      </c>
      <c r="J491" s="8" t="s">
        <v>1664</v>
      </c>
      <c r="K491" s="8" t="s">
        <v>1435</v>
      </c>
      <c r="L491" s="8" t="s">
        <v>87</v>
      </c>
      <c r="M491" s="10" t="s">
        <v>1436</v>
      </c>
      <c r="N491" s="8" t="s">
        <v>87</v>
      </c>
      <c r="O491" s="10" t="s">
        <v>22</v>
      </c>
      <c r="P491" s="8" t="s">
        <v>4915</v>
      </c>
      <c r="Q491" s="10" t="s">
        <v>825</v>
      </c>
      <c r="R491" s="10" t="s">
        <v>2188</v>
      </c>
      <c r="S491" s="8" t="s">
        <v>1669</v>
      </c>
      <c r="T491" s="10" t="s">
        <v>4536</v>
      </c>
      <c r="U491" s="10" t="s">
        <v>87</v>
      </c>
      <c r="V491" s="10" t="s">
        <v>87</v>
      </c>
    </row>
    <row r="492" spans="1:22" s="10" customFormat="1" x14ac:dyDescent="0.25">
      <c r="A492" s="10" t="s">
        <v>4916</v>
      </c>
      <c r="B492" s="10" t="s">
        <v>4528</v>
      </c>
      <c r="C492" s="10" t="s">
        <v>215</v>
      </c>
      <c r="D492" s="10" t="s">
        <v>4917</v>
      </c>
      <c r="E492" s="8" t="s">
        <v>4918</v>
      </c>
      <c r="F492" s="8" t="s">
        <v>4919</v>
      </c>
      <c r="G492" s="10" t="s">
        <v>4</v>
      </c>
      <c r="H492" s="8" t="s">
        <v>4901</v>
      </c>
      <c r="I492" s="10" t="s">
        <v>993</v>
      </c>
      <c r="J492" s="8" t="s">
        <v>2862</v>
      </c>
      <c r="K492" s="8" t="s">
        <v>4902</v>
      </c>
      <c r="L492" s="8" t="s">
        <v>87</v>
      </c>
      <c r="M492" s="10" t="s">
        <v>1456</v>
      </c>
      <c r="N492" s="8" t="s">
        <v>87</v>
      </c>
      <c r="O492" s="10" t="s">
        <v>22</v>
      </c>
      <c r="P492" s="8" t="s">
        <v>4920</v>
      </c>
      <c r="Q492" s="10" t="s">
        <v>223</v>
      </c>
      <c r="R492" s="10" t="s">
        <v>1438</v>
      </c>
      <c r="S492" s="8" t="s">
        <v>1648</v>
      </c>
      <c r="T492" s="10" t="s">
        <v>4536</v>
      </c>
      <c r="U492" s="10" t="s">
        <v>87</v>
      </c>
      <c r="V492" s="10" t="s">
        <v>87</v>
      </c>
    </row>
    <row r="493" spans="1:22" s="10" customFormat="1" x14ac:dyDescent="0.25">
      <c r="A493" s="10" t="s">
        <v>4921</v>
      </c>
      <c r="B493" s="10" t="s">
        <v>4528</v>
      </c>
      <c r="C493" s="10" t="s">
        <v>215</v>
      </c>
      <c r="D493" s="10" t="s">
        <v>4922</v>
      </c>
      <c r="E493" s="8" t="s">
        <v>4923</v>
      </c>
      <c r="F493" s="8" t="s">
        <v>4924</v>
      </c>
      <c r="G493" s="10" t="s">
        <v>4</v>
      </c>
      <c r="H493" s="8" t="s">
        <v>4925</v>
      </c>
      <c r="I493" s="10" t="s">
        <v>1628</v>
      </c>
      <c r="J493" s="8" t="s">
        <v>4926</v>
      </c>
      <c r="K493" s="8" t="s">
        <v>1873</v>
      </c>
      <c r="L493" s="8" t="s">
        <v>87</v>
      </c>
      <c r="M493" s="10" t="s">
        <v>1456</v>
      </c>
      <c r="N493" s="8" t="s">
        <v>87</v>
      </c>
      <c r="O493" s="10" t="s">
        <v>22</v>
      </c>
      <c r="P493" s="8" t="s">
        <v>4927</v>
      </c>
      <c r="Q493" s="10" t="s">
        <v>223</v>
      </c>
      <c r="R493" s="10" t="s">
        <v>1438</v>
      </c>
      <c r="S493" s="8" t="s">
        <v>4928</v>
      </c>
      <c r="T493" s="10" t="s">
        <v>4929</v>
      </c>
      <c r="U493" s="10" t="s">
        <v>87</v>
      </c>
      <c r="V493" s="10" t="s">
        <v>87</v>
      </c>
    </row>
    <row r="494" spans="1:22" s="10" customFormat="1" x14ac:dyDescent="0.25">
      <c r="A494" s="10" t="s">
        <v>4930</v>
      </c>
      <c r="B494" s="10" t="s">
        <v>4528</v>
      </c>
      <c r="C494" s="11" t="s">
        <v>346</v>
      </c>
      <c r="D494" s="10" t="s">
        <v>4931</v>
      </c>
      <c r="E494" s="8" t="s">
        <v>4932</v>
      </c>
      <c r="F494" s="8" t="s">
        <v>4933</v>
      </c>
      <c r="G494" s="10" t="s">
        <v>4</v>
      </c>
      <c r="H494" s="8" t="s">
        <v>1888</v>
      </c>
      <c r="I494" s="10" t="s">
        <v>1889</v>
      </c>
      <c r="J494" s="8" t="s">
        <v>2862</v>
      </c>
      <c r="K494" s="8" t="s">
        <v>1873</v>
      </c>
      <c r="L494" s="8" t="s">
        <v>87</v>
      </c>
      <c r="M494" s="10" t="s">
        <v>1456</v>
      </c>
      <c r="N494" s="8" t="s">
        <v>87</v>
      </c>
      <c r="O494" s="10" t="s">
        <v>22</v>
      </c>
      <c r="P494" s="8" t="s">
        <v>4934</v>
      </c>
      <c r="Q494" s="10" t="s">
        <v>239</v>
      </c>
      <c r="R494" s="10" t="s">
        <v>1438</v>
      </c>
      <c r="S494" s="8" t="s">
        <v>1891</v>
      </c>
      <c r="T494" s="10" t="s">
        <v>4929</v>
      </c>
      <c r="U494" s="10" t="s">
        <v>87</v>
      </c>
      <c r="V494" s="10" t="s">
        <v>87</v>
      </c>
    </row>
    <row r="495" spans="1:22" s="10" customFormat="1" x14ac:dyDescent="0.25">
      <c r="A495" s="10" t="s">
        <v>4935</v>
      </c>
      <c r="B495" s="10" t="s">
        <v>4528</v>
      </c>
      <c r="C495" s="11" t="s">
        <v>346</v>
      </c>
      <c r="D495" s="10" t="s">
        <v>4936</v>
      </c>
      <c r="E495" s="8" t="s">
        <v>4937</v>
      </c>
      <c r="F495" s="8" t="s">
        <v>4938</v>
      </c>
      <c r="G495" s="10" t="s">
        <v>4</v>
      </c>
      <c r="H495" s="8" t="s">
        <v>4939</v>
      </c>
      <c r="I495" s="10" t="s">
        <v>1881</v>
      </c>
      <c r="J495" s="8" t="s">
        <v>2862</v>
      </c>
      <c r="K495" s="8" t="s">
        <v>1873</v>
      </c>
      <c r="L495" s="8" t="s">
        <v>87</v>
      </c>
      <c r="M495" s="10" t="s">
        <v>1456</v>
      </c>
      <c r="N495" s="8" t="s">
        <v>87</v>
      </c>
      <c r="O495" s="10" t="s">
        <v>22</v>
      </c>
      <c r="P495" s="8" t="s">
        <v>4940</v>
      </c>
      <c r="Q495" s="10" t="s">
        <v>1447</v>
      </c>
      <c r="R495" s="10" t="s">
        <v>1438</v>
      </c>
      <c r="S495" s="8" t="s">
        <v>4941</v>
      </c>
      <c r="T495" s="10" t="s">
        <v>4929</v>
      </c>
      <c r="U495" s="10" t="s">
        <v>87</v>
      </c>
      <c r="V495" s="10" t="s">
        <v>87</v>
      </c>
    </row>
    <row r="496" spans="1:22" s="10" customFormat="1" x14ac:dyDescent="0.25">
      <c r="A496" s="10" t="s">
        <v>4942</v>
      </c>
      <c r="B496" s="10" t="s">
        <v>4528</v>
      </c>
      <c r="C496" s="10" t="s">
        <v>215</v>
      </c>
      <c r="D496" s="10" t="s">
        <v>4943</v>
      </c>
      <c r="E496" s="8" t="s">
        <v>4944</v>
      </c>
      <c r="F496" s="8" t="s">
        <v>4867</v>
      </c>
      <c r="G496" s="10" t="s">
        <v>4</v>
      </c>
      <c r="H496" s="8" t="s">
        <v>2199</v>
      </c>
      <c r="I496" s="10" t="s">
        <v>1889</v>
      </c>
      <c r="J496" s="8" t="s">
        <v>2862</v>
      </c>
      <c r="K496" s="8" t="s">
        <v>4945</v>
      </c>
      <c r="L496" s="8" t="s">
        <v>87</v>
      </c>
      <c r="M496" s="10" t="s">
        <v>1456</v>
      </c>
      <c r="N496" s="8" t="s">
        <v>87</v>
      </c>
      <c r="O496" s="10" t="s">
        <v>22</v>
      </c>
      <c r="P496" s="8" t="s">
        <v>4946</v>
      </c>
      <c r="Q496" s="10" t="s">
        <v>223</v>
      </c>
      <c r="R496" s="10" t="s">
        <v>1438</v>
      </c>
      <c r="S496" s="8" t="s">
        <v>4947</v>
      </c>
      <c r="T496" s="10" t="s">
        <v>4929</v>
      </c>
      <c r="U496" s="10" t="s">
        <v>87</v>
      </c>
      <c r="V496" s="10" t="s">
        <v>87</v>
      </c>
    </row>
    <row r="497" spans="1:22" s="10" customFormat="1" x14ac:dyDescent="0.25">
      <c r="A497" s="10" t="s">
        <v>4948</v>
      </c>
      <c r="B497" s="10" t="s">
        <v>4528</v>
      </c>
      <c r="C497" s="10" t="s">
        <v>215</v>
      </c>
      <c r="D497" s="10" t="s">
        <v>4949</v>
      </c>
      <c r="E497" s="8" t="s">
        <v>4950</v>
      </c>
      <c r="F497" s="8" t="s">
        <v>4951</v>
      </c>
      <c r="G497" s="10" t="s">
        <v>3</v>
      </c>
      <c r="H497" s="8" t="s">
        <v>4952</v>
      </c>
      <c r="I497" s="10" t="s">
        <v>1889</v>
      </c>
      <c r="J497" s="8" t="s">
        <v>2862</v>
      </c>
      <c r="K497" s="8" t="s">
        <v>1435</v>
      </c>
      <c r="L497" s="8" t="s">
        <v>87</v>
      </c>
      <c r="M497" s="10" t="s">
        <v>1436</v>
      </c>
      <c r="N497" s="8" t="s">
        <v>87</v>
      </c>
      <c r="O497" s="10" t="s">
        <v>22</v>
      </c>
      <c r="P497" s="8" t="s">
        <v>4953</v>
      </c>
      <c r="Q497" s="10" t="s">
        <v>223</v>
      </c>
      <c r="R497" s="10" t="s">
        <v>1438</v>
      </c>
      <c r="S497" s="8" t="s">
        <v>4954</v>
      </c>
      <c r="T497" s="10" t="s">
        <v>4929</v>
      </c>
      <c r="U497" s="10" t="s">
        <v>87</v>
      </c>
      <c r="V497" s="10" t="s">
        <v>87</v>
      </c>
    </row>
    <row r="498" spans="1:22" s="10" customFormat="1" x14ac:dyDescent="0.25">
      <c r="A498" s="10" t="s">
        <v>4955</v>
      </c>
      <c r="B498" s="10" t="s">
        <v>4528</v>
      </c>
      <c r="C498" s="11" t="s">
        <v>346</v>
      </c>
      <c r="D498" s="10" t="s">
        <v>4956</v>
      </c>
      <c r="E498" s="8" t="s">
        <v>4957</v>
      </c>
      <c r="F498" s="8" t="s">
        <v>4958</v>
      </c>
      <c r="G498" s="10" t="s">
        <v>4</v>
      </c>
      <c r="H498" s="8" t="s">
        <v>4959</v>
      </c>
      <c r="I498" s="10" t="s">
        <v>1889</v>
      </c>
      <c r="J498" s="8" t="s">
        <v>2862</v>
      </c>
      <c r="K498" s="8" t="s">
        <v>4960</v>
      </c>
      <c r="L498" s="8" t="s">
        <v>87</v>
      </c>
      <c r="M498" s="10" t="s">
        <v>1456</v>
      </c>
      <c r="N498" s="8" t="s">
        <v>87</v>
      </c>
      <c r="O498" s="10" t="s">
        <v>22</v>
      </c>
      <c r="P498" s="8" t="s">
        <v>4961</v>
      </c>
      <c r="Q498" s="10" t="s">
        <v>223</v>
      </c>
      <c r="R498" s="10" t="s">
        <v>1438</v>
      </c>
      <c r="S498" s="8" t="s">
        <v>4962</v>
      </c>
      <c r="T498" s="10" t="s">
        <v>4929</v>
      </c>
      <c r="U498" s="10" t="s">
        <v>87</v>
      </c>
      <c r="V498" s="10" t="s">
        <v>87</v>
      </c>
    </row>
    <row r="499" spans="1:22" s="10" customFormat="1" x14ac:dyDescent="0.25">
      <c r="A499" s="10" t="s">
        <v>4963</v>
      </c>
      <c r="B499" s="10" t="s">
        <v>4528</v>
      </c>
      <c r="C499" s="11" t="s">
        <v>346</v>
      </c>
      <c r="D499" s="10" t="s">
        <v>4964</v>
      </c>
      <c r="E499" s="8" t="s">
        <v>4965</v>
      </c>
      <c r="F499" s="8" t="s">
        <v>4966</v>
      </c>
      <c r="G499" s="10" t="s">
        <v>3</v>
      </c>
      <c r="H499" s="8" t="s">
        <v>4967</v>
      </c>
      <c r="I499" s="10" t="s">
        <v>4968</v>
      </c>
      <c r="J499" s="8" t="s">
        <v>2862</v>
      </c>
      <c r="K499" s="8" t="s">
        <v>1435</v>
      </c>
      <c r="L499" s="8" t="s">
        <v>87</v>
      </c>
      <c r="M499" s="10" t="s">
        <v>1436</v>
      </c>
      <c r="N499" s="8" t="s">
        <v>87</v>
      </c>
      <c r="O499" s="10" t="s">
        <v>22</v>
      </c>
      <c r="P499" s="8" t="s">
        <v>4969</v>
      </c>
      <c r="Q499" s="10" t="s">
        <v>239</v>
      </c>
      <c r="R499" s="10" t="s">
        <v>1438</v>
      </c>
      <c r="S499" s="8" t="s">
        <v>4970</v>
      </c>
      <c r="T499" s="10" t="s">
        <v>4929</v>
      </c>
      <c r="U499" s="10" t="s">
        <v>87</v>
      </c>
      <c r="V499" s="10" t="s">
        <v>87</v>
      </c>
    </row>
    <row r="500" spans="1:22" s="10" customFormat="1" x14ac:dyDescent="0.25">
      <c r="A500" s="10" t="s">
        <v>4971</v>
      </c>
      <c r="B500" s="10" t="s">
        <v>4528</v>
      </c>
      <c r="C500" s="10" t="s">
        <v>215</v>
      </c>
      <c r="D500" s="10" t="s">
        <v>4972</v>
      </c>
      <c r="E500" s="8" t="s">
        <v>4973</v>
      </c>
      <c r="F500" s="8" t="s">
        <v>4974</v>
      </c>
      <c r="G500" s="10" t="s">
        <v>3</v>
      </c>
      <c r="H500" s="8" t="s">
        <v>4975</v>
      </c>
      <c r="I500" s="10" t="s">
        <v>4976</v>
      </c>
      <c r="J500" s="8" t="s">
        <v>2862</v>
      </c>
      <c r="K500" s="8" t="s">
        <v>1435</v>
      </c>
      <c r="L500" s="8" t="s">
        <v>87</v>
      </c>
      <c r="M500" s="10" t="s">
        <v>1436</v>
      </c>
      <c r="N500" s="8" t="s">
        <v>87</v>
      </c>
      <c r="O500" s="10" t="s">
        <v>22</v>
      </c>
      <c r="P500" s="8" t="s">
        <v>4977</v>
      </c>
      <c r="Q500" s="10" t="s">
        <v>223</v>
      </c>
      <c r="R500" s="10" t="s">
        <v>1438</v>
      </c>
      <c r="S500" s="8" t="s">
        <v>4978</v>
      </c>
      <c r="T500" s="10" t="s">
        <v>4929</v>
      </c>
      <c r="U500" s="10" t="s">
        <v>87</v>
      </c>
      <c r="V500" s="10" t="s">
        <v>87</v>
      </c>
    </row>
    <row r="501" spans="1:22" s="10" customFormat="1" x14ac:dyDescent="0.25">
      <c r="A501" s="10" t="s">
        <v>4979</v>
      </c>
      <c r="B501" s="10" t="s">
        <v>4528</v>
      </c>
      <c r="C501" s="11" t="s">
        <v>346</v>
      </c>
      <c r="D501" s="10" t="s">
        <v>4980</v>
      </c>
      <c r="E501" s="8" t="s">
        <v>4981</v>
      </c>
      <c r="F501" s="8" t="s">
        <v>4982</v>
      </c>
      <c r="G501" s="10" t="s">
        <v>3</v>
      </c>
      <c r="H501" s="8" t="s">
        <v>4983</v>
      </c>
      <c r="I501" s="10" t="s">
        <v>4976</v>
      </c>
      <c r="J501" s="8" t="s">
        <v>2862</v>
      </c>
      <c r="K501" s="8" t="s">
        <v>1435</v>
      </c>
      <c r="L501" s="8" t="s">
        <v>87</v>
      </c>
      <c r="M501" s="10" t="s">
        <v>1436</v>
      </c>
      <c r="N501" s="8" t="s">
        <v>87</v>
      </c>
      <c r="O501" s="10" t="s">
        <v>22</v>
      </c>
      <c r="P501" s="8" t="s">
        <v>4984</v>
      </c>
      <c r="Q501" s="10" t="s">
        <v>223</v>
      </c>
      <c r="R501" s="10" t="s">
        <v>1438</v>
      </c>
      <c r="S501" s="8" t="s">
        <v>4985</v>
      </c>
      <c r="T501" s="10" t="s">
        <v>4929</v>
      </c>
      <c r="U501" s="10" t="s">
        <v>87</v>
      </c>
      <c r="V501" s="10" t="s">
        <v>87</v>
      </c>
    </row>
    <row r="502" spans="1:22" s="10" customFormat="1" x14ac:dyDescent="0.25">
      <c r="A502" s="10" t="s">
        <v>4986</v>
      </c>
      <c r="B502" s="10" t="s">
        <v>4528</v>
      </c>
      <c r="C502" s="11" t="s">
        <v>346</v>
      </c>
      <c r="D502" s="10" t="s">
        <v>4987</v>
      </c>
      <c r="E502" s="8" t="s">
        <v>4988</v>
      </c>
      <c r="F502" s="8" t="s">
        <v>4989</v>
      </c>
      <c r="G502" s="10" t="s">
        <v>3</v>
      </c>
      <c r="H502" s="8" t="s">
        <v>4990</v>
      </c>
      <c r="I502" s="10" t="s">
        <v>4976</v>
      </c>
      <c r="J502" s="8" t="s">
        <v>2862</v>
      </c>
      <c r="K502" s="8" t="s">
        <v>1435</v>
      </c>
      <c r="L502" s="8" t="s">
        <v>87</v>
      </c>
      <c r="M502" s="10" t="s">
        <v>1436</v>
      </c>
      <c r="N502" s="8" t="s">
        <v>87</v>
      </c>
      <c r="O502" s="10" t="s">
        <v>22</v>
      </c>
      <c r="P502" s="8" t="s">
        <v>4991</v>
      </c>
      <c r="Q502" s="10" t="s">
        <v>223</v>
      </c>
      <c r="R502" s="10" t="s">
        <v>1438</v>
      </c>
      <c r="S502" s="8" t="s">
        <v>4992</v>
      </c>
      <c r="T502" s="10" t="s">
        <v>4929</v>
      </c>
      <c r="U502" s="10" t="s">
        <v>87</v>
      </c>
      <c r="V502" s="10" t="s">
        <v>87</v>
      </c>
    </row>
    <row r="503" spans="1:22" s="10" customFormat="1" x14ac:dyDescent="0.25">
      <c r="A503" s="10" t="s">
        <v>4993</v>
      </c>
      <c r="B503" s="10" t="s">
        <v>4528</v>
      </c>
      <c r="C503" s="11" t="s">
        <v>346</v>
      </c>
      <c r="D503" s="10" t="s">
        <v>4994</v>
      </c>
      <c r="E503" s="8" t="s">
        <v>4995</v>
      </c>
      <c r="F503" s="8" t="s">
        <v>4996</v>
      </c>
      <c r="G503" s="10" t="s">
        <v>3</v>
      </c>
      <c r="H503" s="8" t="s">
        <v>4997</v>
      </c>
      <c r="I503" s="10" t="s">
        <v>4976</v>
      </c>
      <c r="J503" s="8" t="s">
        <v>2862</v>
      </c>
      <c r="K503" s="8" t="s">
        <v>1435</v>
      </c>
      <c r="L503" s="8" t="s">
        <v>87</v>
      </c>
      <c r="M503" s="10" t="s">
        <v>1436</v>
      </c>
      <c r="N503" s="8" t="s">
        <v>87</v>
      </c>
      <c r="O503" s="10" t="s">
        <v>22</v>
      </c>
      <c r="P503" s="8" t="s">
        <v>4998</v>
      </c>
      <c r="Q503" s="10" t="s">
        <v>246</v>
      </c>
      <c r="R503" s="10" t="s">
        <v>1438</v>
      </c>
      <c r="S503" s="8" t="s">
        <v>4999</v>
      </c>
      <c r="T503" s="10" t="s">
        <v>4929</v>
      </c>
      <c r="U503" s="10" t="s">
        <v>87</v>
      </c>
      <c r="V503" s="10" t="s">
        <v>87</v>
      </c>
    </row>
    <row r="504" spans="1:22" s="10" customFormat="1" x14ac:dyDescent="0.25">
      <c r="A504" s="10" t="s">
        <v>5000</v>
      </c>
      <c r="B504" s="10" t="s">
        <v>4528</v>
      </c>
      <c r="C504" s="11" t="s">
        <v>346</v>
      </c>
      <c r="D504" s="10" t="s">
        <v>5001</v>
      </c>
      <c r="E504" s="8" t="s">
        <v>5002</v>
      </c>
      <c r="F504" s="8" t="s">
        <v>5003</v>
      </c>
      <c r="G504" s="10" t="s">
        <v>4</v>
      </c>
      <c r="H504" s="8" t="s">
        <v>5004</v>
      </c>
      <c r="I504" s="10" t="s">
        <v>2170</v>
      </c>
      <c r="J504" s="8" t="s">
        <v>5005</v>
      </c>
      <c r="K504" s="8" t="s">
        <v>1873</v>
      </c>
      <c r="L504" s="8" t="s">
        <v>87</v>
      </c>
      <c r="M504" s="10" t="s">
        <v>1456</v>
      </c>
      <c r="N504" s="8" t="s">
        <v>87</v>
      </c>
      <c r="O504" s="10" t="s">
        <v>22</v>
      </c>
      <c r="P504" s="8" t="s">
        <v>5006</v>
      </c>
      <c r="Q504" s="10" t="s">
        <v>1447</v>
      </c>
      <c r="R504" s="10" t="s">
        <v>1438</v>
      </c>
      <c r="S504" s="8" t="s">
        <v>5007</v>
      </c>
      <c r="T504" s="10" t="s">
        <v>4929</v>
      </c>
      <c r="U504" s="10" t="s">
        <v>87</v>
      </c>
      <c r="V504" s="10" t="s">
        <v>87</v>
      </c>
    </row>
    <row r="505" spans="1:22" s="10" customFormat="1" x14ac:dyDescent="0.25">
      <c r="A505" s="10" t="s">
        <v>5008</v>
      </c>
      <c r="B505" s="10" t="s">
        <v>4528</v>
      </c>
      <c r="C505" s="10" t="s">
        <v>215</v>
      </c>
      <c r="D505" s="10" t="s">
        <v>5009</v>
      </c>
      <c r="E505" s="8" t="s">
        <v>5010</v>
      </c>
      <c r="F505" s="8" t="s">
        <v>5011</v>
      </c>
      <c r="G505" s="10" t="s">
        <v>3</v>
      </c>
      <c r="H505" s="8" t="s">
        <v>5012</v>
      </c>
      <c r="I505" s="10" t="s">
        <v>4976</v>
      </c>
      <c r="J505" s="8" t="s">
        <v>2862</v>
      </c>
      <c r="K505" s="8" t="s">
        <v>1435</v>
      </c>
      <c r="L505" s="8" t="s">
        <v>87</v>
      </c>
      <c r="M505" s="10" t="s">
        <v>1436</v>
      </c>
      <c r="N505" s="8" t="s">
        <v>87</v>
      </c>
      <c r="O505" s="10" t="s">
        <v>22</v>
      </c>
      <c r="P505" s="8" t="s">
        <v>5013</v>
      </c>
      <c r="Q505" s="10" t="s">
        <v>223</v>
      </c>
      <c r="R505" s="10" t="s">
        <v>1438</v>
      </c>
      <c r="S505" s="8" t="s">
        <v>5014</v>
      </c>
      <c r="T505" s="10" t="s">
        <v>4929</v>
      </c>
      <c r="U505" s="10" t="s">
        <v>87</v>
      </c>
      <c r="V505" s="10" t="s">
        <v>87</v>
      </c>
    </row>
    <row r="506" spans="1:22" s="10" customFormat="1" x14ac:dyDescent="0.25">
      <c r="A506" s="10" t="s">
        <v>5015</v>
      </c>
      <c r="B506" s="10" t="s">
        <v>4528</v>
      </c>
      <c r="C506" s="11" t="s">
        <v>346</v>
      </c>
      <c r="D506" s="10" t="s">
        <v>5016</v>
      </c>
      <c r="E506" s="8" t="s">
        <v>5017</v>
      </c>
      <c r="F506" s="8" t="s">
        <v>5018</v>
      </c>
      <c r="G506" s="10" t="s">
        <v>3</v>
      </c>
      <c r="H506" s="8" t="s">
        <v>5019</v>
      </c>
      <c r="I506" s="10" t="s">
        <v>5020</v>
      </c>
      <c r="J506" s="8" t="s">
        <v>1655</v>
      </c>
      <c r="K506" s="8" t="s">
        <v>1435</v>
      </c>
      <c r="L506" s="8" t="s">
        <v>87</v>
      </c>
      <c r="M506" s="10" t="s">
        <v>1436</v>
      </c>
      <c r="N506" s="8" t="s">
        <v>87</v>
      </c>
      <c r="O506" s="10" t="s">
        <v>22</v>
      </c>
      <c r="P506" s="8" t="s">
        <v>5021</v>
      </c>
      <c r="Q506" s="10" t="s">
        <v>1447</v>
      </c>
      <c r="R506" s="10" t="s">
        <v>1657</v>
      </c>
      <c r="S506" s="8" t="s">
        <v>2180</v>
      </c>
      <c r="T506" s="10" t="s">
        <v>4929</v>
      </c>
      <c r="U506" s="10" t="s">
        <v>87</v>
      </c>
      <c r="V506" s="10" t="s">
        <v>87</v>
      </c>
    </row>
    <row r="507" spans="1:22" s="10" customFormat="1" x14ac:dyDescent="0.25">
      <c r="A507" s="10" t="s">
        <v>5022</v>
      </c>
      <c r="B507" s="10" t="s">
        <v>4528</v>
      </c>
      <c r="C507" s="11" t="s">
        <v>346</v>
      </c>
      <c r="D507" s="10" t="s">
        <v>5023</v>
      </c>
      <c r="E507" s="8" t="s">
        <v>5024</v>
      </c>
      <c r="F507" s="8" t="s">
        <v>5025</v>
      </c>
      <c r="G507" s="10" t="s">
        <v>3</v>
      </c>
      <c r="H507" s="8" t="s">
        <v>5026</v>
      </c>
      <c r="I507" s="10" t="s">
        <v>5027</v>
      </c>
      <c r="J507" s="8" t="s">
        <v>1664</v>
      </c>
      <c r="K507" s="8" t="s">
        <v>1435</v>
      </c>
      <c r="L507" s="8" t="s">
        <v>2367</v>
      </c>
      <c r="M507" s="10" t="s">
        <v>1436</v>
      </c>
      <c r="N507" s="8" t="s">
        <v>87</v>
      </c>
      <c r="O507" s="10" t="s">
        <v>22</v>
      </c>
      <c r="P507" s="8" t="s">
        <v>5028</v>
      </c>
      <c r="Q507" s="10" t="s">
        <v>825</v>
      </c>
      <c r="R507" s="10" t="s">
        <v>5029</v>
      </c>
      <c r="S507" s="8" t="s">
        <v>1669</v>
      </c>
      <c r="T507" s="10" t="s">
        <v>4929</v>
      </c>
      <c r="U507" s="10" t="s">
        <v>87</v>
      </c>
      <c r="V507" s="10" t="s">
        <v>87</v>
      </c>
    </row>
    <row r="508" spans="1:22" s="10" customFormat="1" x14ac:dyDescent="0.25">
      <c r="A508" s="10" t="s">
        <v>5030</v>
      </c>
      <c r="B508" s="10" t="s">
        <v>4528</v>
      </c>
      <c r="C508" s="10" t="s">
        <v>215</v>
      </c>
      <c r="D508" s="10" t="s">
        <v>5031</v>
      </c>
      <c r="E508" s="8" t="s">
        <v>5032</v>
      </c>
      <c r="F508" s="8" t="s">
        <v>5033</v>
      </c>
      <c r="G508" s="10" t="s">
        <v>4</v>
      </c>
      <c r="H508" s="8" t="s">
        <v>4967</v>
      </c>
      <c r="I508" s="10" t="s">
        <v>4968</v>
      </c>
      <c r="J508" s="8" t="s">
        <v>2862</v>
      </c>
      <c r="K508" s="8" t="s">
        <v>1873</v>
      </c>
      <c r="L508" s="8" t="s">
        <v>87</v>
      </c>
      <c r="M508" s="10" t="s">
        <v>1436</v>
      </c>
      <c r="N508" s="8" t="s">
        <v>87</v>
      </c>
      <c r="O508" s="10" t="s">
        <v>22</v>
      </c>
      <c r="P508" s="8" t="s">
        <v>5034</v>
      </c>
      <c r="Q508" s="10" t="s">
        <v>223</v>
      </c>
      <c r="R508" s="10" t="s">
        <v>1438</v>
      </c>
      <c r="S508" s="8" t="s">
        <v>1648</v>
      </c>
      <c r="T508" s="10" t="s">
        <v>4929</v>
      </c>
      <c r="U508" s="10" t="s">
        <v>87</v>
      </c>
      <c r="V508" s="10" t="s">
        <v>87</v>
      </c>
    </row>
    <row r="509" spans="1:22" s="10" customFormat="1" x14ac:dyDescent="0.25">
      <c r="A509" s="10" t="s">
        <v>5035</v>
      </c>
      <c r="B509" s="10" t="s">
        <v>4528</v>
      </c>
      <c r="C509" s="10" t="s">
        <v>215</v>
      </c>
      <c r="D509" s="10" t="s">
        <v>5036</v>
      </c>
      <c r="E509" s="8" t="s">
        <v>5037</v>
      </c>
      <c r="F509" s="8" t="s">
        <v>5038</v>
      </c>
      <c r="G509" s="10" t="s">
        <v>3</v>
      </c>
      <c r="H509" s="8" t="s">
        <v>5039</v>
      </c>
      <c r="I509" s="10" t="s">
        <v>5040</v>
      </c>
      <c r="J509" s="8" t="s">
        <v>2862</v>
      </c>
      <c r="K509" s="8" t="s">
        <v>1435</v>
      </c>
      <c r="L509" s="8" t="s">
        <v>87</v>
      </c>
      <c r="M509" s="10" t="s">
        <v>1436</v>
      </c>
      <c r="N509" s="8" t="s">
        <v>87</v>
      </c>
      <c r="O509" s="10" t="s">
        <v>22</v>
      </c>
      <c r="P509" s="8" t="s">
        <v>5041</v>
      </c>
      <c r="Q509" s="10" t="s">
        <v>223</v>
      </c>
      <c r="R509" s="10" t="s">
        <v>1438</v>
      </c>
      <c r="S509" s="8" t="s">
        <v>5042</v>
      </c>
      <c r="T509" s="10" t="s">
        <v>4929</v>
      </c>
      <c r="U509" s="10" t="s">
        <v>87</v>
      </c>
      <c r="V509" s="10" t="s">
        <v>87</v>
      </c>
    </row>
    <row r="510" spans="1:22" s="10" customFormat="1" x14ac:dyDescent="0.25">
      <c r="A510" s="10" t="s">
        <v>5043</v>
      </c>
      <c r="B510" s="10" t="s">
        <v>4528</v>
      </c>
      <c r="C510" s="11" t="s">
        <v>346</v>
      </c>
      <c r="D510" s="10" t="s">
        <v>5044</v>
      </c>
      <c r="E510" s="8" t="s">
        <v>5045</v>
      </c>
      <c r="F510" s="8" t="s">
        <v>5046</v>
      </c>
      <c r="G510" s="10" t="s">
        <v>4</v>
      </c>
      <c r="H510" s="8" t="s">
        <v>5047</v>
      </c>
      <c r="I510" s="10" t="s">
        <v>1628</v>
      </c>
      <c r="J510" s="8" t="s">
        <v>2862</v>
      </c>
      <c r="K510" s="8" t="s">
        <v>1873</v>
      </c>
      <c r="L510" s="8" t="s">
        <v>87</v>
      </c>
      <c r="M510" s="10" t="s">
        <v>1456</v>
      </c>
      <c r="N510" s="8" t="s">
        <v>87</v>
      </c>
      <c r="O510" s="10" t="s">
        <v>22</v>
      </c>
      <c r="P510" s="8" t="s">
        <v>5048</v>
      </c>
      <c r="Q510" s="10" t="s">
        <v>223</v>
      </c>
      <c r="R510" s="10" t="s">
        <v>1438</v>
      </c>
      <c r="S510" s="8" t="s">
        <v>5049</v>
      </c>
      <c r="T510" s="10" t="s">
        <v>4929</v>
      </c>
      <c r="U510" s="10" t="s">
        <v>87</v>
      </c>
      <c r="V510" s="10" t="s">
        <v>87</v>
      </c>
    </row>
    <row r="511" spans="1:22" s="10" customFormat="1" x14ac:dyDescent="0.25">
      <c r="A511" s="10" t="s">
        <v>5050</v>
      </c>
      <c r="B511" s="10" t="s">
        <v>4528</v>
      </c>
      <c r="C511" s="11" t="s">
        <v>346</v>
      </c>
      <c r="D511" s="10" t="s">
        <v>5051</v>
      </c>
      <c r="E511" s="8" t="s">
        <v>5052</v>
      </c>
      <c r="F511" s="8" t="s">
        <v>5053</v>
      </c>
      <c r="G511" s="10" t="s">
        <v>4</v>
      </c>
      <c r="H511" s="8" t="s">
        <v>4831</v>
      </c>
      <c r="I511" s="10" t="s">
        <v>539</v>
      </c>
      <c r="J511" s="8" t="s">
        <v>2862</v>
      </c>
      <c r="K511" s="8" t="s">
        <v>1873</v>
      </c>
      <c r="L511" s="8" t="s">
        <v>87</v>
      </c>
      <c r="M511" s="10" t="s">
        <v>1456</v>
      </c>
      <c r="N511" s="8" t="s">
        <v>87</v>
      </c>
      <c r="O511" s="10" t="s">
        <v>22</v>
      </c>
      <c r="P511" s="8" t="s">
        <v>5054</v>
      </c>
      <c r="Q511" s="10" t="s">
        <v>246</v>
      </c>
      <c r="R511" s="10" t="s">
        <v>1438</v>
      </c>
      <c r="S511" s="8" t="s">
        <v>5055</v>
      </c>
      <c r="T511" s="10" t="s">
        <v>4929</v>
      </c>
      <c r="U511" s="10" t="s">
        <v>87</v>
      </c>
      <c r="V511" s="10" t="s">
        <v>87</v>
      </c>
    </row>
    <row r="512" spans="1:22" s="10" customFormat="1" x14ac:dyDescent="0.25">
      <c r="A512" s="10" t="s">
        <v>5056</v>
      </c>
      <c r="B512" s="10" t="s">
        <v>4528</v>
      </c>
      <c r="C512" s="11" t="s">
        <v>346</v>
      </c>
      <c r="D512" s="10" t="s">
        <v>5057</v>
      </c>
      <c r="E512" s="8" t="s">
        <v>5058</v>
      </c>
      <c r="F512" s="8" t="s">
        <v>5059</v>
      </c>
      <c r="G512" s="10" t="s">
        <v>4</v>
      </c>
      <c r="H512" s="8" t="s">
        <v>4636</v>
      </c>
      <c r="I512" s="10" t="s">
        <v>539</v>
      </c>
      <c r="J512" s="8" t="s">
        <v>2862</v>
      </c>
      <c r="K512" s="8" t="s">
        <v>1873</v>
      </c>
      <c r="L512" s="8" t="s">
        <v>87</v>
      </c>
      <c r="M512" s="10" t="s">
        <v>1456</v>
      </c>
      <c r="N512" s="8" t="s">
        <v>87</v>
      </c>
      <c r="O512" s="10" t="s">
        <v>22</v>
      </c>
      <c r="P512" s="8" t="s">
        <v>5060</v>
      </c>
      <c r="Q512" s="10" t="s">
        <v>246</v>
      </c>
      <c r="R512" s="10" t="s">
        <v>1438</v>
      </c>
      <c r="S512" s="8" t="s">
        <v>5061</v>
      </c>
      <c r="T512" s="10" t="s">
        <v>4929</v>
      </c>
      <c r="U512" s="10" t="s">
        <v>87</v>
      </c>
      <c r="V512" s="10" t="s">
        <v>87</v>
      </c>
    </row>
    <row r="513" spans="1:22" s="10" customFormat="1" x14ac:dyDescent="0.25">
      <c r="A513" s="10" t="s">
        <v>5062</v>
      </c>
      <c r="B513" s="10" t="s">
        <v>4528</v>
      </c>
      <c r="C513" s="11" t="s">
        <v>346</v>
      </c>
      <c r="D513" s="10" t="s">
        <v>5063</v>
      </c>
      <c r="E513" s="8" t="s">
        <v>5064</v>
      </c>
      <c r="F513" s="8" t="s">
        <v>5065</v>
      </c>
      <c r="G513" s="10" t="s">
        <v>2647</v>
      </c>
      <c r="H513" s="8" t="s">
        <v>5066</v>
      </c>
      <c r="I513" s="10" t="s">
        <v>1628</v>
      </c>
      <c r="J513" s="8" t="s">
        <v>2862</v>
      </c>
      <c r="K513" s="8" t="s">
        <v>2649</v>
      </c>
      <c r="L513" s="8" t="s">
        <v>87</v>
      </c>
      <c r="M513" s="10" t="s">
        <v>1436</v>
      </c>
      <c r="N513" s="8" t="s">
        <v>87</v>
      </c>
      <c r="O513" s="10" t="s">
        <v>22</v>
      </c>
      <c r="P513" s="8" t="s">
        <v>5067</v>
      </c>
      <c r="Q513" s="10" t="s">
        <v>246</v>
      </c>
      <c r="R513" s="10" t="s">
        <v>1438</v>
      </c>
      <c r="S513" s="8" t="s">
        <v>5068</v>
      </c>
      <c r="T513" s="10" t="s">
        <v>4929</v>
      </c>
      <c r="U513" s="10" t="s">
        <v>87</v>
      </c>
      <c r="V513" s="10" t="s">
        <v>87</v>
      </c>
    </row>
    <row r="514" spans="1:22" s="10" customFormat="1" x14ac:dyDescent="0.25">
      <c r="A514" s="10" t="s">
        <v>5069</v>
      </c>
      <c r="B514" s="10" t="s">
        <v>4528</v>
      </c>
      <c r="C514" s="11" t="s">
        <v>346</v>
      </c>
      <c r="D514" s="10" t="s">
        <v>5070</v>
      </c>
      <c r="E514" s="8" t="s">
        <v>5071</v>
      </c>
      <c r="F514" s="8" t="s">
        <v>5072</v>
      </c>
      <c r="G514" s="10" t="s">
        <v>4</v>
      </c>
      <c r="H514" s="8" t="s">
        <v>5073</v>
      </c>
      <c r="I514" s="10" t="s">
        <v>5074</v>
      </c>
      <c r="J514" s="8" t="s">
        <v>2862</v>
      </c>
      <c r="K514" s="8" t="s">
        <v>1873</v>
      </c>
      <c r="L514" s="8" t="s">
        <v>87</v>
      </c>
      <c r="M514" s="10" t="s">
        <v>1456</v>
      </c>
      <c r="N514" s="8" t="s">
        <v>87</v>
      </c>
      <c r="O514" s="10" t="s">
        <v>22</v>
      </c>
      <c r="P514" s="8" t="s">
        <v>5075</v>
      </c>
      <c r="Q514" s="10" t="s">
        <v>223</v>
      </c>
      <c r="R514" s="10" t="s">
        <v>1438</v>
      </c>
      <c r="S514" s="8" t="s">
        <v>5076</v>
      </c>
      <c r="T514" s="10" t="s">
        <v>4929</v>
      </c>
      <c r="U514" s="10" t="s">
        <v>87</v>
      </c>
      <c r="V514" s="10" t="s">
        <v>87</v>
      </c>
    </row>
    <row r="515" spans="1:22" s="10" customFormat="1" x14ac:dyDescent="0.25">
      <c r="A515" s="10" t="s">
        <v>5077</v>
      </c>
      <c r="B515" s="10" t="s">
        <v>4528</v>
      </c>
      <c r="C515" s="11" t="s">
        <v>346</v>
      </c>
      <c r="D515" s="10" t="s">
        <v>5078</v>
      </c>
      <c r="E515" s="8" t="s">
        <v>5079</v>
      </c>
      <c r="F515" s="8" t="s">
        <v>5080</v>
      </c>
      <c r="G515" s="10" t="s">
        <v>3</v>
      </c>
      <c r="H515" s="8" t="s">
        <v>5081</v>
      </c>
      <c r="I515" s="10" t="s">
        <v>539</v>
      </c>
      <c r="J515" s="8" t="s">
        <v>2862</v>
      </c>
      <c r="K515" s="8" t="s">
        <v>1435</v>
      </c>
      <c r="L515" s="8" t="s">
        <v>87</v>
      </c>
      <c r="M515" s="10" t="s">
        <v>1436</v>
      </c>
      <c r="N515" s="8" t="s">
        <v>87</v>
      </c>
      <c r="O515" s="10" t="s">
        <v>22</v>
      </c>
      <c r="P515" s="8" t="s">
        <v>5082</v>
      </c>
      <c r="Q515" s="10" t="s">
        <v>239</v>
      </c>
      <c r="R515" s="10" t="s">
        <v>1438</v>
      </c>
      <c r="S515" s="8" t="s">
        <v>5083</v>
      </c>
      <c r="T515" s="10" t="s">
        <v>4929</v>
      </c>
      <c r="U515" s="10" t="s">
        <v>87</v>
      </c>
      <c r="V515" s="10" t="s">
        <v>87</v>
      </c>
    </row>
    <row r="516" spans="1:22" s="10" customFormat="1" x14ac:dyDescent="0.25">
      <c r="A516" s="10" t="s">
        <v>5084</v>
      </c>
      <c r="B516" s="10" t="s">
        <v>4528</v>
      </c>
      <c r="C516" s="11" t="s">
        <v>346</v>
      </c>
      <c r="D516" s="10" t="s">
        <v>5085</v>
      </c>
      <c r="E516" s="8" t="s">
        <v>5086</v>
      </c>
      <c r="F516" s="8" t="s">
        <v>5087</v>
      </c>
      <c r="G516" s="10" t="s">
        <v>4</v>
      </c>
      <c r="H516" s="8" t="s">
        <v>5088</v>
      </c>
      <c r="I516" s="10" t="s">
        <v>5089</v>
      </c>
      <c r="J516" s="8" t="s">
        <v>5090</v>
      </c>
      <c r="K516" s="8" t="s">
        <v>1873</v>
      </c>
      <c r="L516" s="8" t="s">
        <v>87</v>
      </c>
      <c r="M516" s="10" t="s">
        <v>1456</v>
      </c>
      <c r="N516" s="8" t="s">
        <v>87</v>
      </c>
      <c r="O516" s="10" t="s">
        <v>22</v>
      </c>
      <c r="P516" s="8" t="s">
        <v>5091</v>
      </c>
      <c r="Q516" s="10" t="s">
        <v>1447</v>
      </c>
      <c r="R516" s="10" t="s">
        <v>1438</v>
      </c>
      <c r="S516" s="8" t="s">
        <v>5092</v>
      </c>
      <c r="T516" s="10" t="s">
        <v>4929</v>
      </c>
      <c r="U516" s="10" t="s">
        <v>87</v>
      </c>
      <c r="V516" s="10" t="s">
        <v>87</v>
      </c>
    </row>
    <row r="517" spans="1:22" s="10" customFormat="1" x14ac:dyDescent="0.25">
      <c r="A517" s="10" t="s">
        <v>5093</v>
      </c>
      <c r="B517" s="10" t="s">
        <v>4528</v>
      </c>
      <c r="C517" s="11" t="s">
        <v>346</v>
      </c>
      <c r="D517" s="10" t="s">
        <v>5094</v>
      </c>
      <c r="E517" s="8" t="s">
        <v>5095</v>
      </c>
      <c r="F517" s="8" t="s">
        <v>5096</v>
      </c>
      <c r="G517" s="10" t="s">
        <v>4</v>
      </c>
      <c r="H517" s="8" t="s">
        <v>5097</v>
      </c>
      <c r="I517" s="10" t="s">
        <v>1628</v>
      </c>
      <c r="J517" s="8" t="s">
        <v>5090</v>
      </c>
      <c r="K517" s="8" t="s">
        <v>1873</v>
      </c>
      <c r="L517" s="8" t="s">
        <v>87</v>
      </c>
      <c r="M517" s="10" t="s">
        <v>1456</v>
      </c>
      <c r="N517" s="8" t="s">
        <v>87</v>
      </c>
      <c r="O517" s="10" t="s">
        <v>22</v>
      </c>
      <c r="P517" s="8" t="s">
        <v>5098</v>
      </c>
      <c r="Q517" s="10" t="s">
        <v>1447</v>
      </c>
      <c r="R517" s="10" t="s">
        <v>1438</v>
      </c>
      <c r="S517" s="8" t="s">
        <v>5099</v>
      </c>
      <c r="T517" s="10" t="s">
        <v>4929</v>
      </c>
      <c r="U517" s="10" t="s">
        <v>87</v>
      </c>
      <c r="V517" s="10" t="s">
        <v>87</v>
      </c>
    </row>
    <row r="518" spans="1:22" s="10" customFormat="1" x14ac:dyDescent="0.25">
      <c r="A518" s="10" t="s">
        <v>5100</v>
      </c>
      <c r="B518" s="10" t="s">
        <v>4528</v>
      </c>
      <c r="C518" s="11" t="s">
        <v>346</v>
      </c>
      <c r="D518" s="10" t="s">
        <v>5101</v>
      </c>
      <c r="E518" s="8" t="s">
        <v>5102</v>
      </c>
      <c r="F518" s="8" t="s">
        <v>5103</v>
      </c>
      <c r="G518" s="10" t="s">
        <v>4</v>
      </c>
      <c r="H518" s="8" t="s">
        <v>5104</v>
      </c>
      <c r="I518" s="10" t="s">
        <v>1628</v>
      </c>
      <c r="J518" s="8" t="s">
        <v>5090</v>
      </c>
      <c r="K518" s="8" t="s">
        <v>1873</v>
      </c>
      <c r="L518" s="8" t="s">
        <v>87</v>
      </c>
      <c r="M518" s="10" t="s">
        <v>1456</v>
      </c>
      <c r="N518" s="8" t="s">
        <v>87</v>
      </c>
      <c r="O518" s="10" t="s">
        <v>22</v>
      </c>
      <c r="P518" s="8" t="s">
        <v>5105</v>
      </c>
      <c r="Q518" s="10" t="s">
        <v>1447</v>
      </c>
      <c r="R518" s="10" t="s">
        <v>1438</v>
      </c>
      <c r="S518" s="8" t="s">
        <v>5106</v>
      </c>
      <c r="T518" s="10" t="s">
        <v>4929</v>
      </c>
      <c r="U518" s="10" t="s">
        <v>87</v>
      </c>
      <c r="V518" s="10" t="s">
        <v>87</v>
      </c>
    </row>
    <row r="519" spans="1:22" s="10" customFormat="1" x14ac:dyDescent="0.25">
      <c r="A519" s="10" t="s">
        <v>5107</v>
      </c>
      <c r="B519" s="10" t="s">
        <v>4528</v>
      </c>
      <c r="C519" s="10" t="s">
        <v>215</v>
      </c>
      <c r="D519" s="10" t="s">
        <v>5108</v>
      </c>
      <c r="E519" s="8" t="s">
        <v>5109</v>
      </c>
      <c r="F519" s="8" t="s">
        <v>5110</v>
      </c>
      <c r="G519" s="10" t="s">
        <v>3</v>
      </c>
      <c r="H519" s="8" t="s">
        <v>5111</v>
      </c>
      <c r="I519" s="10" t="s">
        <v>1628</v>
      </c>
      <c r="J519" s="8" t="s">
        <v>2862</v>
      </c>
      <c r="K519" s="8" t="s">
        <v>1435</v>
      </c>
      <c r="L519" s="8" t="s">
        <v>87</v>
      </c>
      <c r="M519" s="10" t="s">
        <v>1436</v>
      </c>
      <c r="N519" s="8" t="s">
        <v>87</v>
      </c>
      <c r="O519" s="10" t="s">
        <v>22</v>
      </c>
      <c r="P519" s="8" t="s">
        <v>5112</v>
      </c>
      <c r="Q519" s="10" t="s">
        <v>223</v>
      </c>
      <c r="R519" s="10" t="s">
        <v>1438</v>
      </c>
      <c r="S519" s="8" t="s">
        <v>5113</v>
      </c>
      <c r="T519" s="10" t="s">
        <v>4929</v>
      </c>
      <c r="U519" s="10" t="s">
        <v>87</v>
      </c>
      <c r="V519" s="10" t="s">
        <v>87</v>
      </c>
    </row>
    <row r="520" spans="1:22" s="10" customFormat="1" x14ac:dyDescent="0.25">
      <c r="A520" s="10" t="s">
        <v>5114</v>
      </c>
      <c r="B520" s="10" t="s">
        <v>4528</v>
      </c>
      <c r="C520" s="10" t="s">
        <v>215</v>
      </c>
      <c r="D520" s="10" t="s">
        <v>5115</v>
      </c>
      <c r="E520" s="8" t="s">
        <v>5116</v>
      </c>
      <c r="F520" s="8" t="s">
        <v>5117</v>
      </c>
      <c r="G520" s="10" t="s">
        <v>3</v>
      </c>
      <c r="H520" s="8" t="s">
        <v>5118</v>
      </c>
      <c r="I520" s="10" t="s">
        <v>5119</v>
      </c>
      <c r="J520" s="8" t="s">
        <v>2862</v>
      </c>
      <c r="K520" s="8" t="s">
        <v>1435</v>
      </c>
      <c r="L520" s="8" t="s">
        <v>87</v>
      </c>
      <c r="M520" s="10" t="s">
        <v>1436</v>
      </c>
      <c r="N520" s="8" t="s">
        <v>87</v>
      </c>
      <c r="O520" s="10" t="s">
        <v>22</v>
      </c>
      <c r="P520" s="8" t="s">
        <v>5120</v>
      </c>
      <c r="Q520" s="10" t="s">
        <v>223</v>
      </c>
      <c r="R520" s="10" t="s">
        <v>1438</v>
      </c>
      <c r="S520" s="8" t="s">
        <v>5121</v>
      </c>
      <c r="T520" s="10" t="s">
        <v>4929</v>
      </c>
      <c r="U520" s="10" t="s">
        <v>87</v>
      </c>
      <c r="V520" s="10" t="s">
        <v>87</v>
      </c>
    </row>
    <row r="521" spans="1:22" s="10" customFormat="1" x14ac:dyDescent="0.25">
      <c r="A521" s="10" t="s">
        <v>5122</v>
      </c>
      <c r="B521" s="10" t="s">
        <v>4528</v>
      </c>
      <c r="C521" s="10" t="s">
        <v>215</v>
      </c>
      <c r="D521" s="10" t="s">
        <v>5123</v>
      </c>
      <c r="E521" s="8" t="s">
        <v>5124</v>
      </c>
      <c r="F521" s="8" t="s">
        <v>5125</v>
      </c>
      <c r="G521" s="10" t="s">
        <v>4</v>
      </c>
      <c r="H521" s="8" t="s">
        <v>5126</v>
      </c>
      <c r="I521" s="10" t="s">
        <v>5127</v>
      </c>
      <c r="J521" s="8" t="s">
        <v>2862</v>
      </c>
      <c r="K521" s="8" t="s">
        <v>1873</v>
      </c>
      <c r="L521" s="8" t="s">
        <v>87</v>
      </c>
      <c r="M521" s="10" t="s">
        <v>1456</v>
      </c>
      <c r="N521" s="8" t="s">
        <v>87</v>
      </c>
      <c r="O521" s="10" t="s">
        <v>22</v>
      </c>
      <c r="P521" s="8" t="s">
        <v>5128</v>
      </c>
      <c r="Q521" s="10" t="s">
        <v>223</v>
      </c>
      <c r="R521" s="10" t="s">
        <v>1438</v>
      </c>
      <c r="S521" s="8" t="s">
        <v>5129</v>
      </c>
      <c r="T521" s="10" t="s">
        <v>4929</v>
      </c>
      <c r="U521" s="10" t="s">
        <v>87</v>
      </c>
      <c r="V521" s="10" t="s">
        <v>87</v>
      </c>
    </row>
    <row r="522" spans="1:22" s="10" customFormat="1" x14ac:dyDescent="0.25">
      <c r="A522" s="10" t="s">
        <v>5130</v>
      </c>
      <c r="B522" s="10" t="s">
        <v>4528</v>
      </c>
      <c r="C522" s="11" t="s">
        <v>346</v>
      </c>
      <c r="D522" s="10" t="s">
        <v>5131</v>
      </c>
      <c r="E522" s="8" t="s">
        <v>5132</v>
      </c>
      <c r="F522" s="8" t="s">
        <v>5133</v>
      </c>
      <c r="G522" s="10" t="s">
        <v>4</v>
      </c>
      <c r="H522" s="8" t="s">
        <v>1653</v>
      </c>
      <c r="I522" s="10" t="s">
        <v>4752</v>
      </c>
      <c r="J522" s="8" t="s">
        <v>1655</v>
      </c>
      <c r="K522" s="8" t="s">
        <v>1873</v>
      </c>
      <c r="L522" s="8" t="s">
        <v>87</v>
      </c>
      <c r="M522" s="10" t="s">
        <v>1456</v>
      </c>
      <c r="N522" s="8" t="s">
        <v>87</v>
      </c>
      <c r="O522" s="10" t="s">
        <v>22</v>
      </c>
      <c r="P522" s="8" t="s">
        <v>5134</v>
      </c>
      <c r="Q522" s="10" t="s">
        <v>1447</v>
      </c>
      <c r="R522" s="10" t="s">
        <v>1657</v>
      </c>
      <c r="S522" s="8" t="s">
        <v>1658</v>
      </c>
      <c r="T522" s="10" t="s">
        <v>4929</v>
      </c>
      <c r="U522" s="10" t="s">
        <v>87</v>
      </c>
      <c r="V522" s="10" t="s">
        <v>87</v>
      </c>
    </row>
    <row r="523" spans="1:22" s="10" customFormat="1" x14ac:dyDescent="0.25">
      <c r="A523" s="10" t="s">
        <v>5135</v>
      </c>
      <c r="B523" s="10" t="s">
        <v>4528</v>
      </c>
      <c r="C523" s="11" t="s">
        <v>346</v>
      </c>
      <c r="D523" s="10" t="s">
        <v>5136</v>
      </c>
      <c r="E523" s="8" t="s">
        <v>5137</v>
      </c>
      <c r="F523" s="8" t="s">
        <v>1662</v>
      </c>
      <c r="G523" s="10" t="s">
        <v>3</v>
      </c>
      <c r="H523" s="8" t="s">
        <v>5026</v>
      </c>
      <c r="I523" s="10" t="s">
        <v>5138</v>
      </c>
      <c r="J523" s="8" t="s">
        <v>1664</v>
      </c>
      <c r="K523" s="8" t="s">
        <v>1435</v>
      </c>
      <c r="L523" s="8" t="s">
        <v>2367</v>
      </c>
      <c r="M523" s="10" t="s">
        <v>1436</v>
      </c>
      <c r="N523" s="8" t="s">
        <v>87</v>
      </c>
      <c r="O523" s="10" t="s">
        <v>22</v>
      </c>
      <c r="P523" s="8" t="s">
        <v>5139</v>
      </c>
      <c r="Q523" s="10" t="s">
        <v>825</v>
      </c>
      <c r="R523" s="10" t="s">
        <v>5029</v>
      </c>
      <c r="S523" s="8" t="s">
        <v>1669</v>
      </c>
      <c r="T523" s="10" t="s">
        <v>4929</v>
      </c>
      <c r="U523" s="10" t="s">
        <v>87</v>
      </c>
      <c r="V523" s="10" t="s">
        <v>87</v>
      </c>
    </row>
    <row r="524" spans="1:22" s="10" customFormat="1" x14ac:dyDescent="0.25">
      <c r="A524" s="10" t="s">
        <v>5140</v>
      </c>
      <c r="B524" s="10" t="s">
        <v>4528</v>
      </c>
      <c r="C524" s="10" t="s">
        <v>215</v>
      </c>
      <c r="D524" s="10" t="s">
        <v>5141</v>
      </c>
      <c r="E524" s="8" t="s">
        <v>5142</v>
      </c>
      <c r="F524" s="8" t="s">
        <v>5143</v>
      </c>
      <c r="G524" s="10" t="s">
        <v>3</v>
      </c>
      <c r="H524" s="8" t="s">
        <v>5126</v>
      </c>
      <c r="I524" s="10" t="s">
        <v>539</v>
      </c>
      <c r="J524" s="8" t="s">
        <v>2862</v>
      </c>
      <c r="K524" s="8" t="s">
        <v>1435</v>
      </c>
      <c r="L524" s="8" t="s">
        <v>87</v>
      </c>
      <c r="M524" s="10" t="s">
        <v>1436</v>
      </c>
      <c r="N524" s="8" t="s">
        <v>87</v>
      </c>
      <c r="O524" s="10" t="s">
        <v>22</v>
      </c>
      <c r="P524" s="8" t="s">
        <v>5144</v>
      </c>
      <c r="Q524" s="10" t="s">
        <v>223</v>
      </c>
      <c r="R524" s="10" t="s">
        <v>1438</v>
      </c>
      <c r="S524" s="8" t="s">
        <v>1648</v>
      </c>
      <c r="T524" s="10" t="s">
        <v>4929</v>
      </c>
      <c r="U524" s="10" t="s">
        <v>87</v>
      </c>
      <c r="V524" s="10" t="s">
        <v>87</v>
      </c>
    </row>
    <row r="525" spans="1:22" s="10" customFormat="1" x14ac:dyDescent="0.25">
      <c r="A525" s="10" t="s">
        <v>5145</v>
      </c>
      <c r="B525" s="10" t="s">
        <v>4528</v>
      </c>
      <c r="C525" s="10" t="s">
        <v>215</v>
      </c>
      <c r="D525" s="10" t="s">
        <v>5146</v>
      </c>
      <c r="E525" s="8" t="s">
        <v>5147</v>
      </c>
      <c r="F525" s="8" t="s">
        <v>5148</v>
      </c>
      <c r="G525" s="10" t="s">
        <v>3</v>
      </c>
      <c r="H525" s="8" t="s">
        <v>5149</v>
      </c>
      <c r="I525" s="10" t="s">
        <v>5150</v>
      </c>
      <c r="J525" s="8" t="s">
        <v>2862</v>
      </c>
      <c r="K525" s="8" t="s">
        <v>1435</v>
      </c>
      <c r="L525" s="8" t="s">
        <v>87</v>
      </c>
      <c r="M525" s="10" t="s">
        <v>1436</v>
      </c>
      <c r="N525" s="8" t="s">
        <v>87</v>
      </c>
      <c r="O525" s="10" t="s">
        <v>22</v>
      </c>
      <c r="P525" s="8" t="s">
        <v>5151</v>
      </c>
      <c r="Q525" s="10" t="s">
        <v>223</v>
      </c>
      <c r="R525" s="10" t="s">
        <v>1438</v>
      </c>
      <c r="S525" s="8" t="s">
        <v>5152</v>
      </c>
      <c r="T525" s="10" t="s">
        <v>4929</v>
      </c>
      <c r="U525" s="10" t="s">
        <v>87</v>
      </c>
      <c r="V525" s="10" t="s">
        <v>87</v>
      </c>
    </row>
    <row r="526" spans="1:22" s="10" customFormat="1" x14ac:dyDescent="0.25">
      <c r="A526" s="10" t="s">
        <v>5153</v>
      </c>
      <c r="B526" s="10" t="s">
        <v>4528</v>
      </c>
      <c r="C526" s="11" t="s">
        <v>346</v>
      </c>
      <c r="D526" s="10" t="s">
        <v>5154</v>
      </c>
      <c r="E526" s="8" t="s">
        <v>5155</v>
      </c>
      <c r="F526" s="8" t="s">
        <v>5156</v>
      </c>
      <c r="G526" s="10" t="s">
        <v>4</v>
      </c>
      <c r="H526" s="8" t="s">
        <v>5157</v>
      </c>
      <c r="I526" s="10" t="s">
        <v>5158</v>
      </c>
      <c r="J526" s="8" t="s">
        <v>2862</v>
      </c>
      <c r="K526" s="8" t="s">
        <v>5159</v>
      </c>
      <c r="L526" s="8" t="s">
        <v>87</v>
      </c>
      <c r="M526" s="10" t="s">
        <v>1456</v>
      </c>
      <c r="N526" s="8" t="s">
        <v>87</v>
      </c>
      <c r="O526" s="10" t="s">
        <v>22</v>
      </c>
      <c r="P526" s="8" t="s">
        <v>5160</v>
      </c>
      <c r="Q526" s="10" t="s">
        <v>223</v>
      </c>
      <c r="R526" s="10" t="s">
        <v>1438</v>
      </c>
      <c r="S526" s="8" t="s">
        <v>5161</v>
      </c>
      <c r="T526" s="10" t="s">
        <v>4929</v>
      </c>
      <c r="U526" s="10" t="s">
        <v>87</v>
      </c>
      <c r="V526" s="10" t="s">
        <v>87</v>
      </c>
    </row>
    <row r="527" spans="1:22" s="10" customFormat="1" x14ac:dyDescent="0.25">
      <c r="A527" s="10" t="s">
        <v>5162</v>
      </c>
      <c r="B527" s="10" t="s">
        <v>4528</v>
      </c>
      <c r="C527" s="11" t="s">
        <v>346</v>
      </c>
      <c r="D527" s="10" t="s">
        <v>5163</v>
      </c>
      <c r="E527" s="8" t="s">
        <v>5164</v>
      </c>
      <c r="F527" s="8" t="s">
        <v>5165</v>
      </c>
      <c r="G527" s="10" t="s">
        <v>3</v>
      </c>
      <c r="H527" s="8" t="s">
        <v>5166</v>
      </c>
      <c r="I527" s="10" t="s">
        <v>5167</v>
      </c>
      <c r="J527" s="8" t="s">
        <v>2862</v>
      </c>
      <c r="K527" s="8" t="s">
        <v>1435</v>
      </c>
      <c r="L527" s="8" t="s">
        <v>87</v>
      </c>
      <c r="M527" s="10" t="s">
        <v>1436</v>
      </c>
      <c r="N527" s="8" t="s">
        <v>87</v>
      </c>
      <c r="O527" s="10" t="s">
        <v>22</v>
      </c>
      <c r="P527" s="8" t="s">
        <v>5168</v>
      </c>
      <c r="Q527" s="10" t="s">
        <v>239</v>
      </c>
      <c r="R527" s="10" t="s">
        <v>1438</v>
      </c>
      <c r="S527" s="8" t="s">
        <v>4970</v>
      </c>
      <c r="T527" s="10" t="s">
        <v>4929</v>
      </c>
      <c r="U527" s="10" t="s">
        <v>87</v>
      </c>
      <c r="V527" s="10" t="s">
        <v>87</v>
      </c>
    </row>
    <row r="528" spans="1:22" s="10" customFormat="1" x14ac:dyDescent="0.25">
      <c r="A528" s="10" t="s">
        <v>5169</v>
      </c>
      <c r="B528" s="10" t="s">
        <v>4528</v>
      </c>
      <c r="C528" s="11" t="s">
        <v>346</v>
      </c>
      <c r="D528" s="10" t="s">
        <v>5170</v>
      </c>
      <c r="E528" s="8" t="s">
        <v>5171</v>
      </c>
      <c r="F528" s="8" t="s">
        <v>5172</v>
      </c>
      <c r="G528" s="10" t="s">
        <v>3</v>
      </c>
      <c r="H528" s="8" t="s">
        <v>5173</v>
      </c>
      <c r="I528" s="10" t="s">
        <v>5174</v>
      </c>
      <c r="J528" s="8" t="s">
        <v>2862</v>
      </c>
      <c r="K528" s="8" t="s">
        <v>1435</v>
      </c>
      <c r="L528" s="8" t="s">
        <v>87</v>
      </c>
      <c r="M528" s="10" t="s">
        <v>1436</v>
      </c>
      <c r="N528" s="8" t="s">
        <v>87</v>
      </c>
      <c r="O528" s="10" t="s">
        <v>22</v>
      </c>
      <c r="P528" s="8" t="s">
        <v>5175</v>
      </c>
      <c r="Q528" s="10" t="s">
        <v>223</v>
      </c>
      <c r="R528" s="10" t="s">
        <v>1438</v>
      </c>
      <c r="S528" s="8" t="s">
        <v>5176</v>
      </c>
      <c r="T528" s="10" t="s">
        <v>4929</v>
      </c>
      <c r="U528" s="10" t="s">
        <v>87</v>
      </c>
      <c r="V528" s="10" t="s">
        <v>87</v>
      </c>
    </row>
    <row r="529" spans="1:22" s="10" customFormat="1" x14ac:dyDescent="0.25">
      <c r="A529" s="10" t="s">
        <v>5177</v>
      </c>
      <c r="B529" s="10" t="s">
        <v>4528</v>
      </c>
      <c r="C529" s="11" t="s">
        <v>346</v>
      </c>
      <c r="D529" s="10" t="s">
        <v>5178</v>
      </c>
      <c r="E529" s="8" t="s">
        <v>5179</v>
      </c>
      <c r="F529" s="8" t="s">
        <v>5180</v>
      </c>
      <c r="G529" s="10" t="s">
        <v>3</v>
      </c>
      <c r="H529" s="8" t="s">
        <v>5181</v>
      </c>
      <c r="I529" s="10" t="s">
        <v>5158</v>
      </c>
      <c r="J529" s="8" t="s">
        <v>2862</v>
      </c>
      <c r="K529" s="8" t="s">
        <v>1435</v>
      </c>
      <c r="L529" s="8" t="s">
        <v>87</v>
      </c>
      <c r="M529" s="10" t="s">
        <v>1436</v>
      </c>
      <c r="N529" s="8" t="s">
        <v>87</v>
      </c>
      <c r="O529" s="10" t="s">
        <v>22</v>
      </c>
      <c r="P529" s="8" t="s">
        <v>5182</v>
      </c>
      <c r="Q529" s="10" t="s">
        <v>223</v>
      </c>
      <c r="R529" s="10" t="s">
        <v>1438</v>
      </c>
      <c r="S529" s="8" t="s">
        <v>5183</v>
      </c>
      <c r="T529" s="10" t="s">
        <v>4929</v>
      </c>
      <c r="U529" s="10" t="s">
        <v>87</v>
      </c>
      <c r="V529" s="10" t="s">
        <v>87</v>
      </c>
    </row>
    <row r="530" spans="1:22" s="10" customFormat="1" x14ac:dyDescent="0.25">
      <c r="A530" s="10" t="s">
        <v>5184</v>
      </c>
      <c r="B530" s="10" t="s">
        <v>4528</v>
      </c>
      <c r="C530" s="11" t="s">
        <v>346</v>
      </c>
      <c r="D530" s="10" t="s">
        <v>5185</v>
      </c>
      <c r="E530" s="8" t="s">
        <v>5186</v>
      </c>
      <c r="F530" s="8" t="s">
        <v>5187</v>
      </c>
      <c r="G530" s="10" t="s">
        <v>4</v>
      </c>
      <c r="H530" s="8" t="s">
        <v>5188</v>
      </c>
      <c r="I530" s="10" t="s">
        <v>5158</v>
      </c>
      <c r="J530" s="8" t="s">
        <v>2862</v>
      </c>
      <c r="K530" s="8" t="s">
        <v>5189</v>
      </c>
      <c r="L530" s="8" t="s">
        <v>87</v>
      </c>
      <c r="M530" s="10" t="s">
        <v>1456</v>
      </c>
      <c r="N530" s="8" t="s">
        <v>87</v>
      </c>
      <c r="O530" s="10" t="s">
        <v>22</v>
      </c>
      <c r="P530" s="8" t="s">
        <v>5190</v>
      </c>
      <c r="Q530" s="10" t="s">
        <v>246</v>
      </c>
      <c r="R530" s="10" t="s">
        <v>1438</v>
      </c>
      <c r="S530" s="8" t="s">
        <v>5191</v>
      </c>
      <c r="T530" s="10" t="s">
        <v>4929</v>
      </c>
      <c r="U530" s="10" t="s">
        <v>87</v>
      </c>
      <c r="V530" s="10" t="s">
        <v>87</v>
      </c>
    </row>
    <row r="531" spans="1:22" s="10" customFormat="1" x14ac:dyDescent="0.25">
      <c r="A531" s="10" t="s">
        <v>5192</v>
      </c>
      <c r="B531" s="10" t="s">
        <v>4528</v>
      </c>
      <c r="C531" s="10" t="s">
        <v>215</v>
      </c>
      <c r="D531" s="10" t="s">
        <v>5193</v>
      </c>
      <c r="E531" s="8" t="s">
        <v>5194</v>
      </c>
      <c r="F531" s="8" t="s">
        <v>5195</v>
      </c>
      <c r="G531" s="10" t="s">
        <v>3</v>
      </c>
      <c r="H531" s="8" t="s">
        <v>5196</v>
      </c>
      <c r="I531" s="10" t="s">
        <v>5158</v>
      </c>
      <c r="J531" s="8" t="s">
        <v>2862</v>
      </c>
      <c r="K531" s="8" t="s">
        <v>1435</v>
      </c>
      <c r="L531" s="8" t="s">
        <v>87</v>
      </c>
      <c r="M531" s="10" t="s">
        <v>1436</v>
      </c>
      <c r="N531" s="8" t="s">
        <v>87</v>
      </c>
      <c r="O531" s="10" t="s">
        <v>22</v>
      </c>
      <c r="P531" s="8" t="s">
        <v>5197</v>
      </c>
      <c r="Q531" s="10" t="s">
        <v>223</v>
      </c>
      <c r="R531" s="10" t="s">
        <v>1438</v>
      </c>
      <c r="S531" s="8" t="s">
        <v>5198</v>
      </c>
      <c r="T531" s="10" t="s">
        <v>4929</v>
      </c>
      <c r="U531" s="10" t="s">
        <v>87</v>
      </c>
      <c r="V531" s="10" t="s">
        <v>87</v>
      </c>
    </row>
    <row r="532" spans="1:22" s="10" customFormat="1" x14ac:dyDescent="0.25">
      <c r="A532" s="10" t="s">
        <v>5199</v>
      </c>
      <c r="B532" s="10" t="s">
        <v>4528</v>
      </c>
      <c r="C532" s="10" t="s">
        <v>215</v>
      </c>
      <c r="D532" s="10" t="s">
        <v>5200</v>
      </c>
      <c r="E532" s="8" t="s">
        <v>5201</v>
      </c>
      <c r="F532" s="8" t="s">
        <v>5202</v>
      </c>
      <c r="G532" s="10" t="s">
        <v>4</v>
      </c>
      <c r="H532" s="8" t="s">
        <v>5203</v>
      </c>
      <c r="I532" s="10" t="s">
        <v>5174</v>
      </c>
      <c r="J532" s="8" t="s">
        <v>2862</v>
      </c>
      <c r="K532" s="8" t="s">
        <v>5204</v>
      </c>
      <c r="L532" s="8" t="s">
        <v>87</v>
      </c>
      <c r="M532" s="10" t="s">
        <v>1456</v>
      </c>
      <c r="N532" s="8" t="s">
        <v>87</v>
      </c>
      <c r="O532" s="10" t="s">
        <v>22</v>
      </c>
      <c r="P532" s="8" t="s">
        <v>5205</v>
      </c>
      <c r="Q532" s="10" t="s">
        <v>239</v>
      </c>
      <c r="R532" s="10" t="s">
        <v>1438</v>
      </c>
      <c r="S532" s="8" t="s">
        <v>5206</v>
      </c>
      <c r="T532" s="10" t="s">
        <v>4929</v>
      </c>
      <c r="U532" s="10" t="s">
        <v>87</v>
      </c>
      <c r="V532" s="10" t="s">
        <v>87</v>
      </c>
    </row>
    <row r="533" spans="1:22" s="10" customFormat="1" x14ac:dyDescent="0.25">
      <c r="A533" s="10" t="s">
        <v>5207</v>
      </c>
      <c r="B533" s="10" t="s">
        <v>4528</v>
      </c>
      <c r="C533" s="10" t="s">
        <v>215</v>
      </c>
      <c r="D533" s="10" t="s">
        <v>5208</v>
      </c>
      <c r="E533" s="8" t="s">
        <v>5209</v>
      </c>
      <c r="F533" s="8" t="s">
        <v>5210</v>
      </c>
      <c r="G533" s="10" t="s">
        <v>3</v>
      </c>
      <c r="H533" s="8" t="s">
        <v>5211</v>
      </c>
      <c r="I533" s="10" t="s">
        <v>5158</v>
      </c>
      <c r="J533" s="8" t="s">
        <v>2862</v>
      </c>
      <c r="K533" s="8" t="s">
        <v>1435</v>
      </c>
      <c r="L533" s="8" t="s">
        <v>87</v>
      </c>
      <c r="M533" s="10" t="s">
        <v>1436</v>
      </c>
      <c r="N533" s="8" t="s">
        <v>87</v>
      </c>
      <c r="O533" s="10" t="s">
        <v>22</v>
      </c>
      <c r="P533" s="8" t="s">
        <v>5212</v>
      </c>
      <c r="Q533" s="10" t="s">
        <v>223</v>
      </c>
      <c r="R533" s="10" t="s">
        <v>1438</v>
      </c>
      <c r="S533" s="8" t="s">
        <v>5213</v>
      </c>
      <c r="T533" s="10" t="s">
        <v>4929</v>
      </c>
      <c r="U533" s="10" t="s">
        <v>87</v>
      </c>
      <c r="V533" s="10" t="s">
        <v>87</v>
      </c>
    </row>
    <row r="534" spans="1:22" s="10" customFormat="1" x14ac:dyDescent="0.25">
      <c r="A534" s="10" t="s">
        <v>5214</v>
      </c>
      <c r="B534" s="10" t="s">
        <v>4528</v>
      </c>
      <c r="C534" s="11" t="s">
        <v>346</v>
      </c>
      <c r="D534" s="10" t="s">
        <v>5215</v>
      </c>
      <c r="E534" s="8" t="s">
        <v>5216</v>
      </c>
      <c r="F534" s="8" t="s">
        <v>5217</v>
      </c>
      <c r="G534" s="10" t="s">
        <v>4</v>
      </c>
      <c r="H534" s="8" t="s">
        <v>1653</v>
      </c>
      <c r="I534" s="10" t="s">
        <v>5218</v>
      </c>
      <c r="J534" s="8" t="s">
        <v>1655</v>
      </c>
      <c r="K534" s="8" t="s">
        <v>1873</v>
      </c>
      <c r="L534" s="8" t="s">
        <v>87</v>
      </c>
      <c r="M534" s="10" t="s">
        <v>1456</v>
      </c>
      <c r="N534" s="8" t="s">
        <v>87</v>
      </c>
      <c r="O534" s="10" t="s">
        <v>22</v>
      </c>
      <c r="P534" s="8" t="s">
        <v>5219</v>
      </c>
      <c r="Q534" s="10" t="s">
        <v>1447</v>
      </c>
      <c r="R534" s="10" t="s">
        <v>1657</v>
      </c>
      <c r="S534" s="8" t="s">
        <v>5220</v>
      </c>
      <c r="T534" s="10" t="s">
        <v>4929</v>
      </c>
      <c r="U534" s="10" t="s">
        <v>87</v>
      </c>
      <c r="V534" s="10" t="s">
        <v>87</v>
      </c>
    </row>
    <row r="535" spans="1:22" s="10" customFormat="1" x14ac:dyDescent="0.25">
      <c r="A535" s="10" t="s">
        <v>5221</v>
      </c>
      <c r="B535" s="10" t="s">
        <v>4528</v>
      </c>
      <c r="C535" s="11" t="s">
        <v>346</v>
      </c>
      <c r="D535" s="10" t="s">
        <v>5222</v>
      </c>
      <c r="E535" s="8" t="s">
        <v>5223</v>
      </c>
      <c r="F535" s="8" t="s">
        <v>5224</v>
      </c>
      <c r="G535" s="10" t="s">
        <v>3</v>
      </c>
      <c r="H535" s="8" t="s">
        <v>5026</v>
      </c>
      <c r="I535" s="10" t="s">
        <v>5167</v>
      </c>
      <c r="J535" s="8" t="s">
        <v>1664</v>
      </c>
      <c r="K535" s="8" t="s">
        <v>1435</v>
      </c>
      <c r="L535" s="8" t="s">
        <v>87</v>
      </c>
      <c r="M535" s="10" t="s">
        <v>1436</v>
      </c>
      <c r="N535" s="8" t="s">
        <v>87</v>
      </c>
      <c r="O535" s="10" t="s">
        <v>22</v>
      </c>
      <c r="P535" s="8" t="s">
        <v>5225</v>
      </c>
      <c r="Q535" s="10" t="s">
        <v>825</v>
      </c>
      <c r="R535" s="10" t="s">
        <v>5029</v>
      </c>
      <c r="S535" s="8" t="s">
        <v>1669</v>
      </c>
      <c r="T535" s="10" t="s">
        <v>4929</v>
      </c>
      <c r="U535" s="10" t="s">
        <v>87</v>
      </c>
      <c r="V535" s="10" t="s">
        <v>87</v>
      </c>
    </row>
    <row r="536" spans="1:22" s="10" customFormat="1" x14ac:dyDescent="0.25">
      <c r="A536" s="10" t="s">
        <v>5226</v>
      </c>
      <c r="B536" s="10" t="s">
        <v>4528</v>
      </c>
      <c r="C536" s="10" t="s">
        <v>215</v>
      </c>
      <c r="D536" s="10" t="s">
        <v>5227</v>
      </c>
      <c r="E536" s="8" t="s">
        <v>5228</v>
      </c>
      <c r="F536" s="8" t="s">
        <v>5229</v>
      </c>
      <c r="G536" s="10" t="s">
        <v>3</v>
      </c>
      <c r="H536" s="8" t="s">
        <v>5230</v>
      </c>
      <c r="I536" s="10" t="s">
        <v>5167</v>
      </c>
      <c r="J536" s="8" t="s">
        <v>2862</v>
      </c>
      <c r="K536" s="8" t="s">
        <v>1435</v>
      </c>
      <c r="L536" s="8" t="s">
        <v>87</v>
      </c>
      <c r="M536" s="10" t="s">
        <v>1436</v>
      </c>
      <c r="N536" s="8" t="s">
        <v>87</v>
      </c>
      <c r="O536" s="10" t="s">
        <v>22</v>
      </c>
      <c r="P536" s="8" t="s">
        <v>5231</v>
      </c>
      <c r="Q536" s="10" t="s">
        <v>223</v>
      </c>
      <c r="R536" s="10" t="s">
        <v>1438</v>
      </c>
      <c r="S536" s="8" t="s">
        <v>1648</v>
      </c>
      <c r="T536" s="10" t="s">
        <v>4929</v>
      </c>
      <c r="U536" s="10" t="s">
        <v>87</v>
      </c>
      <c r="V536" s="10" t="s">
        <v>87</v>
      </c>
    </row>
    <row r="537" spans="1:22" s="10" customFormat="1" x14ac:dyDescent="0.25">
      <c r="A537" s="10" t="s">
        <v>5232</v>
      </c>
      <c r="B537" s="10" t="s">
        <v>5233</v>
      </c>
      <c r="C537" s="10" t="s">
        <v>215</v>
      </c>
      <c r="D537" s="10" t="s">
        <v>5234</v>
      </c>
      <c r="E537" s="8" t="s">
        <v>5235</v>
      </c>
      <c r="F537" s="8" t="s">
        <v>5236</v>
      </c>
      <c r="G537" s="10" t="s">
        <v>4</v>
      </c>
      <c r="H537" s="8" t="s">
        <v>5237</v>
      </c>
      <c r="I537" s="10" t="s">
        <v>5238</v>
      </c>
      <c r="J537" s="8" t="s">
        <v>2862</v>
      </c>
      <c r="K537" s="8" t="s">
        <v>1873</v>
      </c>
      <c r="L537" s="8" t="s">
        <v>87</v>
      </c>
      <c r="M537" s="10" t="s">
        <v>1436</v>
      </c>
      <c r="N537" s="8" t="s">
        <v>87</v>
      </c>
      <c r="O537" s="10" t="s">
        <v>22</v>
      </c>
      <c r="P537" s="8" t="s">
        <v>5239</v>
      </c>
      <c r="Q537" s="10" t="s">
        <v>223</v>
      </c>
      <c r="R537" s="10" t="s">
        <v>1438</v>
      </c>
      <c r="S537" s="8" t="s">
        <v>5240</v>
      </c>
      <c r="T537" s="10" t="s">
        <v>5241</v>
      </c>
      <c r="U537" s="10" t="s">
        <v>87</v>
      </c>
      <c r="V537" s="10" t="s">
        <v>87</v>
      </c>
    </row>
    <row r="538" spans="1:22" s="10" customFormat="1" x14ac:dyDescent="0.25">
      <c r="A538" s="10" t="s">
        <v>5242</v>
      </c>
      <c r="B538" s="10" t="s">
        <v>5233</v>
      </c>
      <c r="C538" s="11" t="s">
        <v>346</v>
      </c>
      <c r="D538" s="10" t="s">
        <v>5243</v>
      </c>
      <c r="E538" s="8" t="s">
        <v>5244</v>
      </c>
      <c r="F538" s="8" t="s">
        <v>5245</v>
      </c>
      <c r="G538" s="10" t="s">
        <v>2647</v>
      </c>
      <c r="H538" s="8" t="s">
        <v>5246</v>
      </c>
      <c r="I538" s="10" t="s">
        <v>5247</v>
      </c>
      <c r="J538" s="8" t="s">
        <v>2862</v>
      </c>
      <c r="K538" s="8" t="s">
        <v>2649</v>
      </c>
      <c r="L538" s="8" t="s">
        <v>87</v>
      </c>
      <c r="M538" s="10" t="s">
        <v>1436</v>
      </c>
      <c r="N538" s="8" t="s">
        <v>87</v>
      </c>
      <c r="O538" s="10" t="s">
        <v>22</v>
      </c>
      <c r="P538" s="8" t="s">
        <v>5248</v>
      </c>
      <c r="Q538" s="10" t="s">
        <v>223</v>
      </c>
      <c r="R538" s="10" t="s">
        <v>1438</v>
      </c>
      <c r="S538" s="8" t="s">
        <v>5249</v>
      </c>
      <c r="T538" s="10" t="s">
        <v>5241</v>
      </c>
      <c r="U538" s="10" t="s">
        <v>87</v>
      </c>
      <c r="V538" s="10" t="s">
        <v>87</v>
      </c>
    </row>
    <row r="539" spans="1:22" s="10" customFormat="1" x14ac:dyDescent="0.25">
      <c r="A539" s="10" t="s">
        <v>5250</v>
      </c>
      <c r="B539" s="10" t="s">
        <v>5233</v>
      </c>
      <c r="C539" s="11" t="s">
        <v>346</v>
      </c>
      <c r="D539" s="10" t="s">
        <v>5251</v>
      </c>
      <c r="E539" s="8" t="s">
        <v>5252</v>
      </c>
      <c r="F539" s="8" t="s">
        <v>5253</v>
      </c>
      <c r="G539" s="10" t="s">
        <v>2647</v>
      </c>
      <c r="H539" s="8" t="s">
        <v>5254</v>
      </c>
      <c r="I539" s="10" t="s">
        <v>5255</v>
      </c>
      <c r="J539" s="8" t="s">
        <v>2862</v>
      </c>
      <c r="K539" s="8" t="s">
        <v>2649</v>
      </c>
      <c r="L539" s="8" t="s">
        <v>87</v>
      </c>
      <c r="M539" s="10" t="s">
        <v>1436</v>
      </c>
      <c r="N539" s="8" t="s">
        <v>87</v>
      </c>
      <c r="O539" s="10" t="s">
        <v>22</v>
      </c>
      <c r="P539" s="8" t="s">
        <v>5256</v>
      </c>
      <c r="Q539" s="10" t="s">
        <v>239</v>
      </c>
      <c r="R539" s="10" t="s">
        <v>1438</v>
      </c>
      <c r="S539" s="8" t="s">
        <v>5257</v>
      </c>
      <c r="T539" s="10" t="s">
        <v>5241</v>
      </c>
      <c r="U539" s="10" t="s">
        <v>87</v>
      </c>
      <c r="V539" s="10" t="s">
        <v>87</v>
      </c>
    </row>
    <row r="540" spans="1:22" s="10" customFormat="1" x14ac:dyDescent="0.25">
      <c r="A540" s="10" t="s">
        <v>5258</v>
      </c>
      <c r="B540" s="10" t="s">
        <v>5233</v>
      </c>
      <c r="C540" s="11" t="s">
        <v>346</v>
      </c>
      <c r="D540" s="10" t="s">
        <v>5259</v>
      </c>
      <c r="E540" s="8" t="s">
        <v>5260</v>
      </c>
      <c r="F540" s="8" t="s">
        <v>5261</v>
      </c>
      <c r="G540" s="10" t="s">
        <v>2647</v>
      </c>
      <c r="H540" s="8" t="s">
        <v>5262</v>
      </c>
      <c r="I540" s="10" t="s">
        <v>5263</v>
      </c>
      <c r="J540" s="8" t="s">
        <v>2862</v>
      </c>
      <c r="K540" s="8" t="s">
        <v>2649</v>
      </c>
      <c r="L540" s="8" t="s">
        <v>87</v>
      </c>
      <c r="M540" s="10" t="s">
        <v>1436</v>
      </c>
      <c r="N540" s="8" t="s">
        <v>87</v>
      </c>
      <c r="O540" s="10" t="s">
        <v>22</v>
      </c>
      <c r="P540" s="8" t="s">
        <v>5264</v>
      </c>
      <c r="Q540" s="10" t="s">
        <v>246</v>
      </c>
      <c r="R540" s="10" t="s">
        <v>1438</v>
      </c>
      <c r="S540" s="8" t="s">
        <v>5265</v>
      </c>
      <c r="T540" s="10" t="s">
        <v>5241</v>
      </c>
      <c r="U540" s="10" t="s">
        <v>87</v>
      </c>
      <c r="V540" s="10" t="s">
        <v>87</v>
      </c>
    </row>
    <row r="541" spans="1:22" s="10" customFormat="1" x14ac:dyDescent="0.25">
      <c r="A541" s="10" t="s">
        <v>5266</v>
      </c>
      <c r="B541" s="10" t="s">
        <v>5233</v>
      </c>
      <c r="C541" s="11" t="s">
        <v>346</v>
      </c>
      <c r="D541" s="10" t="s">
        <v>5267</v>
      </c>
      <c r="E541" s="8" t="s">
        <v>5268</v>
      </c>
      <c r="F541" s="8" t="s">
        <v>5269</v>
      </c>
      <c r="G541" s="10" t="s">
        <v>2647</v>
      </c>
      <c r="H541" s="8" t="s">
        <v>5270</v>
      </c>
      <c r="I541" s="10" t="s">
        <v>5271</v>
      </c>
      <c r="J541" s="8" t="s">
        <v>2862</v>
      </c>
      <c r="K541" s="8" t="s">
        <v>2649</v>
      </c>
      <c r="L541" s="8" t="s">
        <v>87</v>
      </c>
      <c r="M541" s="10" t="s">
        <v>1436</v>
      </c>
      <c r="N541" s="8" t="s">
        <v>87</v>
      </c>
      <c r="O541" s="10" t="s">
        <v>22</v>
      </c>
      <c r="P541" s="8" t="s">
        <v>5272</v>
      </c>
      <c r="Q541" s="10" t="s">
        <v>223</v>
      </c>
      <c r="R541" s="10" t="s">
        <v>1438</v>
      </c>
      <c r="S541" s="8" t="s">
        <v>5273</v>
      </c>
      <c r="T541" s="10" t="s">
        <v>5241</v>
      </c>
      <c r="U541" s="10" t="s">
        <v>87</v>
      </c>
      <c r="V541" s="10" t="s">
        <v>87</v>
      </c>
    </row>
    <row r="542" spans="1:22" s="10" customFormat="1" x14ac:dyDescent="0.25">
      <c r="A542" s="10" t="s">
        <v>5274</v>
      </c>
      <c r="B542" s="10" t="s">
        <v>5233</v>
      </c>
      <c r="C542" s="11" t="s">
        <v>346</v>
      </c>
      <c r="D542" s="10" t="s">
        <v>5275</v>
      </c>
      <c r="E542" s="8" t="s">
        <v>5276</v>
      </c>
      <c r="F542" s="8" t="s">
        <v>5277</v>
      </c>
      <c r="G542" s="10" t="s">
        <v>2647</v>
      </c>
      <c r="H542" s="8" t="s">
        <v>5278</v>
      </c>
      <c r="I542" s="10" t="s">
        <v>5271</v>
      </c>
      <c r="J542" s="8" t="s">
        <v>5279</v>
      </c>
      <c r="K542" s="8" t="s">
        <v>2649</v>
      </c>
      <c r="L542" s="8" t="s">
        <v>87</v>
      </c>
      <c r="M542" s="10" t="s">
        <v>1436</v>
      </c>
      <c r="N542" s="8" t="s">
        <v>87</v>
      </c>
      <c r="O542" s="10" t="s">
        <v>22</v>
      </c>
      <c r="P542" s="8" t="s">
        <v>5280</v>
      </c>
      <c r="Q542" s="10" t="s">
        <v>1447</v>
      </c>
      <c r="R542" s="10" t="s">
        <v>1438</v>
      </c>
      <c r="S542" s="8" t="s">
        <v>5281</v>
      </c>
      <c r="T542" s="10" t="s">
        <v>5241</v>
      </c>
      <c r="U542" s="10" t="s">
        <v>87</v>
      </c>
      <c r="V542" s="10" t="s">
        <v>87</v>
      </c>
    </row>
    <row r="543" spans="1:22" s="10" customFormat="1" x14ac:dyDescent="0.25">
      <c r="A543" s="10" t="s">
        <v>5282</v>
      </c>
      <c r="B543" s="10" t="s">
        <v>5233</v>
      </c>
      <c r="C543" s="10" t="s">
        <v>215</v>
      </c>
      <c r="D543" s="10" t="s">
        <v>5283</v>
      </c>
      <c r="E543" s="8" t="s">
        <v>5284</v>
      </c>
      <c r="F543" s="8" t="s">
        <v>5285</v>
      </c>
      <c r="G543" s="10" t="s">
        <v>2647</v>
      </c>
      <c r="H543" s="8" t="s">
        <v>5286</v>
      </c>
      <c r="I543" s="10" t="s">
        <v>5287</v>
      </c>
      <c r="J543" s="8" t="s">
        <v>2862</v>
      </c>
      <c r="K543" s="8" t="s">
        <v>2649</v>
      </c>
      <c r="L543" s="8" t="s">
        <v>87</v>
      </c>
      <c r="M543" s="10" t="s">
        <v>1436</v>
      </c>
      <c r="N543" s="8" t="s">
        <v>87</v>
      </c>
      <c r="O543" s="10" t="s">
        <v>22</v>
      </c>
      <c r="P543" s="8" t="s">
        <v>5288</v>
      </c>
      <c r="Q543" s="10" t="s">
        <v>223</v>
      </c>
      <c r="R543" s="10" t="s">
        <v>1438</v>
      </c>
      <c r="S543" s="8" t="s">
        <v>5289</v>
      </c>
      <c r="T543" s="10" t="s">
        <v>5241</v>
      </c>
      <c r="U543" s="10" t="s">
        <v>87</v>
      </c>
      <c r="V543" s="10" t="s">
        <v>87</v>
      </c>
    </row>
    <row r="544" spans="1:22" s="10" customFormat="1" x14ac:dyDescent="0.25">
      <c r="A544" s="10" t="s">
        <v>5290</v>
      </c>
      <c r="B544" s="10" t="s">
        <v>5233</v>
      </c>
      <c r="C544" s="10" t="s">
        <v>215</v>
      </c>
      <c r="D544" s="10" t="s">
        <v>5291</v>
      </c>
      <c r="E544" s="8" t="s">
        <v>5292</v>
      </c>
      <c r="F544" s="8" t="s">
        <v>5293</v>
      </c>
      <c r="G544" s="10" t="s">
        <v>2647</v>
      </c>
      <c r="H544" s="8" t="s">
        <v>5294</v>
      </c>
      <c r="I544" s="10" t="s">
        <v>5295</v>
      </c>
      <c r="J544" s="8" t="s">
        <v>2862</v>
      </c>
      <c r="K544" s="8" t="s">
        <v>2649</v>
      </c>
      <c r="L544" s="8" t="s">
        <v>87</v>
      </c>
      <c r="M544" s="10" t="s">
        <v>1436</v>
      </c>
      <c r="N544" s="8" t="s">
        <v>87</v>
      </c>
      <c r="O544" s="10" t="s">
        <v>22</v>
      </c>
      <c r="P544" s="8" t="s">
        <v>5296</v>
      </c>
      <c r="Q544" s="10" t="s">
        <v>239</v>
      </c>
      <c r="R544" s="10" t="s">
        <v>1438</v>
      </c>
      <c r="S544" s="8" t="s">
        <v>5297</v>
      </c>
      <c r="T544" s="10" t="s">
        <v>5241</v>
      </c>
      <c r="U544" s="10" t="s">
        <v>87</v>
      </c>
      <c r="V544" s="10" t="s">
        <v>87</v>
      </c>
    </row>
    <row r="545" spans="1:22" s="10" customFormat="1" x14ac:dyDescent="0.25">
      <c r="A545" s="10" t="s">
        <v>5298</v>
      </c>
      <c r="B545" s="10" t="s">
        <v>5233</v>
      </c>
      <c r="C545" s="10" t="s">
        <v>215</v>
      </c>
      <c r="D545" s="10" t="s">
        <v>5299</v>
      </c>
      <c r="E545" s="8" t="s">
        <v>5300</v>
      </c>
      <c r="F545" s="8" t="s">
        <v>4823</v>
      </c>
      <c r="G545" s="10" t="s">
        <v>2647</v>
      </c>
      <c r="H545" s="8" t="s">
        <v>3494</v>
      </c>
      <c r="I545" s="10" t="s">
        <v>5301</v>
      </c>
      <c r="J545" s="8" t="s">
        <v>2862</v>
      </c>
      <c r="K545" s="8" t="s">
        <v>2649</v>
      </c>
      <c r="L545" s="8" t="s">
        <v>87</v>
      </c>
      <c r="M545" s="10" t="s">
        <v>1436</v>
      </c>
      <c r="N545" s="8" t="s">
        <v>87</v>
      </c>
      <c r="O545" s="10" t="s">
        <v>22</v>
      </c>
      <c r="P545" s="8" t="s">
        <v>5302</v>
      </c>
      <c r="Q545" s="10" t="s">
        <v>239</v>
      </c>
      <c r="R545" s="10" t="s">
        <v>1438</v>
      </c>
      <c r="S545" s="8" t="s">
        <v>5303</v>
      </c>
      <c r="T545" s="10" t="s">
        <v>5241</v>
      </c>
      <c r="U545" s="10" t="s">
        <v>87</v>
      </c>
      <c r="V545" s="10" t="s">
        <v>87</v>
      </c>
    </row>
    <row r="546" spans="1:22" s="10" customFormat="1" x14ac:dyDescent="0.25">
      <c r="A546" s="10" t="s">
        <v>5304</v>
      </c>
      <c r="B546" s="10" t="s">
        <v>5233</v>
      </c>
      <c r="C546" s="11" t="s">
        <v>346</v>
      </c>
      <c r="D546" s="10" t="s">
        <v>5305</v>
      </c>
      <c r="E546" s="8" t="s">
        <v>5306</v>
      </c>
      <c r="F546" s="8" t="s">
        <v>5307</v>
      </c>
      <c r="G546" s="10" t="s">
        <v>2647</v>
      </c>
      <c r="H546" s="8" t="s">
        <v>5308</v>
      </c>
      <c r="I546" s="10" t="s">
        <v>5301</v>
      </c>
      <c r="J546" s="8" t="s">
        <v>2862</v>
      </c>
      <c r="K546" s="8" t="s">
        <v>2649</v>
      </c>
      <c r="L546" s="8" t="s">
        <v>87</v>
      </c>
      <c r="M546" s="10" t="s">
        <v>1436</v>
      </c>
      <c r="N546" s="8" t="s">
        <v>87</v>
      </c>
      <c r="O546" s="10" t="s">
        <v>22</v>
      </c>
      <c r="P546" s="8" t="s">
        <v>5309</v>
      </c>
      <c r="Q546" s="10" t="s">
        <v>246</v>
      </c>
      <c r="R546" s="10" t="s">
        <v>1438</v>
      </c>
      <c r="S546" s="8" t="s">
        <v>5310</v>
      </c>
      <c r="T546" s="10" t="s">
        <v>5241</v>
      </c>
      <c r="U546" s="10" t="s">
        <v>87</v>
      </c>
      <c r="V546" s="10" t="s">
        <v>87</v>
      </c>
    </row>
    <row r="547" spans="1:22" s="10" customFormat="1" x14ac:dyDescent="0.25">
      <c r="A547" s="10" t="s">
        <v>5311</v>
      </c>
      <c r="B547" s="10" t="s">
        <v>5233</v>
      </c>
      <c r="C547" s="10" t="s">
        <v>215</v>
      </c>
      <c r="D547" s="10" t="s">
        <v>5312</v>
      </c>
      <c r="E547" s="8" t="s">
        <v>5313</v>
      </c>
      <c r="F547" s="8" t="s">
        <v>5314</v>
      </c>
      <c r="G547" s="10" t="s">
        <v>2647</v>
      </c>
      <c r="H547" s="8" t="s">
        <v>5315</v>
      </c>
      <c r="I547" s="10" t="s">
        <v>5301</v>
      </c>
      <c r="J547" s="8" t="s">
        <v>2862</v>
      </c>
      <c r="K547" s="8" t="s">
        <v>2649</v>
      </c>
      <c r="L547" s="8" t="s">
        <v>87</v>
      </c>
      <c r="M547" s="10" t="s">
        <v>1436</v>
      </c>
      <c r="N547" s="8" t="s">
        <v>87</v>
      </c>
      <c r="O547" s="10" t="s">
        <v>22</v>
      </c>
      <c r="P547" s="8" t="s">
        <v>5316</v>
      </c>
      <c r="Q547" s="10" t="s">
        <v>239</v>
      </c>
      <c r="R547" s="10" t="s">
        <v>1438</v>
      </c>
      <c r="S547" s="8" t="s">
        <v>5317</v>
      </c>
      <c r="T547" s="10" t="s">
        <v>5241</v>
      </c>
      <c r="U547" s="10" t="s">
        <v>87</v>
      </c>
      <c r="V547" s="10" t="s">
        <v>87</v>
      </c>
    </row>
    <row r="548" spans="1:22" s="10" customFormat="1" x14ac:dyDescent="0.25">
      <c r="A548" s="10" t="s">
        <v>5318</v>
      </c>
      <c r="B548" s="10" t="s">
        <v>5233</v>
      </c>
      <c r="C548" s="11" t="s">
        <v>346</v>
      </c>
      <c r="D548" s="10" t="s">
        <v>5319</v>
      </c>
      <c r="E548" s="8" t="s">
        <v>5320</v>
      </c>
      <c r="F548" s="8" t="s">
        <v>5321</v>
      </c>
      <c r="G548" s="10" t="s">
        <v>2647</v>
      </c>
      <c r="H548" s="8" t="s">
        <v>5322</v>
      </c>
      <c r="I548" s="10" t="s">
        <v>5295</v>
      </c>
      <c r="J548" s="8" t="s">
        <v>2862</v>
      </c>
      <c r="K548" s="8" t="s">
        <v>2649</v>
      </c>
      <c r="L548" s="8" t="s">
        <v>87</v>
      </c>
      <c r="M548" s="10" t="s">
        <v>1436</v>
      </c>
      <c r="N548" s="8" t="s">
        <v>87</v>
      </c>
      <c r="O548" s="10" t="s">
        <v>22</v>
      </c>
      <c r="P548" s="8" t="s">
        <v>5323</v>
      </c>
      <c r="Q548" s="10" t="s">
        <v>239</v>
      </c>
      <c r="R548" s="10" t="s">
        <v>1438</v>
      </c>
      <c r="S548" s="8" t="s">
        <v>5324</v>
      </c>
      <c r="T548" s="10" t="s">
        <v>5241</v>
      </c>
      <c r="U548" s="10" t="s">
        <v>87</v>
      </c>
      <c r="V548" s="10" t="s">
        <v>87</v>
      </c>
    </row>
    <row r="549" spans="1:22" s="10" customFormat="1" x14ac:dyDescent="0.25">
      <c r="A549" s="10" t="s">
        <v>5325</v>
      </c>
      <c r="B549" s="10" t="s">
        <v>5233</v>
      </c>
      <c r="C549" s="10" t="s">
        <v>215</v>
      </c>
      <c r="D549" s="10" t="s">
        <v>5326</v>
      </c>
      <c r="E549" s="8" t="s">
        <v>5327</v>
      </c>
      <c r="F549" s="8" t="s">
        <v>5328</v>
      </c>
      <c r="G549" s="10" t="s">
        <v>2647</v>
      </c>
      <c r="H549" s="8" t="s">
        <v>5329</v>
      </c>
      <c r="I549" s="10" t="s">
        <v>5330</v>
      </c>
      <c r="J549" s="8" t="s">
        <v>2862</v>
      </c>
      <c r="K549" s="8" t="s">
        <v>2649</v>
      </c>
      <c r="L549" s="8" t="s">
        <v>87</v>
      </c>
      <c r="M549" s="10" t="s">
        <v>1436</v>
      </c>
      <c r="N549" s="8" t="s">
        <v>87</v>
      </c>
      <c r="O549" s="10" t="s">
        <v>22</v>
      </c>
      <c r="P549" s="8" t="s">
        <v>5331</v>
      </c>
      <c r="Q549" s="10" t="s">
        <v>223</v>
      </c>
      <c r="R549" s="10" t="s">
        <v>1438</v>
      </c>
      <c r="S549" s="8" t="s">
        <v>5332</v>
      </c>
      <c r="T549" s="10" t="s">
        <v>5241</v>
      </c>
      <c r="U549" s="10" t="s">
        <v>87</v>
      </c>
      <c r="V549" s="10" t="s">
        <v>87</v>
      </c>
    </row>
    <row r="550" spans="1:22" s="10" customFormat="1" x14ac:dyDescent="0.25">
      <c r="A550" s="10" t="s">
        <v>5333</v>
      </c>
      <c r="B550" s="10" t="s">
        <v>5233</v>
      </c>
      <c r="C550" s="10" t="s">
        <v>215</v>
      </c>
      <c r="D550" s="10" t="s">
        <v>5334</v>
      </c>
      <c r="E550" s="8" t="s">
        <v>5335</v>
      </c>
      <c r="F550" s="8" t="s">
        <v>5336</v>
      </c>
      <c r="G550" s="10" t="s">
        <v>2647</v>
      </c>
      <c r="H550" s="8" t="s">
        <v>5337</v>
      </c>
      <c r="I550" s="10" t="s">
        <v>5338</v>
      </c>
      <c r="J550" s="8" t="s">
        <v>2862</v>
      </c>
      <c r="K550" s="8" t="s">
        <v>2649</v>
      </c>
      <c r="L550" s="8" t="s">
        <v>87</v>
      </c>
      <c r="M550" s="10" t="s">
        <v>1436</v>
      </c>
      <c r="N550" s="8" t="s">
        <v>87</v>
      </c>
      <c r="O550" s="10" t="s">
        <v>22</v>
      </c>
      <c r="P550" s="8" t="s">
        <v>5339</v>
      </c>
      <c r="Q550" s="10" t="s">
        <v>223</v>
      </c>
      <c r="R550" s="10" t="s">
        <v>1438</v>
      </c>
      <c r="S550" s="8" t="s">
        <v>5340</v>
      </c>
      <c r="T550" s="10" t="s">
        <v>5241</v>
      </c>
      <c r="U550" s="10" t="s">
        <v>87</v>
      </c>
      <c r="V550" s="10" t="s">
        <v>87</v>
      </c>
    </row>
    <row r="551" spans="1:22" s="10" customFormat="1" x14ac:dyDescent="0.25">
      <c r="A551" s="10" t="s">
        <v>5341</v>
      </c>
      <c r="B551" s="10" t="s">
        <v>5233</v>
      </c>
      <c r="C551" s="10" t="s">
        <v>384</v>
      </c>
      <c r="D551" s="10" t="s">
        <v>5342</v>
      </c>
      <c r="E551" s="8" t="s">
        <v>5343</v>
      </c>
      <c r="F551" s="8" t="s">
        <v>5344</v>
      </c>
      <c r="G551" s="10" t="s">
        <v>2647</v>
      </c>
      <c r="H551" s="8" t="s">
        <v>5345</v>
      </c>
      <c r="I551" s="10" t="s">
        <v>1968</v>
      </c>
      <c r="J551" s="8" t="s">
        <v>2862</v>
      </c>
      <c r="K551" s="8" t="s">
        <v>2649</v>
      </c>
      <c r="L551" s="8" t="s">
        <v>87</v>
      </c>
      <c r="M551" s="10" t="s">
        <v>1436</v>
      </c>
      <c r="N551" s="8" t="s">
        <v>87</v>
      </c>
      <c r="O551" s="10" t="s">
        <v>22</v>
      </c>
      <c r="P551" s="8" t="s">
        <v>5346</v>
      </c>
      <c r="Q551" s="10" t="s">
        <v>223</v>
      </c>
      <c r="R551" s="10" t="s">
        <v>1438</v>
      </c>
      <c r="S551" s="8" t="s">
        <v>5347</v>
      </c>
      <c r="T551" s="10" t="s">
        <v>5241</v>
      </c>
      <c r="U551" s="10" t="s">
        <v>87</v>
      </c>
      <c r="V551" s="10" t="s">
        <v>87</v>
      </c>
    </row>
    <row r="552" spans="1:22" s="10" customFormat="1" x14ac:dyDescent="0.25">
      <c r="A552" s="10" t="s">
        <v>5348</v>
      </c>
      <c r="B552" s="10" t="s">
        <v>5233</v>
      </c>
      <c r="C552" s="11" t="s">
        <v>346</v>
      </c>
      <c r="D552" s="10" t="s">
        <v>5349</v>
      </c>
      <c r="E552" s="8" t="s">
        <v>5350</v>
      </c>
      <c r="F552" s="8" t="s">
        <v>5351</v>
      </c>
      <c r="G552" s="10" t="s">
        <v>2647</v>
      </c>
      <c r="H552" s="8" t="s">
        <v>5352</v>
      </c>
      <c r="I552" s="10" t="s">
        <v>5301</v>
      </c>
      <c r="J552" s="8" t="s">
        <v>5353</v>
      </c>
      <c r="K552" s="8" t="s">
        <v>2649</v>
      </c>
      <c r="L552" s="8" t="s">
        <v>87</v>
      </c>
      <c r="M552" s="10" t="s">
        <v>1436</v>
      </c>
      <c r="N552" s="8" t="s">
        <v>87</v>
      </c>
      <c r="O552" s="10" t="s">
        <v>22</v>
      </c>
      <c r="P552" s="8" t="s">
        <v>5354</v>
      </c>
      <c r="Q552" s="10" t="s">
        <v>223</v>
      </c>
      <c r="R552" s="10" t="s">
        <v>1438</v>
      </c>
      <c r="S552" s="8" t="s">
        <v>5355</v>
      </c>
      <c r="T552" s="10" t="s">
        <v>5241</v>
      </c>
      <c r="U552" s="10" t="s">
        <v>87</v>
      </c>
      <c r="V552" s="10" t="s">
        <v>87</v>
      </c>
    </row>
    <row r="553" spans="1:22" s="10" customFormat="1" x14ac:dyDescent="0.25">
      <c r="A553" s="10" t="s">
        <v>5356</v>
      </c>
      <c r="B553" s="10" t="s">
        <v>5233</v>
      </c>
      <c r="C553" s="11" t="s">
        <v>346</v>
      </c>
      <c r="D553" s="10" t="s">
        <v>5357</v>
      </c>
      <c r="E553" s="8" t="s">
        <v>5358</v>
      </c>
      <c r="F553" s="8" t="s">
        <v>5359</v>
      </c>
      <c r="G553" s="10" t="s">
        <v>2647</v>
      </c>
      <c r="H553" s="8" t="s">
        <v>5360</v>
      </c>
      <c r="I553" s="10" t="s">
        <v>5301</v>
      </c>
      <c r="J553" s="8" t="s">
        <v>5361</v>
      </c>
      <c r="K553" s="8" t="s">
        <v>2649</v>
      </c>
      <c r="L553" s="8" t="s">
        <v>87</v>
      </c>
      <c r="M553" s="10" t="s">
        <v>1436</v>
      </c>
      <c r="N553" s="8" t="s">
        <v>87</v>
      </c>
      <c r="O553" s="10" t="s">
        <v>22</v>
      </c>
      <c r="P553" s="8" t="s">
        <v>5362</v>
      </c>
      <c r="Q553" s="10" t="s">
        <v>1447</v>
      </c>
      <c r="R553" s="10" t="s">
        <v>1438</v>
      </c>
      <c r="S553" s="8" t="s">
        <v>5363</v>
      </c>
      <c r="T553" s="10" t="s">
        <v>5241</v>
      </c>
      <c r="U553" s="10" t="s">
        <v>87</v>
      </c>
      <c r="V553" s="10" t="s">
        <v>87</v>
      </c>
    </row>
    <row r="554" spans="1:22" s="10" customFormat="1" x14ac:dyDescent="0.25">
      <c r="A554" s="10" t="s">
        <v>5364</v>
      </c>
      <c r="B554" s="10" t="s">
        <v>5233</v>
      </c>
      <c r="C554" s="10" t="s">
        <v>215</v>
      </c>
      <c r="D554" s="10" t="s">
        <v>5365</v>
      </c>
      <c r="E554" s="8" t="s">
        <v>5366</v>
      </c>
      <c r="F554" s="8" t="s">
        <v>5367</v>
      </c>
      <c r="G554" s="10" t="s">
        <v>2647</v>
      </c>
      <c r="H554" s="8" t="s">
        <v>5368</v>
      </c>
      <c r="I554" s="10" t="s">
        <v>5301</v>
      </c>
      <c r="J554" s="8" t="s">
        <v>2862</v>
      </c>
      <c r="K554" s="8" t="s">
        <v>2649</v>
      </c>
      <c r="L554" s="8" t="s">
        <v>87</v>
      </c>
      <c r="M554" s="10" t="s">
        <v>1436</v>
      </c>
      <c r="N554" s="8" t="s">
        <v>87</v>
      </c>
      <c r="O554" s="10" t="s">
        <v>22</v>
      </c>
      <c r="P554" s="8" t="s">
        <v>5369</v>
      </c>
      <c r="Q554" s="10" t="s">
        <v>239</v>
      </c>
      <c r="R554" s="10" t="s">
        <v>1438</v>
      </c>
      <c r="S554" s="8" t="s">
        <v>5370</v>
      </c>
      <c r="T554" s="10" t="s">
        <v>5241</v>
      </c>
      <c r="U554" s="10" t="s">
        <v>87</v>
      </c>
      <c r="V554" s="10" t="s">
        <v>87</v>
      </c>
    </row>
    <row r="555" spans="1:22" s="10" customFormat="1" x14ac:dyDescent="0.25">
      <c r="A555" s="10" t="s">
        <v>5371</v>
      </c>
      <c r="B555" s="10" t="s">
        <v>5233</v>
      </c>
      <c r="C555" s="10" t="s">
        <v>215</v>
      </c>
      <c r="D555" s="10" t="s">
        <v>5372</v>
      </c>
      <c r="E555" s="8" t="s">
        <v>5373</v>
      </c>
      <c r="F555" s="8" t="s">
        <v>5374</v>
      </c>
      <c r="G555" s="10" t="s">
        <v>2647</v>
      </c>
      <c r="H555" s="8" t="s">
        <v>5375</v>
      </c>
      <c r="I555" s="10" t="s">
        <v>5301</v>
      </c>
      <c r="J555" s="8" t="s">
        <v>2862</v>
      </c>
      <c r="K555" s="8" t="s">
        <v>2649</v>
      </c>
      <c r="L555" s="8" t="s">
        <v>87</v>
      </c>
      <c r="M555" s="10" t="s">
        <v>1436</v>
      </c>
      <c r="N555" s="8" t="s">
        <v>87</v>
      </c>
      <c r="O555" s="10" t="s">
        <v>22</v>
      </c>
      <c r="P555" s="8" t="s">
        <v>5376</v>
      </c>
      <c r="Q555" s="10" t="s">
        <v>223</v>
      </c>
      <c r="R555" s="10" t="s">
        <v>1438</v>
      </c>
      <c r="S555" s="8" t="s">
        <v>5377</v>
      </c>
      <c r="T555" s="10" t="s">
        <v>5241</v>
      </c>
      <c r="U555" s="10" t="s">
        <v>87</v>
      </c>
      <c r="V555" s="10" t="s">
        <v>87</v>
      </c>
    </row>
    <row r="556" spans="1:22" s="10" customFormat="1" x14ac:dyDescent="0.25">
      <c r="A556" s="10" t="s">
        <v>5378</v>
      </c>
      <c r="B556" s="10" t="s">
        <v>5233</v>
      </c>
      <c r="C556" s="10" t="s">
        <v>215</v>
      </c>
      <c r="D556" s="10" t="s">
        <v>5379</v>
      </c>
      <c r="E556" s="8" t="s">
        <v>5380</v>
      </c>
      <c r="F556" s="8" t="s">
        <v>5381</v>
      </c>
      <c r="G556" s="10" t="s">
        <v>2647</v>
      </c>
      <c r="H556" s="8" t="s">
        <v>5382</v>
      </c>
      <c r="I556" s="10" t="s">
        <v>5301</v>
      </c>
      <c r="J556" s="8" t="s">
        <v>2862</v>
      </c>
      <c r="K556" s="8" t="s">
        <v>2649</v>
      </c>
      <c r="L556" s="8" t="s">
        <v>87</v>
      </c>
      <c r="M556" s="10" t="s">
        <v>1436</v>
      </c>
      <c r="N556" s="8" t="s">
        <v>87</v>
      </c>
      <c r="O556" s="10" t="s">
        <v>22</v>
      </c>
      <c r="P556" s="8" t="s">
        <v>5383</v>
      </c>
      <c r="Q556" s="10" t="s">
        <v>223</v>
      </c>
      <c r="R556" s="10" t="s">
        <v>1438</v>
      </c>
      <c r="S556" s="8" t="s">
        <v>5384</v>
      </c>
      <c r="T556" s="10" t="s">
        <v>5241</v>
      </c>
      <c r="U556" s="10" t="s">
        <v>87</v>
      </c>
      <c r="V556" s="10" t="s">
        <v>87</v>
      </c>
    </row>
    <row r="557" spans="1:22" s="10" customFormat="1" x14ac:dyDescent="0.25">
      <c r="A557" s="10" t="s">
        <v>5385</v>
      </c>
      <c r="B557" s="10" t="s">
        <v>5233</v>
      </c>
      <c r="C557" s="10" t="s">
        <v>215</v>
      </c>
      <c r="D557" s="10" t="s">
        <v>5386</v>
      </c>
      <c r="E557" s="8" t="s">
        <v>5387</v>
      </c>
      <c r="F557" s="8" t="s">
        <v>5388</v>
      </c>
      <c r="G557" s="10" t="s">
        <v>2647</v>
      </c>
      <c r="H557" s="8" t="s">
        <v>3813</v>
      </c>
      <c r="I557" s="10" t="s">
        <v>5389</v>
      </c>
      <c r="J557" s="8" t="s">
        <v>2862</v>
      </c>
      <c r="K557" s="8" t="s">
        <v>2649</v>
      </c>
      <c r="L557" s="8" t="s">
        <v>87</v>
      </c>
      <c r="M557" s="10" t="s">
        <v>1436</v>
      </c>
      <c r="N557" s="8" t="s">
        <v>87</v>
      </c>
      <c r="O557" s="10" t="s">
        <v>22</v>
      </c>
      <c r="P557" s="8" t="s">
        <v>5390</v>
      </c>
      <c r="Q557" s="10" t="s">
        <v>1447</v>
      </c>
      <c r="R557" s="10" t="s">
        <v>1438</v>
      </c>
      <c r="S557" s="8" t="s">
        <v>5391</v>
      </c>
      <c r="T557" s="10" t="s">
        <v>5241</v>
      </c>
      <c r="U557" s="10" t="s">
        <v>87</v>
      </c>
      <c r="V557" s="10" t="s">
        <v>87</v>
      </c>
    </row>
    <row r="558" spans="1:22" s="10" customFormat="1" x14ac:dyDescent="0.25">
      <c r="A558" s="10" t="s">
        <v>5392</v>
      </c>
      <c r="B558" s="10" t="s">
        <v>5233</v>
      </c>
      <c r="C558" s="10" t="s">
        <v>384</v>
      </c>
      <c r="D558" s="10" t="s">
        <v>5393</v>
      </c>
      <c r="E558" s="8" t="s">
        <v>5394</v>
      </c>
      <c r="F558" s="8" t="s">
        <v>5395</v>
      </c>
      <c r="G558" s="10" t="s">
        <v>2647</v>
      </c>
      <c r="H558" s="8" t="s">
        <v>5396</v>
      </c>
      <c r="I558" s="10" t="s">
        <v>919</v>
      </c>
      <c r="J558" s="8" t="s">
        <v>2862</v>
      </c>
      <c r="K558" s="8" t="s">
        <v>2649</v>
      </c>
      <c r="L558" s="8" t="s">
        <v>87</v>
      </c>
      <c r="M558" s="10" t="s">
        <v>1436</v>
      </c>
      <c r="N558" s="8" t="s">
        <v>87</v>
      </c>
      <c r="O558" s="10" t="s">
        <v>22</v>
      </c>
      <c r="P558" s="8" t="s">
        <v>5397</v>
      </c>
      <c r="Q558" s="10" t="s">
        <v>223</v>
      </c>
      <c r="R558" s="10" t="s">
        <v>1438</v>
      </c>
      <c r="S558" s="8" t="s">
        <v>2492</v>
      </c>
      <c r="T558" s="10" t="s">
        <v>5241</v>
      </c>
      <c r="U558" s="10" t="s">
        <v>87</v>
      </c>
      <c r="V558" s="10" t="s">
        <v>87</v>
      </c>
    </row>
    <row r="559" spans="1:22" s="10" customFormat="1" x14ac:dyDescent="0.25">
      <c r="A559" s="10" t="s">
        <v>5398</v>
      </c>
      <c r="B559" s="10" t="s">
        <v>5233</v>
      </c>
      <c r="C559" s="11" t="s">
        <v>346</v>
      </c>
      <c r="D559" s="10" t="s">
        <v>5399</v>
      </c>
      <c r="E559" s="8" t="s">
        <v>5400</v>
      </c>
      <c r="F559" s="8" t="s">
        <v>5401</v>
      </c>
      <c r="G559" s="10" t="s">
        <v>2647</v>
      </c>
      <c r="H559" s="8" t="s">
        <v>5402</v>
      </c>
      <c r="I559" s="10" t="s">
        <v>5403</v>
      </c>
      <c r="J559" s="8" t="s">
        <v>5404</v>
      </c>
      <c r="K559" s="8" t="s">
        <v>2649</v>
      </c>
      <c r="L559" s="8" t="s">
        <v>87</v>
      </c>
      <c r="M559" s="10" t="s">
        <v>1436</v>
      </c>
      <c r="N559" s="8" t="s">
        <v>87</v>
      </c>
      <c r="O559" s="10" t="s">
        <v>22</v>
      </c>
      <c r="P559" s="8" t="s">
        <v>5405</v>
      </c>
      <c r="Q559" s="10" t="s">
        <v>1447</v>
      </c>
      <c r="R559" s="10" t="s">
        <v>1438</v>
      </c>
      <c r="S559" s="8" t="s">
        <v>5406</v>
      </c>
      <c r="T559" s="10" t="s">
        <v>5241</v>
      </c>
      <c r="U559" s="10" t="s">
        <v>87</v>
      </c>
      <c r="V559" s="10" t="s">
        <v>87</v>
      </c>
    </row>
    <row r="560" spans="1:22" s="10" customFormat="1" x14ac:dyDescent="0.25">
      <c r="A560" s="10" t="s">
        <v>5407</v>
      </c>
      <c r="B560" s="10" t="s">
        <v>5233</v>
      </c>
      <c r="C560" s="11" t="s">
        <v>346</v>
      </c>
      <c r="D560" s="10" t="s">
        <v>5408</v>
      </c>
      <c r="E560" s="8" t="s">
        <v>5409</v>
      </c>
      <c r="F560" s="8" t="s">
        <v>5410</v>
      </c>
      <c r="G560" s="10" t="s">
        <v>2647</v>
      </c>
      <c r="H560" s="8" t="s">
        <v>5411</v>
      </c>
      <c r="I560" s="10" t="s">
        <v>5403</v>
      </c>
      <c r="J560" s="8" t="s">
        <v>2862</v>
      </c>
      <c r="K560" s="8" t="s">
        <v>2649</v>
      </c>
      <c r="L560" s="8" t="s">
        <v>87</v>
      </c>
      <c r="M560" s="10" t="s">
        <v>1436</v>
      </c>
      <c r="N560" s="8" t="s">
        <v>87</v>
      </c>
      <c r="O560" s="10" t="s">
        <v>22</v>
      </c>
      <c r="P560" s="8" t="s">
        <v>5412</v>
      </c>
      <c r="Q560" s="10" t="s">
        <v>239</v>
      </c>
      <c r="R560" s="10" t="s">
        <v>1438</v>
      </c>
      <c r="S560" s="8" t="s">
        <v>5413</v>
      </c>
      <c r="T560" s="10" t="s">
        <v>5241</v>
      </c>
      <c r="U560" s="10" t="s">
        <v>87</v>
      </c>
      <c r="V560" s="10" t="s">
        <v>87</v>
      </c>
    </row>
    <row r="561" spans="1:22" s="10" customFormat="1" x14ac:dyDescent="0.25">
      <c r="A561" s="10" t="s">
        <v>5414</v>
      </c>
      <c r="B561" s="10" t="s">
        <v>5233</v>
      </c>
      <c r="C561" s="10" t="s">
        <v>215</v>
      </c>
      <c r="D561" s="10" t="s">
        <v>5415</v>
      </c>
      <c r="E561" s="8" t="s">
        <v>5416</v>
      </c>
      <c r="F561" s="8" t="s">
        <v>5417</v>
      </c>
      <c r="G561" s="10" t="s">
        <v>2647</v>
      </c>
      <c r="H561" s="8" t="s">
        <v>5418</v>
      </c>
      <c r="I561" s="10" t="s">
        <v>5301</v>
      </c>
      <c r="J561" s="8" t="s">
        <v>2862</v>
      </c>
      <c r="K561" s="8" t="s">
        <v>2649</v>
      </c>
      <c r="L561" s="8" t="s">
        <v>87</v>
      </c>
      <c r="M561" s="10" t="s">
        <v>1436</v>
      </c>
      <c r="N561" s="8" t="s">
        <v>87</v>
      </c>
      <c r="O561" s="10" t="s">
        <v>22</v>
      </c>
      <c r="P561" s="8" t="s">
        <v>5419</v>
      </c>
      <c r="Q561" s="10" t="s">
        <v>223</v>
      </c>
      <c r="R561" s="10" t="s">
        <v>1438</v>
      </c>
      <c r="S561" s="8" t="s">
        <v>5420</v>
      </c>
      <c r="T561" s="10" t="s">
        <v>5241</v>
      </c>
      <c r="U561" s="10" t="s">
        <v>87</v>
      </c>
      <c r="V561" s="10" t="s">
        <v>87</v>
      </c>
    </row>
    <row r="562" spans="1:22" s="10" customFormat="1" x14ac:dyDescent="0.25">
      <c r="A562" s="10" t="s">
        <v>5421</v>
      </c>
      <c r="B562" s="10" t="s">
        <v>5233</v>
      </c>
      <c r="C562" s="10" t="s">
        <v>215</v>
      </c>
      <c r="D562" s="10" t="s">
        <v>5422</v>
      </c>
      <c r="E562" s="8" t="s">
        <v>5423</v>
      </c>
      <c r="F562" s="8" t="s">
        <v>5424</v>
      </c>
      <c r="G562" s="10" t="s">
        <v>2647</v>
      </c>
      <c r="H562" s="8" t="s">
        <v>5402</v>
      </c>
      <c r="I562" s="10" t="s">
        <v>5425</v>
      </c>
      <c r="J562" s="8" t="s">
        <v>2862</v>
      </c>
      <c r="K562" s="8" t="s">
        <v>2649</v>
      </c>
      <c r="L562" s="8" t="s">
        <v>87</v>
      </c>
      <c r="M562" s="10" t="s">
        <v>1436</v>
      </c>
      <c r="N562" s="8" t="s">
        <v>87</v>
      </c>
      <c r="O562" s="10" t="s">
        <v>22</v>
      </c>
      <c r="P562" s="8" t="s">
        <v>5426</v>
      </c>
      <c r="Q562" s="10" t="s">
        <v>223</v>
      </c>
      <c r="R562" s="10" t="s">
        <v>1438</v>
      </c>
      <c r="S562" s="8" t="s">
        <v>5427</v>
      </c>
      <c r="T562" s="10" t="s">
        <v>5241</v>
      </c>
      <c r="U562" s="10" t="s">
        <v>87</v>
      </c>
      <c r="V562" s="10" t="s">
        <v>87</v>
      </c>
    </row>
    <row r="563" spans="1:22" s="10" customFormat="1" x14ac:dyDescent="0.25">
      <c r="A563" s="10" t="s">
        <v>5428</v>
      </c>
      <c r="B563" s="10" t="s">
        <v>5233</v>
      </c>
      <c r="C563" s="11" t="s">
        <v>346</v>
      </c>
      <c r="D563" s="10" t="s">
        <v>5429</v>
      </c>
      <c r="E563" s="8" t="s">
        <v>5430</v>
      </c>
      <c r="F563" s="8" t="s">
        <v>5431</v>
      </c>
      <c r="G563" s="10" t="s">
        <v>2647</v>
      </c>
      <c r="H563" s="8" t="s">
        <v>5402</v>
      </c>
      <c r="I563" s="10" t="s">
        <v>5295</v>
      </c>
      <c r="J563" s="8" t="s">
        <v>2862</v>
      </c>
      <c r="K563" s="8" t="s">
        <v>2649</v>
      </c>
      <c r="L563" s="8" t="s">
        <v>87</v>
      </c>
      <c r="M563" s="10" t="s">
        <v>1436</v>
      </c>
      <c r="N563" s="8" t="s">
        <v>87</v>
      </c>
      <c r="O563" s="10" t="s">
        <v>22</v>
      </c>
      <c r="P563" s="8" t="s">
        <v>5432</v>
      </c>
      <c r="Q563" s="10" t="s">
        <v>223</v>
      </c>
      <c r="R563" s="10" t="s">
        <v>1438</v>
      </c>
      <c r="S563" s="8" t="s">
        <v>5433</v>
      </c>
      <c r="T563" s="10" t="s">
        <v>5241</v>
      </c>
      <c r="U563" s="10" t="s">
        <v>87</v>
      </c>
      <c r="V563" s="10" t="s">
        <v>87</v>
      </c>
    </row>
    <row r="564" spans="1:22" s="10" customFormat="1" x14ac:dyDescent="0.25">
      <c r="A564" s="10" t="s">
        <v>5434</v>
      </c>
      <c r="B564" s="10" t="s">
        <v>5233</v>
      </c>
      <c r="C564" s="11" t="s">
        <v>346</v>
      </c>
      <c r="D564" s="10" t="s">
        <v>5435</v>
      </c>
      <c r="E564" s="8" t="s">
        <v>5436</v>
      </c>
      <c r="F564" s="8" t="s">
        <v>5437</v>
      </c>
      <c r="G564" s="10" t="s">
        <v>2647</v>
      </c>
      <c r="H564" s="8" t="s">
        <v>1653</v>
      </c>
      <c r="I564" s="10" t="s">
        <v>5438</v>
      </c>
      <c r="J564" s="8" t="s">
        <v>1655</v>
      </c>
      <c r="K564" s="8" t="s">
        <v>2649</v>
      </c>
      <c r="L564" s="8" t="s">
        <v>87</v>
      </c>
      <c r="M564" s="10" t="s">
        <v>1436</v>
      </c>
      <c r="N564" s="8" t="s">
        <v>87</v>
      </c>
      <c r="O564" s="10" t="s">
        <v>22</v>
      </c>
      <c r="P564" s="8" t="s">
        <v>5439</v>
      </c>
      <c r="Q564" s="10" t="s">
        <v>1447</v>
      </c>
      <c r="R564" s="10" t="s">
        <v>1657</v>
      </c>
      <c r="S564" s="8" t="s">
        <v>5440</v>
      </c>
      <c r="T564" s="10" t="s">
        <v>5241</v>
      </c>
      <c r="U564" s="10" t="s">
        <v>87</v>
      </c>
      <c r="V564" s="10" t="s">
        <v>87</v>
      </c>
    </row>
    <row r="565" spans="1:22" s="10" customFormat="1" x14ac:dyDescent="0.25">
      <c r="A565" s="10" t="s">
        <v>5441</v>
      </c>
      <c r="B565" s="10" t="s">
        <v>5233</v>
      </c>
      <c r="C565" s="11" t="s">
        <v>346</v>
      </c>
      <c r="D565" s="10" t="s">
        <v>5442</v>
      </c>
      <c r="E565" s="8" t="s">
        <v>5443</v>
      </c>
      <c r="F565" s="8" t="s">
        <v>1662</v>
      </c>
      <c r="G565" s="10" t="s">
        <v>2647</v>
      </c>
      <c r="H565" s="8" t="s">
        <v>2185</v>
      </c>
      <c r="I565" s="10" t="s">
        <v>5301</v>
      </c>
      <c r="J565" s="8" t="s">
        <v>1664</v>
      </c>
      <c r="K565" s="8" t="s">
        <v>2649</v>
      </c>
      <c r="L565" s="8" t="s">
        <v>87</v>
      </c>
      <c r="M565" s="10" t="s">
        <v>1436</v>
      </c>
      <c r="N565" s="8" t="s">
        <v>87</v>
      </c>
      <c r="O565" s="10" t="s">
        <v>22</v>
      </c>
      <c r="P565" s="8" t="s">
        <v>5444</v>
      </c>
      <c r="Q565" s="10" t="s">
        <v>825</v>
      </c>
      <c r="R565" s="10" t="s">
        <v>2188</v>
      </c>
      <c r="S565" s="8" t="s">
        <v>1669</v>
      </c>
      <c r="T565" s="10" t="s">
        <v>5241</v>
      </c>
      <c r="U565" s="10" t="s">
        <v>87</v>
      </c>
      <c r="V565" s="10" t="s">
        <v>87</v>
      </c>
    </row>
    <row r="566" spans="1:22" s="10" customFormat="1" x14ac:dyDescent="0.25">
      <c r="A566" s="10" t="s">
        <v>5445</v>
      </c>
      <c r="B566" s="10" t="s">
        <v>5233</v>
      </c>
      <c r="C566" s="10" t="s">
        <v>215</v>
      </c>
      <c r="D566" s="10" t="s">
        <v>5446</v>
      </c>
      <c r="E566" s="8" t="s">
        <v>5447</v>
      </c>
      <c r="F566" s="8" t="s">
        <v>5448</v>
      </c>
      <c r="G566" s="10" t="s">
        <v>2647</v>
      </c>
      <c r="H566" s="8" t="s">
        <v>5449</v>
      </c>
      <c r="I566" s="10" t="s">
        <v>919</v>
      </c>
      <c r="J566" s="8" t="s">
        <v>2862</v>
      </c>
      <c r="K566" s="8" t="s">
        <v>2649</v>
      </c>
      <c r="L566" s="8" t="s">
        <v>87</v>
      </c>
      <c r="M566" s="10" t="s">
        <v>1436</v>
      </c>
      <c r="N566" s="8" t="s">
        <v>87</v>
      </c>
      <c r="O566" s="10" t="s">
        <v>22</v>
      </c>
      <c r="P566" s="8" t="s">
        <v>5450</v>
      </c>
      <c r="Q566" s="10" t="s">
        <v>223</v>
      </c>
      <c r="R566" s="10" t="s">
        <v>1438</v>
      </c>
      <c r="S566" s="8" t="s">
        <v>1648</v>
      </c>
      <c r="T566" s="10" t="s">
        <v>5241</v>
      </c>
      <c r="U566" s="10" t="s">
        <v>87</v>
      </c>
      <c r="V566" s="10" t="s">
        <v>87</v>
      </c>
    </row>
    <row r="567" spans="1:22" s="10" customFormat="1" x14ac:dyDescent="0.25">
      <c r="A567" s="10" t="s">
        <v>5451</v>
      </c>
      <c r="B567" s="10" t="s">
        <v>5233</v>
      </c>
      <c r="C567" s="10" t="s">
        <v>215</v>
      </c>
      <c r="D567" s="10" t="s">
        <v>5452</v>
      </c>
      <c r="E567" s="8" t="s">
        <v>5453</v>
      </c>
      <c r="F567" s="8" t="s">
        <v>5454</v>
      </c>
      <c r="G567" s="10" t="s">
        <v>3</v>
      </c>
      <c r="H567" s="8" t="s">
        <v>5455</v>
      </c>
      <c r="I567" s="10" t="s">
        <v>5456</v>
      </c>
      <c r="J567" s="8" t="s">
        <v>2862</v>
      </c>
      <c r="K567" s="8" t="s">
        <v>1435</v>
      </c>
      <c r="L567" s="8" t="s">
        <v>87</v>
      </c>
      <c r="M567" s="10" t="s">
        <v>1436</v>
      </c>
      <c r="N567" s="8" t="s">
        <v>87</v>
      </c>
      <c r="O567" s="10" t="s">
        <v>22</v>
      </c>
      <c r="P567" s="8" t="s">
        <v>5457</v>
      </c>
      <c r="Q567" s="10" t="s">
        <v>223</v>
      </c>
      <c r="R567" s="10" t="s">
        <v>1438</v>
      </c>
      <c r="S567" s="8" t="s">
        <v>5458</v>
      </c>
      <c r="T567" s="10" t="s">
        <v>5241</v>
      </c>
      <c r="U567" s="10" t="s">
        <v>87</v>
      </c>
      <c r="V567" s="10" t="s">
        <v>87</v>
      </c>
    </row>
    <row r="568" spans="1:22" s="10" customFormat="1" x14ac:dyDescent="0.25">
      <c r="A568" s="10" t="s">
        <v>5459</v>
      </c>
      <c r="B568" s="10" t="s">
        <v>5233</v>
      </c>
      <c r="C568" s="11" t="s">
        <v>346</v>
      </c>
      <c r="D568" s="10" t="s">
        <v>5460</v>
      </c>
      <c r="E568" s="8" t="s">
        <v>5461</v>
      </c>
      <c r="F568" s="8" t="s">
        <v>5462</v>
      </c>
      <c r="G568" s="10" t="s">
        <v>4</v>
      </c>
      <c r="H568" s="8" t="s">
        <v>5463</v>
      </c>
      <c r="I568" s="10" t="s">
        <v>5464</v>
      </c>
      <c r="J568" s="8" t="s">
        <v>2862</v>
      </c>
      <c r="K568" s="8" t="s">
        <v>1873</v>
      </c>
      <c r="L568" s="8" t="s">
        <v>87</v>
      </c>
      <c r="M568" s="10" t="s">
        <v>1456</v>
      </c>
      <c r="N568" s="8" t="s">
        <v>87</v>
      </c>
      <c r="O568" s="10" t="s">
        <v>22</v>
      </c>
      <c r="P568" s="8" t="s">
        <v>5465</v>
      </c>
      <c r="Q568" s="10" t="s">
        <v>223</v>
      </c>
      <c r="R568" s="10" t="s">
        <v>1438</v>
      </c>
      <c r="S568" s="8" t="s">
        <v>5466</v>
      </c>
      <c r="T568" s="10" t="s">
        <v>5241</v>
      </c>
      <c r="U568" s="10" t="s">
        <v>87</v>
      </c>
      <c r="V568" s="10" t="s">
        <v>87</v>
      </c>
    </row>
    <row r="569" spans="1:22" s="10" customFormat="1" x14ac:dyDescent="0.25">
      <c r="A569" s="10" t="s">
        <v>5467</v>
      </c>
      <c r="B569" s="10" t="s">
        <v>5233</v>
      </c>
      <c r="C569" s="11" t="s">
        <v>346</v>
      </c>
      <c r="D569" s="10" t="s">
        <v>5468</v>
      </c>
      <c r="E569" s="8" t="s">
        <v>5469</v>
      </c>
      <c r="F569" s="8" t="s">
        <v>5470</v>
      </c>
      <c r="G569" s="10" t="s">
        <v>4</v>
      </c>
      <c r="H569" s="8" t="s">
        <v>5471</v>
      </c>
      <c r="I569" s="10" t="s">
        <v>5472</v>
      </c>
      <c r="J569" s="8" t="s">
        <v>2862</v>
      </c>
      <c r="K569" s="8" t="s">
        <v>1873</v>
      </c>
      <c r="L569" s="8" t="s">
        <v>87</v>
      </c>
      <c r="M569" s="10" t="s">
        <v>1456</v>
      </c>
      <c r="N569" s="8" t="s">
        <v>87</v>
      </c>
      <c r="O569" s="10" t="s">
        <v>22</v>
      </c>
      <c r="P569" s="8" t="s">
        <v>5473</v>
      </c>
      <c r="Q569" s="10" t="s">
        <v>1447</v>
      </c>
      <c r="R569" s="10" t="s">
        <v>1438</v>
      </c>
      <c r="S569" s="8" t="s">
        <v>5474</v>
      </c>
      <c r="T569" s="10" t="s">
        <v>5241</v>
      </c>
      <c r="U569" s="10" t="s">
        <v>87</v>
      </c>
      <c r="V569" s="10" t="s">
        <v>87</v>
      </c>
    </row>
    <row r="570" spans="1:22" s="10" customFormat="1" x14ac:dyDescent="0.25">
      <c r="A570" s="10" t="s">
        <v>5475</v>
      </c>
      <c r="B570" s="10" t="s">
        <v>5233</v>
      </c>
      <c r="C570" s="10" t="s">
        <v>215</v>
      </c>
      <c r="D570" s="10" t="s">
        <v>5476</v>
      </c>
      <c r="E570" s="8" t="s">
        <v>5477</v>
      </c>
      <c r="F570" s="8" t="s">
        <v>5478</v>
      </c>
      <c r="G570" s="10" t="s">
        <v>4</v>
      </c>
      <c r="H570" s="8" t="s">
        <v>5479</v>
      </c>
      <c r="I570" s="10" t="s">
        <v>1983</v>
      </c>
      <c r="J570" s="8" t="s">
        <v>2862</v>
      </c>
      <c r="K570" s="8" t="s">
        <v>1873</v>
      </c>
      <c r="L570" s="8" t="s">
        <v>87</v>
      </c>
      <c r="M570" s="10" t="s">
        <v>1456</v>
      </c>
      <c r="N570" s="8" t="s">
        <v>87</v>
      </c>
      <c r="O570" s="10" t="s">
        <v>22</v>
      </c>
      <c r="P570" s="8" t="s">
        <v>5480</v>
      </c>
      <c r="Q570" s="10" t="s">
        <v>223</v>
      </c>
      <c r="R570" s="10" t="s">
        <v>1438</v>
      </c>
      <c r="S570" s="8" t="s">
        <v>5481</v>
      </c>
      <c r="T570" s="10" t="s">
        <v>5241</v>
      </c>
      <c r="U570" s="10" t="s">
        <v>87</v>
      </c>
      <c r="V570" s="10" t="s">
        <v>87</v>
      </c>
    </row>
    <row r="571" spans="1:22" s="10" customFormat="1" x14ac:dyDescent="0.25">
      <c r="A571" s="10" t="s">
        <v>5482</v>
      </c>
      <c r="B571" s="10" t="s">
        <v>5233</v>
      </c>
      <c r="C571" s="10" t="s">
        <v>215</v>
      </c>
      <c r="D571" s="10" t="s">
        <v>5483</v>
      </c>
      <c r="E571" s="8" t="s">
        <v>5484</v>
      </c>
      <c r="F571" s="8" t="s">
        <v>5485</v>
      </c>
      <c r="G571" s="10" t="s">
        <v>4</v>
      </c>
      <c r="H571" s="8" t="s">
        <v>5486</v>
      </c>
      <c r="I571" s="10" t="s">
        <v>1983</v>
      </c>
      <c r="J571" s="8" t="s">
        <v>2862</v>
      </c>
      <c r="K571" s="8" t="s">
        <v>1873</v>
      </c>
      <c r="L571" s="8" t="s">
        <v>87</v>
      </c>
      <c r="M571" s="10" t="s">
        <v>1456</v>
      </c>
      <c r="N571" s="8" t="s">
        <v>87</v>
      </c>
      <c r="O571" s="10" t="s">
        <v>22</v>
      </c>
      <c r="P571" s="8" t="s">
        <v>5487</v>
      </c>
      <c r="Q571" s="10" t="s">
        <v>223</v>
      </c>
      <c r="R571" s="10" t="s">
        <v>1438</v>
      </c>
      <c r="S571" s="8" t="s">
        <v>5488</v>
      </c>
      <c r="T571" s="10" t="s">
        <v>5241</v>
      </c>
      <c r="U571" s="10" t="s">
        <v>87</v>
      </c>
      <c r="V571" s="10" t="s">
        <v>87</v>
      </c>
    </row>
    <row r="572" spans="1:22" s="10" customFormat="1" x14ac:dyDescent="0.25">
      <c r="A572" s="10" t="s">
        <v>5489</v>
      </c>
      <c r="B572" s="10" t="s">
        <v>5233</v>
      </c>
      <c r="C572" s="11" t="s">
        <v>346</v>
      </c>
      <c r="D572" s="10" t="s">
        <v>5490</v>
      </c>
      <c r="E572" s="8" t="s">
        <v>5491</v>
      </c>
      <c r="F572" s="8" t="s">
        <v>5492</v>
      </c>
      <c r="G572" s="10" t="s">
        <v>4</v>
      </c>
      <c r="H572" s="8" t="s">
        <v>5493</v>
      </c>
      <c r="I572" s="10" t="s">
        <v>1983</v>
      </c>
      <c r="J572" s="8" t="s">
        <v>2862</v>
      </c>
      <c r="K572" s="8" t="s">
        <v>1873</v>
      </c>
      <c r="L572" s="8" t="s">
        <v>87</v>
      </c>
      <c r="M572" s="10" t="s">
        <v>1456</v>
      </c>
      <c r="N572" s="8" t="s">
        <v>87</v>
      </c>
      <c r="O572" s="10" t="s">
        <v>22</v>
      </c>
      <c r="P572" s="8" t="s">
        <v>5494</v>
      </c>
      <c r="Q572" s="10" t="s">
        <v>223</v>
      </c>
      <c r="R572" s="10" t="s">
        <v>1438</v>
      </c>
      <c r="S572" s="8" t="s">
        <v>5495</v>
      </c>
      <c r="T572" s="10" t="s">
        <v>5241</v>
      </c>
      <c r="U572" s="10" t="s">
        <v>87</v>
      </c>
      <c r="V572" s="10" t="s">
        <v>87</v>
      </c>
    </row>
    <row r="573" spans="1:22" s="10" customFormat="1" x14ac:dyDescent="0.25">
      <c r="A573" s="10" t="s">
        <v>5496</v>
      </c>
      <c r="B573" s="10" t="s">
        <v>5233</v>
      </c>
      <c r="C573" s="11" t="s">
        <v>346</v>
      </c>
      <c r="D573" s="10" t="s">
        <v>5497</v>
      </c>
      <c r="E573" s="8" t="s">
        <v>5498</v>
      </c>
      <c r="F573" s="8" t="s">
        <v>5499</v>
      </c>
      <c r="G573" s="10" t="s">
        <v>4</v>
      </c>
      <c r="H573" s="8" t="s">
        <v>5500</v>
      </c>
      <c r="I573" s="10" t="s">
        <v>1983</v>
      </c>
      <c r="J573" s="8" t="s">
        <v>2862</v>
      </c>
      <c r="K573" s="8" t="s">
        <v>1873</v>
      </c>
      <c r="L573" s="8" t="s">
        <v>87</v>
      </c>
      <c r="M573" s="10" t="s">
        <v>1456</v>
      </c>
      <c r="N573" s="8" t="s">
        <v>87</v>
      </c>
      <c r="O573" s="10" t="s">
        <v>22</v>
      </c>
      <c r="P573" s="8" t="s">
        <v>5501</v>
      </c>
      <c r="Q573" s="10" t="s">
        <v>223</v>
      </c>
      <c r="R573" s="10" t="s">
        <v>1438</v>
      </c>
      <c r="S573" s="8" t="s">
        <v>5502</v>
      </c>
      <c r="T573" s="10" t="s">
        <v>5241</v>
      </c>
      <c r="U573" s="10" t="s">
        <v>87</v>
      </c>
      <c r="V573" s="10" t="s">
        <v>87</v>
      </c>
    </row>
    <row r="574" spans="1:22" s="10" customFormat="1" x14ac:dyDescent="0.25">
      <c r="A574" s="10" t="s">
        <v>5503</v>
      </c>
      <c r="B574" s="10" t="s">
        <v>5233</v>
      </c>
      <c r="C574" s="11" t="s">
        <v>346</v>
      </c>
      <c r="D574" s="10" t="s">
        <v>5504</v>
      </c>
      <c r="E574" s="8" t="s">
        <v>5505</v>
      </c>
      <c r="F574" s="8" t="s">
        <v>5506</v>
      </c>
      <c r="G574" s="10" t="s">
        <v>4</v>
      </c>
      <c r="H574" s="8" t="s">
        <v>5507</v>
      </c>
      <c r="I574" s="10" t="s">
        <v>1983</v>
      </c>
      <c r="J574" s="8" t="s">
        <v>5508</v>
      </c>
      <c r="K574" s="8" t="s">
        <v>1873</v>
      </c>
      <c r="L574" s="8" t="s">
        <v>87</v>
      </c>
      <c r="M574" s="10" t="s">
        <v>1456</v>
      </c>
      <c r="N574" s="8" t="s">
        <v>87</v>
      </c>
      <c r="O574" s="10" t="s">
        <v>22</v>
      </c>
      <c r="P574" s="8" t="s">
        <v>5509</v>
      </c>
      <c r="Q574" s="10" t="s">
        <v>1447</v>
      </c>
      <c r="R574" s="10" t="s">
        <v>1438</v>
      </c>
      <c r="S574" s="8" t="s">
        <v>5510</v>
      </c>
      <c r="T574" s="10" t="s">
        <v>5241</v>
      </c>
      <c r="U574" s="10" t="s">
        <v>87</v>
      </c>
      <c r="V574" s="10" t="s">
        <v>87</v>
      </c>
    </row>
    <row r="575" spans="1:22" s="10" customFormat="1" x14ac:dyDescent="0.25">
      <c r="A575" s="10" t="s">
        <v>5511</v>
      </c>
      <c r="B575" s="10" t="s">
        <v>5233</v>
      </c>
      <c r="C575" s="10" t="s">
        <v>215</v>
      </c>
      <c r="D575" s="10" t="s">
        <v>5512</v>
      </c>
      <c r="E575" s="8" t="s">
        <v>5513</v>
      </c>
      <c r="F575" s="8" t="s">
        <v>5514</v>
      </c>
      <c r="G575" s="10" t="s">
        <v>4</v>
      </c>
      <c r="H575" s="8" t="s">
        <v>5515</v>
      </c>
      <c r="I575" s="10" t="s">
        <v>1556</v>
      </c>
      <c r="J575" s="8" t="s">
        <v>2862</v>
      </c>
      <c r="K575" s="8" t="s">
        <v>1873</v>
      </c>
      <c r="L575" s="8" t="s">
        <v>87</v>
      </c>
      <c r="M575" s="10" t="s">
        <v>1456</v>
      </c>
      <c r="N575" s="8" t="s">
        <v>87</v>
      </c>
      <c r="O575" s="10" t="s">
        <v>22</v>
      </c>
      <c r="P575" s="8" t="s">
        <v>5516</v>
      </c>
      <c r="Q575" s="10" t="s">
        <v>239</v>
      </c>
      <c r="R575" s="10" t="s">
        <v>1438</v>
      </c>
      <c r="S575" s="8" t="s">
        <v>5517</v>
      </c>
      <c r="T575" s="10" t="s">
        <v>5241</v>
      </c>
      <c r="U575" s="10" t="s">
        <v>87</v>
      </c>
      <c r="V575" s="10" t="s">
        <v>87</v>
      </c>
    </row>
    <row r="576" spans="1:22" s="10" customFormat="1" x14ac:dyDescent="0.25">
      <c r="A576" s="10" t="s">
        <v>5518</v>
      </c>
      <c r="B576" s="10" t="s">
        <v>5233</v>
      </c>
      <c r="C576" s="11" t="s">
        <v>346</v>
      </c>
      <c r="D576" s="10" t="s">
        <v>5519</v>
      </c>
      <c r="E576" s="8" t="s">
        <v>5520</v>
      </c>
      <c r="F576" s="8" t="s">
        <v>5521</v>
      </c>
      <c r="G576" s="10" t="s">
        <v>4</v>
      </c>
      <c r="H576" s="8" t="s">
        <v>5522</v>
      </c>
      <c r="I576" s="10" t="s">
        <v>5464</v>
      </c>
      <c r="J576" s="8" t="s">
        <v>2862</v>
      </c>
      <c r="K576" s="8" t="s">
        <v>1873</v>
      </c>
      <c r="L576" s="8" t="s">
        <v>87</v>
      </c>
      <c r="M576" s="10" t="s">
        <v>1456</v>
      </c>
      <c r="N576" s="8" t="s">
        <v>87</v>
      </c>
      <c r="O576" s="10" t="s">
        <v>22</v>
      </c>
      <c r="P576" s="8" t="s">
        <v>5523</v>
      </c>
      <c r="Q576" s="10" t="s">
        <v>239</v>
      </c>
      <c r="R576" s="10" t="s">
        <v>1438</v>
      </c>
      <c r="S576" s="8" t="s">
        <v>5524</v>
      </c>
      <c r="T576" s="10" t="s">
        <v>5241</v>
      </c>
      <c r="U576" s="10" t="s">
        <v>87</v>
      </c>
      <c r="V576" s="10" t="s">
        <v>87</v>
      </c>
    </row>
    <row r="577" spans="1:22" s="10" customFormat="1" x14ac:dyDescent="0.25">
      <c r="A577" s="10" t="s">
        <v>5525</v>
      </c>
      <c r="B577" s="10" t="s">
        <v>5233</v>
      </c>
      <c r="C577" s="11" t="s">
        <v>346</v>
      </c>
      <c r="D577" s="10" t="s">
        <v>5526</v>
      </c>
      <c r="E577" s="8" t="s">
        <v>5527</v>
      </c>
      <c r="F577" s="8" t="s">
        <v>5528</v>
      </c>
      <c r="G577" s="10" t="s">
        <v>4</v>
      </c>
      <c r="H577" s="8" t="s">
        <v>5529</v>
      </c>
      <c r="I577" s="10" t="s">
        <v>5464</v>
      </c>
      <c r="J577" s="8" t="s">
        <v>5530</v>
      </c>
      <c r="K577" s="8" t="s">
        <v>1873</v>
      </c>
      <c r="L577" s="8" t="s">
        <v>87</v>
      </c>
      <c r="M577" s="10" t="s">
        <v>1456</v>
      </c>
      <c r="N577" s="8" t="s">
        <v>87</v>
      </c>
      <c r="O577" s="10" t="s">
        <v>22</v>
      </c>
      <c r="P577" s="8" t="s">
        <v>5531</v>
      </c>
      <c r="Q577" s="10" t="s">
        <v>1447</v>
      </c>
      <c r="R577" s="10" t="s">
        <v>1438</v>
      </c>
      <c r="S577" s="8" t="s">
        <v>5532</v>
      </c>
      <c r="T577" s="10" t="s">
        <v>5241</v>
      </c>
      <c r="U577" s="10" t="s">
        <v>87</v>
      </c>
      <c r="V577" s="10" t="s">
        <v>87</v>
      </c>
    </row>
    <row r="578" spans="1:22" s="10" customFormat="1" x14ac:dyDescent="0.25">
      <c r="A578" s="10" t="s">
        <v>5533</v>
      </c>
      <c r="B578" s="10" t="s">
        <v>5233</v>
      </c>
      <c r="C578" s="10" t="s">
        <v>215</v>
      </c>
      <c r="D578" s="10" t="s">
        <v>5534</v>
      </c>
      <c r="E578" s="8" t="s">
        <v>5535</v>
      </c>
      <c r="F578" s="8" t="s">
        <v>5536</v>
      </c>
      <c r="G578" s="10" t="s">
        <v>4</v>
      </c>
      <c r="H578" s="8" t="s">
        <v>5537</v>
      </c>
      <c r="I578" s="10" t="s">
        <v>5538</v>
      </c>
      <c r="J578" s="8" t="s">
        <v>2862</v>
      </c>
      <c r="K578" s="8" t="s">
        <v>1873</v>
      </c>
      <c r="L578" s="8" t="s">
        <v>87</v>
      </c>
      <c r="M578" s="10" t="s">
        <v>1456</v>
      </c>
      <c r="N578" s="8" t="s">
        <v>87</v>
      </c>
      <c r="O578" s="10" t="s">
        <v>22</v>
      </c>
      <c r="P578" s="8" t="s">
        <v>5539</v>
      </c>
      <c r="Q578" s="10" t="s">
        <v>223</v>
      </c>
      <c r="R578" s="10" t="s">
        <v>1438</v>
      </c>
      <c r="S578" s="8" t="s">
        <v>5540</v>
      </c>
      <c r="T578" s="10" t="s">
        <v>5241</v>
      </c>
      <c r="U578" s="10" t="s">
        <v>87</v>
      </c>
      <c r="V578" s="10" t="s">
        <v>87</v>
      </c>
    </row>
    <row r="579" spans="1:22" s="10" customFormat="1" x14ac:dyDescent="0.25">
      <c r="A579" s="10" t="s">
        <v>5541</v>
      </c>
      <c r="B579" s="10" t="s">
        <v>5233</v>
      </c>
      <c r="C579" s="10" t="s">
        <v>215</v>
      </c>
      <c r="D579" s="10" t="s">
        <v>5542</v>
      </c>
      <c r="E579" s="8" t="s">
        <v>5543</v>
      </c>
      <c r="F579" s="8" t="s">
        <v>5544</v>
      </c>
      <c r="G579" s="10" t="s">
        <v>4</v>
      </c>
      <c r="H579" s="8" t="s">
        <v>5545</v>
      </c>
      <c r="I579" s="10" t="s">
        <v>5546</v>
      </c>
      <c r="J579" s="8" t="s">
        <v>2862</v>
      </c>
      <c r="K579" s="8" t="s">
        <v>1873</v>
      </c>
      <c r="L579" s="8" t="s">
        <v>87</v>
      </c>
      <c r="M579" s="10" t="s">
        <v>1456</v>
      </c>
      <c r="N579" s="8" t="s">
        <v>87</v>
      </c>
      <c r="O579" s="10" t="s">
        <v>22</v>
      </c>
      <c r="P579" s="8" t="s">
        <v>5547</v>
      </c>
      <c r="Q579" s="10" t="s">
        <v>246</v>
      </c>
      <c r="R579" s="10" t="s">
        <v>1438</v>
      </c>
      <c r="S579" s="8" t="s">
        <v>5548</v>
      </c>
      <c r="T579" s="10" t="s">
        <v>5241</v>
      </c>
      <c r="U579" s="10" t="s">
        <v>87</v>
      </c>
      <c r="V579" s="10" t="s">
        <v>87</v>
      </c>
    </row>
    <row r="580" spans="1:22" s="10" customFormat="1" x14ac:dyDescent="0.25">
      <c r="A580" s="10" t="s">
        <v>5549</v>
      </c>
      <c r="B580" s="10" t="s">
        <v>5233</v>
      </c>
      <c r="C580" s="10" t="s">
        <v>215</v>
      </c>
      <c r="D580" s="10" t="s">
        <v>5550</v>
      </c>
      <c r="E580" s="8" t="s">
        <v>5551</v>
      </c>
      <c r="F580" s="8" t="s">
        <v>5552</v>
      </c>
      <c r="G580" s="10" t="s">
        <v>4</v>
      </c>
      <c r="H580" s="8" t="s">
        <v>5553</v>
      </c>
      <c r="I580" s="10" t="s">
        <v>5464</v>
      </c>
      <c r="J580" s="8" t="s">
        <v>2862</v>
      </c>
      <c r="K580" s="8" t="s">
        <v>1873</v>
      </c>
      <c r="L580" s="8" t="s">
        <v>87</v>
      </c>
      <c r="M580" s="10" t="s">
        <v>1456</v>
      </c>
      <c r="N580" s="8" t="s">
        <v>87</v>
      </c>
      <c r="O580" s="10" t="s">
        <v>22</v>
      </c>
      <c r="P580" s="8" t="s">
        <v>5554</v>
      </c>
      <c r="Q580" s="10" t="s">
        <v>223</v>
      </c>
      <c r="R580" s="10" t="s">
        <v>1438</v>
      </c>
      <c r="S580" s="8" t="s">
        <v>5555</v>
      </c>
      <c r="T580" s="10" t="s">
        <v>5241</v>
      </c>
      <c r="U580" s="10" t="s">
        <v>87</v>
      </c>
      <c r="V580" s="10" t="s">
        <v>87</v>
      </c>
    </row>
    <row r="581" spans="1:22" s="10" customFormat="1" x14ac:dyDescent="0.25">
      <c r="A581" s="10" t="s">
        <v>5556</v>
      </c>
      <c r="B581" s="10" t="s">
        <v>5233</v>
      </c>
      <c r="C581" s="10" t="s">
        <v>215</v>
      </c>
      <c r="D581" s="10" t="s">
        <v>5557</v>
      </c>
      <c r="E581" s="8" t="s">
        <v>5558</v>
      </c>
      <c r="F581" s="8" t="s">
        <v>4867</v>
      </c>
      <c r="G581" s="10" t="s">
        <v>4</v>
      </c>
      <c r="H581" s="8" t="s">
        <v>5559</v>
      </c>
      <c r="I581" s="10" t="s">
        <v>5464</v>
      </c>
      <c r="J581" s="8" t="s">
        <v>2862</v>
      </c>
      <c r="K581" s="8" t="s">
        <v>1873</v>
      </c>
      <c r="L581" s="8" t="s">
        <v>87</v>
      </c>
      <c r="M581" s="10" t="s">
        <v>1456</v>
      </c>
      <c r="N581" s="8" t="s">
        <v>87</v>
      </c>
      <c r="O581" s="10" t="s">
        <v>22</v>
      </c>
      <c r="P581" s="8" t="s">
        <v>5560</v>
      </c>
      <c r="Q581" s="10" t="s">
        <v>223</v>
      </c>
      <c r="R581" s="10" t="s">
        <v>1438</v>
      </c>
      <c r="S581" s="8" t="s">
        <v>5561</v>
      </c>
      <c r="T581" s="10" t="s">
        <v>5241</v>
      </c>
      <c r="U581" s="10" t="s">
        <v>87</v>
      </c>
      <c r="V581" s="10" t="s">
        <v>87</v>
      </c>
    </row>
    <row r="582" spans="1:22" s="10" customFormat="1" x14ac:dyDescent="0.25">
      <c r="A582" s="10" t="s">
        <v>5562</v>
      </c>
      <c r="B582" s="10" t="s">
        <v>5233</v>
      </c>
      <c r="C582" s="10" t="s">
        <v>215</v>
      </c>
      <c r="D582" s="10" t="s">
        <v>5563</v>
      </c>
      <c r="E582" s="8" t="s">
        <v>5564</v>
      </c>
      <c r="F582" s="8" t="s">
        <v>5565</v>
      </c>
      <c r="G582" s="10" t="s">
        <v>4</v>
      </c>
      <c r="H582" s="8" t="s">
        <v>5566</v>
      </c>
      <c r="I582" s="10" t="s">
        <v>907</v>
      </c>
      <c r="J582" s="8" t="s">
        <v>2862</v>
      </c>
      <c r="K582" s="8" t="s">
        <v>1873</v>
      </c>
      <c r="L582" s="8" t="s">
        <v>87</v>
      </c>
      <c r="M582" s="10" t="s">
        <v>1456</v>
      </c>
      <c r="N582" s="8" t="s">
        <v>87</v>
      </c>
      <c r="O582" s="10" t="s">
        <v>22</v>
      </c>
      <c r="P582" s="8" t="s">
        <v>5567</v>
      </c>
      <c r="Q582" s="10" t="s">
        <v>239</v>
      </c>
      <c r="R582" s="10" t="s">
        <v>1438</v>
      </c>
      <c r="S582" s="8" t="s">
        <v>5568</v>
      </c>
      <c r="T582" s="10" t="s">
        <v>5241</v>
      </c>
      <c r="U582" s="10" t="s">
        <v>87</v>
      </c>
      <c r="V582" s="10" t="s">
        <v>87</v>
      </c>
    </row>
    <row r="583" spans="1:22" s="10" customFormat="1" x14ac:dyDescent="0.25">
      <c r="A583" s="10" t="s">
        <v>5569</v>
      </c>
      <c r="B583" s="10" t="s">
        <v>5233</v>
      </c>
      <c r="C583" s="10" t="s">
        <v>384</v>
      </c>
      <c r="D583" s="10" t="s">
        <v>5570</v>
      </c>
      <c r="E583" s="8" t="s">
        <v>5571</v>
      </c>
      <c r="F583" s="8" t="s">
        <v>5572</v>
      </c>
      <c r="G583" s="10" t="s">
        <v>4</v>
      </c>
      <c r="H583" s="8" t="s">
        <v>5573</v>
      </c>
      <c r="I583" s="10" t="s">
        <v>5574</v>
      </c>
      <c r="J583" s="8" t="s">
        <v>2862</v>
      </c>
      <c r="K583" s="8" t="s">
        <v>1873</v>
      </c>
      <c r="L583" s="8" t="s">
        <v>87</v>
      </c>
      <c r="M583" s="10" t="s">
        <v>1456</v>
      </c>
      <c r="N583" s="8" t="s">
        <v>87</v>
      </c>
      <c r="O583" s="10" t="s">
        <v>22</v>
      </c>
      <c r="P583" s="8" t="s">
        <v>5575</v>
      </c>
      <c r="Q583" s="10" t="s">
        <v>223</v>
      </c>
      <c r="R583" s="10" t="s">
        <v>1438</v>
      </c>
      <c r="S583" s="8" t="s">
        <v>5576</v>
      </c>
      <c r="T583" s="10" t="s">
        <v>5241</v>
      </c>
      <c r="U583" s="10" t="s">
        <v>87</v>
      </c>
      <c r="V583" s="10" t="s">
        <v>87</v>
      </c>
    </row>
    <row r="584" spans="1:22" s="10" customFormat="1" x14ac:dyDescent="0.25">
      <c r="A584" s="10" t="s">
        <v>5577</v>
      </c>
      <c r="B584" s="10" t="s">
        <v>5233</v>
      </c>
      <c r="C584" s="10" t="s">
        <v>215</v>
      </c>
      <c r="D584" s="10" t="s">
        <v>5578</v>
      </c>
      <c r="E584" s="8" t="s">
        <v>5579</v>
      </c>
      <c r="F584" s="8" t="s">
        <v>5580</v>
      </c>
      <c r="G584" s="10" t="s">
        <v>4</v>
      </c>
      <c r="H584" s="8" t="s">
        <v>5581</v>
      </c>
      <c r="I584" s="10" t="s">
        <v>5582</v>
      </c>
      <c r="J584" s="8" t="s">
        <v>2862</v>
      </c>
      <c r="K584" s="8" t="s">
        <v>1873</v>
      </c>
      <c r="L584" s="8" t="s">
        <v>87</v>
      </c>
      <c r="M584" s="10" t="s">
        <v>1456</v>
      </c>
      <c r="N584" s="8" t="s">
        <v>87</v>
      </c>
      <c r="O584" s="10" t="s">
        <v>22</v>
      </c>
      <c r="P584" s="8" t="s">
        <v>5583</v>
      </c>
      <c r="Q584" s="10" t="s">
        <v>223</v>
      </c>
      <c r="R584" s="10" t="s">
        <v>1438</v>
      </c>
      <c r="S584" s="8" t="s">
        <v>5584</v>
      </c>
      <c r="T584" s="10" t="s">
        <v>5241</v>
      </c>
      <c r="U584" s="10" t="s">
        <v>87</v>
      </c>
      <c r="V584" s="10" t="s">
        <v>87</v>
      </c>
    </row>
    <row r="585" spans="1:22" s="10" customFormat="1" x14ac:dyDescent="0.25">
      <c r="A585" s="10" t="s">
        <v>5585</v>
      </c>
      <c r="B585" s="10" t="s">
        <v>5233</v>
      </c>
      <c r="C585" s="11" t="s">
        <v>346</v>
      </c>
      <c r="D585" s="10" t="s">
        <v>5586</v>
      </c>
      <c r="E585" s="8" t="s">
        <v>5587</v>
      </c>
      <c r="F585" s="8" t="s">
        <v>5588</v>
      </c>
      <c r="G585" s="10" t="s">
        <v>4</v>
      </c>
      <c r="H585" s="8" t="s">
        <v>5581</v>
      </c>
      <c r="I585" s="10" t="s">
        <v>3756</v>
      </c>
      <c r="J585" s="8" t="s">
        <v>2862</v>
      </c>
      <c r="K585" s="8" t="s">
        <v>1873</v>
      </c>
      <c r="L585" s="8" t="s">
        <v>87</v>
      </c>
      <c r="M585" s="10" t="s">
        <v>1456</v>
      </c>
      <c r="N585" s="8" t="s">
        <v>87</v>
      </c>
      <c r="O585" s="10" t="s">
        <v>22</v>
      </c>
      <c r="P585" s="8" t="s">
        <v>5589</v>
      </c>
      <c r="Q585" s="10" t="s">
        <v>1447</v>
      </c>
      <c r="R585" s="10" t="s">
        <v>1438</v>
      </c>
      <c r="S585" s="8" t="s">
        <v>5590</v>
      </c>
      <c r="T585" s="10" t="s">
        <v>5241</v>
      </c>
      <c r="U585" s="10" t="s">
        <v>87</v>
      </c>
      <c r="V585" s="10" t="s">
        <v>87</v>
      </c>
    </row>
    <row r="586" spans="1:22" s="10" customFormat="1" x14ac:dyDescent="0.25">
      <c r="A586" s="10" t="s">
        <v>5591</v>
      </c>
      <c r="B586" s="10" t="s">
        <v>5233</v>
      </c>
      <c r="C586" s="10" t="s">
        <v>215</v>
      </c>
      <c r="D586" s="10" t="s">
        <v>5592</v>
      </c>
      <c r="E586" s="8" t="s">
        <v>5593</v>
      </c>
      <c r="F586" s="8" t="s">
        <v>5594</v>
      </c>
      <c r="G586" s="10" t="s">
        <v>4</v>
      </c>
      <c r="H586" s="8" t="s">
        <v>5595</v>
      </c>
      <c r="I586" s="10" t="s">
        <v>5538</v>
      </c>
      <c r="J586" s="8" t="s">
        <v>2862</v>
      </c>
      <c r="K586" s="8" t="s">
        <v>1873</v>
      </c>
      <c r="L586" s="8" t="s">
        <v>87</v>
      </c>
      <c r="M586" s="10" t="s">
        <v>1456</v>
      </c>
      <c r="N586" s="8" t="s">
        <v>87</v>
      </c>
      <c r="O586" s="10" t="s">
        <v>22</v>
      </c>
      <c r="P586" s="8" t="s">
        <v>5596</v>
      </c>
      <c r="Q586" s="10" t="s">
        <v>223</v>
      </c>
      <c r="R586" s="10" t="s">
        <v>1438</v>
      </c>
      <c r="S586" s="8" t="s">
        <v>5597</v>
      </c>
      <c r="T586" s="10" t="s">
        <v>5241</v>
      </c>
      <c r="U586" s="10" t="s">
        <v>87</v>
      </c>
      <c r="V586" s="10" t="s">
        <v>87</v>
      </c>
    </row>
    <row r="587" spans="1:22" s="10" customFormat="1" x14ac:dyDescent="0.25">
      <c r="A587" s="10" t="s">
        <v>5598</v>
      </c>
      <c r="B587" s="10" t="s">
        <v>5233</v>
      </c>
      <c r="C587" s="11" t="s">
        <v>346</v>
      </c>
      <c r="D587" s="10" t="s">
        <v>5599</v>
      </c>
      <c r="E587" s="8" t="s">
        <v>5600</v>
      </c>
      <c r="F587" s="8" t="s">
        <v>5601</v>
      </c>
      <c r="G587" s="10" t="s">
        <v>3</v>
      </c>
      <c r="H587" s="8" t="s">
        <v>5581</v>
      </c>
      <c r="I587" s="10" t="s">
        <v>907</v>
      </c>
      <c r="J587" s="8" t="s">
        <v>2862</v>
      </c>
      <c r="K587" s="8" t="s">
        <v>1435</v>
      </c>
      <c r="L587" s="8" t="s">
        <v>87</v>
      </c>
      <c r="M587" s="10" t="s">
        <v>1436</v>
      </c>
      <c r="N587" s="8" t="s">
        <v>87</v>
      </c>
      <c r="O587" s="10" t="s">
        <v>22</v>
      </c>
      <c r="P587" s="8" t="s">
        <v>5602</v>
      </c>
      <c r="Q587" s="10" t="s">
        <v>223</v>
      </c>
      <c r="R587" s="10" t="s">
        <v>1438</v>
      </c>
      <c r="S587" s="8" t="s">
        <v>5603</v>
      </c>
      <c r="T587" s="10" t="s">
        <v>5241</v>
      </c>
      <c r="U587" s="10" t="s">
        <v>87</v>
      </c>
      <c r="V587" s="10" t="s">
        <v>87</v>
      </c>
    </row>
    <row r="588" spans="1:22" s="10" customFormat="1" x14ac:dyDescent="0.25">
      <c r="A588" s="10" t="s">
        <v>5604</v>
      </c>
      <c r="B588" s="10" t="s">
        <v>5233</v>
      </c>
      <c r="C588" s="11" t="s">
        <v>346</v>
      </c>
      <c r="D588" s="10" t="s">
        <v>5605</v>
      </c>
      <c r="E588" s="8" t="s">
        <v>5606</v>
      </c>
      <c r="F588" s="8" t="s">
        <v>5607</v>
      </c>
      <c r="G588" s="10" t="s">
        <v>4</v>
      </c>
      <c r="H588" s="8" t="s">
        <v>1653</v>
      </c>
      <c r="I588" s="10" t="s">
        <v>5608</v>
      </c>
      <c r="J588" s="8" t="s">
        <v>1655</v>
      </c>
      <c r="K588" s="8" t="s">
        <v>1873</v>
      </c>
      <c r="L588" s="8" t="s">
        <v>87</v>
      </c>
      <c r="M588" s="10" t="s">
        <v>1456</v>
      </c>
      <c r="N588" s="8" t="s">
        <v>87</v>
      </c>
      <c r="O588" s="10" t="s">
        <v>22</v>
      </c>
      <c r="P588" s="8" t="s">
        <v>5609</v>
      </c>
      <c r="Q588" s="10" t="s">
        <v>1447</v>
      </c>
      <c r="R588" s="10" t="s">
        <v>1657</v>
      </c>
      <c r="S588" s="8" t="s">
        <v>5610</v>
      </c>
      <c r="T588" s="10" t="s">
        <v>5241</v>
      </c>
      <c r="U588" s="10" t="s">
        <v>87</v>
      </c>
      <c r="V588" s="10" t="s">
        <v>87</v>
      </c>
    </row>
    <row r="589" spans="1:22" s="10" customFormat="1" x14ac:dyDescent="0.25">
      <c r="A589" s="10" t="s">
        <v>5611</v>
      </c>
      <c r="B589" s="10" t="s">
        <v>5233</v>
      </c>
      <c r="C589" s="11" t="s">
        <v>346</v>
      </c>
      <c r="D589" s="10" t="s">
        <v>5612</v>
      </c>
      <c r="E589" s="8" t="s">
        <v>5613</v>
      </c>
      <c r="F589" s="8" t="s">
        <v>1662</v>
      </c>
      <c r="G589" s="10" t="s">
        <v>3</v>
      </c>
      <c r="H589" s="8" t="s">
        <v>2185</v>
      </c>
      <c r="I589" s="10" t="s">
        <v>1991</v>
      </c>
      <c r="J589" s="8" t="s">
        <v>1664</v>
      </c>
      <c r="K589" s="8" t="s">
        <v>1435</v>
      </c>
      <c r="L589" s="8" t="s">
        <v>2367</v>
      </c>
      <c r="M589" s="10" t="s">
        <v>1436</v>
      </c>
      <c r="N589" s="8" t="s">
        <v>87</v>
      </c>
      <c r="O589" s="10" t="s">
        <v>22</v>
      </c>
      <c r="P589" s="8" t="s">
        <v>5614</v>
      </c>
      <c r="Q589" s="10" t="s">
        <v>825</v>
      </c>
      <c r="R589" s="10" t="s">
        <v>2188</v>
      </c>
      <c r="S589" s="8" t="s">
        <v>1669</v>
      </c>
      <c r="T589" s="10" t="s">
        <v>5241</v>
      </c>
      <c r="U589" s="10" t="s">
        <v>87</v>
      </c>
      <c r="V589" s="10" t="s">
        <v>87</v>
      </c>
    </row>
    <row r="590" spans="1:22" s="10" customFormat="1" x14ac:dyDescent="0.25">
      <c r="A590" s="10" t="s">
        <v>5615</v>
      </c>
      <c r="B590" s="10" t="s">
        <v>5233</v>
      </c>
      <c r="C590" s="11" t="s">
        <v>346</v>
      </c>
      <c r="D590" s="10" t="s">
        <v>5616</v>
      </c>
      <c r="E590" s="8" t="s">
        <v>5617</v>
      </c>
      <c r="F590" s="8" t="s">
        <v>5618</v>
      </c>
      <c r="G590" s="10" t="s">
        <v>4</v>
      </c>
      <c r="H590" s="8" t="s">
        <v>5619</v>
      </c>
      <c r="I590" s="10" t="s">
        <v>5620</v>
      </c>
      <c r="J590" s="8" t="s">
        <v>2862</v>
      </c>
      <c r="K590" s="8" t="s">
        <v>1873</v>
      </c>
      <c r="L590" s="8" t="s">
        <v>87</v>
      </c>
      <c r="M590" s="10" t="s">
        <v>1456</v>
      </c>
      <c r="N590" s="8" t="s">
        <v>87</v>
      </c>
      <c r="O590" s="10" t="s">
        <v>22</v>
      </c>
      <c r="P590" s="8" t="s">
        <v>5621</v>
      </c>
      <c r="Q590" s="10" t="s">
        <v>239</v>
      </c>
      <c r="R590" s="10" t="s">
        <v>1438</v>
      </c>
      <c r="S590" s="8" t="s">
        <v>5622</v>
      </c>
      <c r="T590" s="10" t="s">
        <v>5241</v>
      </c>
      <c r="U590" s="10" t="s">
        <v>87</v>
      </c>
      <c r="V590" s="10" t="s">
        <v>87</v>
      </c>
    </row>
    <row r="591" spans="1:22" s="10" customFormat="1" x14ac:dyDescent="0.25">
      <c r="A591" s="10" t="s">
        <v>5623</v>
      </c>
      <c r="B591" s="10" t="s">
        <v>5233</v>
      </c>
      <c r="C591" s="10" t="s">
        <v>384</v>
      </c>
      <c r="D591" s="10" t="s">
        <v>5624</v>
      </c>
      <c r="E591" s="8" t="s">
        <v>5625</v>
      </c>
      <c r="F591" s="8" t="s">
        <v>5626</v>
      </c>
      <c r="G591" s="10" t="s">
        <v>2647</v>
      </c>
      <c r="H591" s="8" t="s">
        <v>5627</v>
      </c>
      <c r="I591" s="10" t="s">
        <v>907</v>
      </c>
      <c r="J591" s="8" t="s">
        <v>2862</v>
      </c>
      <c r="K591" s="8" t="s">
        <v>2649</v>
      </c>
      <c r="L591" s="8" t="s">
        <v>87</v>
      </c>
      <c r="M591" s="10" t="s">
        <v>1436</v>
      </c>
      <c r="N591" s="8" t="s">
        <v>87</v>
      </c>
      <c r="O591" s="10" t="s">
        <v>22</v>
      </c>
      <c r="P591" s="8" t="s">
        <v>5628</v>
      </c>
      <c r="Q591" s="10" t="s">
        <v>223</v>
      </c>
      <c r="R591" s="10" t="s">
        <v>1438</v>
      </c>
      <c r="S591" s="8" t="s">
        <v>2492</v>
      </c>
      <c r="T591" s="10" t="s">
        <v>5241</v>
      </c>
      <c r="U591" s="10" t="s">
        <v>87</v>
      </c>
      <c r="V591" s="10" t="s">
        <v>87</v>
      </c>
    </row>
    <row r="592" spans="1:22" s="10" customFormat="1" x14ac:dyDescent="0.25">
      <c r="A592" s="10" t="s">
        <v>5629</v>
      </c>
      <c r="B592" s="10" t="s">
        <v>5233</v>
      </c>
      <c r="C592" s="10" t="s">
        <v>215</v>
      </c>
      <c r="D592" s="10" t="s">
        <v>5630</v>
      </c>
      <c r="E592" s="8" t="s">
        <v>5631</v>
      </c>
      <c r="F592" s="8" t="s">
        <v>5632</v>
      </c>
      <c r="G592" s="10" t="s">
        <v>4</v>
      </c>
      <c r="H592" s="8" t="s">
        <v>5581</v>
      </c>
      <c r="I592" s="10" t="s">
        <v>907</v>
      </c>
      <c r="J592" s="8" t="s">
        <v>2862</v>
      </c>
      <c r="K592" s="8" t="s">
        <v>1873</v>
      </c>
      <c r="L592" s="8" t="s">
        <v>87</v>
      </c>
      <c r="M592" s="10" t="s">
        <v>1436</v>
      </c>
      <c r="N592" s="8" t="s">
        <v>87</v>
      </c>
      <c r="O592" s="10" t="s">
        <v>22</v>
      </c>
      <c r="P592" s="8" t="s">
        <v>5633</v>
      </c>
      <c r="Q592" s="10" t="s">
        <v>223</v>
      </c>
      <c r="R592" s="10" t="s">
        <v>1438</v>
      </c>
      <c r="S592" s="8" t="s">
        <v>1648</v>
      </c>
      <c r="T592" s="10" t="s">
        <v>5241</v>
      </c>
      <c r="U592" s="10" t="s">
        <v>87</v>
      </c>
      <c r="V592" s="10" t="s">
        <v>87</v>
      </c>
    </row>
    <row r="593" spans="1:22" s="10" customFormat="1" x14ac:dyDescent="0.25">
      <c r="A593" s="10" t="s">
        <v>5634</v>
      </c>
      <c r="B593" s="10" t="s">
        <v>5233</v>
      </c>
      <c r="C593" s="10" t="s">
        <v>215</v>
      </c>
      <c r="D593" s="10" t="s">
        <v>5635</v>
      </c>
      <c r="E593" s="8" t="s">
        <v>5636</v>
      </c>
      <c r="F593" s="8" t="s">
        <v>5637</v>
      </c>
      <c r="G593" s="10" t="s">
        <v>3</v>
      </c>
      <c r="H593" s="8" t="s">
        <v>5638</v>
      </c>
      <c r="I593" s="10" t="s">
        <v>5639</v>
      </c>
      <c r="J593" s="8" t="s">
        <v>2862</v>
      </c>
      <c r="K593" s="8" t="s">
        <v>1435</v>
      </c>
      <c r="L593" s="8" t="s">
        <v>87</v>
      </c>
      <c r="M593" s="10" t="s">
        <v>1436</v>
      </c>
      <c r="N593" s="8" t="s">
        <v>87</v>
      </c>
      <c r="O593" s="10" t="s">
        <v>22</v>
      </c>
      <c r="P593" s="8" t="s">
        <v>5640</v>
      </c>
      <c r="Q593" s="10" t="s">
        <v>223</v>
      </c>
      <c r="R593" s="10" t="s">
        <v>1438</v>
      </c>
      <c r="S593" s="8" t="s">
        <v>5641</v>
      </c>
      <c r="T593" s="10" t="s">
        <v>5642</v>
      </c>
      <c r="U593" s="10" t="s">
        <v>87</v>
      </c>
      <c r="V593" s="10" t="s">
        <v>87</v>
      </c>
    </row>
    <row r="594" spans="1:22" s="10" customFormat="1" x14ac:dyDescent="0.25">
      <c r="A594" s="10" t="s">
        <v>5643</v>
      </c>
      <c r="B594" s="10" t="s">
        <v>5233</v>
      </c>
      <c r="C594" s="11" t="s">
        <v>346</v>
      </c>
      <c r="D594" s="10" t="s">
        <v>5644</v>
      </c>
      <c r="E594" s="8" t="s">
        <v>5645</v>
      </c>
      <c r="F594" s="8" t="s">
        <v>5646</v>
      </c>
      <c r="G594" s="10" t="s">
        <v>4</v>
      </c>
      <c r="H594" s="8" t="s">
        <v>5647</v>
      </c>
      <c r="I594" s="10" t="s">
        <v>5271</v>
      </c>
      <c r="J594" s="8" t="s">
        <v>2862</v>
      </c>
      <c r="K594" s="8" t="s">
        <v>1873</v>
      </c>
      <c r="L594" s="8" t="s">
        <v>87</v>
      </c>
      <c r="M594" s="10" t="s">
        <v>1456</v>
      </c>
      <c r="N594" s="8" t="s">
        <v>87</v>
      </c>
      <c r="O594" s="10" t="s">
        <v>22</v>
      </c>
      <c r="P594" s="8" t="s">
        <v>5648</v>
      </c>
      <c r="Q594" s="10" t="s">
        <v>223</v>
      </c>
      <c r="R594" s="10" t="s">
        <v>1438</v>
      </c>
      <c r="S594" s="8" t="s">
        <v>5649</v>
      </c>
      <c r="T594" s="10" t="s">
        <v>5642</v>
      </c>
      <c r="U594" s="10" t="s">
        <v>87</v>
      </c>
      <c r="V594" s="10" t="s">
        <v>87</v>
      </c>
    </row>
    <row r="595" spans="1:22" s="10" customFormat="1" x14ac:dyDescent="0.25">
      <c r="A595" s="10" t="s">
        <v>5650</v>
      </c>
      <c r="B595" s="10" t="s">
        <v>5233</v>
      </c>
      <c r="C595" s="11" t="s">
        <v>346</v>
      </c>
      <c r="D595" s="10" t="s">
        <v>1637</v>
      </c>
      <c r="E595" s="8" t="s">
        <v>5651</v>
      </c>
      <c r="F595" s="8" t="s">
        <v>5652</v>
      </c>
      <c r="G595" s="10" t="s">
        <v>3</v>
      </c>
      <c r="H595" s="8" t="s">
        <v>5653</v>
      </c>
      <c r="I595" s="10" t="s">
        <v>5654</v>
      </c>
      <c r="J595" s="8" t="s">
        <v>2862</v>
      </c>
      <c r="K595" s="8" t="s">
        <v>1435</v>
      </c>
      <c r="L595" s="8" t="s">
        <v>87</v>
      </c>
      <c r="M595" s="10" t="s">
        <v>1436</v>
      </c>
      <c r="N595" s="8" t="s">
        <v>87</v>
      </c>
      <c r="O595" s="10" t="s">
        <v>22</v>
      </c>
      <c r="P595" s="8" t="s">
        <v>5655</v>
      </c>
      <c r="Q595" s="10" t="s">
        <v>239</v>
      </c>
      <c r="R595" s="10" t="s">
        <v>1438</v>
      </c>
      <c r="S595" s="8" t="s">
        <v>5656</v>
      </c>
      <c r="T595" s="10" t="s">
        <v>5642</v>
      </c>
      <c r="U595" s="10" t="s">
        <v>87</v>
      </c>
      <c r="V595" s="10" t="s">
        <v>87</v>
      </c>
    </row>
    <row r="596" spans="1:22" s="10" customFormat="1" x14ac:dyDescent="0.25">
      <c r="A596" s="10" t="s">
        <v>5657</v>
      </c>
      <c r="B596" s="10" t="s">
        <v>5233</v>
      </c>
      <c r="C596" s="11" t="s">
        <v>346</v>
      </c>
      <c r="D596" s="10" t="s">
        <v>5658</v>
      </c>
      <c r="E596" s="8" t="s">
        <v>5659</v>
      </c>
      <c r="F596" s="8" t="s">
        <v>5660</v>
      </c>
      <c r="G596" s="10" t="s">
        <v>4</v>
      </c>
      <c r="H596" s="8" t="s">
        <v>5661</v>
      </c>
      <c r="I596" s="10" t="s">
        <v>5271</v>
      </c>
      <c r="J596" s="8" t="s">
        <v>2862</v>
      </c>
      <c r="K596" s="8" t="s">
        <v>1873</v>
      </c>
      <c r="L596" s="8" t="s">
        <v>87</v>
      </c>
      <c r="M596" s="10" t="s">
        <v>1456</v>
      </c>
      <c r="N596" s="8" t="s">
        <v>87</v>
      </c>
      <c r="O596" s="10" t="s">
        <v>22</v>
      </c>
      <c r="P596" s="8" t="s">
        <v>5662</v>
      </c>
      <c r="Q596" s="10" t="s">
        <v>223</v>
      </c>
      <c r="R596" s="10" t="s">
        <v>1438</v>
      </c>
      <c r="S596" s="8" t="s">
        <v>5663</v>
      </c>
      <c r="T596" s="10" t="s">
        <v>5642</v>
      </c>
      <c r="U596" s="10" t="s">
        <v>87</v>
      </c>
      <c r="V596" s="10" t="s">
        <v>87</v>
      </c>
    </row>
    <row r="597" spans="1:22" s="10" customFormat="1" x14ac:dyDescent="0.25">
      <c r="A597" s="10" t="s">
        <v>5664</v>
      </c>
      <c r="B597" s="10" t="s">
        <v>5233</v>
      </c>
      <c r="C597" s="11" t="s">
        <v>346</v>
      </c>
      <c r="D597" s="10" t="s">
        <v>5665</v>
      </c>
      <c r="E597" s="8" t="s">
        <v>5666</v>
      </c>
      <c r="F597" s="8" t="s">
        <v>5667</v>
      </c>
      <c r="G597" s="10" t="s">
        <v>4</v>
      </c>
      <c r="H597" s="8" t="s">
        <v>5668</v>
      </c>
      <c r="I597" s="10" t="s">
        <v>5271</v>
      </c>
      <c r="J597" s="8" t="s">
        <v>2862</v>
      </c>
      <c r="K597" s="8" t="s">
        <v>1873</v>
      </c>
      <c r="L597" s="8" t="s">
        <v>87</v>
      </c>
      <c r="M597" s="10" t="s">
        <v>1456</v>
      </c>
      <c r="N597" s="8" t="s">
        <v>87</v>
      </c>
      <c r="O597" s="10" t="s">
        <v>22</v>
      </c>
      <c r="P597" s="8" t="s">
        <v>5669</v>
      </c>
      <c r="Q597" s="10" t="s">
        <v>223</v>
      </c>
      <c r="R597" s="10" t="s">
        <v>1438</v>
      </c>
      <c r="S597" s="8" t="s">
        <v>5670</v>
      </c>
      <c r="T597" s="10" t="s">
        <v>5642</v>
      </c>
      <c r="U597" s="10" t="s">
        <v>87</v>
      </c>
      <c r="V597" s="10" t="s">
        <v>87</v>
      </c>
    </row>
    <row r="598" spans="1:22" s="10" customFormat="1" x14ac:dyDescent="0.25">
      <c r="A598" s="10" t="s">
        <v>5671</v>
      </c>
      <c r="B598" s="10" t="s">
        <v>5233</v>
      </c>
      <c r="C598" s="11" t="s">
        <v>346</v>
      </c>
      <c r="D598" s="10" t="s">
        <v>5672</v>
      </c>
      <c r="E598" s="8" t="s">
        <v>5673</v>
      </c>
      <c r="F598" s="8" t="s">
        <v>5674</v>
      </c>
      <c r="G598" s="10" t="s">
        <v>4</v>
      </c>
      <c r="H598" s="8" t="s">
        <v>5675</v>
      </c>
      <c r="I598" s="10" t="s">
        <v>5271</v>
      </c>
      <c r="J598" s="8" t="s">
        <v>2862</v>
      </c>
      <c r="K598" s="8" t="s">
        <v>1873</v>
      </c>
      <c r="L598" s="8" t="s">
        <v>87</v>
      </c>
      <c r="M598" s="10" t="s">
        <v>1456</v>
      </c>
      <c r="N598" s="8" t="s">
        <v>87</v>
      </c>
      <c r="O598" s="10" t="s">
        <v>22</v>
      </c>
      <c r="P598" s="8" t="s">
        <v>5676</v>
      </c>
      <c r="Q598" s="10" t="s">
        <v>223</v>
      </c>
      <c r="R598" s="10" t="s">
        <v>1438</v>
      </c>
      <c r="S598" s="8" t="s">
        <v>5677</v>
      </c>
      <c r="T598" s="10" t="s">
        <v>5642</v>
      </c>
      <c r="U598" s="10" t="s">
        <v>87</v>
      </c>
      <c r="V598" s="10" t="s">
        <v>87</v>
      </c>
    </row>
    <row r="599" spans="1:22" s="10" customFormat="1" x14ac:dyDescent="0.25">
      <c r="A599" s="10" t="s">
        <v>5678</v>
      </c>
      <c r="B599" s="10" t="s">
        <v>5233</v>
      </c>
      <c r="C599" s="11" t="s">
        <v>346</v>
      </c>
      <c r="D599" s="10" t="s">
        <v>5679</v>
      </c>
      <c r="E599" s="8" t="s">
        <v>5680</v>
      </c>
      <c r="F599" s="8" t="s">
        <v>5681</v>
      </c>
      <c r="G599" s="10" t="s">
        <v>4</v>
      </c>
      <c r="H599" s="8" t="s">
        <v>5682</v>
      </c>
      <c r="I599" s="10" t="s">
        <v>4672</v>
      </c>
      <c r="J599" s="8" t="s">
        <v>2862</v>
      </c>
      <c r="K599" s="8" t="s">
        <v>1873</v>
      </c>
      <c r="L599" s="8" t="s">
        <v>87</v>
      </c>
      <c r="M599" s="10" t="s">
        <v>1456</v>
      </c>
      <c r="N599" s="8" t="s">
        <v>87</v>
      </c>
      <c r="O599" s="10" t="s">
        <v>22</v>
      </c>
      <c r="P599" s="8" t="s">
        <v>5683</v>
      </c>
      <c r="Q599" s="10" t="s">
        <v>223</v>
      </c>
      <c r="R599" s="10" t="s">
        <v>1438</v>
      </c>
      <c r="S599" s="8" t="s">
        <v>5684</v>
      </c>
      <c r="T599" s="10" t="s">
        <v>5642</v>
      </c>
      <c r="U599" s="10" t="s">
        <v>87</v>
      </c>
      <c r="V599" s="10" t="s">
        <v>87</v>
      </c>
    </row>
    <row r="600" spans="1:22" s="10" customFormat="1" x14ac:dyDescent="0.25">
      <c r="A600" s="10" t="s">
        <v>5685</v>
      </c>
      <c r="B600" s="10" t="s">
        <v>5233</v>
      </c>
      <c r="C600" s="11" t="s">
        <v>346</v>
      </c>
      <c r="D600" s="10" t="s">
        <v>5686</v>
      </c>
      <c r="E600" s="8" t="s">
        <v>5687</v>
      </c>
      <c r="F600" s="8" t="s">
        <v>5688</v>
      </c>
      <c r="G600" s="10" t="s">
        <v>4</v>
      </c>
      <c r="H600" s="8" t="s">
        <v>5689</v>
      </c>
      <c r="I600" s="10" t="s">
        <v>5690</v>
      </c>
      <c r="J600" s="8" t="s">
        <v>2862</v>
      </c>
      <c r="K600" s="8" t="s">
        <v>1873</v>
      </c>
      <c r="L600" s="8" t="s">
        <v>87</v>
      </c>
      <c r="M600" s="10" t="s">
        <v>1456</v>
      </c>
      <c r="N600" s="8" t="s">
        <v>87</v>
      </c>
      <c r="O600" s="10" t="s">
        <v>22</v>
      </c>
      <c r="P600" s="8" t="s">
        <v>5691</v>
      </c>
      <c r="Q600" s="10" t="s">
        <v>246</v>
      </c>
      <c r="R600" s="10" t="s">
        <v>1438</v>
      </c>
      <c r="S600" s="8" t="s">
        <v>5692</v>
      </c>
      <c r="T600" s="10" t="s">
        <v>5642</v>
      </c>
      <c r="U600" s="10" t="s">
        <v>87</v>
      </c>
      <c r="V600" s="10" t="s">
        <v>87</v>
      </c>
    </row>
    <row r="601" spans="1:22" s="10" customFormat="1" x14ac:dyDescent="0.25">
      <c r="A601" s="10" t="s">
        <v>5693</v>
      </c>
      <c r="B601" s="10" t="s">
        <v>5233</v>
      </c>
      <c r="C601" s="10" t="s">
        <v>215</v>
      </c>
      <c r="D601" s="10" t="s">
        <v>5694</v>
      </c>
      <c r="E601" s="8" t="s">
        <v>5695</v>
      </c>
      <c r="F601" s="8" t="s">
        <v>5696</v>
      </c>
      <c r="G601" s="10" t="s">
        <v>4</v>
      </c>
      <c r="H601" s="8" t="s">
        <v>5697</v>
      </c>
      <c r="I601" s="10" t="s">
        <v>5654</v>
      </c>
      <c r="J601" s="8" t="s">
        <v>2862</v>
      </c>
      <c r="K601" s="8" t="s">
        <v>1873</v>
      </c>
      <c r="L601" s="8" t="s">
        <v>87</v>
      </c>
      <c r="M601" s="10" t="s">
        <v>1456</v>
      </c>
      <c r="N601" s="8" t="s">
        <v>87</v>
      </c>
      <c r="O601" s="10" t="s">
        <v>22</v>
      </c>
      <c r="P601" s="8" t="s">
        <v>5698</v>
      </c>
      <c r="Q601" s="10" t="s">
        <v>246</v>
      </c>
      <c r="R601" s="10" t="s">
        <v>1438</v>
      </c>
      <c r="S601" s="8" t="s">
        <v>5699</v>
      </c>
      <c r="T601" s="10" t="s">
        <v>5642</v>
      </c>
      <c r="U601" s="10" t="s">
        <v>87</v>
      </c>
      <c r="V601" s="10" t="s">
        <v>87</v>
      </c>
    </row>
    <row r="602" spans="1:22" s="10" customFormat="1" x14ac:dyDescent="0.25">
      <c r="A602" s="10" t="s">
        <v>5700</v>
      </c>
      <c r="B602" s="10" t="s">
        <v>5233</v>
      </c>
      <c r="C602" s="10" t="s">
        <v>215</v>
      </c>
      <c r="D602" s="10" t="s">
        <v>5701</v>
      </c>
      <c r="E602" s="8" t="s">
        <v>5702</v>
      </c>
      <c r="F602" s="8" t="s">
        <v>5703</v>
      </c>
      <c r="G602" s="10" t="s">
        <v>4</v>
      </c>
      <c r="H602" s="8" t="s">
        <v>5704</v>
      </c>
      <c r="I602" s="10" t="s">
        <v>2884</v>
      </c>
      <c r="J602" s="8" t="s">
        <v>2862</v>
      </c>
      <c r="K602" s="8" t="s">
        <v>1873</v>
      </c>
      <c r="L602" s="8" t="s">
        <v>87</v>
      </c>
      <c r="M602" s="10" t="s">
        <v>1456</v>
      </c>
      <c r="N602" s="8" t="s">
        <v>87</v>
      </c>
      <c r="O602" s="10" t="s">
        <v>22</v>
      </c>
      <c r="P602" s="8" t="s">
        <v>5705</v>
      </c>
      <c r="Q602" s="10" t="s">
        <v>223</v>
      </c>
      <c r="R602" s="10" t="s">
        <v>1438</v>
      </c>
      <c r="S602" s="8" t="s">
        <v>5706</v>
      </c>
      <c r="T602" s="10" t="s">
        <v>5642</v>
      </c>
      <c r="U602" s="10" t="s">
        <v>87</v>
      </c>
      <c r="V602" s="10" t="s">
        <v>87</v>
      </c>
    </row>
    <row r="603" spans="1:22" s="10" customFormat="1" x14ac:dyDescent="0.25">
      <c r="A603" s="10" t="s">
        <v>5707</v>
      </c>
      <c r="B603" s="10" t="s">
        <v>5233</v>
      </c>
      <c r="C603" s="11" t="s">
        <v>346</v>
      </c>
      <c r="D603" s="10" t="s">
        <v>5708</v>
      </c>
      <c r="E603" s="8" t="s">
        <v>5709</v>
      </c>
      <c r="F603" s="8" t="s">
        <v>5710</v>
      </c>
      <c r="G603" s="10" t="s">
        <v>3</v>
      </c>
      <c r="H603" s="8" t="s">
        <v>5711</v>
      </c>
      <c r="I603" s="10" t="s">
        <v>5712</v>
      </c>
      <c r="J603" s="8" t="s">
        <v>2862</v>
      </c>
      <c r="K603" s="8" t="s">
        <v>1435</v>
      </c>
      <c r="L603" s="8" t="s">
        <v>87</v>
      </c>
      <c r="M603" s="10" t="s">
        <v>1436</v>
      </c>
      <c r="N603" s="8" t="s">
        <v>87</v>
      </c>
      <c r="O603" s="10" t="s">
        <v>22</v>
      </c>
      <c r="P603" s="8" t="s">
        <v>5713</v>
      </c>
      <c r="Q603" s="10" t="s">
        <v>246</v>
      </c>
      <c r="R603" s="10" t="s">
        <v>1438</v>
      </c>
      <c r="S603" s="8" t="s">
        <v>5714</v>
      </c>
      <c r="T603" s="10" t="s">
        <v>5642</v>
      </c>
      <c r="U603" s="10" t="s">
        <v>87</v>
      </c>
      <c r="V603" s="10" t="s">
        <v>87</v>
      </c>
    </row>
    <row r="604" spans="1:22" s="10" customFormat="1" x14ac:dyDescent="0.25">
      <c r="A604" s="10" t="s">
        <v>5715</v>
      </c>
      <c r="B604" s="10" t="s">
        <v>5233</v>
      </c>
      <c r="C604" s="11" t="s">
        <v>346</v>
      </c>
      <c r="D604" s="10" t="s">
        <v>5716</v>
      </c>
      <c r="E604" s="8" t="s">
        <v>5717</v>
      </c>
      <c r="F604" s="8" t="s">
        <v>5718</v>
      </c>
      <c r="G604" s="10" t="s">
        <v>4</v>
      </c>
      <c r="H604" s="8" t="s">
        <v>5719</v>
      </c>
      <c r="I604" s="10" t="s">
        <v>5654</v>
      </c>
      <c r="J604" s="8" t="s">
        <v>2862</v>
      </c>
      <c r="K604" s="8" t="s">
        <v>1873</v>
      </c>
      <c r="L604" s="8" t="s">
        <v>87</v>
      </c>
      <c r="M604" s="10" t="s">
        <v>1456</v>
      </c>
      <c r="N604" s="8" t="s">
        <v>87</v>
      </c>
      <c r="O604" s="10" t="s">
        <v>22</v>
      </c>
      <c r="P604" s="8" t="s">
        <v>5720</v>
      </c>
      <c r="Q604" s="10" t="s">
        <v>223</v>
      </c>
      <c r="R604" s="10" t="s">
        <v>1438</v>
      </c>
      <c r="S604" s="8" t="s">
        <v>5721</v>
      </c>
      <c r="T604" s="10" t="s">
        <v>5642</v>
      </c>
      <c r="U604" s="10" t="s">
        <v>87</v>
      </c>
      <c r="V604" s="10" t="s">
        <v>87</v>
      </c>
    </row>
    <row r="605" spans="1:22" s="10" customFormat="1" x14ac:dyDescent="0.25">
      <c r="A605" s="10" t="s">
        <v>5722</v>
      </c>
      <c r="B605" s="10" t="s">
        <v>5233</v>
      </c>
      <c r="C605" s="11" t="s">
        <v>346</v>
      </c>
      <c r="D605" s="10" t="s">
        <v>5723</v>
      </c>
      <c r="E605" s="8" t="s">
        <v>5724</v>
      </c>
      <c r="F605" s="8" t="s">
        <v>5725</v>
      </c>
      <c r="G605" s="10" t="s">
        <v>4</v>
      </c>
      <c r="H605" s="8" t="s">
        <v>1653</v>
      </c>
      <c r="I605" s="10" t="s">
        <v>5726</v>
      </c>
      <c r="J605" s="8" t="s">
        <v>1655</v>
      </c>
      <c r="K605" s="8" t="s">
        <v>1873</v>
      </c>
      <c r="L605" s="8" t="s">
        <v>87</v>
      </c>
      <c r="M605" s="10" t="s">
        <v>1456</v>
      </c>
      <c r="N605" s="8" t="s">
        <v>87</v>
      </c>
      <c r="O605" s="10" t="s">
        <v>22</v>
      </c>
      <c r="P605" s="8" t="s">
        <v>5727</v>
      </c>
      <c r="Q605" s="10" t="s">
        <v>1447</v>
      </c>
      <c r="R605" s="10" t="s">
        <v>1657</v>
      </c>
      <c r="S605" s="8" t="s">
        <v>1658</v>
      </c>
      <c r="T605" s="10" t="s">
        <v>5642</v>
      </c>
      <c r="U605" s="10" t="s">
        <v>87</v>
      </c>
      <c r="V605" s="10" t="s">
        <v>87</v>
      </c>
    </row>
    <row r="606" spans="1:22" s="10" customFormat="1" x14ac:dyDescent="0.25">
      <c r="A606" s="10" t="s">
        <v>5728</v>
      </c>
      <c r="B606" s="10" t="s">
        <v>5233</v>
      </c>
      <c r="C606" s="10" t="s">
        <v>215</v>
      </c>
      <c r="D606" s="10" t="s">
        <v>5729</v>
      </c>
      <c r="E606" s="8" t="s">
        <v>5730</v>
      </c>
      <c r="F606" s="8" t="s">
        <v>5731</v>
      </c>
      <c r="G606" s="10" t="s">
        <v>4</v>
      </c>
      <c r="H606" s="8" t="s">
        <v>5653</v>
      </c>
      <c r="I606" s="10" t="s">
        <v>5330</v>
      </c>
      <c r="J606" s="8" t="s">
        <v>2862</v>
      </c>
      <c r="K606" s="8" t="s">
        <v>1873</v>
      </c>
      <c r="L606" s="8" t="s">
        <v>87</v>
      </c>
      <c r="M606" s="10" t="s">
        <v>1436</v>
      </c>
      <c r="N606" s="8" t="s">
        <v>87</v>
      </c>
      <c r="O606" s="10" t="s">
        <v>22</v>
      </c>
      <c r="P606" s="8" t="s">
        <v>5732</v>
      </c>
      <c r="Q606" s="10" t="s">
        <v>223</v>
      </c>
      <c r="R606" s="10" t="s">
        <v>1438</v>
      </c>
      <c r="S606" s="8" t="s">
        <v>1648</v>
      </c>
      <c r="T606" s="10" t="s">
        <v>5642</v>
      </c>
      <c r="U606" s="10" t="s">
        <v>87</v>
      </c>
      <c r="V606" s="10" t="s">
        <v>87</v>
      </c>
    </row>
    <row r="607" spans="1:22" s="10" customFormat="1" x14ac:dyDescent="0.25">
      <c r="A607" s="10" t="s">
        <v>5733</v>
      </c>
      <c r="B607" s="10" t="s">
        <v>5233</v>
      </c>
      <c r="C607" s="10" t="s">
        <v>215</v>
      </c>
      <c r="D607" s="10" t="s">
        <v>5734</v>
      </c>
      <c r="E607" s="8" t="s">
        <v>5735</v>
      </c>
      <c r="F607" s="8" t="s">
        <v>5736</v>
      </c>
      <c r="G607" s="10" t="s">
        <v>4</v>
      </c>
      <c r="H607" s="8" t="s">
        <v>5737</v>
      </c>
      <c r="I607" s="10" t="s">
        <v>5738</v>
      </c>
      <c r="J607" s="8" t="s">
        <v>2862</v>
      </c>
      <c r="K607" s="8" t="s">
        <v>1873</v>
      </c>
      <c r="L607" s="8" t="s">
        <v>87</v>
      </c>
      <c r="M607" s="10" t="s">
        <v>1436</v>
      </c>
      <c r="N607" s="8" t="s">
        <v>87</v>
      </c>
      <c r="O607" s="10" t="s">
        <v>22</v>
      </c>
      <c r="P607" s="8" t="s">
        <v>5739</v>
      </c>
      <c r="Q607" s="10" t="s">
        <v>223</v>
      </c>
      <c r="R607" s="10" t="s">
        <v>1438</v>
      </c>
      <c r="S607" s="8" t="s">
        <v>5740</v>
      </c>
      <c r="T607" s="10" t="s">
        <v>5642</v>
      </c>
      <c r="U607" s="10" t="s">
        <v>87</v>
      </c>
      <c r="V607" s="10" t="s">
        <v>87</v>
      </c>
    </row>
    <row r="608" spans="1:22" s="10" customFormat="1" x14ac:dyDescent="0.25">
      <c r="A608" s="10" t="s">
        <v>5741</v>
      </c>
      <c r="B608" s="10" t="s">
        <v>5233</v>
      </c>
      <c r="C608" s="11" t="s">
        <v>346</v>
      </c>
      <c r="D608" s="10" t="s">
        <v>5742</v>
      </c>
      <c r="E608" s="8" t="s">
        <v>5743</v>
      </c>
      <c r="F608" s="8" t="s">
        <v>5744</v>
      </c>
      <c r="G608" s="10" t="s">
        <v>2647</v>
      </c>
      <c r="H608" s="8" t="s">
        <v>5745</v>
      </c>
      <c r="I608" s="10" t="s">
        <v>938</v>
      </c>
      <c r="J608" s="8" t="s">
        <v>2862</v>
      </c>
      <c r="K608" s="8" t="s">
        <v>2649</v>
      </c>
      <c r="L608" s="8" t="s">
        <v>87</v>
      </c>
      <c r="M608" s="10" t="s">
        <v>1436</v>
      </c>
      <c r="N608" s="8" t="s">
        <v>87</v>
      </c>
      <c r="O608" s="10" t="s">
        <v>22</v>
      </c>
      <c r="P608" s="8" t="s">
        <v>5746</v>
      </c>
      <c r="Q608" s="10" t="s">
        <v>239</v>
      </c>
      <c r="R608" s="10" t="s">
        <v>1438</v>
      </c>
      <c r="S608" s="8" t="s">
        <v>5747</v>
      </c>
      <c r="T608" s="10" t="s">
        <v>5642</v>
      </c>
      <c r="U608" s="10" t="s">
        <v>87</v>
      </c>
      <c r="V608" s="10" t="s">
        <v>87</v>
      </c>
    </row>
    <row r="609" spans="1:22" s="10" customFormat="1" x14ac:dyDescent="0.25">
      <c r="A609" s="10" t="s">
        <v>5748</v>
      </c>
      <c r="B609" s="10" t="s">
        <v>5233</v>
      </c>
      <c r="C609" s="11" t="s">
        <v>346</v>
      </c>
      <c r="D609" s="10" t="s">
        <v>5749</v>
      </c>
      <c r="E609" s="8" t="s">
        <v>5750</v>
      </c>
      <c r="F609" s="8" t="s">
        <v>5751</v>
      </c>
      <c r="G609" s="10" t="s">
        <v>2647</v>
      </c>
      <c r="H609" s="8" t="s">
        <v>5752</v>
      </c>
      <c r="I609" s="10" t="s">
        <v>5753</v>
      </c>
      <c r="J609" s="8" t="s">
        <v>2862</v>
      </c>
      <c r="K609" s="8" t="s">
        <v>2649</v>
      </c>
      <c r="L609" s="8" t="s">
        <v>87</v>
      </c>
      <c r="M609" s="10" t="s">
        <v>1436</v>
      </c>
      <c r="N609" s="8" t="s">
        <v>87</v>
      </c>
      <c r="O609" s="10" t="s">
        <v>22</v>
      </c>
      <c r="P609" s="8" t="s">
        <v>5754</v>
      </c>
      <c r="Q609" s="10" t="s">
        <v>223</v>
      </c>
      <c r="R609" s="10" t="s">
        <v>1438</v>
      </c>
      <c r="S609" s="8" t="s">
        <v>5755</v>
      </c>
      <c r="T609" s="10" t="s">
        <v>5642</v>
      </c>
      <c r="U609" s="10" t="s">
        <v>87</v>
      </c>
      <c r="V609" s="10" t="s">
        <v>87</v>
      </c>
    </row>
    <row r="610" spans="1:22" s="10" customFormat="1" x14ac:dyDescent="0.25">
      <c r="A610" s="10" t="s">
        <v>5756</v>
      </c>
      <c r="B610" s="10" t="s">
        <v>5233</v>
      </c>
      <c r="C610" s="11" t="s">
        <v>346</v>
      </c>
      <c r="D610" s="10" t="s">
        <v>5757</v>
      </c>
      <c r="E610" s="8" t="s">
        <v>5758</v>
      </c>
      <c r="F610" s="8" t="s">
        <v>5759</v>
      </c>
      <c r="G610" s="10" t="s">
        <v>2647</v>
      </c>
      <c r="H610" s="8" t="s">
        <v>5760</v>
      </c>
      <c r="I610" s="10" t="s">
        <v>5761</v>
      </c>
      <c r="J610" s="8" t="s">
        <v>5762</v>
      </c>
      <c r="K610" s="8" t="s">
        <v>2649</v>
      </c>
      <c r="L610" s="8" t="s">
        <v>87</v>
      </c>
      <c r="M610" s="10" t="s">
        <v>1436</v>
      </c>
      <c r="N610" s="8" t="s">
        <v>87</v>
      </c>
      <c r="O610" s="10" t="s">
        <v>22</v>
      </c>
      <c r="P610" s="8" t="s">
        <v>5763</v>
      </c>
      <c r="Q610" s="10" t="s">
        <v>223</v>
      </c>
      <c r="R610" s="10" t="s">
        <v>1438</v>
      </c>
      <c r="S610" s="8" t="s">
        <v>5764</v>
      </c>
      <c r="T610" s="10" t="s">
        <v>5642</v>
      </c>
      <c r="U610" s="10" t="s">
        <v>87</v>
      </c>
      <c r="V610" s="10" t="s">
        <v>87</v>
      </c>
    </row>
    <row r="611" spans="1:22" s="10" customFormat="1" x14ac:dyDescent="0.25">
      <c r="A611" s="10" t="s">
        <v>5765</v>
      </c>
      <c r="B611" s="10" t="s">
        <v>5233</v>
      </c>
      <c r="C611" s="10" t="s">
        <v>215</v>
      </c>
      <c r="D611" s="10" t="s">
        <v>5766</v>
      </c>
      <c r="E611" s="8" t="s">
        <v>5767</v>
      </c>
      <c r="F611" s="8" t="s">
        <v>5768</v>
      </c>
      <c r="G611" s="10" t="s">
        <v>2647</v>
      </c>
      <c r="H611" s="8" t="s">
        <v>5769</v>
      </c>
      <c r="I611" s="10" t="s">
        <v>938</v>
      </c>
      <c r="J611" s="8" t="s">
        <v>2862</v>
      </c>
      <c r="K611" s="8" t="s">
        <v>2649</v>
      </c>
      <c r="L611" s="8" t="s">
        <v>87</v>
      </c>
      <c r="M611" s="10" t="s">
        <v>1436</v>
      </c>
      <c r="N611" s="8" t="s">
        <v>87</v>
      </c>
      <c r="O611" s="10" t="s">
        <v>22</v>
      </c>
      <c r="P611" s="8" t="s">
        <v>5770</v>
      </c>
      <c r="Q611" s="10" t="s">
        <v>239</v>
      </c>
      <c r="R611" s="10" t="s">
        <v>1438</v>
      </c>
      <c r="S611" s="8" t="s">
        <v>5771</v>
      </c>
      <c r="T611" s="10" t="s">
        <v>5642</v>
      </c>
      <c r="U611" s="10" t="s">
        <v>87</v>
      </c>
      <c r="V611" s="10" t="s">
        <v>87</v>
      </c>
    </row>
    <row r="612" spans="1:22" s="10" customFormat="1" x14ac:dyDescent="0.25">
      <c r="A612" s="10" t="s">
        <v>5772</v>
      </c>
      <c r="B612" s="10" t="s">
        <v>5233</v>
      </c>
      <c r="C612" s="10" t="s">
        <v>215</v>
      </c>
      <c r="D612" s="10" t="s">
        <v>5773</v>
      </c>
      <c r="E612" s="8" t="s">
        <v>5774</v>
      </c>
      <c r="F612" s="8" t="s">
        <v>4823</v>
      </c>
      <c r="G612" s="10" t="s">
        <v>2647</v>
      </c>
      <c r="H612" s="8" t="s">
        <v>5775</v>
      </c>
      <c r="I612" s="10" t="s">
        <v>5753</v>
      </c>
      <c r="J612" s="8" t="s">
        <v>2862</v>
      </c>
      <c r="K612" s="8" t="s">
        <v>2649</v>
      </c>
      <c r="L612" s="8" t="s">
        <v>87</v>
      </c>
      <c r="M612" s="10" t="s">
        <v>1436</v>
      </c>
      <c r="N612" s="8" t="s">
        <v>87</v>
      </c>
      <c r="O612" s="10" t="s">
        <v>22</v>
      </c>
      <c r="P612" s="8" t="s">
        <v>5776</v>
      </c>
      <c r="Q612" s="10" t="s">
        <v>239</v>
      </c>
      <c r="R612" s="10" t="s">
        <v>1438</v>
      </c>
      <c r="S612" s="8" t="s">
        <v>5777</v>
      </c>
      <c r="T612" s="10" t="s">
        <v>5642</v>
      </c>
      <c r="U612" s="10" t="s">
        <v>87</v>
      </c>
      <c r="V612" s="10" t="s">
        <v>87</v>
      </c>
    </row>
    <row r="613" spans="1:22" s="10" customFormat="1" x14ac:dyDescent="0.25">
      <c r="A613" s="10" t="s">
        <v>5778</v>
      </c>
      <c r="B613" s="10" t="s">
        <v>5233</v>
      </c>
      <c r="C613" s="10" t="s">
        <v>215</v>
      </c>
      <c r="D613" s="10" t="s">
        <v>5779</v>
      </c>
      <c r="E613" s="8" t="s">
        <v>5780</v>
      </c>
      <c r="F613" s="8" t="s">
        <v>5781</v>
      </c>
      <c r="G613" s="10" t="s">
        <v>2647</v>
      </c>
      <c r="H613" s="8" t="s">
        <v>5782</v>
      </c>
      <c r="I613" s="10" t="s">
        <v>5761</v>
      </c>
      <c r="J613" s="8" t="s">
        <v>2862</v>
      </c>
      <c r="K613" s="8" t="s">
        <v>2649</v>
      </c>
      <c r="L613" s="8" t="s">
        <v>87</v>
      </c>
      <c r="M613" s="10" t="s">
        <v>1436</v>
      </c>
      <c r="N613" s="8" t="s">
        <v>87</v>
      </c>
      <c r="O613" s="10" t="s">
        <v>22</v>
      </c>
      <c r="P613" s="8" t="s">
        <v>5783</v>
      </c>
      <c r="Q613" s="10" t="s">
        <v>239</v>
      </c>
      <c r="R613" s="10" t="s">
        <v>1438</v>
      </c>
      <c r="S613" s="8" t="s">
        <v>5784</v>
      </c>
      <c r="T613" s="10" t="s">
        <v>5642</v>
      </c>
      <c r="U613" s="10" t="s">
        <v>87</v>
      </c>
      <c r="V613" s="10" t="s">
        <v>87</v>
      </c>
    </row>
    <row r="614" spans="1:22" s="10" customFormat="1" x14ac:dyDescent="0.25">
      <c r="A614" s="10" t="s">
        <v>5785</v>
      </c>
      <c r="B614" s="10" t="s">
        <v>5233</v>
      </c>
      <c r="C614" s="11" t="s">
        <v>346</v>
      </c>
      <c r="D614" s="10" t="s">
        <v>5786</v>
      </c>
      <c r="E614" s="8" t="s">
        <v>5787</v>
      </c>
      <c r="F614" s="8" t="s">
        <v>5788</v>
      </c>
      <c r="G614" s="10" t="s">
        <v>2647</v>
      </c>
      <c r="H614" s="8" t="s">
        <v>5789</v>
      </c>
      <c r="I614" s="10" t="s">
        <v>5790</v>
      </c>
      <c r="J614" s="8" t="s">
        <v>5791</v>
      </c>
      <c r="K614" s="8" t="s">
        <v>2649</v>
      </c>
      <c r="L614" s="8" t="s">
        <v>87</v>
      </c>
      <c r="M614" s="10" t="s">
        <v>1436</v>
      </c>
      <c r="N614" s="8" t="s">
        <v>87</v>
      </c>
      <c r="O614" s="10" t="s">
        <v>22</v>
      </c>
      <c r="P614" s="8" t="s">
        <v>5792</v>
      </c>
      <c r="Q614" s="10" t="s">
        <v>223</v>
      </c>
      <c r="R614" s="10" t="s">
        <v>1438</v>
      </c>
      <c r="S614" s="8" t="s">
        <v>5793</v>
      </c>
      <c r="T614" s="10" t="s">
        <v>5642</v>
      </c>
      <c r="U614" s="10" t="s">
        <v>87</v>
      </c>
      <c r="V614" s="10" t="s">
        <v>87</v>
      </c>
    </row>
    <row r="615" spans="1:22" s="10" customFormat="1" x14ac:dyDescent="0.25">
      <c r="A615" s="10" t="s">
        <v>5794</v>
      </c>
      <c r="B615" s="10" t="s">
        <v>5233</v>
      </c>
      <c r="C615" s="11" t="s">
        <v>346</v>
      </c>
      <c r="D615" s="10" t="s">
        <v>5795</v>
      </c>
      <c r="E615" s="8" t="s">
        <v>5796</v>
      </c>
      <c r="F615" s="8" t="s">
        <v>5797</v>
      </c>
      <c r="G615" s="10" t="s">
        <v>2647</v>
      </c>
      <c r="H615" s="8" t="s">
        <v>5798</v>
      </c>
      <c r="I615" s="10" t="s">
        <v>5790</v>
      </c>
      <c r="J615" s="8" t="s">
        <v>5791</v>
      </c>
      <c r="K615" s="8" t="s">
        <v>2649</v>
      </c>
      <c r="L615" s="8" t="s">
        <v>87</v>
      </c>
      <c r="M615" s="10" t="s">
        <v>1436</v>
      </c>
      <c r="N615" s="8" t="s">
        <v>87</v>
      </c>
      <c r="O615" s="10" t="s">
        <v>22</v>
      </c>
      <c r="P615" s="8" t="s">
        <v>5799</v>
      </c>
      <c r="Q615" s="10" t="s">
        <v>239</v>
      </c>
      <c r="R615" s="10" t="s">
        <v>1438</v>
      </c>
      <c r="S615" s="8" t="s">
        <v>5800</v>
      </c>
      <c r="T615" s="10" t="s">
        <v>5642</v>
      </c>
      <c r="U615" s="10" t="s">
        <v>87</v>
      </c>
      <c r="V615" s="10" t="s">
        <v>87</v>
      </c>
    </row>
    <row r="616" spans="1:22" s="10" customFormat="1" x14ac:dyDescent="0.25">
      <c r="A616" s="10" t="s">
        <v>5801</v>
      </c>
      <c r="B616" s="10" t="s">
        <v>5233</v>
      </c>
      <c r="C616" s="11" t="s">
        <v>346</v>
      </c>
      <c r="D616" s="10" t="s">
        <v>5802</v>
      </c>
      <c r="E616" s="8" t="s">
        <v>5803</v>
      </c>
      <c r="F616" s="8" t="s">
        <v>5804</v>
      </c>
      <c r="G616" s="10" t="s">
        <v>2647</v>
      </c>
      <c r="H616" s="8" t="s">
        <v>5805</v>
      </c>
      <c r="I616" s="10" t="s">
        <v>5790</v>
      </c>
      <c r="J616" s="8" t="s">
        <v>2862</v>
      </c>
      <c r="K616" s="8" t="s">
        <v>2649</v>
      </c>
      <c r="L616" s="8" t="s">
        <v>87</v>
      </c>
      <c r="M616" s="10" t="s">
        <v>1436</v>
      </c>
      <c r="N616" s="8" t="s">
        <v>87</v>
      </c>
      <c r="O616" s="10" t="s">
        <v>22</v>
      </c>
      <c r="P616" s="8" t="s">
        <v>5806</v>
      </c>
      <c r="Q616" s="10" t="s">
        <v>223</v>
      </c>
      <c r="R616" s="10" t="s">
        <v>1438</v>
      </c>
      <c r="S616" s="8" t="s">
        <v>5807</v>
      </c>
      <c r="T616" s="10" t="s">
        <v>5642</v>
      </c>
      <c r="U616" s="10" t="s">
        <v>87</v>
      </c>
      <c r="V616" s="10" t="s">
        <v>87</v>
      </c>
    </row>
    <row r="617" spans="1:22" s="10" customFormat="1" x14ac:dyDescent="0.25">
      <c r="A617" s="10" t="s">
        <v>5808</v>
      </c>
      <c r="B617" s="10" t="s">
        <v>5233</v>
      </c>
      <c r="C617" s="10" t="s">
        <v>215</v>
      </c>
      <c r="D617" s="10" t="s">
        <v>5809</v>
      </c>
      <c r="E617" s="8" t="s">
        <v>5810</v>
      </c>
      <c r="F617" s="8" t="s">
        <v>5804</v>
      </c>
      <c r="G617" s="10" t="s">
        <v>2647</v>
      </c>
      <c r="H617" s="8" t="s">
        <v>5811</v>
      </c>
      <c r="I617" s="10" t="s">
        <v>5753</v>
      </c>
      <c r="J617" s="8" t="s">
        <v>2862</v>
      </c>
      <c r="K617" s="8" t="s">
        <v>2649</v>
      </c>
      <c r="L617" s="8" t="s">
        <v>87</v>
      </c>
      <c r="M617" s="10" t="s">
        <v>1436</v>
      </c>
      <c r="N617" s="8" t="s">
        <v>87</v>
      </c>
      <c r="O617" s="10" t="s">
        <v>22</v>
      </c>
      <c r="P617" s="8" t="s">
        <v>5812</v>
      </c>
      <c r="Q617" s="10" t="s">
        <v>223</v>
      </c>
      <c r="R617" s="10" t="s">
        <v>1438</v>
      </c>
      <c r="S617" s="8" t="s">
        <v>5813</v>
      </c>
      <c r="T617" s="10" t="s">
        <v>5642</v>
      </c>
      <c r="U617" s="10" t="s">
        <v>87</v>
      </c>
      <c r="V617" s="10" t="s">
        <v>87</v>
      </c>
    </row>
    <row r="618" spans="1:22" s="10" customFormat="1" x14ac:dyDescent="0.25">
      <c r="A618" s="10" t="s">
        <v>5814</v>
      </c>
      <c r="B618" s="10" t="s">
        <v>5233</v>
      </c>
      <c r="C618" s="10" t="s">
        <v>215</v>
      </c>
      <c r="D618" s="10" t="s">
        <v>5815</v>
      </c>
      <c r="E618" s="8" t="s">
        <v>5816</v>
      </c>
      <c r="F618" s="8" t="s">
        <v>5817</v>
      </c>
      <c r="G618" s="10" t="s">
        <v>2647</v>
      </c>
      <c r="H618" s="8" t="s">
        <v>5818</v>
      </c>
      <c r="I618" s="10" t="s">
        <v>5753</v>
      </c>
      <c r="J618" s="8" t="s">
        <v>2862</v>
      </c>
      <c r="K618" s="8" t="s">
        <v>2649</v>
      </c>
      <c r="L618" s="8" t="s">
        <v>87</v>
      </c>
      <c r="M618" s="10" t="s">
        <v>1436</v>
      </c>
      <c r="N618" s="8" t="s">
        <v>87</v>
      </c>
      <c r="O618" s="10" t="s">
        <v>22</v>
      </c>
      <c r="P618" s="8" t="s">
        <v>5819</v>
      </c>
      <c r="Q618" s="10" t="s">
        <v>223</v>
      </c>
      <c r="R618" s="10" t="s">
        <v>1438</v>
      </c>
      <c r="S618" s="8" t="s">
        <v>5820</v>
      </c>
      <c r="T618" s="10" t="s">
        <v>5642</v>
      </c>
      <c r="U618" s="10" t="s">
        <v>87</v>
      </c>
      <c r="V618" s="10" t="s">
        <v>87</v>
      </c>
    </row>
    <row r="619" spans="1:22" s="10" customFormat="1" x14ac:dyDescent="0.25">
      <c r="A619" s="10" t="s">
        <v>5821</v>
      </c>
      <c r="B619" s="10" t="s">
        <v>5233</v>
      </c>
      <c r="C619" s="10" t="s">
        <v>215</v>
      </c>
      <c r="D619" s="10" t="s">
        <v>5822</v>
      </c>
      <c r="E619" s="8" t="s">
        <v>5823</v>
      </c>
      <c r="F619" s="8" t="s">
        <v>5824</v>
      </c>
      <c r="G619" s="10" t="s">
        <v>2647</v>
      </c>
      <c r="H619" s="8" t="s">
        <v>5825</v>
      </c>
      <c r="I619" s="10" t="s">
        <v>5753</v>
      </c>
      <c r="J619" s="8" t="s">
        <v>2862</v>
      </c>
      <c r="K619" s="8" t="s">
        <v>2649</v>
      </c>
      <c r="L619" s="8" t="s">
        <v>87</v>
      </c>
      <c r="M619" s="10" t="s">
        <v>1436</v>
      </c>
      <c r="N619" s="8" t="s">
        <v>87</v>
      </c>
      <c r="O619" s="10" t="s">
        <v>22</v>
      </c>
      <c r="P619" s="8" t="s">
        <v>5826</v>
      </c>
      <c r="Q619" s="10" t="s">
        <v>239</v>
      </c>
      <c r="R619" s="10" t="s">
        <v>1438</v>
      </c>
      <c r="S619" s="8" t="s">
        <v>5827</v>
      </c>
      <c r="T619" s="10" t="s">
        <v>5642</v>
      </c>
      <c r="U619" s="10" t="s">
        <v>87</v>
      </c>
      <c r="V619" s="10" t="s">
        <v>87</v>
      </c>
    </row>
    <row r="620" spans="1:22" s="10" customFormat="1" x14ac:dyDescent="0.25">
      <c r="A620" s="10" t="s">
        <v>5828</v>
      </c>
      <c r="B620" s="10" t="s">
        <v>5233</v>
      </c>
      <c r="C620" s="10" t="s">
        <v>215</v>
      </c>
      <c r="D620" s="10" t="s">
        <v>5829</v>
      </c>
      <c r="E620" s="8" t="s">
        <v>5830</v>
      </c>
      <c r="F620" s="8" t="s">
        <v>5831</v>
      </c>
      <c r="G620" s="10" t="s">
        <v>2647</v>
      </c>
      <c r="H620" s="8" t="s">
        <v>5832</v>
      </c>
      <c r="I620" s="10" t="s">
        <v>938</v>
      </c>
      <c r="J620" s="8" t="s">
        <v>2862</v>
      </c>
      <c r="K620" s="8" t="s">
        <v>2649</v>
      </c>
      <c r="L620" s="8" t="s">
        <v>87</v>
      </c>
      <c r="M620" s="10" t="s">
        <v>1436</v>
      </c>
      <c r="N620" s="8" t="s">
        <v>87</v>
      </c>
      <c r="O620" s="10" t="s">
        <v>22</v>
      </c>
      <c r="P620" s="8" t="s">
        <v>5833</v>
      </c>
      <c r="Q620" s="10" t="s">
        <v>223</v>
      </c>
      <c r="R620" s="10" t="s">
        <v>1438</v>
      </c>
      <c r="S620" s="8" t="s">
        <v>5834</v>
      </c>
      <c r="T620" s="10" t="s">
        <v>5642</v>
      </c>
      <c r="U620" s="10" t="s">
        <v>87</v>
      </c>
      <c r="V620" s="10" t="s">
        <v>87</v>
      </c>
    </row>
    <row r="621" spans="1:22" s="10" customFormat="1" x14ac:dyDescent="0.25">
      <c r="A621" s="10" t="s">
        <v>5835</v>
      </c>
      <c r="B621" s="10" t="s">
        <v>5233</v>
      </c>
      <c r="C621" s="10" t="s">
        <v>215</v>
      </c>
      <c r="D621" s="10" t="s">
        <v>5836</v>
      </c>
      <c r="E621" s="8" t="s">
        <v>5837</v>
      </c>
      <c r="F621" s="8" t="s">
        <v>5838</v>
      </c>
      <c r="G621" s="10" t="s">
        <v>2647</v>
      </c>
      <c r="H621" s="8" t="s">
        <v>5839</v>
      </c>
      <c r="I621" s="10" t="s">
        <v>5761</v>
      </c>
      <c r="J621" s="8" t="s">
        <v>2862</v>
      </c>
      <c r="K621" s="8" t="s">
        <v>2649</v>
      </c>
      <c r="L621" s="8" t="s">
        <v>87</v>
      </c>
      <c r="M621" s="10" t="s">
        <v>1436</v>
      </c>
      <c r="N621" s="8" t="s">
        <v>87</v>
      </c>
      <c r="O621" s="10" t="s">
        <v>22</v>
      </c>
      <c r="P621" s="8" t="s">
        <v>5840</v>
      </c>
      <c r="Q621" s="10" t="s">
        <v>223</v>
      </c>
      <c r="R621" s="10" t="s">
        <v>1438</v>
      </c>
      <c r="S621" s="8" t="s">
        <v>5841</v>
      </c>
      <c r="T621" s="10" t="s">
        <v>5642</v>
      </c>
      <c r="U621" s="10" t="s">
        <v>87</v>
      </c>
      <c r="V621" s="10" t="s">
        <v>87</v>
      </c>
    </row>
    <row r="622" spans="1:22" s="10" customFormat="1" x14ac:dyDescent="0.25">
      <c r="A622" s="10" t="s">
        <v>5842</v>
      </c>
      <c r="B622" s="10" t="s">
        <v>5233</v>
      </c>
      <c r="C622" s="11" t="s">
        <v>346</v>
      </c>
      <c r="D622" s="10" t="s">
        <v>5843</v>
      </c>
      <c r="E622" s="8" t="s">
        <v>5844</v>
      </c>
      <c r="F622" s="8" t="s">
        <v>5845</v>
      </c>
      <c r="G622" s="10" t="s">
        <v>2647</v>
      </c>
      <c r="H622" s="8" t="s">
        <v>5846</v>
      </c>
      <c r="I622" s="10" t="s">
        <v>5847</v>
      </c>
      <c r="J622" s="8" t="s">
        <v>2862</v>
      </c>
      <c r="K622" s="8" t="s">
        <v>2649</v>
      </c>
      <c r="L622" s="8" t="s">
        <v>87</v>
      </c>
      <c r="M622" s="10" t="s">
        <v>1436</v>
      </c>
      <c r="N622" s="8" t="s">
        <v>87</v>
      </c>
      <c r="O622" s="10" t="s">
        <v>22</v>
      </c>
      <c r="P622" s="8" t="s">
        <v>5848</v>
      </c>
      <c r="Q622" s="10" t="s">
        <v>1447</v>
      </c>
      <c r="R622" s="10" t="s">
        <v>1438</v>
      </c>
      <c r="S622" s="8" t="s">
        <v>5849</v>
      </c>
      <c r="T622" s="10" t="s">
        <v>5642</v>
      </c>
      <c r="U622" s="10" t="s">
        <v>87</v>
      </c>
      <c r="V622" s="10" t="s">
        <v>87</v>
      </c>
    </row>
    <row r="623" spans="1:22" s="10" customFormat="1" x14ac:dyDescent="0.25">
      <c r="A623" s="10" t="s">
        <v>5850</v>
      </c>
      <c r="B623" s="10" t="s">
        <v>5233</v>
      </c>
      <c r="C623" s="10" t="s">
        <v>215</v>
      </c>
      <c r="D623" s="10" t="s">
        <v>5851</v>
      </c>
      <c r="E623" s="8" t="s">
        <v>5852</v>
      </c>
      <c r="F623" s="8" t="s">
        <v>5853</v>
      </c>
      <c r="G623" s="10" t="s">
        <v>2647</v>
      </c>
      <c r="H623" s="8" t="s">
        <v>5854</v>
      </c>
      <c r="I623" s="10" t="s">
        <v>5761</v>
      </c>
      <c r="J623" s="8" t="s">
        <v>2862</v>
      </c>
      <c r="K623" s="8" t="s">
        <v>2649</v>
      </c>
      <c r="L623" s="8" t="s">
        <v>87</v>
      </c>
      <c r="M623" s="10" t="s">
        <v>1436</v>
      </c>
      <c r="N623" s="8" t="s">
        <v>87</v>
      </c>
      <c r="O623" s="10" t="s">
        <v>22</v>
      </c>
      <c r="P623" s="8" t="s">
        <v>5855</v>
      </c>
      <c r="Q623" s="10" t="s">
        <v>223</v>
      </c>
      <c r="R623" s="10" t="s">
        <v>1438</v>
      </c>
      <c r="S623" s="8" t="s">
        <v>5856</v>
      </c>
      <c r="T623" s="10" t="s">
        <v>5642</v>
      </c>
      <c r="U623" s="10" t="s">
        <v>87</v>
      </c>
      <c r="V623" s="10" t="s">
        <v>87</v>
      </c>
    </row>
    <row r="624" spans="1:22" s="10" customFormat="1" x14ac:dyDescent="0.25">
      <c r="A624" s="10" t="s">
        <v>5857</v>
      </c>
      <c r="B624" s="10" t="s">
        <v>5233</v>
      </c>
      <c r="C624" s="10" t="s">
        <v>215</v>
      </c>
      <c r="D624" s="10" t="s">
        <v>5858</v>
      </c>
      <c r="E624" s="8" t="s">
        <v>5859</v>
      </c>
      <c r="F624" s="8" t="s">
        <v>5860</v>
      </c>
      <c r="G624" s="10" t="s">
        <v>2647</v>
      </c>
      <c r="H624" s="8" t="s">
        <v>5846</v>
      </c>
      <c r="I624" s="10" t="s">
        <v>5861</v>
      </c>
      <c r="J624" s="8" t="s">
        <v>2862</v>
      </c>
      <c r="K624" s="8" t="s">
        <v>2649</v>
      </c>
      <c r="L624" s="8" t="s">
        <v>87</v>
      </c>
      <c r="M624" s="10" t="s">
        <v>1436</v>
      </c>
      <c r="N624" s="8" t="s">
        <v>87</v>
      </c>
      <c r="O624" s="10" t="s">
        <v>22</v>
      </c>
      <c r="P624" s="8" t="s">
        <v>5862</v>
      </c>
      <c r="Q624" s="10" t="s">
        <v>223</v>
      </c>
      <c r="R624" s="10" t="s">
        <v>1438</v>
      </c>
      <c r="S624" s="8" t="s">
        <v>5863</v>
      </c>
      <c r="T624" s="10" t="s">
        <v>5642</v>
      </c>
      <c r="U624" s="10" t="s">
        <v>87</v>
      </c>
      <c r="V624" s="10" t="s">
        <v>87</v>
      </c>
    </row>
    <row r="625" spans="1:22" s="10" customFormat="1" x14ac:dyDescent="0.25">
      <c r="A625" s="10" t="s">
        <v>5864</v>
      </c>
      <c r="B625" s="10" t="s">
        <v>5233</v>
      </c>
      <c r="C625" s="11" t="s">
        <v>346</v>
      </c>
      <c r="D625" s="10" t="s">
        <v>5865</v>
      </c>
      <c r="E625" s="8" t="s">
        <v>5866</v>
      </c>
      <c r="F625" s="8" t="s">
        <v>5867</v>
      </c>
      <c r="G625" s="10" t="s">
        <v>2647</v>
      </c>
      <c r="H625" s="8" t="s">
        <v>5868</v>
      </c>
      <c r="I625" s="10" t="s">
        <v>938</v>
      </c>
      <c r="J625" s="8" t="s">
        <v>2862</v>
      </c>
      <c r="K625" s="8" t="s">
        <v>2649</v>
      </c>
      <c r="L625" s="8" t="s">
        <v>87</v>
      </c>
      <c r="M625" s="10" t="s">
        <v>1436</v>
      </c>
      <c r="N625" s="8" t="s">
        <v>87</v>
      </c>
      <c r="O625" s="10" t="s">
        <v>22</v>
      </c>
      <c r="P625" s="8" t="s">
        <v>5869</v>
      </c>
      <c r="Q625" s="10" t="s">
        <v>223</v>
      </c>
      <c r="R625" s="10" t="s">
        <v>1438</v>
      </c>
      <c r="S625" s="8" t="s">
        <v>5870</v>
      </c>
      <c r="T625" s="10" t="s">
        <v>5642</v>
      </c>
      <c r="U625" s="10" t="s">
        <v>87</v>
      </c>
      <c r="V625" s="10" t="s">
        <v>87</v>
      </c>
    </row>
    <row r="626" spans="1:22" s="10" customFormat="1" x14ac:dyDescent="0.25">
      <c r="A626" s="10" t="s">
        <v>5871</v>
      </c>
      <c r="B626" s="10" t="s">
        <v>5233</v>
      </c>
      <c r="C626" s="11" t="s">
        <v>346</v>
      </c>
      <c r="D626" s="10" t="s">
        <v>5872</v>
      </c>
      <c r="E626" s="8" t="s">
        <v>5873</v>
      </c>
      <c r="F626" s="8" t="s">
        <v>5874</v>
      </c>
      <c r="G626" s="10" t="s">
        <v>2647</v>
      </c>
      <c r="H626" s="8" t="s">
        <v>1653</v>
      </c>
      <c r="I626" s="10" t="s">
        <v>5875</v>
      </c>
      <c r="J626" s="8" t="s">
        <v>1655</v>
      </c>
      <c r="K626" s="8" t="s">
        <v>2649</v>
      </c>
      <c r="L626" s="8" t="s">
        <v>87</v>
      </c>
      <c r="M626" s="10" t="s">
        <v>1436</v>
      </c>
      <c r="N626" s="8" t="s">
        <v>87</v>
      </c>
      <c r="O626" s="10" t="s">
        <v>22</v>
      </c>
      <c r="P626" s="8" t="s">
        <v>5876</v>
      </c>
      <c r="Q626" s="10" t="s">
        <v>1447</v>
      </c>
      <c r="R626" s="10" t="s">
        <v>1657</v>
      </c>
      <c r="S626" s="8" t="s">
        <v>5877</v>
      </c>
      <c r="T626" s="10" t="s">
        <v>5642</v>
      </c>
      <c r="U626" s="10" t="s">
        <v>87</v>
      </c>
      <c r="V626" s="10" t="s">
        <v>87</v>
      </c>
    </row>
    <row r="627" spans="1:22" s="10" customFormat="1" x14ac:dyDescent="0.25">
      <c r="A627" s="10" t="s">
        <v>5878</v>
      </c>
      <c r="B627" s="10" t="s">
        <v>5233</v>
      </c>
      <c r="C627" s="11" t="s">
        <v>346</v>
      </c>
      <c r="D627" s="10" t="s">
        <v>5879</v>
      </c>
      <c r="E627" s="8" t="s">
        <v>5880</v>
      </c>
      <c r="F627" s="8" t="s">
        <v>1662</v>
      </c>
      <c r="G627" s="10" t="s">
        <v>2647</v>
      </c>
      <c r="H627" s="8" t="s">
        <v>2185</v>
      </c>
      <c r="I627" s="10" t="s">
        <v>5881</v>
      </c>
      <c r="J627" s="8" t="s">
        <v>1664</v>
      </c>
      <c r="K627" s="8" t="s">
        <v>2649</v>
      </c>
      <c r="L627" s="8" t="s">
        <v>87</v>
      </c>
      <c r="M627" s="10" t="s">
        <v>1436</v>
      </c>
      <c r="N627" s="8" t="s">
        <v>87</v>
      </c>
      <c r="O627" s="10" t="s">
        <v>22</v>
      </c>
      <c r="P627" s="8" t="s">
        <v>5882</v>
      </c>
      <c r="Q627" s="10" t="s">
        <v>825</v>
      </c>
      <c r="R627" s="10" t="s">
        <v>2188</v>
      </c>
      <c r="S627" s="8" t="s">
        <v>1669</v>
      </c>
      <c r="T627" s="10" t="s">
        <v>5642</v>
      </c>
      <c r="U627" s="10" t="s">
        <v>87</v>
      </c>
      <c r="V627" s="10" t="s">
        <v>87</v>
      </c>
    </row>
    <row r="628" spans="1:22" s="10" customFormat="1" x14ac:dyDescent="0.25">
      <c r="A628" s="10" t="s">
        <v>5883</v>
      </c>
      <c r="B628" s="10" t="s">
        <v>5233</v>
      </c>
      <c r="C628" s="10" t="s">
        <v>215</v>
      </c>
      <c r="D628" s="10" t="s">
        <v>5884</v>
      </c>
      <c r="E628" s="8" t="s">
        <v>5885</v>
      </c>
      <c r="F628" s="8" t="s">
        <v>5886</v>
      </c>
      <c r="G628" s="10" t="s">
        <v>2647</v>
      </c>
      <c r="H628" s="8" t="s">
        <v>5887</v>
      </c>
      <c r="I628" s="10" t="s">
        <v>5753</v>
      </c>
      <c r="J628" s="8" t="s">
        <v>2862</v>
      </c>
      <c r="K628" s="8" t="s">
        <v>2649</v>
      </c>
      <c r="L628" s="8" t="s">
        <v>87</v>
      </c>
      <c r="M628" s="10" t="s">
        <v>1436</v>
      </c>
      <c r="N628" s="8" t="s">
        <v>87</v>
      </c>
      <c r="O628" s="10" t="s">
        <v>22</v>
      </c>
      <c r="P628" s="8" t="s">
        <v>5888</v>
      </c>
      <c r="Q628" s="10" t="s">
        <v>223</v>
      </c>
      <c r="R628" s="10" t="s">
        <v>1438</v>
      </c>
      <c r="S628" s="8" t="s">
        <v>1648</v>
      </c>
      <c r="T628" s="10" t="s">
        <v>5642</v>
      </c>
      <c r="U628" s="10" t="s">
        <v>87</v>
      </c>
      <c r="V628" s="10" t="s">
        <v>87</v>
      </c>
    </row>
    <row r="629" spans="1:22" s="10" customFormat="1" x14ac:dyDescent="0.25">
      <c r="A629" s="10" t="s">
        <v>5889</v>
      </c>
      <c r="B629" s="10" t="s">
        <v>5233</v>
      </c>
      <c r="C629" s="10" t="s">
        <v>215</v>
      </c>
      <c r="D629" s="10" t="s">
        <v>5890</v>
      </c>
      <c r="E629" s="8" t="s">
        <v>5891</v>
      </c>
      <c r="F629" s="8" t="s">
        <v>5892</v>
      </c>
      <c r="G629" s="10" t="s">
        <v>4</v>
      </c>
      <c r="H629" s="8" t="s">
        <v>5893</v>
      </c>
      <c r="I629" s="10" t="s">
        <v>5894</v>
      </c>
      <c r="J629" s="8" t="s">
        <v>2862</v>
      </c>
      <c r="K629" s="8" t="s">
        <v>5895</v>
      </c>
      <c r="L629" s="8" t="s">
        <v>87</v>
      </c>
      <c r="M629" s="10" t="s">
        <v>1456</v>
      </c>
      <c r="N629" s="8" t="s">
        <v>87</v>
      </c>
      <c r="O629" s="10" t="s">
        <v>22</v>
      </c>
      <c r="P629" s="8" t="s">
        <v>5896</v>
      </c>
      <c r="Q629" s="10" t="s">
        <v>223</v>
      </c>
      <c r="R629" s="10" t="s">
        <v>1438</v>
      </c>
      <c r="S629" s="8" t="s">
        <v>5897</v>
      </c>
      <c r="T629" s="10" t="s">
        <v>5898</v>
      </c>
      <c r="U629" s="10" t="s">
        <v>87</v>
      </c>
      <c r="V629" s="10" t="s">
        <v>87</v>
      </c>
    </row>
    <row r="630" spans="1:22" s="10" customFormat="1" x14ac:dyDescent="0.25">
      <c r="A630" s="10" t="s">
        <v>5899</v>
      </c>
      <c r="B630" s="10" t="s">
        <v>5233</v>
      </c>
      <c r="C630" s="11" t="s">
        <v>346</v>
      </c>
      <c r="D630" s="10" t="s">
        <v>5900</v>
      </c>
      <c r="E630" s="8" t="s">
        <v>5901</v>
      </c>
      <c r="F630" s="8" t="s">
        <v>5902</v>
      </c>
      <c r="G630" s="10" t="s">
        <v>4</v>
      </c>
      <c r="H630" s="8" t="s">
        <v>5903</v>
      </c>
      <c r="I630" s="10" t="s">
        <v>5904</v>
      </c>
      <c r="J630" s="8" t="s">
        <v>2862</v>
      </c>
      <c r="K630" s="8" t="s">
        <v>5905</v>
      </c>
      <c r="L630" s="8" t="s">
        <v>87</v>
      </c>
      <c r="M630" s="10" t="s">
        <v>1456</v>
      </c>
      <c r="N630" s="8" t="s">
        <v>87</v>
      </c>
      <c r="O630" s="10" t="s">
        <v>22</v>
      </c>
      <c r="P630" s="8" t="s">
        <v>5906</v>
      </c>
      <c r="Q630" s="10" t="s">
        <v>223</v>
      </c>
      <c r="R630" s="10" t="s">
        <v>1438</v>
      </c>
      <c r="S630" s="8" t="s">
        <v>5907</v>
      </c>
      <c r="T630" s="10" t="s">
        <v>5898</v>
      </c>
      <c r="U630" s="10" t="s">
        <v>87</v>
      </c>
      <c r="V630" s="10" t="s">
        <v>87</v>
      </c>
    </row>
    <row r="631" spans="1:22" s="10" customFormat="1" x14ac:dyDescent="0.25">
      <c r="A631" s="10" t="s">
        <v>5908</v>
      </c>
      <c r="B631" s="10" t="s">
        <v>5233</v>
      </c>
      <c r="C631" s="10" t="s">
        <v>215</v>
      </c>
      <c r="D631" s="10" t="s">
        <v>5909</v>
      </c>
      <c r="E631" s="8" t="s">
        <v>5910</v>
      </c>
      <c r="F631" s="8" t="s">
        <v>5911</v>
      </c>
      <c r="G631" s="10" t="s">
        <v>4</v>
      </c>
      <c r="H631" s="8" t="s">
        <v>3494</v>
      </c>
      <c r="I631" s="10" t="s">
        <v>5912</v>
      </c>
      <c r="J631" s="8" t="s">
        <v>2862</v>
      </c>
      <c r="K631" s="8" t="s">
        <v>5905</v>
      </c>
      <c r="L631" s="8" t="s">
        <v>87</v>
      </c>
      <c r="M631" s="10" t="s">
        <v>1456</v>
      </c>
      <c r="N631" s="8" t="s">
        <v>87</v>
      </c>
      <c r="O631" s="10" t="s">
        <v>22</v>
      </c>
      <c r="P631" s="8" t="s">
        <v>5913</v>
      </c>
      <c r="Q631" s="10" t="s">
        <v>239</v>
      </c>
      <c r="R631" s="10" t="s">
        <v>1438</v>
      </c>
      <c r="S631" s="8" t="s">
        <v>5914</v>
      </c>
      <c r="T631" s="10" t="s">
        <v>5898</v>
      </c>
      <c r="U631" s="10" t="s">
        <v>87</v>
      </c>
      <c r="V631" s="10" t="s">
        <v>87</v>
      </c>
    </row>
    <row r="632" spans="1:22" s="10" customFormat="1" x14ac:dyDescent="0.25">
      <c r="A632" s="10" t="s">
        <v>5915</v>
      </c>
      <c r="B632" s="10" t="s">
        <v>5233</v>
      </c>
      <c r="C632" s="10" t="s">
        <v>215</v>
      </c>
      <c r="D632" s="10" t="s">
        <v>5916</v>
      </c>
      <c r="E632" s="8" t="s">
        <v>5917</v>
      </c>
      <c r="F632" s="8" t="s">
        <v>5911</v>
      </c>
      <c r="G632" s="10" t="s">
        <v>4</v>
      </c>
      <c r="H632" s="8" t="s">
        <v>5918</v>
      </c>
      <c r="I632" s="10" t="s">
        <v>1000</v>
      </c>
      <c r="J632" s="8" t="s">
        <v>2862</v>
      </c>
      <c r="K632" s="8" t="s">
        <v>5905</v>
      </c>
      <c r="L632" s="8" t="s">
        <v>87</v>
      </c>
      <c r="M632" s="10" t="s">
        <v>1456</v>
      </c>
      <c r="N632" s="8" t="s">
        <v>87</v>
      </c>
      <c r="O632" s="10" t="s">
        <v>22</v>
      </c>
      <c r="P632" s="8" t="s">
        <v>5919</v>
      </c>
      <c r="Q632" s="10" t="s">
        <v>239</v>
      </c>
      <c r="R632" s="10" t="s">
        <v>1438</v>
      </c>
      <c r="S632" s="8" t="s">
        <v>5920</v>
      </c>
      <c r="T632" s="10" t="s">
        <v>5898</v>
      </c>
      <c r="U632" s="10" t="s">
        <v>87</v>
      </c>
      <c r="V632" s="10" t="s">
        <v>87</v>
      </c>
    </row>
    <row r="633" spans="1:22" s="10" customFormat="1" x14ac:dyDescent="0.25">
      <c r="A633" s="10" t="s">
        <v>5921</v>
      </c>
      <c r="B633" s="10" t="s">
        <v>5233</v>
      </c>
      <c r="C633" s="10" t="s">
        <v>215</v>
      </c>
      <c r="D633" s="10" t="s">
        <v>5922</v>
      </c>
      <c r="E633" s="8" t="s">
        <v>5923</v>
      </c>
      <c r="F633" s="8" t="s">
        <v>5924</v>
      </c>
      <c r="G633" s="10" t="s">
        <v>4</v>
      </c>
      <c r="H633" s="8" t="s">
        <v>5925</v>
      </c>
      <c r="I633" s="10" t="s">
        <v>5926</v>
      </c>
      <c r="J633" s="8" t="s">
        <v>2862</v>
      </c>
      <c r="K633" s="8" t="s">
        <v>5905</v>
      </c>
      <c r="L633" s="8" t="s">
        <v>87</v>
      </c>
      <c r="M633" s="10" t="s">
        <v>1456</v>
      </c>
      <c r="N633" s="8" t="s">
        <v>87</v>
      </c>
      <c r="O633" s="10" t="s">
        <v>22</v>
      </c>
      <c r="P633" s="8" t="s">
        <v>5927</v>
      </c>
      <c r="Q633" s="10" t="s">
        <v>239</v>
      </c>
      <c r="R633" s="10" t="s">
        <v>1438</v>
      </c>
      <c r="S633" s="8" t="s">
        <v>5928</v>
      </c>
      <c r="T633" s="10" t="s">
        <v>5898</v>
      </c>
      <c r="U633" s="10" t="s">
        <v>87</v>
      </c>
      <c r="V633" s="10" t="s">
        <v>87</v>
      </c>
    </row>
    <row r="634" spans="1:22" s="10" customFormat="1" x14ac:dyDescent="0.25">
      <c r="A634" s="10" t="s">
        <v>5929</v>
      </c>
      <c r="B634" s="10" t="s">
        <v>5233</v>
      </c>
      <c r="C634" s="10" t="s">
        <v>215</v>
      </c>
      <c r="D634" s="10" t="s">
        <v>5930</v>
      </c>
      <c r="E634" s="8" t="s">
        <v>5931</v>
      </c>
      <c r="F634" s="8" t="s">
        <v>5932</v>
      </c>
      <c r="G634" s="10" t="s">
        <v>4</v>
      </c>
      <c r="H634" s="8" t="s">
        <v>5933</v>
      </c>
      <c r="I634" s="10" t="s">
        <v>5934</v>
      </c>
      <c r="J634" s="8" t="s">
        <v>2862</v>
      </c>
      <c r="K634" s="8" t="s">
        <v>1873</v>
      </c>
      <c r="L634" s="8" t="s">
        <v>87</v>
      </c>
      <c r="M634" s="10" t="s">
        <v>1456</v>
      </c>
      <c r="N634" s="8" t="s">
        <v>87</v>
      </c>
      <c r="O634" s="10" t="s">
        <v>22</v>
      </c>
      <c r="P634" s="8" t="s">
        <v>5935</v>
      </c>
      <c r="Q634" s="10" t="s">
        <v>223</v>
      </c>
      <c r="R634" s="10" t="s">
        <v>1438</v>
      </c>
      <c r="S634" s="8" t="s">
        <v>5936</v>
      </c>
      <c r="T634" s="10" t="s">
        <v>5898</v>
      </c>
      <c r="U634" s="10" t="s">
        <v>87</v>
      </c>
      <c r="V634" s="10" t="s">
        <v>87</v>
      </c>
    </row>
    <row r="635" spans="1:22" s="10" customFormat="1" x14ac:dyDescent="0.25">
      <c r="A635" s="10" t="s">
        <v>5937</v>
      </c>
      <c r="B635" s="10" t="s">
        <v>5233</v>
      </c>
      <c r="C635" s="10" t="s">
        <v>384</v>
      </c>
      <c r="D635" s="10" t="s">
        <v>5938</v>
      </c>
      <c r="E635" s="8" t="s">
        <v>5939</v>
      </c>
      <c r="F635" s="8" t="s">
        <v>5940</v>
      </c>
      <c r="G635" s="10" t="s">
        <v>4</v>
      </c>
      <c r="H635" s="8" t="s">
        <v>5941</v>
      </c>
      <c r="I635" s="10" t="s">
        <v>5942</v>
      </c>
      <c r="J635" s="8" t="s">
        <v>2862</v>
      </c>
      <c r="K635" s="8" t="s">
        <v>5943</v>
      </c>
      <c r="L635" s="8" t="s">
        <v>87</v>
      </c>
      <c r="M635" s="10" t="s">
        <v>1456</v>
      </c>
      <c r="N635" s="8" t="s">
        <v>87</v>
      </c>
      <c r="O635" s="10" t="s">
        <v>22</v>
      </c>
      <c r="P635" s="8" t="s">
        <v>5944</v>
      </c>
      <c r="Q635" s="10" t="s">
        <v>223</v>
      </c>
      <c r="R635" s="10" t="s">
        <v>1438</v>
      </c>
      <c r="S635" s="8" t="s">
        <v>2492</v>
      </c>
      <c r="T635" s="10" t="s">
        <v>5898</v>
      </c>
      <c r="U635" s="10" t="s">
        <v>87</v>
      </c>
      <c r="V635" s="10" t="s">
        <v>87</v>
      </c>
    </row>
    <row r="636" spans="1:22" s="10" customFormat="1" x14ac:dyDescent="0.25">
      <c r="A636" s="10" t="s">
        <v>5945</v>
      </c>
      <c r="B636" s="10" t="s">
        <v>5233</v>
      </c>
      <c r="C636" s="11" t="s">
        <v>346</v>
      </c>
      <c r="D636" s="10" t="s">
        <v>5946</v>
      </c>
      <c r="E636" s="8" t="s">
        <v>5947</v>
      </c>
      <c r="F636" s="8" t="s">
        <v>5948</v>
      </c>
      <c r="G636" s="10" t="s">
        <v>4</v>
      </c>
      <c r="H636" s="8" t="s">
        <v>5949</v>
      </c>
      <c r="I636" s="10" t="s">
        <v>5950</v>
      </c>
      <c r="J636" s="8" t="s">
        <v>2862</v>
      </c>
      <c r="K636" s="8" t="s">
        <v>5905</v>
      </c>
      <c r="L636" s="8" t="s">
        <v>87</v>
      </c>
      <c r="M636" s="10" t="s">
        <v>1456</v>
      </c>
      <c r="N636" s="8" t="s">
        <v>87</v>
      </c>
      <c r="O636" s="10" t="s">
        <v>22</v>
      </c>
      <c r="P636" s="8" t="s">
        <v>5951</v>
      </c>
      <c r="Q636" s="10" t="s">
        <v>1447</v>
      </c>
      <c r="R636" s="10" t="s">
        <v>1438</v>
      </c>
      <c r="S636" s="8" t="s">
        <v>5952</v>
      </c>
      <c r="T636" s="10" t="s">
        <v>5898</v>
      </c>
      <c r="U636" s="10" t="s">
        <v>87</v>
      </c>
      <c r="V636" s="10" t="s">
        <v>87</v>
      </c>
    </row>
    <row r="637" spans="1:22" s="10" customFormat="1" x14ac:dyDescent="0.25">
      <c r="A637" s="10" t="s">
        <v>5953</v>
      </c>
      <c r="B637" s="10" t="s">
        <v>5233</v>
      </c>
      <c r="C637" s="11" t="s">
        <v>346</v>
      </c>
      <c r="D637" s="10" t="s">
        <v>5954</v>
      </c>
      <c r="E637" s="8" t="s">
        <v>5955</v>
      </c>
      <c r="F637" s="8" t="s">
        <v>5956</v>
      </c>
      <c r="G637" s="10" t="s">
        <v>4</v>
      </c>
      <c r="H637" s="8" t="s">
        <v>1653</v>
      </c>
      <c r="I637" s="10" t="s">
        <v>5957</v>
      </c>
      <c r="J637" s="8" t="s">
        <v>1655</v>
      </c>
      <c r="K637" s="8" t="s">
        <v>1873</v>
      </c>
      <c r="L637" s="8" t="s">
        <v>87</v>
      </c>
      <c r="M637" s="10" t="s">
        <v>1456</v>
      </c>
      <c r="N637" s="8" t="s">
        <v>87</v>
      </c>
      <c r="O637" s="10" t="s">
        <v>22</v>
      </c>
      <c r="P637" s="8" t="s">
        <v>5958</v>
      </c>
      <c r="Q637" s="10" t="s">
        <v>1447</v>
      </c>
      <c r="R637" s="10" t="s">
        <v>1657</v>
      </c>
      <c r="S637" s="8" t="s">
        <v>5959</v>
      </c>
      <c r="T637" s="10" t="s">
        <v>5898</v>
      </c>
      <c r="U637" s="10" t="s">
        <v>87</v>
      </c>
      <c r="V637" s="10" t="s">
        <v>87</v>
      </c>
    </row>
    <row r="638" spans="1:22" s="10" customFormat="1" x14ac:dyDescent="0.25">
      <c r="A638" s="10" t="s">
        <v>5960</v>
      </c>
      <c r="B638" s="10" t="s">
        <v>5233</v>
      </c>
      <c r="C638" s="10" t="s">
        <v>215</v>
      </c>
      <c r="D638" s="10" t="s">
        <v>5961</v>
      </c>
      <c r="E638" s="8" t="s">
        <v>5962</v>
      </c>
      <c r="F638" s="8" t="s">
        <v>5963</v>
      </c>
      <c r="G638" s="10" t="s">
        <v>4</v>
      </c>
      <c r="H638" s="8" t="s">
        <v>5893</v>
      </c>
      <c r="I638" s="10" t="s">
        <v>1000</v>
      </c>
      <c r="J638" s="8" t="s">
        <v>2862</v>
      </c>
      <c r="K638" s="8" t="s">
        <v>5964</v>
      </c>
      <c r="L638" s="8" t="s">
        <v>87</v>
      </c>
      <c r="M638" s="10" t="s">
        <v>1456</v>
      </c>
      <c r="N638" s="8" t="s">
        <v>87</v>
      </c>
      <c r="O638" s="10" t="s">
        <v>22</v>
      </c>
      <c r="P638" s="8" t="s">
        <v>5965</v>
      </c>
      <c r="Q638" s="10" t="s">
        <v>223</v>
      </c>
      <c r="R638" s="10" t="s">
        <v>1438</v>
      </c>
      <c r="S638" s="8" t="s">
        <v>1648</v>
      </c>
      <c r="T638" s="10" t="s">
        <v>5898</v>
      </c>
      <c r="U638" s="10" t="s">
        <v>87</v>
      </c>
      <c r="V638" s="10" t="s">
        <v>87</v>
      </c>
    </row>
    <row r="639" spans="1:22" s="10" customFormat="1" x14ac:dyDescent="0.25">
      <c r="A639" s="10" t="s">
        <v>5966</v>
      </c>
      <c r="B639" s="10" t="s">
        <v>5233</v>
      </c>
      <c r="C639" s="10" t="s">
        <v>215</v>
      </c>
      <c r="D639" s="10" t="s">
        <v>5967</v>
      </c>
      <c r="E639" s="8" t="s">
        <v>5968</v>
      </c>
      <c r="F639" s="8" t="s">
        <v>5969</v>
      </c>
      <c r="G639" s="10" t="s">
        <v>4</v>
      </c>
      <c r="H639" s="8" t="s">
        <v>5970</v>
      </c>
      <c r="I639" s="10" t="s">
        <v>5971</v>
      </c>
      <c r="J639" s="8" t="s">
        <v>2862</v>
      </c>
      <c r="K639" s="8" t="s">
        <v>1873</v>
      </c>
      <c r="L639" s="8" t="s">
        <v>87</v>
      </c>
      <c r="M639" s="10" t="s">
        <v>1436</v>
      </c>
      <c r="N639" s="8" t="s">
        <v>87</v>
      </c>
      <c r="O639" s="10" t="s">
        <v>22</v>
      </c>
      <c r="P639" s="8" t="s">
        <v>5972</v>
      </c>
      <c r="Q639" s="10" t="s">
        <v>223</v>
      </c>
      <c r="R639" s="10" t="s">
        <v>1438</v>
      </c>
      <c r="S639" s="8" t="s">
        <v>5973</v>
      </c>
      <c r="T639" s="10" t="s">
        <v>5898</v>
      </c>
      <c r="U639" s="10" t="s">
        <v>87</v>
      </c>
      <c r="V639" s="10" t="s">
        <v>87</v>
      </c>
    </row>
    <row r="640" spans="1:22" s="10" customFormat="1" x14ac:dyDescent="0.25">
      <c r="A640" s="10" t="s">
        <v>5974</v>
      </c>
      <c r="B640" s="10" t="s">
        <v>5233</v>
      </c>
      <c r="C640" s="11" t="s">
        <v>346</v>
      </c>
      <c r="D640" s="10" t="s">
        <v>5975</v>
      </c>
      <c r="E640" s="8" t="s">
        <v>5976</v>
      </c>
      <c r="F640" s="8" t="s">
        <v>5977</v>
      </c>
      <c r="G640" s="10" t="s">
        <v>2647</v>
      </c>
      <c r="H640" s="8" t="s">
        <v>5978</v>
      </c>
      <c r="I640" s="10" t="s">
        <v>5979</v>
      </c>
      <c r="J640" s="8" t="s">
        <v>2862</v>
      </c>
      <c r="K640" s="8" t="s">
        <v>2649</v>
      </c>
      <c r="L640" s="8" t="s">
        <v>87</v>
      </c>
      <c r="M640" s="10" t="s">
        <v>1436</v>
      </c>
      <c r="N640" s="8" t="s">
        <v>87</v>
      </c>
      <c r="O640" s="10" t="s">
        <v>22</v>
      </c>
      <c r="P640" s="8" t="s">
        <v>5980</v>
      </c>
      <c r="Q640" s="10" t="s">
        <v>223</v>
      </c>
      <c r="R640" s="10" t="s">
        <v>1438</v>
      </c>
      <c r="S640" s="8" t="s">
        <v>5981</v>
      </c>
      <c r="T640" s="10" t="s">
        <v>5898</v>
      </c>
      <c r="U640" s="10" t="s">
        <v>87</v>
      </c>
      <c r="V640" s="10" t="s">
        <v>87</v>
      </c>
    </row>
    <row r="641" spans="1:22" s="10" customFormat="1" x14ac:dyDescent="0.25">
      <c r="A641" s="10" t="s">
        <v>5982</v>
      </c>
      <c r="B641" s="10" t="s">
        <v>5233</v>
      </c>
      <c r="C641" s="10" t="s">
        <v>215</v>
      </c>
      <c r="D641" s="10" t="s">
        <v>5983</v>
      </c>
      <c r="E641" s="8" t="s">
        <v>5984</v>
      </c>
      <c r="F641" s="8" t="s">
        <v>4823</v>
      </c>
      <c r="G641" s="10" t="s">
        <v>2647</v>
      </c>
      <c r="H641" s="8" t="s">
        <v>5985</v>
      </c>
      <c r="I641" s="10" t="s">
        <v>5986</v>
      </c>
      <c r="J641" s="8" t="s">
        <v>2862</v>
      </c>
      <c r="K641" s="8" t="s">
        <v>2649</v>
      </c>
      <c r="L641" s="8" t="s">
        <v>87</v>
      </c>
      <c r="M641" s="10" t="s">
        <v>1436</v>
      </c>
      <c r="N641" s="8" t="s">
        <v>87</v>
      </c>
      <c r="O641" s="10" t="s">
        <v>22</v>
      </c>
      <c r="P641" s="8" t="s">
        <v>5987</v>
      </c>
      <c r="Q641" s="10" t="s">
        <v>239</v>
      </c>
      <c r="R641" s="10" t="s">
        <v>1438</v>
      </c>
      <c r="S641" s="8" t="s">
        <v>5988</v>
      </c>
      <c r="T641" s="10" t="s">
        <v>5898</v>
      </c>
      <c r="U641" s="10" t="s">
        <v>87</v>
      </c>
      <c r="V641" s="10" t="s">
        <v>87</v>
      </c>
    </row>
    <row r="642" spans="1:22" s="10" customFormat="1" x14ac:dyDescent="0.25">
      <c r="A642" s="10" t="s">
        <v>5989</v>
      </c>
      <c r="B642" s="10" t="s">
        <v>5233</v>
      </c>
      <c r="C642" s="11" t="s">
        <v>346</v>
      </c>
      <c r="D642" s="10" t="s">
        <v>5990</v>
      </c>
      <c r="E642" s="8" t="s">
        <v>5991</v>
      </c>
      <c r="F642" s="8" t="s">
        <v>5992</v>
      </c>
      <c r="G642" s="10" t="s">
        <v>2647</v>
      </c>
      <c r="H642" s="8" t="s">
        <v>5993</v>
      </c>
      <c r="I642" s="10" t="s">
        <v>5994</v>
      </c>
      <c r="J642" s="8" t="s">
        <v>2862</v>
      </c>
      <c r="K642" s="8" t="s">
        <v>2649</v>
      </c>
      <c r="L642" s="8" t="s">
        <v>87</v>
      </c>
      <c r="M642" s="10" t="s">
        <v>1436</v>
      </c>
      <c r="N642" s="8" t="s">
        <v>87</v>
      </c>
      <c r="O642" s="10" t="s">
        <v>22</v>
      </c>
      <c r="P642" s="8" t="s">
        <v>5995</v>
      </c>
      <c r="Q642" s="10" t="s">
        <v>239</v>
      </c>
      <c r="R642" s="10" t="s">
        <v>1438</v>
      </c>
      <c r="S642" s="8" t="s">
        <v>5996</v>
      </c>
      <c r="T642" s="10" t="s">
        <v>5898</v>
      </c>
      <c r="U642" s="10" t="s">
        <v>87</v>
      </c>
      <c r="V642" s="10" t="s">
        <v>87</v>
      </c>
    </row>
    <row r="643" spans="1:22" s="10" customFormat="1" x14ac:dyDescent="0.25">
      <c r="A643" s="10" t="s">
        <v>5997</v>
      </c>
      <c r="B643" s="10" t="s">
        <v>5233</v>
      </c>
      <c r="C643" s="10" t="s">
        <v>215</v>
      </c>
      <c r="D643" s="10" t="s">
        <v>5998</v>
      </c>
      <c r="E643" s="8" t="s">
        <v>5999</v>
      </c>
      <c r="F643" s="8" t="s">
        <v>6000</v>
      </c>
      <c r="G643" s="10" t="s">
        <v>2647</v>
      </c>
      <c r="H643" s="8" t="s">
        <v>6001</v>
      </c>
      <c r="I643" s="10" t="s">
        <v>6002</v>
      </c>
      <c r="J643" s="8" t="s">
        <v>2862</v>
      </c>
      <c r="K643" s="8" t="s">
        <v>2649</v>
      </c>
      <c r="L643" s="8" t="s">
        <v>87</v>
      </c>
      <c r="M643" s="10" t="s">
        <v>1436</v>
      </c>
      <c r="N643" s="8" t="s">
        <v>87</v>
      </c>
      <c r="O643" s="10" t="s">
        <v>22</v>
      </c>
      <c r="P643" s="8" t="s">
        <v>6003</v>
      </c>
      <c r="Q643" s="10" t="s">
        <v>223</v>
      </c>
      <c r="R643" s="10" t="s">
        <v>1438</v>
      </c>
      <c r="S643" s="8" t="s">
        <v>6004</v>
      </c>
      <c r="T643" s="10" t="s">
        <v>5898</v>
      </c>
      <c r="U643" s="10" t="s">
        <v>87</v>
      </c>
      <c r="V643" s="10" t="s">
        <v>87</v>
      </c>
    </row>
    <row r="644" spans="1:22" s="10" customFormat="1" x14ac:dyDescent="0.25">
      <c r="A644" s="10" t="s">
        <v>6005</v>
      </c>
      <c r="B644" s="10" t="s">
        <v>5233</v>
      </c>
      <c r="C644" s="11" t="s">
        <v>346</v>
      </c>
      <c r="D644" s="10" t="s">
        <v>6006</v>
      </c>
      <c r="E644" s="8" t="s">
        <v>6007</v>
      </c>
      <c r="F644" s="8" t="s">
        <v>6008</v>
      </c>
      <c r="G644" s="10" t="s">
        <v>2647</v>
      </c>
      <c r="H644" s="8" t="s">
        <v>6009</v>
      </c>
      <c r="I644" s="10" t="s">
        <v>6010</v>
      </c>
      <c r="J644" s="8" t="s">
        <v>2862</v>
      </c>
      <c r="K644" s="8" t="s">
        <v>2649</v>
      </c>
      <c r="L644" s="8" t="s">
        <v>87</v>
      </c>
      <c r="M644" s="10" t="s">
        <v>1436</v>
      </c>
      <c r="N644" s="8" t="s">
        <v>87</v>
      </c>
      <c r="O644" s="10" t="s">
        <v>22</v>
      </c>
      <c r="P644" s="8" t="s">
        <v>6011</v>
      </c>
      <c r="Q644" s="10" t="s">
        <v>1447</v>
      </c>
      <c r="R644" s="10" t="s">
        <v>1438</v>
      </c>
      <c r="S644" s="8" t="s">
        <v>6012</v>
      </c>
      <c r="T644" s="10" t="s">
        <v>5898</v>
      </c>
      <c r="U644" s="10" t="s">
        <v>87</v>
      </c>
      <c r="V644" s="10" t="s">
        <v>87</v>
      </c>
    </row>
    <row r="645" spans="1:22" s="10" customFormat="1" x14ac:dyDescent="0.25">
      <c r="A645" s="10" t="s">
        <v>6013</v>
      </c>
      <c r="B645" s="10" t="s">
        <v>5233</v>
      </c>
      <c r="C645" s="11" t="s">
        <v>346</v>
      </c>
      <c r="D645" s="10" t="s">
        <v>6014</v>
      </c>
      <c r="E645" s="8" t="s">
        <v>6015</v>
      </c>
      <c r="F645" s="8" t="s">
        <v>6016</v>
      </c>
      <c r="G645" s="10" t="s">
        <v>2647</v>
      </c>
      <c r="H645" s="8" t="s">
        <v>1653</v>
      </c>
      <c r="I645" s="10" t="s">
        <v>6017</v>
      </c>
      <c r="J645" s="8" t="s">
        <v>1655</v>
      </c>
      <c r="K645" s="8" t="s">
        <v>2649</v>
      </c>
      <c r="L645" s="8" t="s">
        <v>87</v>
      </c>
      <c r="M645" s="10" t="s">
        <v>1436</v>
      </c>
      <c r="N645" s="8" t="s">
        <v>87</v>
      </c>
      <c r="O645" s="10" t="s">
        <v>22</v>
      </c>
      <c r="P645" s="8" t="s">
        <v>6018</v>
      </c>
      <c r="Q645" s="10" t="s">
        <v>1447</v>
      </c>
      <c r="R645" s="10" t="s">
        <v>1657</v>
      </c>
      <c r="S645" s="8" t="s">
        <v>6019</v>
      </c>
      <c r="T645" s="10" t="s">
        <v>5898</v>
      </c>
      <c r="U645" s="10" t="s">
        <v>87</v>
      </c>
      <c r="V645" s="10" t="s">
        <v>87</v>
      </c>
    </row>
    <row r="646" spans="1:22" s="10" customFormat="1" x14ac:dyDescent="0.25">
      <c r="A646" s="10" t="s">
        <v>6020</v>
      </c>
      <c r="B646" s="10" t="s">
        <v>5233</v>
      </c>
      <c r="C646" s="10" t="s">
        <v>215</v>
      </c>
      <c r="D646" s="10" t="s">
        <v>6021</v>
      </c>
      <c r="E646" s="8" t="s">
        <v>6022</v>
      </c>
      <c r="F646" s="8" t="s">
        <v>6023</v>
      </c>
      <c r="G646" s="10" t="s">
        <v>2647</v>
      </c>
      <c r="H646" s="8" t="s">
        <v>5970</v>
      </c>
      <c r="I646" s="10" t="s">
        <v>5986</v>
      </c>
      <c r="J646" s="8" t="s">
        <v>2862</v>
      </c>
      <c r="K646" s="8" t="s">
        <v>2649</v>
      </c>
      <c r="L646" s="8" t="s">
        <v>87</v>
      </c>
      <c r="M646" s="10" t="s">
        <v>1436</v>
      </c>
      <c r="N646" s="8" t="s">
        <v>87</v>
      </c>
      <c r="O646" s="10" t="s">
        <v>22</v>
      </c>
      <c r="P646" s="8" t="s">
        <v>6024</v>
      </c>
      <c r="Q646" s="10" t="s">
        <v>223</v>
      </c>
      <c r="R646" s="10" t="s">
        <v>1438</v>
      </c>
      <c r="S646" s="8" t="s">
        <v>6025</v>
      </c>
      <c r="T646" s="10" t="s">
        <v>5898</v>
      </c>
      <c r="U646" s="10" t="s">
        <v>87</v>
      </c>
      <c r="V646" s="10" t="s">
        <v>87</v>
      </c>
    </row>
    <row r="647" spans="1:22" s="10" customFormat="1" x14ac:dyDescent="0.25">
      <c r="A647" s="10" t="s">
        <v>6026</v>
      </c>
      <c r="B647" s="10" t="s">
        <v>5233</v>
      </c>
      <c r="C647" s="10" t="s">
        <v>215</v>
      </c>
      <c r="D647" s="10" t="s">
        <v>6027</v>
      </c>
      <c r="E647" s="8" t="s">
        <v>6028</v>
      </c>
      <c r="F647" s="8" t="s">
        <v>6029</v>
      </c>
      <c r="G647" s="10" t="s">
        <v>3</v>
      </c>
      <c r="H647" s="8" t="s">
        <v>6030</v>
      </c>
      <c r="I647" s="10" t="s">
        <v>6031</v>
      </c>
      <c r="J647" s="8" t="s">
        <v>2862</v>
      </c>
      <c r="K647" s="8" t="s">
        <v>1435</v>
      </c>
      <c r="L647" s="8" t="s">
        <v>87</v>
      </c>
      <c r="M647" s="10" t="s">
        <v>1436</v>
      </c>
      <c r="N647" s="8" t="s">
        <v>87</v>
      </c>
      <c r="O647" s="10" t="s">
        <v>22</v>
      </c>
      <c r="P647" s="8" t="s">
        <v>6032</v>
      </c>
      <c r="Q647" s="10" t="s">
        <v>223</v>
      </c>
      <c r="R647" s="10" t="s">
        <v>1438</v>
      </c>
      <c r="S647" s="8" t="s">
        <v>6033</v>
      </c>
      <c r="T647" s="10" t="s">
        <v>5898</v>
      </c>
      <c r="U647" s="10" t="s">
        <v>87</v>
      </c>
      <c r="V647" s="10" t="s">
        <v>87</v>
      </c>
    </row>
    <row r="648" spans="1:22" s="10" customFormat="1" x14ac:dyDescent="0.25">
      <c r="A648" s="10" t="s">
        <v>6034</v>
      </c>
      <c r="B648" s="10" t="s">
        <v>5233</v>
      </c>
      <c r="C648" s="11" t="s">
        <v>346</v>
      </c>
      <c r="D648" s="10" t="s">
        <v>6035</v>
      </c>
      <c r="E648" s="8" t="s">
        <v>6036</v>
      </c>
      <c r="F648" s="8" t="s">
        <v>6037</v>
      </c>
      <c r="G648" s="10" t="s">
        <v>4</v>
      </c>
      <c r="H648" s="8" t="s">
        <v>6038</v>
      </c>
      <c r="I648" s="10" t="s">
        <v>6039</v>
      </c>
      <c r="J648" s="8" t="s">
        <v>2862</v>
      </c>
      <c r="K648" s="8" t="s">
        <v>1873</v>
      </c>
      <c r="L648" s="8" t="s">
        <v>87</v>
      </c>
      <c r="M648" s="10" t="s">
        <v>1456</v>
      </c>
      <c r="N648" s="8" t="s">
        <v>87</v>
      </c>
      <c r="O648" s="10" t="s">
        <v>22</v>
      </c>
      <c r="P648" s="8" t="s">
        <v>6040</v>
      </c>
      <c r="Q648" s="10" t="s">
        <v>223</v>
      </c>
      <c r="R648" s="10" t="s">
        <v>1438</v>
      </c>
      <c r="S648" s="8" t="s">
        <v>6041</v>
      </c>
      <c r="T648" s="10" t="s">
        <v>5898</v>
      </c>
      <c r="U648" s="10" t="s">
        <v>87</v>
      </c>
      <c r="V648" s="10" t="s">
        <v>87</v>
      </c>
    </row>
    <row r="649" spans="1:22" s="10" customFormat="1" x14ac:dyDescent="0.25">
      <c r="A649" s="10" t="s">
        <v>6042</v>
      </c>
      <c r="B649" s="10" t="s">
        <v>5233</v>
      </c>
      <c r="C649" s="10" t="s">
        <v>215</v>
      </c>
      <c r="D649" s="10" t="s">
        <v>6043</v>
      </c>
      <c r="E649" s="8" t="s">
        <v>6044</v>
      </c>
      <c r="F649" s="8" t="s">
        <v>4823</v>
      </c>
      <c r="G649" s="10" t="s">
        <v>4</v>
      </c>
      <c r="H649" s="8" t="s">
        <v>6045</v>
      </c>
      <c r="I649" s="10" t="s">
        <v>6046</v>
      </c>
      <c r="J649" s="8" t="s">
        <v>2862</v>
      </c>
      <c r="K649" s="8" t="s">
        <v>1873</v>
      </c>
      <c r="L649" s="8" t="s">
        <v>87</v>
      </c>
      <c r="M649" s="10" t="s">
        <v>1456</v>
      </c>
      <c r="N649" s="8" t="s">
        <v>87</v>
      </c>
      <c r="O649" s="10" t="s">
        <v>22</v>
      </c>
      <c r="P649" s="8" t="s">
        <v>6047</v>
      </c>
      <c r="Q649" s="10" t="s">
        <v>239</v>
      </c>
      <c r="R649" s="10" t="s">
        <v>1438</v>
      </c>
      <c r="S649" s="8" t="s">
        <v>6048</v>
      </c>
      <c r="T649" s="10" t="s">
        <v>5898</v>
      </c>
      <c r="U649" s="10" t="s">
        <v>87</v>
      </c>
      <c r="V649" s="10" t="s">
        <v>87</v>
      </c>
    </row>
    <row r="650" spans="1:22" s="10" customFormat="1" x14ac:dyDescent="0.25">
      <c r="A650" s="10" t="s">
        <v>6049</v>
      </c>
      <c r="B650" s="10" t="s">
        <v>5233</v>
      </c>
      <c r="C650" s="10" t="s">
        <v>215</v>
      </c>
      <c r="D650" s="10" t="s">
        <v>6050</v>
      </c>
      <c r="E650" s="8" t="s">
        <v>6051</v>
      </c>
      <c r="F650" s="8" t="s">
        <v>6052</v>
      </c>
      <c r="G650" s="10" t="s">
        <v>4</v>
      </c>
      <c r="H650" s="8" t="s">
        <v>6053</v>
      </c>
      <c r="I650" s="10" t="s">
        <v>6046</v>
      </c>
      <c r="J650" s="8" t="s">
        <v>2862</v>
      </c>
      <c r="K650" s="8" t="s">
        <v>1873</v>
      </c>
      <c r="L650" s="8" t="s">
        <v>87</v>
      </c>
      <c r="M650" s="10" t="s">
        <v>1456</v>
      </c>
      <c r="N650" s="8" t="s">
        <v>87</v>
      </c>
      <c r="O650" s="10" t="s">
        <v>22</v>
      </c>
      <c r="P650" s="8" t="s">
        <v>6054</v>
      </c>
      <c r="Q650" s="10" t="s">
        <v>223</v>
      </c>
      <c r="R650" s="10" t="s">
        <v>1438</v>
      </c>
      <c r="S650" s="8" t="s">
        <v>6055</v>
      </c>
      <c r="T650" s="10" t="s">
        <v>5898</v>
      </c>
      <c r="U650" s="10" t="s">
        <v>87</v>
      </c>
      <c r="V650" s="10" t="s">
        <v>87</v>
      </c>
    </row>
    <row r="651" spans="1:22" s="10" customFormat="1" x14ac:dyDescent="0.25">
      <c r="A651" s="10" t="s">
        <v>6056</v>
      </c>
      <c r="B651" s="10" t="s">
        <v>5233</v>
      </c>
      <c r="C651" s="10" t="s">
        <v>215</v>
      </c>
      <c r="D651" s="10" t="s">
        <v>6057</v>
      </c>
      <c r="E651" s="8" t="s">
        <v>6058</v>
      </c>
      <c r="F651" s="8" t="s">
        <v>6059</v>
      </c>
      <c r="G651" s="10" t="s">
        <v>3</v>
      </c>
      <c r="H651" s="8" t="s">
        <v>6038</v>
      </c>
      <c r="I651" s="10" t="s">
        <v>6039</v>
      </c>
      <c r="J651" s="8" t="s">
        <v>2862</v>
      </c>
      <c r="K651" s="8" t="s">
        <v>1435</v>
      </c>
      <c r="L651" s="8" t="s">
        <v>87</v>
      </c>
      <c r="M651" s="10" t="s">
        <v>1436</v>
      </c>
      <c r="N651" s="8" t="s">
        <v>87</v>
      </c>
      <c r="O651" s="10" t="s">
        <v>22</v>
      </c>
      <c r="P651" s="8" t="s">
        <v>6060</v>
      </c>
      <c r="Q651" s="10" t="s">
        <v>223</v>
      </c>
      <c r="R651" s="10" t="s">
        <v>1438</v>
      </c>
      <c r="S651" s="8" t="s">
        <v>6061</v>
      </c>
      <c r="T651" s="10" t="s">
        <v>5898</v>
      </c>
      <c r="U651" s="10" t="s">
        <v>87</v>
      </c>
      <c r="V651" s="10" t="s">
        <v>87</v>
      </c>
    </row>
    <row r="652" spans="1:22" s="10" customFormat="1" x14ac:dyDescent="0.25">
      <c r="A652" s="10" t="s">
        <v>6062</v>
      </c>
      <c r="B652" s="10" t="s">
        <v>5233</v>
      </c>
      <c r="C652" s="11" t="s">
        <v>346</v>
      </c>
      <c r="D652" s="10" t="s">
        <v>6063</v>
      </c>
      <c r="E652" s="8" t="s">
        <v>6064</v>
      </c>
      <c r="F652" s="8" t="s">
        <v>6065</v>
      </c>
      <c r="G652" s="10" t="s">
        <v>4</v>
      </c>
      <c r="H652" s="8" t="s">
        <v>6053</v>
      </c>
      <c r="I652" s="10" t="s">
        <v>1491</v>
      </c>
      <c r="J652" s="8" t="s">
        <v>2862</v>
      </c>
      <c r="K652" s="8" t="s">
        <v>1873</v>
      </c>
      <c r="L652" s="8" t="s">
        <v>87</v>
      </c>
      <c r="M652" s="10" t="s">
        <v>1456</v>
      </c>
      <c r="N652" s="8" t="s">
        <v>87</v>
      </c>
      <c r="O652" s="10" t="s">
        <v>22</v>
      </c>
      <c r="P652" s="8" t="s">
        <v>6066</v>
      </c>
      <c r="Q652" s="10" t="s">
        <v>1447</v>
      </c>
      <c r="R652" s="10" t="s">
        <v>1438</v>
      </c>
      <c r="S652" s="8" t="s">
        <v>6067</v>
      </c>
      <c r="T652" s="10" t="s">
        <v>5898</v>
      </c>
      <c r="U652" s="10" t="s">
        <v>87</v>
      </c>
      <c r="V652" s="10" t="s">
        <v>87</v>
      </c>
    </row>
    <row r="653" spans="1:22" s="10" customFormat="1" x14ac:dyDescent="0.25">
      <c r="A653" s="10" t="s">
        <v>6068</v>
      </c>
      <c r="B653" s="10" t="s">
        <v>5233</v>
      </c>
      <c r="C653" s="11" t="s">
        <v>346</v>
      </c>
      <c r="D653" s="10" t="s">
        <v>6069</v>
      </c>
      <c r="E653" s="8" t="s">
        <v>6070</v>
      </c>
      <c r="F653" s="8" t="s">
        <v>6071</v>
      </c>
      <c r="G653" s="10" t="s">
        <v>4</v>
      </c>
      <c r="H653" s="8" t="s">
        <v>1653</v>
      </c>
      <c r="I653" s="10" t="s">
        <v>6072</v>
      </c>
      <c r="J653" s="8" t="s">
        <v>1655</v>
      </c>
      <c r="K653" s="8" t="s">
        <v>1873</v>
      </c>
      <c r="L653" s="8" t="s">
        <v>87</v>
      </c>
      <c r="M653" s="10" t="s">
        <v>1456</v>
      </c>
      <c r="N653" s="8" t="s">
        <v>87</v>
      </c>
      <c r="O653" s="10" t="s">
        <v>22</v>
      </c>
      <c r="P653" s="8" t="s">
        <v>6073</v>
      </c>
      <c r="Q653" s="10" t="s">
        <v>1447</v>
      </c>
      <c r="R653" s="10" t="s">
        <v>1657</v>
      </c>
      <c r="S653" s="8" t="s">
        <v>6074</v>
      </c>
      <c r="T653" s="10" t="s">
        <v>5898</v>
      </c>
      <c r="U653" s="10" t="s">
        <v>87</v>
      </c>
      <c r="V653" s="10" t="s">
        <v>87</v>
      </c>
    </row>
    <row r="654" spans="1:22" s="10" customFormat="1" x14ac:dyDescent="0.25">
      <c r="A654" s="10" t="s">
        <v>6075</v>
      </c>
      <c r="B654" s="10" t="s">
        <v>5233</v>
      </c>
      <c r="C654" s="10" t="s">
        <v>215</v>
      </c>
      <c r="D654" s="10" t="s">
        <v>6076</v>
      </c>
      <c r="E654" s="8" t="s">
        <v>6077</v>
      </c>
      <c r="F654" s="8" t="s">
        <v>6078</v>
      </c>
      <c r="G654" s="10" t="s">
        <v>4</v>
      </c>
      <c r="H654" s="8" t="s">
        <v>6053</v>
      </c>
      <c r="I654" s="10" t="s">
        <v>6046</v>
      </c>
      <c r="J654" s="8" t="s">
        <v>2862</v>
      </c>
      <c r="K654" s="8" t="s">
        <v>1873</v>
      </c>
      <c r="L654" s="8" t="s">
        <v>87</v>
      </c>
      <c r="M654" s="10" t="s">
        <v>1436</v>
      </c>
      <c r="N654" s="8" t="s">
        <v>87</v>
      </c>
      <c r="O654" s="10" t="s">
        <v>22</v>
      </c>
      <c r="P654" s="8" t="s">
        <v>6079</v>
      </c>
      <c r="Q654" s="10" t="s">
        <v>223</v>
      </c>
      <c r="R654" s="10" t="s">
        <v>1438</v>
      </c>
      <c r="S654" s="8" t="s">
        <v>1648</v>
      </c>
      <c r="T654" s="10" t="s">
        <v>5898</v>
      </c>
      <c r="U654" s="10" t="s">
        <v>87</v>
      </c>
      <c r="V654" s="10" t="s">
        <v>87</v>
      </c>
    </row>
    <row r="655" spans="1:22" s="10" customFormat="1" x14ac:dyDescent="0.25">
      <c r="A655" s="10" t="s">
        <v>6080</v>
      </c>
      <c r="B655" s="10" t="s">
        <v>5233</v>
      </c>
      <c r="C655" s="10" t="s">
        <v>215</v>
      </c>
      <c r="D655" s="10" t="s">
        <v>6081</v>
      </c>
      <c r="E655" s="8" t="s">
        <v>6082</v>
      </c>
      <c r="F655" s="8" t="s">
        <v>6083</v>
      </c>
      <c r="G655" s="10" t="s">
        <v>4</v>
      </c>
      <c r="H655" s="8" t="s">
        <v>6084</v>
      </c>
      <c r="I655" s="10" t="s">
        <v>6085</v>
      </c>
      <c r="J655" s="8" t="s">
        <v>2862</v>
      </c>
      <c r="K655" s="8" t="s">
        <v>1873</v>
      </c>
      <c r="L655" s="8" t="s">
        <v>87</v>
      </c>
      <c r="M655" s="10" t="s">
        <v>1436</v>
      </c>
      <c r="N655" s="8" t="s">
        <v>87</v>
      </c>
      <c r="O655" s="10" t="s">
        <v>22</v>
      </c>
      <c r="P655" s="8" t="s">
        <v>6086</v>
      </c>
      <c r="Q655" s="10" t="s">
        <v>223</v>
      </c>
      <c r="R655" s="10" t="s">
        <v>1438</v>
      </c>
      <c r="S655" s="8" t="s">
        <v>6087</v>
      </c>
      <c r="T655" s="10" t="s">
        <v>5898</v>
      </c>
      <c r="U655" s="10" t="s">
        <v>87</v>
      </c>
      <c r="V655" s="10" t="s">
        <v>87</v>
      </c>
    </row>
    <row r="656" spans="1:22" s="10" customFormat="1" x14ac:dyDescent="0.25">
      <c r="A656" s="10" t="s">
        <v>6088</v>
      </c>
      <c r="B656" s="10" t="s">
        <v>5233</v>
      </c>
      <c r="C656" s="11" t="s">
        <v>346</v>
      </c>
      <c r="D656" s="10" t="s">
        <v>6089</v>
      </c>
      <c r="E656" s="8" t="s">
        <v>6090</v>
      </c>
      <c r="F656" s="8" t="s">
        <v>6091</v>
      </c>
      <c r="G656" s="10" t="s">
        <v>2647</v>
      </c>
      <c r="H656" s="8" t="s">
        <v>6092</v>
      </c>
      <c r="I656" s="10" t="s">
        <v>6093</v>
      </c>
      <c r="J656" s="8" t="s">
        <v>2862</v>
      </c>
      <c r="K656" s="8" t="s">
        <v>2649</v>
      </c>
      <c r="L656" s="8" t="s">
        <v>87</v>
      </c>
      <c r="M656" s="10" t="s">
        <v>1436</v>
      </c>
      <c r="N656" s="8" t="s">
        <v>87</v>
      </c>
      <c r="O656" s="10" t="s">
        <v>22</v>
      </c>
      <c r="P656" s="8" t="s">
        <v>6094</v>
      </c>
      <c r="Q656" s="10" t="s">
        <v>223</v>
      </c>
      <c r="R656" s="10" t="s">
        <v>1438</v>
      </c>
      <c r="S656" s="8" t="s">
        <v>6095</v>
      </c>
      <c r="T656" s="10" t="s">
        <v>5898</v>
      </c>
      <c r="U656" s="10" t="s">
        <v>87</v>
      </c>
      <c r="V656" s="10" t="s">
        <v>87</v>
      </c>
    </row>
    <row r="657" spans="1:22" s="10" customFormat="1" x14ac:dyDescent="0.25">
      <c r="A657" s="10" t="s">
        <v>6096</v>
      </c>
      <c r="B657" s="10" t="s">
        <v>5233</v>
      </c>
      <c r="C657" s="11" t="s">
        <v>346</v>
      </c>
      <c r="D657" s="10" t="s">
        <v>6097</v>
      </c>
      <c r="E657" s="8" t="s">
        <v>6098</v>
      </c>
      <c r="F657" s="8" t="s">
        <v>6099</v>
      </c>
      <c r="G657" s="10" t="s">
        <v>2647</v>
      </c>
      <c r="H657" s="8" t="s">
        <v>6100</v>
      </c>
      <c r="I657" s="10" t="s">
        <v>6101</v>
      </c>
      <c r="J657" s="8" t="s">
        <v>2862</v>
      </c>
      <c r="K657" s="8" t="s">
        <v>2649</v>
      </c>
      <c r="L657" s="8" t="s">
        <v>87</v>
      </c>
      <c r="M657" s="10" t="s">
        <v>1436</v>
      </c>
      <c r="N657" s="8" t="s">
        <v>87</v>
      </c>
      <c r="O657" s="10" t="s">
        <v>22</v>
      </c>
      <c r="P657" s="8" t="s">
        <v>6102</v>
      </c>
      <c r="Q657" s="10" t="s">
        <v>223</v>
      </c>
      <c r="R657" s="10" t="s">
        <v>1438</v>
      </c>
      <c r="S657" s="8" t="s">
        <v>6103</v>
      </c>
      <c r="T657" s="10" t="s">
        <v>5898</v>
      </c>
      <c r="U657" s="10" t="s">
        <v>87</v>
      </c>
      <c r="V657" s="10" t="s">
        <v>87</v>
      </c>
    </row>
    <row r="658" spans="1:22" s="10" customFormat="1" x14ac:dyDescent="0.25">
      <c r="A658" s="10" t="s">
        <v>6104</v>
      </c>
      <c r="B658" s="10" t="s">
        <v>5233</v>
      </c>
      <c r="C658" s="10" t="s">
        <v>215</v>
      </c>
      <c r="D658" s="10" t="s">
        <v>6105</v>
      </c>
      <c r="E658" s="8" t="s">
        <v>6106</v>
      </c>
      <c r="F658" s="8" t="s">
        <v>6107</v>
      </c>
      <c r="G658" s="10" t="s">
        <v>2647</v>
      </c>
      <c r="H658" s="8" t="s">
        <v>6108</v>
      </c>
      <c r="I658" s="10" t="s">
        <v>6109</v>
      </c>
      <c r="J658" s="8" t="s">
        <v>2862</v>
      </c>
      <c r="K658" s="8" t="s">
        <v>2649</v>
      </c>
      <c r="L658" s="8" t="s">
        <v>87</v>
      </c>
      <c r="M658" s="10" t="s">
        <v>1436</v>
      </c>
      <c r="N658" s="8" t="s">
        <v>87</v>
      </c>
      <c r="O658" s="10" t="s">
        <v>22</v>
      </c>
      <c r="P658" s="8" t="s">
        <v>6110</v>
      </c>
      <c r="Q658" s="10" t="s">
        <v>239</v>
      </c>
      <c r="R658" s="10" t="s">
        <v>1438</v>
      </c>
      <c r="S658" s="8" t="s">
        <v>6111</v>
      </c>
      <c r="T658" s="10" t="s">
        <v>5898</v>
      </c>
      <c r="U658" s="10" t="s">
        <v>87</v>
      </c>
      <c r="V658" s="10" t="s">
        <v>87</v>
      </c>
    </row>
    <row r="659" spans="1:22" s="10" customFormat="1" x14ac:dyDescent="0.25">
      <c r="A659" s="10" t="s">
        <v>6112</v>
      </c>
      <c r="B659" s="10" t="s">
        <v>5233</v>
      </c>
      <c r="C659" s="11" t="s">
        <v>346</v>
      </c>
      <c r="D659" s="10" t="s">
        <v>6113</v>
      </c>
      <c r="E659" s="8" t="s">
        <v>6114</v>
      </c>
      <c r="F659" s="8" t="s">
        <v>6115</v>
      </c>
      <c r="G659" s="10" t="s">
        <v>2647</v>
      </c>
      <c r="H659" s="8" t="s">
        <v>6116</v>
      </c>
      <c r="I659" s="10" t="s">
        <v>2884</v>
      </c>
      <c r="J659" s="8" t="s">
        <v>2862</v>
      </c>
      <c r="K659" s="8" t="s">
        <v>2649</v>
      </c>
      <c r="L659" s="8" t="s">
        <v>87</v>
      </c>
      <c r="M659" s="10" t="s">
        <v>1436</v>
      </c>
      <c r="N659" s="8" t="s">
        <v>87</v>
      </c>
      <c r="O659" s="10" t="s">
        <v>22</v>
      </c>
      <c r="P659" s="8" t="s">
        <v>6117</v>
      </c>
      <c r="Q659" s="10" t="s">
        <v>239</v>
      </c>
      <c r="R659" s="10" t="s">
        <v>1438</v>
      </c>
      <c r="S659" s="8" t="s">
        <v>6118</v>
      </c>
      <c r="T659" s="10" t="s">
        <v>5898</v>
      </c>
      <c r="U659" s="10" t="s">
        <v>87</v>
      </c>
      <c r="V659" s="10" t="s">
        <v>87</v>
      </c>
    </row>
    <row r="660" spans="1:22" s="10" customFormat="1" x14ac:dyDescent="0.25">
      <c r="A660" s="10" t="s">
        <v>6119</v>
      </c>
      <c r="B660" s="10" t="s">
        <v>5233</v>
      </c>
      <c r="C660" s="10" t="s">
        <v>215</v>
      </c>
      <c r="D660" s="10" t="s">
        <v>6120</v>
      </c>
      <c r="E660" s="8" t="s">
        <v>6121</v>
      </c>
      <c r="F660" s="8" t="s">
        <v>6122</v>
      </c>
      <c r="G660" s="10" t="s">
        <v>2647</v>
      </c>
      <c r="H660" s="8" t="s">
        <v>6084</v>
      </c>
      <c r="I660" s="10" t="s">
        <v>6093</v>
      </c>
      <c r="J660" s="8" t="s">
        <v>2862</v>
      </c>
      <c r="K660" s="8" t="s">
        <v>2649</v>
      </c>
      <c r="L660" s="8" t="s">
        <v>87</v>
      </c>
      <c r="M660" s="10" t="s">
        <v>1436</v>
      </c>
      <c r="N660" s="8" t="s">
        <v>87</v>
      </c>
      <c r="O660" s="10" t="s">
        <v>22</v>
      </c>
      <c r="P660" s="8" t="s">
        <v>6123</v>
      </c>
      <c r="Q660" s="10" t="s">
        <v>223</v>
      </c>
      <c r="R660" s="10" t="s">
        <v>1438</v>
      </c>
      <c r="S660" s="8" t="s">
        <v>6124</v>
      </c>
      <c r="T660" s="10" t="s">
        <v>5898</v>
      </c>
      <c r="U660" s="10" t="s">
        <v>87</v>
      </c>
      <c r="V660" s="10" t="s">
        <v>87</v>
      </c>
    </row>
    <row r="661" spans="1:22" s="10" customFormat="1" x14ac:dyDescent="0.25">
      <c r="A661" s="10" t="s">
        <v>6125</v>
      </c>
      <c r="B661" s="10" t="s">
        <v>5233</v>
      </c>
      <c r="C661" s="10" t="s">
        <v>215</v>
      </c>
      <c r="D661" s="10" t="s">
        <v>6126</v>
      </c>
      <c r="E661" s="8" t="s">
        <v>6127</v>
      </c>
      <c r="F661" s="8" t="s">
        <v>6128</v>
      </c>
      <c r="G661" s="10" t="s">
        <v>2647</v>
      </c>
      <c r="H661" s="8" t="s">
        <v>6084</v>
      </c>
      <c r="I661" s="10" t="s">
        <v>6109</v>
      </c>
      <c r="J661" s="8" t="s">
        <v>2862</v>
      </c>
      <c r="K661" s="8" t="s">
        <v>2649</v>
      </c>
      <c r="L661" s="8" t="s">
        <v>87</v>
      </c>
      <c r="M661" s="10" t="s">
        <v>1436</v>
      </c>
      <c r="N661" s="8" t="s">
        <v>87</v>
      </c>
      <c r="O661" s="10" t="s">
        <v>22</v>
      </c>
      <c r="P661" s="8" t="s">
        <v>6129</v>
      </c>
      <c r="Q661" s="10" t="s">
        <v>223</v>
      </c>
      <c r="R661" s="10" t="s">
        <v>1438</v>
      </c>
      <c r="S661" s="8" t="s">
        <v>6130</v>
      </c>
      <c r="T661" s="10" t="s">
        <v>5898</v>
      </c>
      <c r="U661" s="10" t="s">
        <v>87</v>
      </c>
      <c r="V661" s="10" t="s">
        <v>87</v>
      </c>
    </row>
    <row r="662" spans="1:22" s="10" customFormat="1" x14ac:dyDescent="0.25">
      <c r="A662" s="10" t="s">
        <v>6131</v>
      </c>
      <c r="B662" s="10" t="s">
        <v>5233</v>
      </c>
      <c r="C662" s="10" t="s">
        <v>215</v>
      </c>
      <c r="D662" s="10" t="s">
        <v>6132</v>
      </c>
      <c r="E662" s="8" t="s">
        <v>6133</v>
      </c>
      <c r="F662" s="8" t="s">
        <v>5572</v>
      </c>
      <c r="G662" s="10" t="s">
        <v>2647</v>
      </c>
      <c r="H662" s="8" t="s">
        <v>6134</v>
      </c>
      <c r="I662" s="10" t="s">
        <v>6135</v>
      </c>
      <c r="J662" s="8" t="s">
        <v>2862</v>
      </c>
      <c r="K662" s="8" t="s">
        <v>2649</v>
      </c>
      <c r="L662" s="8" t="s">
        <v>87</v>
      </c>
      <c r="M662" s="10" t="s">
        <v>1436</v>
      </c>
      <c r="N662" s="8" t="s">
        <v>87</v>
      </c>
      <c r="O662" s="10" t="s">
        <v>22</v>
      </c>
      <c r="P662" s="8" t="s">
        <v>6136</v>
      </c>
      <c r="Q662" s="10" t="s">
        <v>223</v>
      </c>
      <c r="R662" s="10" t="s">
        <v>1438</v>
      </c>
      <c r="S662" s="8" t="s">
        <v>6137</v>
      </c>
      <c r="T662" s="10" t="s">
        <v>5898</v>
      </c>
      <c r="U662" s="10" t="s">
        <v>87</v>
      </c>
      <c r="V662" s="10" t="s">
        <v>87</v>
      </c>
    </row>
    <row r="663" spans="1:22" s="10" customFormat="1" x14ac:dyDescent="0.25">
      <c r="A663" s="10" t="s">
        <v>6138</v>
      </c>
      <c r="B663" s="10" t="s">
        <v>5233</v>
      </c>
      <c r="C663" s="11" t="s">
        <v>346</v>
      </c>
      <c r="D663" s="10" t="s">
        <v>6139</v>
      </c>
      <c r="E663" s="8" t="s">
        <v>6140</v>
      </c>
      <c r="F663" s="8" t="s">
        <v>6141</v>
      </c>
      <c r="G663" s="10" t="s">
        <v>2647</v>
      </c>
      <c r="H663" s="8" t="s">
        <v>6084</v>
      </c>
      <c r="I663" s="10" t="s">
        <v>2884</v>
      </c>
      <c r="J663" s="8" t="s">
        <v>2862</v>
      </c>
      <c r="K663" s="8" t="s">
        <v>2649</v>
      </c>
      <c r="L663" s="8" t="s">
        <v>87</v>
      </c>
      <c r="M663" s="10" t="s">
        <v>1436</v>
      </c>
      <c r="N663" s="8" t="s">
        <v>87</v>
      </c>
      <c r="O663" s="10" t="s">
        <v>22</v>
      </c>
      <c r="P663" s="8" t="s">
        <v>6142</v>
      </c>
      <c r="Q663" s="10" t="s">
        <v>223</v>
      </c>
      <c r="R663" s="10" t="s">
        <v>1438</v>
      </c>
      <c r="S663" s="8" t="s">
        <v>6143</v>
      </c>
      <c r="T663" s="10" t="s">
        <v>5898</v>
      </c>
      <c r="U663" s="10" t="s">
        <v>87</v>
      </c>
      <c r="V663" s="10" t="s">
        <v>87</v>
      </c>
    </row>
    <row r="664" spans="1:22" s="10" customFormat="1" x14ac:dyDescent="0.25">
      <c r="A664" s="10" t="s">
        <v>6144</v>
      </c>
      <c r="B664" s="10" t="s">
        <v>5233</v>
      </c>
      <c r="C664" s="11" t="s">
        <v>346</v>
      </c>
      <c r="D664" s="10" t="s">
        <v>6145</v>
      </c>
      <c r="E664" s="8" t="s">
        <v>6146</v>
      </c>
      <c r="F664" s="8" t="s">
        <v>6147</v>
      </c>
      <c r="G664" s="10" t="s">
        <v>2647</v>
      </c>
      <c r="H664" s="8" t="s">
        <v>1653</v>
      </c>
      <c r="I664" s="10" t="s">
        <v>6148</v>
      </c>
      <c r="J664" s="8" t="s">
        <v>1655</v>
      </c>
      <c r="K664" s="8" t="s">
        <v>2649</v>
      </c>
      <c r="L664" s="8" t="s">
        <v>87</v>
      </c>
      <c r="M664" s="10" t="s">
        <v>1436</v>
      </c>
      <c r="N664" s="8" t="s">
        <v>87</v>
      </c>
      <c r="O664" s="10" t="s">
        <v>22</v>
      </c>
      <c r="P664" s="8" t="s">
        <v>6149</v>
      </c>
      <c r="Q664" s="10" t="s">
        <v>1447</v>
      </c>
      <c r="R664" s="10" t="s">
        <v>1657</v>
      </c>
      <c r="S664" s="8" t="s">
        <v>6150</v>
      </c>
      <c r="T664" s="10" t="s">
        <v>5898</v>
      </c>
      <c r="U664" s="10" t="s">
        <v>87</v>
      </c>
      <c r="V664" s="10" t="s">
        <v>87</v>
      </c>
    </row>
    <row r="665" spans="1:22" s="10" customFormat="1" x14ac:dyDescent="0.25">
      <c r="A665" s="10" t="s">
        <v>6151</v>
      </c>
      <c r="B665" s="10" t="s">
        <v>5233</v>
      </c>
      <c r="C665" s="11" t="s">
        <v>346</v>
      </c>
      <c r="D665" s="10" t="s">
        <v>6152</v>
      </c>
      <c r="E665" s="8" t="s">
        <v>6153</v>
      </c>
      <c r="F665" s="8" t="s">
        <v>1662</v>
      </c>
      <c r="G665" s="10" t="s">
        <v>2647</v>
      </c>
      <c r="H665" s="8" t="s">
        <v>2185</v>
      </c>
      <c r="I665" s="10" t="s">
        <v>6109</v>
      </c>
      <c r="J665" s="8" t="s">
        <v>1664</v>
      </c>
      <c r="K665" s="8" t="s">
        <v>2649</v>
      </c>
      <c r="L665" s="8" t="s">
        <v>87</v>
      </c>
      <c r="M665" s="10" t="s">
        <v>1436</v>
      </c>
      <c r="N665" s="8" t="s">
        <v>87</v>
      </c>
      <c r="O665" s="10" t="s">
        <v>22</v>
      </c>
      <c r="P665" s="8" t="s">
        <v>6154</v>
      </c>
      <c r="Q665" s="10" t="s">
        <v>825</v>
      </c>
      <c r="R665" s="10" t="s">
        <v>2188</v>
      </c>
      <c r="S665" s="8" t="s">
        <v>1669</v>
      </c>
      <c r="T665" s="10" t="s">
        <v>5898</v>
      </c>
      <c r="U665" s="10" t="s">
        <v>87</v>
      </c>
      <c r="V665" s="10" t="s">
        <v>87</v>
      </c>
    </row>
    <row r="666" spans="1:22" s="10" customFormat="1" x14ac:dyDescent="0.25">
      <c r="A666" s="10" t="s">
        <v>6155</v>
      </c>
      <c r="B666" s="10" t="s">
        <v>5233</v>
      </c>
      <c r="C666" s="10" t="s">
        <v>215</v>
      </c>
      <c r="D666" s="10" t="s">
        <v>6156</v>
      </c>
      <c r="E666" s="8" t="s">
        <v>6157</v>
      </c>
      <c r="F666" s="8" t="s">
        <v>6158</v>
      </c>
      <c r="G666" s="10" t="s">
        <v>2647</v>
      </c>
      <c r="H666" s="8" t="s">
        <v>6084</v>
      </c>
      <c r="I666" s="10" t="s">
        <v>6109</v>
      </c>
      <c r="J666" s="8" t="s">
        <v>2862</v>
      </c>
      <c r="K666" s="8" t="s">
        <v>2649</v>
      </c>
      <c r="L666" s="8" t="s">
        <v>87</v>
      </c>
      <c r="M666" s="10" t="s">
        <v>1436</v>
      </c>
      <c r="N666" s="8" t="s">
        <v>87</v>
      </c>
      <c r="O666" s="10" t="s">
        <v>22</v>
      </c>
      <c r="P666" s="8" t="s">
        <v>6159</v>
      </c>
      <c r="Q666" s="10" t="s">
        <v>223</v>
      </c>
      <c r="R666" s="10" t="s">
        <v>1438</v>
      </c>
      <c r="S666" s="8" t="s">
        <v>1648</v>
      </c>
      <c r="T666" s="10" t="s">
        <v>5898</v>
      </c>
      <c r="U666" s="10" t="s">
        <v>87</v>
      </c>
      <c r="V666" s="10" t="s">
        <v>87</v>
      </c>
    </row>
    <row r="667" spans="1:22" s="10" customFormat="1" x14ac:dyDescent="0.25">
      <c r="A667" s="10" t="s">
        <v>6160</v>
      </c>
      <c r="B667" s="10" t="s">
        <v>5233</v>
      </c>
      <c r="C667" s="10" t="s">
        <v>215</v>
      </c>
      <c r="D667" s="10" t="s">
        <v>6161</v>
      </c>
      <c r="E667" s="8" t="s">
        <v>6162</v>
      </c>
      <c r="F667" s="8" t="s">
        <v>6163</v>
      </c>
      <c r="G667" s="10" t="s">
        <v>3</v>
      </c>
      <c r="H667" s="8" t="s">
        <v>5270</v>
      </c>
      <c r="I667" s="10" t="s">
        <v>5712</v>
      </c>
      <c r="J667" s="8" t="s">
        <v>2862</v>
      </c>
      <c r="K667" s="8" t="s">
        <v>1435</v>
      </c>
      <c r="L667" s="8" t="s">
        <v>87</v>
      </c>
      <c r="M667" s="10" t="s">
        <v>1436</v>
      </c>
      <c r="N667" s="8" t="s">
        <v>87</v>
      </c>
      <c r="O667" s="10" t="s">
        <v>22</v>
      </c>
      <c r="P667" s="8" t="s">
        <v>6164</v>
      </c>
      <c r="Q667" s="10" t="s">
        <v>223</v>
      </c>
      <c r="R667" s="10" t="s">
        <v>1438</v>
      </c>
      <c r="S667" s="8" t="s">
        <v>6165</v>
      </c>
      <c r="T667" s="10" t="s">
        <v>5898</v>
      </c>
      <c r="U667" s="10" t="s">
        <v>87</v>
      </c>
      <c r="V667" s="10" t="s">
        <v>87</v>
      </c>
    </row>
    <row r="668" spans="1:22" s="10" customFormat="1" x14ac:dyDescent="0.25">
      <c r="A668" s="10" t="s">
        <v>6166</v>
      </c>
      <c r="B668" s="10" t="s">
        <v>5233</v>
      </c>
      <c r="C668" s="11" t="s">
        <v>346</v>
      </c>
      <c r="D668" s="10" t="s">
        <v>6167</v>
      </c>
      <c r="E668" s="8" t="s">
        <v>6168</v>
      </c>
      <c r="F668" s="8" t="s">
        <v>6169</v>
      </c>
      <c r="G668" s="10" t="s">
        <v>4</v>
      </c>
      <c r="H668" s="8" t="s">
        <v>6170</v>
      </c>
      <c r="I668" s="10" t="s">
        <v>5654</v>
      </c>
      <c r="J668" s="8" t="s">
        <v>2862</v>
      </c>
      <c r="K668" s="8" t="s">
        <v>1873</v>
      </c>
      <c r="L668" s="8" t="s">
        <v>87</v>
      </c>
      <c r="M668" s="10" t="s">
        <v>1456</v>
      </c>
      <c r="N668" s="8" t="s">
        <v>87</v>
      </c>
      <c r="O668" s="10" t="s">
        <v>22</v>
      </c>
      <c r="P668" s="8" t="s">
        <v>6171</v>
      </c>
      <c r="Q668" s="10" t="s">
        <v>223</v>
      </c>
      <c r="R668" s="10" t="s">
        <v>1438</v>
      </c>
      <c r="S668" s="8" t="s">
        <v>6172</v>
      </c>
      <c r="T668" s="10" t="s">
        <v>5898</v>
      </c>
      <c r="U668" s="10" t="s">
        <v>87</v>
      </c>
      <c r="V668" s="10" t="s">
        <v>87</v>
      </c>
    </row>
    <row r="669" spans="1:22" s="10" customFormat="1" x14ac:dyDescent="0.25">
      <c r="A669" s="10" t="s">
        <v>6173</v>
      </c>
      <c r="B669" s="10" t="s">
        <v>5233</v>
      </c>
      <c r="C669" s="11" t="s">
        <v>346</v>
      </c>
      <c r="D669" s="10" t="s">
        <v>6174</v>
      </c>
      <c r="E669" s="8" t="s">
        <v>6175</v>
      </c>
      <c r="F669" s="8" t="s">
        <v>6176</v>
      </c>
      <c r="G669" s="10" t="s">
        <v>4</v>
      </c>
      <c r="H669" s="8" t="s">
        <v>6177</v>
      </c>
      <c r="I669" s="10" t="s">
        <v>5654</v>
      </c>
      <c r="J669" s="8" t="s">
        <v>2862</v>
      </c>
      <c r="K669" s="8" t="s">
        <v>1873</v>
      </c>
      <c r="L669" s="8" t="s">
        <v>87</v>
      </c>
      <c r="M669" s="10" t="s">
        <v>1456</v>
      </c>
      <c r="N669" s="8" t="s">
        <v>87</v>
      </c>
      <c r="O669" s="10" t="s">
        <v>22</v>
      </c>
      <c r="P669" s="8" t="s">
        <v>6178</v>
      </c>
      <c r="Q669" s="10" t="s">
        <v>246</v>
      </c>
      <c r="R669" s="10" t="s">
        <v>1438</v>
      </c>
      <c r="S669" s="8" t="s">
        <v>6179</v>
      </c>
      <c r="T669" s="10" t="s">
        <v>5898</v>
      </c>
      <c r="U669" s="10" t="s">
        <v>87</v>
      </c>
      <c r="V669" s="10" t="s">
        <v>87</v>
      </c>
    </row>
    <row r="670" spans="1:22" s="10" customFormat="1" x14ac:dyDescent="0.25">
      <c r="A670" s="10" t="s">
        <v>6180</v>
      </c>
      <c r="B670" s="10" t="s">
        <v>5233</v>
      </c>
      <c r="C670" s="11" t="s">
        <v>346</v>
      </c>
      <c r="D670" s="10" t="s">
        <v>6181</v>
      </c>
      <c r="E670" s="8" t="s">
        <v>6182</v>
      </c>
      <c r="F670" s="8" t="s">
        <v>6183</v>
      </c>
      <c r="G670" s="10" t="s">
        <v>4</v>
      </c>
      <c r="H670" s="8" t="s">
        <v>6177</v>
      </c>
      <c r="I670" s="10" t="s">
        <v>5654</v>
      </c>
      <c r="J670" s="8" t="s">
        <v>2862</v>
      </c>
      <c r="K670" s="8" t="s">
        <v>1873</v>
      </c>
      <c r="L670" s="8" t="s">
        <v>87</v>
      </c>
      <c r="M670" s="10" t="s">
        <v>1456</v>
      </c>
      <c r="N670" s="8" t="s">
        <v>87</v>
      </c>
      <c r="O670" s="10" t="s">
        <v>22</v>
      </c>
      <c r="P670" s="8" t="s">
        <v>6184</v>
      </c>
      <c r="Q670" s="10" t="s">
        <v>246</v>
      </c>
      <c r="R670" s="10" t="s">
        <v>1438</v>
      </c>
      <c r="S670" s="8" t="s">
        <v>6185</v>
      </c>
      <c r="T670" s="10" t="s">
        <v>5898</v>
      </c>
      <c r="U670" s="10" t="s">
        <v>87</v>
      </c>
      <c r="V670" s="10" t="s">
        <v>87</v>
      </c>
    </row>
    <row r="671" spans="1:22" s="10" customFormat="1" x14ac:dyDescent="0.25">
      <c r="A671" s="10" t="s">
        <v>6186</v>
      </c>
      <c r="B671" s="10" t="s">
        <v>5233</v>
      </c>
      <c r="C671" s="10" t="s">
        <v>215</v>
      </c>
      <c r="D671" s="10" t="s">
        <v>6187</v>
      </c>
      <c r="E671" s="8" t="s">
        <v>6188</v>
      </c>
      <c r="F671" s="8" t="s">
        <v>6189</v>
      </c>
      <c r="G671" s="10" t="s">
        <v>3</v>
      </c>
      <c r="H671" s="8" t="s">
        <v>6190</v>
      </c>
      <c r="I671" s="10" t="s">
        <v>6191</v>
      </c>
      <c r="J671" s="8" t="s">
        <v>2862</v>
      </c>
      <c r="K671" s="8" t="s">
        <v>1435</v>
      </c>
      <c r="L671" s="8" t="s">
        <v>87</v>
      </c>
      <c r="M671" s="10" t="s">
        <v>1436</v>
      </c>
      <c r="N671" s="8" t="s">
        <v>87</v>
      </c>
      <c r="O671" s="10" t="s">
        <v>22</v>
      </c>
      <c r="P671" s="8" t="s">
        <v>6192</v>
      </c>
      <c r="Q671" s="10" t="s">
        <v>223</v>
      </c>
      <c r="R671" s="10" t="s">
        <v>1438</v>
      </c>
      <c r="S671" s="8" t="s">
        <v>6193</v>
      </c>
      <c r="T671" s="10" t="s">
        <v>5898</v>
      </c>
      <c r="U671" s="10" t="s">
        <v>87</v>
      </c>
      <c r="V671" s="10" t="s">
        <v>87</v>
      </c>
    </row>
    <row r="672" spans="1:22" s="10" customFormat="1" x14ac:dyDescent="0.25">
      <c r="A672" s="10" t="s">
        <v>6194</v>
      </c>
      <c r="B672" s="10" t="s">
        <v>5233</v>
      </c>
      <c r="C672" s="10" t="s">
        <v>215</v>
      </c>
      <c r="D672" s="10" t="s">
        <v>6195</v>
      </c>
      <c r="E672" s="8" t="s">
        <v>6196</v>
      </c>
      <c r="F672" s="8" t="s">
        <v>5059</v>
      </c>
      <c r="G672" s="10" t="s">
        <v>4</v>
      </c>
      <c r="H672" s="8" t="s">
        <v>4174</v>
      </c>
      <c r="I672" s="10" t="s">
        <v>5330</v>
      </c>
      <c r="J672" s="8" t="s">
        <v>2862</v>
      </c>
      <c r="K672" s="8" t="s">
        <v>6197</v>
      </c>
      <c r="L672" s="8" t="s">
        <v>87</v>
      </c>
      <c r="M672" s="10" t="s">
        <v>1456</v>
      </c>
      <c r="N672" s="8" t="s">
        <v>87</v>
      </c>
      <c r="O672" s="10" t="s">
        <v>22</v>
      </c>
      <c r="P672" s="8" t="s">
        <v>6198</v>
      </c>
      <c r="Q672" s="10" t="s">
        <v>239</v>
      </c>
      <c r="R672" s="10" t="s">
        <v>1438</v>
      </c>
      <c r="S672" s="8" t="s">
        <v>6199</v>
      </c>
      <c r="T672" s="10" t="s">
        <v>5898</v>
      </c>
      <c r="U672" s="10" t="s">
        <v>87</v>
      </c>
      <c r="V672" s="10" t="s">
        <v>87</v>
      </c>
    </row>
    <row r="673" spans="1:22" s="10" customFormat="1" x14ac:dyDescent="0.25">
      <c r="A673" s="10" t="s">
        <v>6200</v>
      </c>
      <c r="B673" s="10" t="s">
        <v>5233</v>
      </c>
      <c r="C673" s="11" t="s">
        <v>346</v>
      </c>
      <c r="D673" s="10" t="s">
        <v>6201</v>
      </c>
      <c r="E673" s="8" t="s">
        <v>6202</v>
      </c>
      <c r="F673" s="8" t="s">
        <v>6203</v>
      </c>
      <c r="G673" s="10" t="s">
        <v>4</v>
      </c>
      <c r="H673" s="8" t="s">
        <v>6204</v>
      </c>
      <c r="I673" s="10" t="s">
        <v>5654</v>
      </c>
      <c r="J673" s="8" t="s">
        <v>2862</v>
      </c>
      <c r="K673" s="8" t="s">
        <v>1873</v>
      </c>
      <c r="L673" s="8" t="s">
        <v>87</v>
      </c>
      <c r="M673" s="10" t="s">
        <v>1456</v>
      </c>
      <c r="N673" s="8" t="s">
        <v>87</v>
      </c>
      <c r="O673" s="10" t="s">
        <v>22</v>
      </c>
      <c r="P673" s="8" t="s">
        <v>6205</v>
      </c>
      <c r="Q673" s="10" t="s">
        <v>1447</v>
      </c>
      <c r="R673" s="10" t="s">
        <v>1438</v>
      </c>
      <c r="S673" s="8" t="s">
        <v>6206</v>
      </c>
      <c r="T673" s="10" t="s">
        <v>5898</v>
      </c>
      <c r="U673" s="10" t="s">
        <v>87</v>
      </c>
      <c r="V673" s="10" t="s">
        <v>87</v>
      </c>
    </row>
    <row r="674" spans="1:22" s="10" customFormat="1" x14ac:dyDescent="0.25">
      <c r="A674" s="10" t="s">
        <v>6207</v>
      </c>
      <c r="B674" s="10" t="s">
        <v>5233</v>
      </c>
      <c r="C674" s="10" t="s">
        <v>215</v>
      </c>
      <c r="D674" s="10" t="s">
        <v>6208</v>
      </c>
      <c r="E674" s="8" t="s">
        <v>6209</v>
      </c>
      <c r="F674" s="8" t="s">
        <v>6210</v>
      </c>
      <c r="G674" s="10" t="s">
        <v>3</v>
      </c>
      <c r="H674" s="8" t="s">
        <v>6170</v>
      </c>
      <c r="I674" s="10" t="s">
        <v>5330</v>
      </c>
      <c r="J674" s="8" t="s">
        <v>2862</v>
      </c>
      <c r="K674" s="8" t="s">
        <v>1435</v>
      </c>
      <c r="L674" s="8" t="s">
        <v>87</v>
      </c>
      <c r="M674" s="10" t="s">
        <v>1436</v>
      </c>
      <c r="N674" s="8" t="s">
        <v>87</v>
      </c>
      <c r="O674" s="10" t="s">
        <v>22</v>
      </c>
      <c r="P674" s="8" t="s">
        <v>6211</v>
      </c>
      <c r="Q674" s="10" t="s">
        <v>223</v>
      </c>
      <c r="R674" s="10" t="s">
        <v>1438</v>
      </c>
      <c r="S674" s="8" t="s">
        <v>6212</v>
      </c>
      <c r="T674" s="10" t="s">
        <v>5898</v>
      </c>
      <c r="U674" s="10" t="s">
        <v>87</v>
      </c>
      <c r="V674" s="10" t="s">
        <v>87</v>
      </c>
    </row>
    <row r="675" spans="1:22" s="10" customFormat="1" x14ac:dyDescent="0.25">
      <c r="A675" s="10" t="s">
        <v>6213</v>
      </c>
      <c r="B675" s="10" t="s">
        <v>5233</v>
      </c>
      <c r="C675" s="11" t="s">
        <v>346</v>
      </c>
      <c r="D675" s="10" t="s">
        <v>6214</v>
      </c>
      <c r="E675" s="8" t="s">
        <v>6215</v>
      </c>
      <c r="F675" s="8" t="s">
        <v>6216</v>
      </c>
      <c r="G675" s="10" t="s">
        <v>4</v>
      </c>
      <c r="H675" s="8" t="s">
        <v>1653</v>
      </c>
      <c r="I675" s="10" t="s">
        <v>6217</v>
      </c>
      <c r="J675" s="8" t="s">
        <v>1655</v>
      </c>
      <c r="K675" s="8" t="s">
        <v>1873</v>
      </c>
      <c r="L675" s="8" t="s">
        <v>87</v>
      </c>
      <c r="M675" s="10" t="s">
        <v>1456</v>
      </c>
      <c r="N675" s="8" t="s">
        <v>87</v>
      </c>
      <c r="O675" s="10" t="s">
        <v>22</v>
      </c>
      <c r="P675" s="8" t="s">
        <v>6218</v>
      </c>
      <c r="Q675" s="10" t="s">
        <v>1447</v>
      </c>
      <c r="R675" s="10" t="s">
        <v>1657</v>
      </c>
      <c r="S675" s="8" t="s">
        <v>1658</v>
      </c>
      <c r="T675" s="10" t="s">
        <v>5898</v>
      </c>
      <c r="U675" s="10" t="s">
        <v>87</v>
      </c>
      <c r="V675" s="10" t="s">
        <v>87</v>
      </c>
    </row>
    <row r="676" spans="1:22" s="10" customFormat="1" x14ac:dyDescent="0.25">
      <c r="A676" s="10" t="s">
        <v>6219</v>
      </c>
      <c r="B676" s="10" t="s">
        <v>5233</v>
      </c>
      <c r="C676" s="11" t="s">
        <v>346</v>
      </c>
      <c r="D676" s="10" t="s">
        <v>6220</v>
      </c>
      <c r="E676" s="8" t="s">
        <v>6221</v>
      </c>
      <c r="F676" s="8" t="s">
        <v>1662</v>
      </c>
      <c r="G676" s="10" t="s">
        <v>3</v>
      </c>
      <c r="H676" s="8" t="s">
        <v>2185</v>
      </c>
      <c r="I676" s="10" t="s">
        <v>6222</v>
      </c>
      <c r="J676" s="8" t="s">
        <v>1664</v>
      </c>
      <c r="K676" s="8" t="s">
        <v>1435</v>
      </c>
      <c r="L676" s="8" t="s">
        <v>2367</v>
      </c>
      <c r="M676" s="10" t="s">
        <v>1436</v>
      </c>
      <c r="N676" s="8" t="s">
        <v>87</v>
      </c>
      <c r="O676" s="10" t="s">
        <v>22</v>
      </c>
      <c r="P676" s="8" t="s">
        <v>6223</v>
      </c>
      <c r="Q676" s="10" t="s">
        <v>825</v>
      </c>
      <c r="R676" s="10" t="s">
        <v>2188</v>
      </c>
      <c r="S676" s="8" t="s">
        <v>1669</v>
      </c>
      <c r="T676" s="10" t="s">
        <v>5898</v>
      </c>
      <c r="U676" s="10" t="s">
        <v>87</v>
      </c>
      <c r="V676" s="10" t="s">
        <v>87</v>
      </c>
    </row>
    <row r="677" spans="1:22" s="10" customFormat="1" x14ac:dyDescent="0.25">
      <c r="A677" s="10" t="s">
        <v>6224</v>
      </c>
      <c r="B677" s="10" t="s">
        <v>5233</v>
      </c>
      <c r="C677" s="10" t="s">
        <v>215</v>
      </c>
      <c r="D677" s="10" t="s">
        <v>6225</v>
      </c>
      <c r="E677" s="8" t="s">
        <v>6226</v>
      </c>
      <c r="F677" s="8" t="s">
        <v>6227</v>
      </c>
      <c r="G677" s="10" t="s">
        <v>4</v>
      </c>
      <c r="H677" s="8" t="s">
        <v>6170</v>
      </c>
      <c r="I677" s="10" t="s">
        <v>6228</v>
      </c>
      <c r="J677" s="8" t="s">
        <v>2862</v>
      </c>
      <c r="K677" s="8" t="s">
        <v>1873</v>
      </c>
      <c r="L677" s="8" t="s">
        <v>87</v>
      </c>
      <c r="M677" s="10" t="s">
        <v>1456</v>
      </c>
      <c r="N677" s="8" t="s">
        <v>87</v>
      </c>
      <c r="O677" s="10" t="s">
        <v>22</v>
      </c>
      <c r="P677" s="8" t="s">
        <v>6229</v>
      </c>
      <c r="Q677" s="10" t="s">
        <v>223</v>
      </c>
      <c r="R677" s="10" t="s">
        <v>1438</v>
      </c>
      <c r="S677" s="8" t="s">
        <v>6230</v>
      </c>
      <c r="T677" s="10" t="s">
        <v>5898</v>
      </c>
      <c r="U677" s="10" t="s">
        <v>87</v>
      </c>
      <c r="V677" s="10" t="s">
        <v>87</v>
      </c>
    </row>
    <row r="678" spans="1:22" s="10" customFormat="1" x14ac:dyDescent="0.25">
      <c r="A678" s="10" t="s">
        <v>6231</v>
      </c>
      <c r="B678" s="10" t="s">
        <v>5233</v>
      </c>
      <c r="C678" s="10" t="s">
        <v>215</v>
      </c>
      <c r="D678" s="10" t="s">
        <v>6232</v>
      </c>
      <c r="E678" s="8" t="s">
        <v>6233</v>
      </c>
      <c r="F678" s="8" t="s">
        <v>5143</v>
      </c>
      <c r="G678" s="10" t="s">
        <v>3</v>
      </c>
      <c r="H678" s="8" t="s">
        <v>6170</v>
      </c>
      <c r="I678" s="10" t="s">
        <v>5330</v>
      </c>
      <c r="J678" s="8" t="s">
        <v>2862</v>
      </c>
      <c r="K678" s="8" t="s">
        <v>1435</v>
      </c>
      <c r="L678" s="8" t="s">
        <v>87</v>
      </c>
      <c r="M678" s="10" t="s">
        <v>1436</v>
      </c>
      <c r="N678" s="8" t="s">
        <v>87</v>
      </c>
      <c r="O678" s="10" t="s">
        <v>22</v>
      </c>
      <c r="P678" s="8" t="s">
        <v>6234</v>
      </c>
      <c r="Q678" s="10" t="s">
        <v>223</v>
      </c>
      <c r="R678" s="10" t="s">
        <v>1438</v>
      </c>
      <c r="S678" s="8" t="s">
        <v>1648</v>
      </c>
      <c r="T678" s="10" t="s">
        <v>5898</v>
      </c>
      <c r="U678" s="10" t="s">
        <v>87</v>
      </c>
      <c r="V678" s="10" t="s">
        <v>87</v>
      </c>
    </row>
    <row r="679" spans="1:22" s="10" customFormat="1" x14ac:dyDescent="0.25">
      <c r="A679" s="10" t="s">
        <v>6235</v>
      </c>
      <c r="B679" s="10" t="s">
        <v>5233</v>
      </c>
      <c r="C679" s="10" t="s">
        <v>215</v>
      </c>
      <c r="D679" s="10" t="s">
        <v>6236</v>
      </c>
      <c r="E679" s="8" t="s">
        <v>6237</v>
      </c>
      <c r="F679" s="8" t="s">
        <v>6238</v>
      </c>
      <c r="G679" s="10" t="s">
        <v>3</v>
      </c>
      <c r="H679" s="8" t="s">
        <v>6239</v>
      </c>
      <c r="I679" s="10" t="s">
        <v>6240</v>
      </c>
      <c r="J679" s="8" t="s">
        <v>2862</v>
      </c>
      <c r="K679" s="8" t="s">
        <v>1435</v>
      </c>
      <c r="L679" s="8" t="s">
        <v>87</v>
      </c>
      <c r="M679" s="10" t="s">
        <v>1436</v>
      </c>
      <c r="N679" s="8" t="s">
        <v>87</v>
      </c>
      <c r="O679" s="10" t="s">
        <v>22</v>
      </c>
      <c r="P679" s="8" t="s">
        <v>6241</v>
      </c>
      <c r="Q679" s="10" t="s">
        <v>223</v>
      </c>
      <c r="R679" s="10" t="s">
        <v>1438</v>
      </c>
      <c r="S679" s="8" t="s">
        <v>6242</v>
      </c>
      <c r="T679" s="10" t="s">
        <v>5898</v>
      </c>
      <c r="U679" s="10" t="s">
        <v>87</v>
      </c>
      <c r="V679" s="10" t="s">
        <v>87</v>
      </c>
    </row>
    <row r="680" spans="1:22" s="10" customFormat="1" x14ac:dyDescent="0.25">
      <c r="A680" s="10" t="s">
        <v>6243</v>
      </c>
      <c r="B680" s="10" t="s">
        <v>5233</v>
      </c>
      <c r="C680" s="11" t="s">
        <v>346</v>
      </c>
      <c r="D680" s="10" t="s">
        <v>6244</v>
      </c>
      <c r="E680" s="8" t="s">
        <v>6245</v>
      </c>
      <c r="F680" s="8" t="s">
        <v>6246</v>
      </c>
      <c r="G680" s="10" t="s">
        <v>4</v>
      </c>
      <c r="H680" s="8" t="s">
        <v>6239</v>
      </c>
      <c r="I680" s="10" t="s">
        <v>6247</v>
      </c>
      <c r="J680" s="8" t="s">
        <v>2862</v>
      </c>
      <c r="K680" s="8" t="s">
        <v>1873</v>
      </c>
      <c r="L680" s="8" t="s">
        <v>87</v>
      </c>
      <c r="M680" s="10" t="s">
        <v>1456</v>
      </c>
      <c r="N680" s="8" t="s">
        <v>87</v>
      </c>
      <c r="O680" s="10" t="s">
        <v>22</v>
      </c>
      <c r="P680" s="8" t="s">
        <v>6248</v>
      </c>
      <c r="Q680" s="10" t="s">
        <v>223</v>
      </c>
      <c r="R680" s="10" t="s">
        <v>1438</v>
      </c>
      <c r="S680" s="8" t="s">
        <v>6249</v>
      </c>
      <c r="T680" s="10" t="s">
        <v>5898</v>
      </c>
      <c r="U680" s="10" t="s">
        <v>87</v>
      </c>
      <c r="V680" s="10" t="s">
        <v>87</v>
      </c>
    </row>
    <row r="681" spans="1:22" s="10" customFormat="1" x14ac:dyDescent="0.25">
      <c r="A681" s="10" t="s">
        <v>6250</v>
      </c>
      <c r="B681" s="10" t="s">
        <v>5233</v>
      </c>
      <c r="C681" s="10" t="s">
        <v>215</v>
      </c>
      <c r="D681" s="10" t="s">
        <v>6251</v>
      </c>
      <c r="E681" s="8" t="s">
        <v>6252</v>
      </c>
      <c r="F681" s="8" t="s">
        <v>6253</v>
      </c>
      <c r="G681" s="10" t="s">
        <v>4</v>
      </c>
      <c r="H681" s="8" t="s">
        <v>6254</v>
      </c>
      <c r="I681" s="10" t="s">
        <v>6255</v>
      </c>
      <c r="J681" s="8" t="s">
        <v>2862</v>
      </c>
      <c r="K681" s="8" t="s">
        <v>1873</v>
      </c>
      <c r="L681" s="8" t="s">
        <v>87</v>
      </c>
      <c r="M681" s="10" t="s">
        <v>1456</v>
      </c>
      <c r="N681" s="8" t="s">
        <v>87</v>
      </c>
      <c r="O681" s="10" t="s">
        <v>22</v>
      </c>
      <c r="P681" s="8" t="s">
        <v>6256</v>
      </c>
      <c r="Q681" s="10" t="s">
        <v>239</v>
      </c>
      <c r="R681" s="10" t="s">
        <v>1438</v>
      </c>
      <c r="S681" s="8" t="s">
        <v>6257</v>
      </c>
      <c r="T681" s="10" t="s">
        <v>5898</v>
      </c>
      <c r="U681" s="10" t="s">
        <v>87</v>
      </c>
      <c r="V681" s="10" t="s">
        <v>87</v>
      </c>
    </row>
    <row r="682" spans="1:22" s="10" customFormat="1" x14ac:dyDescent="0.25">
      <c r="A682" s="10" t="s">
        <v>6258</v>
      </c>
      <c r="B682" s="10" t="s">
        <v>5233</v>
      </c>
      <c r="C682" s="10" t="s">
        <v>215</v>
      </c>
      <c r="D682" s="10" t="s">
        <v>6259</v>
      </c>
      <c r="E682" s="8" t="s">
        <v>6260</v>
      </c>
      <c r="F682" s="8" t="s">
        <v>6261</v>
      </c>
      <c r="G682" s="10" t="s">
        <v>4</v>
      </c>
      <c r="H682" s="8" t="s">
        <v>6262</v>
      </c>
      <c r="I682" s="10" t="s">
        <v>6263</v>
      </c>
      <c r="J682" s="8" t="s">
        <v>2862</v>
      </c>
      <c r="K682" s="8" t="s">
        <v>1873</v>
      </c>
      <c r="L682" s="8" t="s">
        <v>87</v>
      </c>
      <c r="M682" s="10" t="s">
        <v>1456</v>
      </c>
      <c r="N682" s="8" t="s">
        <v>87</v>
      </c>
      <c r="O682" s="10" t="s">
        <v>22</v>
      </c>
      <c r="P682" s="8" t="s">
        <v>6264</v>
      </c>
      <c r="Q682" s="10" t="s">
        <v>223</v>
      </c>
      <c r="R682" s="10" t="s">
        <v>1438</v>
      </c>
      <c r="S682" s="8" t="s">
        <v>6265</v>
      </c>
      <c r="T682" s="10" t="s">
        <v>5898</v>
      </c>
      <c r="U682" s="10" t="s">
        <v>87</v>
      </c>
      <c r="V682" s="10" t="s">
        <v>87</v>
      </c>
    </row>
    <row r="683" spans="1:22" s="10" customFormat="1" x14ac:dyDescent="0.25">
      <c r="A683" s="10" t="s">
        <v>6266</v>
      </c>
      <c r="B683" s="10" t="s">
        <v>5233</v>
      </c>
      <c r="C683" s="10" t="s">
        <v>215</v>
      </c>
      <c r="D683" s="10" t="s">
        <v>6267</v>
      </c>
      <c r="E683" s="8" t="s">
        <v>6268</v>
      </c>
      <c r="F683" s="8" t="s">
        <v>6269</v>
      </c>
      <c r="G683" s="10" t="s">
        <v>4</v>
      </c>
      <c r="H683" s="8" t="s">
        <v>6270</v>
      </c>
      <c r="I683" s="10" t="s">
        <v>6271</v>
      </c>
      <c r="J683" s="8" t="s">
        <v>2862</v>
      </c>
      <c r="K683" s="8" t="s">
        <v>6272</v>
      </c>
      <c r="L683" s="8" t="s">
        <v>87</v>
      </c>
      <c r="M683" s="10" t="s">
        <v>1456</v>
      </c>
      <c r="N683" s="8" t="s">
        <v>87</v>
      </c>
      <c r="O683" s="10" t="s">
        <v>22</v>
      </c>
      <c r="P683" s="8" t="s">
        <v>6273</v>
      </c>
      <c r="Q683" s="10" t="s">
        <v>223</v>
      </c>
      <c r="R683" s="10" t="s">
        <v>1438</v>
      </c>
      <c r="S683" s="8" t="s">
        <v>6274</v>
      </c>
      <c r="T683" s="10" t="s">
        <v>5898</v>
      </c>
      <c r="U683" s="10" t="s">
        <v>87</v>
      </c>
      <c r="V683" s="10" t="s">
        <v>87</v>
      </c>
    </row>
    <row r="684" spans="1:22" s="10" customFormat="1" x14ac:dyDescent="0.25">
      <c r="A684" s="10" t="s">
        <v>6275</v>
      </c>
      <c r="B684" s="10" t="s">
        <v>5233</v>
      </c>
      <c r="C684" s="10" t="s">
        <v>215</v>
      </c>
      <c r="D684" s="10" t="s">
        <v>6276</v>
      </c>
      <c r="E684" s="8" t="s">
        <v>6277</v>
      </c>
      <c r="F684" s="8" t="s">
        <v>6278</v>
      </c>
      <c r="G684" s="10" t="s">
        <v>3</v>
      </c>
      <c r="H684" s="8" t="s">
        <v>6279</v>
      </c>
      <c r="I684" s="10" t="s">
        <v>6280</v>
      </c>
      <c r="J684" s="8" t="s">
        <v>2862</v>
      </c>
      <c r="K684" s="8" t="s">
        <v>1435</v>
      </c>
      <c r="L684" s="8" t="s">
        <v>87</v>
      </c>
      <c r="M684" s="10" t="s">
        <v>1436</v>
      </c>
      <c r="N684" s="8" t="s">
        <v>87</v>
      </c>
      <c r="O684" s="10" t="s">
        <v>22</v>
      </c>
      <c r="P684" s="8" t="s">
        <v>6281</v>
      </c>
      <c r="Q684" s="10" t="s">
        <v>223</v>
      </c>
      <c r="R684" s="10" t="s">
        <v>1438</v>
      </c>
      <c r="S684" s="8" t="s">
        <v>6282</v>
      </c>
      <c r="T684" s="10" t="s">
        <v>5898</v>
      </c>
      <c r="U684" s="10" t="s">
        <v>87</v>
      </c>
      <c r="V684" s="10" t="s">
        <v>87</v>
      </c>
    </row>
    <row r="685" spans="1:22" s="10" customFormat="1" x14ac:dyDescent="0.25">
      <c r="A685" s="10" t="s">
        <v>6283</v>
      </c>
      <c r="B685" s="10" t="s">
        <v>5233</v>
      </c>
      <c r="C685" s="11" t="s">
        <v>346</v>
      </c>
      <c r="D685" s="10" t="s">
        <v>6284</v>
      </c>
      <c r="E685" s="8" t="s">
        <v>6285</v>
      </c>
      <c r="F685" s="8" t="s">
        <v>6286</v>
      </c>
      <c r="G685" s="10" t="s">
        <v>4</v>
      </c>
      <c r="H685" s="8" t="s">
        <v>6287</v>
      </c>
      <c r="I685" s="10" t="s">
        <v>6288</v>
      </c>
      <c r="J685" s="8" t="s">
        <v>2862</v>
      </c>
      <c r="K685" s="8" t="s">
        <v>1873</v>
      </c>
      <c r="L685" s="8" t="s">
        <v>87</v>
      </c>
      <c r="M685" s="10" t="s">
        <v>1456</v>
      </c>
      <c r="N685" s="8" t="s">
        <v>87</v>
      </c>
      <c r="O685" s="10" t="s">
        <v>22</v>
      </c>
      <c r="P685" s="8" t="s">
        <v>6289</v>
      </c>
      <c r="Q685" s="10" t="s">
        <v>1447</v>
      </c>
      <c r="R685" s="10" t="s">
        <v>1438</v>
      </c>
      <c r="S685" s="8" t="s">
        <v>6290</v>
      </c>
      <c r="T685" s="10" t="s">
        <v>5898</v>
      </c>
      <c r="U685" s="10" t="s">
        <v>87</v>
      </c>
      <c r="V685" s="10" t="s">
        <v>87</v>
      </c>
    </row>
    <row r="686" spans="1:22" s="10" customFormat="1" x14ac:dyDescent="0.25">
      <c r="A686" s="10" t="s">
        <v>6291</v>
      </c>
      <c r="B686" s="10" t="s">
        <v>5233</v>
      </c>
      <c r="C686" s="11" t="s">
        <v>346</v>
      </c>
      <c r="D686" s="10" t="s">
        <v>6292</v>
      </c>
      <c r="E686" s="8" t="s">
        <v>6293</v>
      </c>
      <c r="F686" s="8" t="s">
        <v>6294</v>
      </c>
      <c r="G686" s="10" t="s">
        <v>4</v>
      </c>
      <c r="H686" s="8" t="s">
        <v>1653</v>
      </c>
      <c r="I686" s="10" t="s">
        <v>6295</v>
      </c>
      <c r="J686" s="8" t="s">
        <v>1655</v>
      </c>
      <c r="K686" s="8" t="s">
        <v>1873</v>
      </c>
      <c r="L686" s="8" t="s">
        <v>87</v>
      </c>
      <c r="M686" s="10" t="s">
        <v>1456</v>
      </c>
      <c r="N686" s="8" t="s">
        <v>87</v>
      </c>
      <c r="O686" s="10" t="s">
        <v>22</v>
      </c>
      <c r="P686" s="8" t="s">
        <v>6296</v>
      </c>
      <c r="Q686" s="10" t="s">
        <v>1447</v>
      </c>
      <c r="R686" s="10" t="s">
        <v>1657</v>
      </c>
      <c r="S686" s="8" t="s">
        <v>6297</v>
      </c>
      <c r="T686" s="10" t="s">
        <v>5898</v>
      </c>
      <c r="U686" s="10" t="s">
        <v>87</v>
      </c>
      <c r="V686" s="10" t="s">
        <v>87</v>
      </c>
    </row>
    <row r="687" spans="1:22" s="10" customFormat="1" x14ac:dyDescent="0.25">
      <c r="A687" s="10" t="s">
        <v>6298</v>
      </c>
      <c r="B687" s="10" t="s">
        <v>5233</v>
      </c>
      <c r="C687" s="10" t="s">
        <v>215</v>
      </c>
      <c r="D687" s="10" t="s">
        <v>6299</v>
      </c>
      <c r="E687" s="8" t="s">
        <v>6300</v>
      </c>
      <c r="F687" s="8" t="s">
        <v>6301</v>
      </c>
      <c r="G687" s="10" t="s">
        <v>3</v>
      </c>
      <c r="H687" s="8" t="s">
        <v>6302</v>
      </c>
      <c r="I687" s="10" t="s">
        <v>6303</v>
      </c>
      <c r="J687" s="8" t="s">
        <v>2862</v>
      </c>
      <c r="K687" s="8" t="s">
        <v>1435</v>
      </c>
      <c r="L687" s="8" t="s">
        <v>87</v>
      </c>
      <c r="M687" s="10" t="s">
        <v>1436</v>
      </c>
      <c r="N687" s="8" t="s">
        <v>87</v>
      </c>
      <c r="O687" s="10" t="s">
        <v>22</v>
      </c>
      <c r="P687" s="8" t="s">
        <v>6304</v>
      </c>
      <c r="Q687" s="10" t="s">
        <v>223</v>
      </c>
      <c r="R687" s="10" t="s">
        <v>1438</v>
      </c>
      <c r="S687" s="8" t="s">
        <v>6305</v>
      </c>
      <c r="T687" s="10" t="s">
        <v>5898</v>
      </c>
      <c r="U687" s="10" t="s">
        <v>87</v>
      </c>
      <c r="V687" s="10" t="s">
        <v>87</v>
      </c>
    </row>
    <row r="688" spans="1:22" s="10" customFormat="1" x14ac:dyDescent="0.25">
      <c r="A688" s="10" t="s">
        <v>6306</v>
      </c>
      <c r="B688" s="10" t="s">
        <v>5233</v>
      </c>
      <c r="C688" s="11" t="s">
        <v>346</v>
      </c>
      <c r="D688" s="10" t="s">
        <v>6307</v>
      </c>
      <c r="E688" s="8" t="s">
        <v>6308</v>
      </c>
      <c r="F688" s="8" t="s">
        <v>6309</v>
      </c>
      <c r="G688" s="10" t="s">
        <v>4</v>
      </c>
      <c r="H688" s="8" t="s">
        <v>6302</v>
      </c>
      <c r="I688" s="10" t="s">
        <v>6310</v>
      </c>
      <c r="J688" s="8" t="s">
        <v>2862</v>
      </c>
      <c r="K688" s="8" t="s">
        <v>1873</v>
      </c>
      <c r="L688" s="8" t="s">
        <v>87</v>
      </c>
      <c r="M688" s="10" t="s">
        <v>1456</v>
      </c>
      <c r="N688" s="8" t="s">
        <v>87</v>
      </c>
      <c r="O688" s="10" t="s">
        <v>22</v>
      </c>
      <c r="P688" s="8" t="s">
        <v>6311</v>
      </c>
      <c r="Q688" s="10" t="s">
        <v>223</v>
      </c>
      <c r="R688" s="10" t="s">
        <v>1438</v>
      </c>
      <c r="S688" s="8" t="s">
        <v>6312</v>
      </c>
      <c r="T688" s="10" t="s">
        <v>5898</v>
      </c>
      <c r="U688" s="10" t="s">
        <v>87</v>
      </c>
      <c r="V688" s="10" t="s">
        <v>87</v>
      </c>
    </row>
    <row r="689" spans="1:22" s="10" customFormat="1" x14ac:dyDescent="0.25">
      <c r="A689" s="10" t="s">
        <v>6313</v>
      </c>
      <c r="B689" s="10" t="s">
        <v>5233</v>
      </c>
      <c r="C689" s="10" t="s">
        <v>215</v>
      </c>
      <c r="D689" s="10" t="s">
        <v>6314</v>
      </c>
      <c r="E689" s="8" t="s">
        <v>6315</v>
      </c>
      <c r="F689" s="8" t="s">
        <v>4823</v>
      </c>
      <c r="G689" s="10" t="s">
        <v>4</v>
      </c>
      <c r="H689" s="8" t="s">
        <v>6316</v>
      </c>
      <c r="I689" s="10" t="s">
        <v>6317</v>
      </c>
      <c r="J689" s="8" t="s">
        <v>2862</v>
      </c>
      <c r="K689" s="8" t="s">
        <v>1873</v>
      </c>
      <c r="L689" s="8" t="s">
        <v>87</v>
      </c>
      <c r="M689" s="10" t="s">
        <v>1456</v>
      </c>
      <c r="N689" s="8" t="s">
        <v>87</v>
      </c>
      <c r="O689" s="10" t="s">
        <v>22</v>
      </c>
      <c r="P689" s="8" t="s">
        <v>6318</v>
      </c>
      <c r="Q689" s="10" t="s">
        <v>239</v>
      </c>
      <c r="R689" s="10" t="s">
        <v>1438</v>
      </c>
      <c r="S689" s="8" t="s">
        <v>6319</v>
      </c>
      <c r="T689" s="10" t="s">
        <v>5898</v>
      </c>
      <c r="U689" s="10" t="s">
        <v>87</v>
      </c>
      <c r="V689" s="10" t="s">
        <v>87</v>
      </c>
    </row>
    <row r="690" spans="1:22" s="10" customFormat="1" x14ac:dyDescent="0.25">
      <c r="A690" s="10" t="s">
        <v>6320</v>
      </c>
      <c r="B690" s="10" t="s">
        <v>5233</v>
      </c>
      <c r="C690" s="10" t="s">
        <v>215</v>
      </c>
      <c r="D690" s="10" t="s">
        <v>6321</v>
      </c>
      <c r="E690" s="8" t="s">
        <v>6322</v>
      </c>
      <c r="F690" s="8" t="s">
        <v>6323</v>
      </c>
      <c r="G690" s="10" t="s">
        <v>4</v>
      </c>
      <c r="H690" s="8" t="s">
        <v>6302</v>
      </c>
      <c r="I690" s="10" t="s">
        <v>6317</v>
      </c>
      <c r="J690" s="8" t="s">
        <v>2862</v>
      </c>
      <c r="K690" s="8" t="s">
        <v>1873</v>
      </c>
      <c r="L690" s="8" t="s">
        <v>87</v>
      </c>
      <c r="M690" s="10" t="s">
        <v>1456</v>
      </c>
      <c r="N690" s="8" t="s">
        <v>87</v>
      </c>
      <c r="O690" s="10" t="s">
        <v>22</v>
      </c>
      <c r="P690" s="8" t="s">
        <v>6324</v>
      </c>
      <c r="Q690" s="10" t="s">
        <v>223</v>
      </c>
      <c r="R690" s="10" t="s">
        <v>1438</v>
      </c>
      <c r="S690" s="8" t="s">
        <v>6325</v>
      </c>
      <c r="T690" s="10" t="s">
        <v>5898</v>
      </c>
      <c r="U690" s="10" t="s">
        <v>87</v>
      </c>
      <c r="V690" s="10" t="s">
        <v>87</v>
      </c>
    </row>
    <row r="691" spans="1:22" s="10" customFormat="1" x14ac:dyDescent="0.25">
      <c r="A691" s="10" t="s">
        <v>6326</v>
      </c>
      <c r="B691" s="10" t="s">
        <v>5233</v>
      </c>
      <c r="C691" s="11" t="s">
        <v>346</v>
      </c>
      <c r="D691" s="10" t="s">
        <v>6327</v>
      </c>
      <c r="E691" s="8" t="s">
        <v>6328</v>
      </c>
      <c r="F691" s="8" t="s">
        <v>6329</v>
      </c>
      <c r="G691" s="10" t="s">
        <v>4</v>
      </c>
      <c r="H691" s="8" t="s">
        <v>6302</v>
      </c>
      <c r="I691" s="10" t="s">
        <v>3276</v>
      </c>
      <c r="J691" s="8" t="s">
        <v>2862</v>
      </c>
      <c r="K691" s="8" t="s">
        <v>1873</v>
      </c>
      <c r="L691" s="8" t="s">
        <v>87</v>
      </c>
      <c r="M691" s="10" t="s">
        <v>1456</v>
      </c>
      <c r="N691" s="8" t="s">
        <v>87</v>
      </c>
      <c r="O691" s="10" t="s">
        <v>22</v>
      </c>
      <c r="P691" s="8" t="s">
        <v>6330</v>
      </c>
      <c r="Q691" s="10" t="s">
        <v>1447</v>
      </c>
      <c r="R691" s="10" t="s">
        <v>1438</v>
      </c>
      <c r="S691" s="8" t="s">
        <v>6331</v>
      </c>
      <c r="T691" s="10" t="s">
        <v>5898</v>
      </c>
      <c r="U691" s="10" t="s">
        <v>87</v>
      </c>
      <c r="V691" s="10" t="s">
        <v>87</v>
      </c>
    </row>
    <row r="692" spans="1:22" s="10" customFormat="1" x14ac:dyDescent="0.25">
      <c r="A692" s="10" t="s">
        <v>6332</v>
      </c>
      <c r="B692" s="10" t="s">
        <v>5233</v>
      </c>
      <c r="C692" s="10" t="s">
        <v>215</v>
      </c>
      <c r="D692" s="10" t="s">
        <v>6333</v>
      </c>
      <c r="E692" s="8" t="s">
        <v>6334</v>
      </c>
      <c r="F692" s="8" t="s">
        <v>6335</v>
      </c>
      <c r="G692" s="10" t="s">
        <v>3</v>
      </c>
      <c r="H692" s="8" t="s">
        <v>6302</v>
      </c>
      <c r="I692" s="10" t="s">
        <v>1151</v>
      </c>
      <c r="J692" s="8" t="s">
        <v>2862</v>
      </c>
      <c r="K692" s="8" t="s">
        <v>1435</v>
      </c>
      <c r="L692" s="8" t="s">
        <v>87</v>
      </c>
      <c r="M692" s="10" t="s">
        <v>1436</v>
      </c>
      <c r="N692" s="8" t="s">
        <v>87</v>
      </c>
      <c r="O692" s="10" t="s">
        <v>22</v>
      </c>
      <c r="P692" s="8" t="s">
        <v>6336</v>
      </c>
      <c r="Q692" s="10" t="s">
        <v>223</v>
      </c>
      <c r="R692" s="10" t="s">
        <v>1438</v>
      </c>
      <c r="S692" s="8" t="s">
        <v>6312</v>
      </c>
      <c r="T692" s="10" t="s">
        <v>5898</v>
      </c>
      <c r="U692" s="10" t="s">
        <v>87</v>
      </c>
      <c r="V692" s="10" t="s">
        <v>87</v>
      </c>
    </row>
    <row r="693" spans="1:22" s="10" customFormat="1" x14ac:dyDescent="0.25">
      <c r="A693" s="10" t="s">
        <v>6337</v>
      </c>
      <c r="B693" s="10" t="s">
        <v>5233</v>
      </c>
      <c r="C693" s="11" t="s">
        <v>346</v>
      </c>
      <c r="D693" s="10" t="s">
        <v>6338</v>
      </c>
      <c r="E693" s="8" t="s">
        <v>6339</v>
      </c>
      <c r="F693" s="8" t="s">
        <v>6340</v>
      </c>
      <c r="G693" s="10" t="s">
        <v>4</v>
      </c>
      <c r="H693" s="8" t="s">
        <v>1653</v>
      </c>
      <c r="I693" s="10" t="s">
        <v>6341</v>
      </c>
      <c r="J693" s="8" t="s">
        <v>1655</v>
      </c>
      <c r="K693" s="8" t="s">
        <v>1873</v>
      </c>
      <c r="L693" s="8" t="s">
        <v>87</v>
      </c>
      <c r="M693" s="10" t="s">
        <v>1456</v>
      </c>
      <c r="N693" s="8" t="s">
        <v>87</v>
      </c>
      <c r="O693" s="10" t="s">
        <v>22</v>
      </c>
      <c r="P693" s="8" t="s">
        <v>6342</v>
      </c>
      <c r="Q693" s="10" t="s">
        <v>1447</v>
      </c>
      <c r="R693" s="10" t="s">
        <v>1657</v>
      </c>
      <c r="S693" s="8" t="s">
        <v>6343</v>
      </c>
      <c r="T693" s="10" t="s">
        <v>5898</v>
      </c>
      <c r="U693" s="10" t="s">
        <v>87</v>
      </c>
      <c r="V693" s="10" t="s">
        <v>87</v>
      </c>
    </row>
    <row r="694" spans="1:22" s="10" customFormat="1" x14ac:dyDescent="0.25">
      <c r="A694" s="10" t="s">
        <v>6344</v>
      </c>
      <c r="B694" s="10" t="s">
        <v>5233</v>
      </c>
      <c r="C694" s="10" t="s">
        <v>215</v>
      </c>
      <c r="D694" s="10" t="s">
        <v>6345</v>
      </c>
      <c r="E694" s="8" t="s">
        <v>6346</v>
      </c>
      <c r="F694" s="8" t="s">
        <v>6347</v>
      </c>
      <c r="G694" s="10" t="s">
        <v>4</v>
      </c>
      <c r="H694" s="8" t="s">
        <v>6302</v>
      </c>
      <c r="I694" s="10" t="s">
        <v>6317</v>
      </c>
      <c r="J694" s="8" t="s">
        <v>2862</v>
      </c>
      <c r="K694" s="8" t="s">
        <v>1873</v>
      </c>
      <c r="L694" s="8" t="s">
        <v>87</v>
      </c>
      <c r="M694" s="10" t="s">
        <v>1436</v>
      </c>
      <c r="N694" s="8" t="s">
        <v>87</v>
      </c>
      <c r="O694" s="10" t="s">
        <v>22</v>
      </c>
      <c r="P694" s="8" t="s">
        <v>6348</v>
      </c>
      <c r="Q694" s="10" t="s">
        <v>223</v>
      </c>
      <c r="R694" s="10" t="s">
        <v>1438</v>
      </c>
      <c r="S694" s="8" t="s">
        <v>1648</v>
      </c>
      <c r="T694" s="10" t="s">
        <v>5898</v>
      </c>
      <c r="U694" s="10" t="s">
        <v>87</v>
      </c>
      <c r="V694" s="10" t="s">
        <v>87</v>
      </c>
    </row>
    <row r="695" spans="1:22" s="10" customFormat="1" x14ac:dyDescent="0.25">
      <c r="A695" s="10" t="s">
        <v>6349</v>
      </c>
      <c r="B695" s="10" t="s">
        <v>6350</v>
      </c>
      <c r="C695" s="10" t="s">
        <v>215</v>
      </c>
      <c r="D695" s="10" t="s">
        <v>6351</v>
      </c>
      <c r="E695" s="8" t="s">
        <v>6352</v>
      </c>
      <c r="F695" s="8" t="s">
        <v>6353</v>
      </c>
      <c r="G695" s="10" t="s">
        <v>3</v>
      </c>
      <c r="H695" s="8" t="s">
        <v>6354</v>
      </c>
      <c r="I695" s="10" t="s">
        <v>6355</v>
      </c>
      <c r="J695" s="8" t="s">
        <v>2862</v>
      </c>
      <c r="K695" s="8" t="s">
        <v>1435</v>
      </c>
      <c r="L695" s="8" t="s">
        <v>87</v>
      </c>
      <c r="M695" s="10" t="s">
        <v>1436</v>
      </c>
      <c r="N695" s="8" t="s">
        <v>87</v>
      </c>
      <c r="O695" s="10" t="s">
        <v>22</v>
      </c>
      <c r="P695" s="8" t="s">
        <v>6356</v>
      </c>
      <c r="Q695" s="10" t="s">
        <v>223</v>
      </c>
      <c r="R695" s="10" t="s">
        <v>1438</v>
      </c>
      <c r="S695" s="8" t="s">
        <v>6357</v>
      </c>
      <c r="T695" s="10" t="s">
        <v>6358</v>
      </c>
      <c r="U695" s="10" t="s">
        <v>87</v>
      </c>
      <c r="V695" s="10" t="s">
        <v>87</v>
      </c>
    </row>
    <row r="696" spans="1:22" s="10" customFormat="1" x14ac:dyDescent="0.25">
      <c r="A696" s="10" t="s">
        <v>6359</v>
      </c>
      <c r="B696" s="10" t="s">
        <v>6350</v>
      </c>
      <c r="C696" s="11" t="s">
        <v>346</v>
      </c>
      <c r="D696" s="10" t="s">
        <v>6360</v>
      </c>
      <c r="E696" s="8" t="s">
        <v>6361</v>
      </c>
      <c r="F696" s="8" t="s">
        <v>6362</v>
      </c>
      <c r="G696" s="10" t="s">
        <v>3</v>
      </c>
      <c r="H696" s="8" t="s">
        <v>6354</v>
      </c>
      <c r="I696" s="10" t="s">
        <v>6363</v>
      </c>
      <c r="J696" s="8" t="s">
        <v>2862</v>
      </c>
      <c r="K696" s="8" t="s">
        <v>1435</v>
      </c>
      <c r="L696" s="8" t="s">
        <v>87</v>
      </c>
      <c r="M696" s="10" t="s">
        <v>1436</v>
      </c>
      <c r="N696" s="8" t="s">
        <v>87</v>
      </c>
      <c r="O696" s="10" t="s">
        <v>22</v>
      </c>
      <c r="P696" s="8" t="s">
        <v>6364</v>
      </c>
      <c r="Q696" s="10" t="s">
        <v>223</v>
      </c>
      <c r="R696" s="10" t="s">
        <v>1438</v>
      </c>
      <c r="S696" s="8" t="s">
        <v>6365</v>
      </c>
      <c r="T696" s="10" t="s">
        <v>6358</v>
      </c>
      <c r="U696" s="10" t="s">
        <v>87</v>
      </c>
      <c r="V696" s="10" t="s">
        <v>87</v>
      </c>
    </row>
    <row r="697" spans="1:22" s="10" customFormat="1" x14ac:dyDescent="0.25">
      <c r="A697" s="10" t="s">
        <v>6366</v>
      </c>
      <c r="B697" s="10" t="s">
        <v>6350</v>
      </c>
      <c r="C697" s="11" t="s">
        <v>346</v>
      </c>
      <c r="D697" s="10" t="s">
        <v>6367</v>
      </c>
      <c r="E697" s="8" t="s">
        <v>6368</v>
      </c>
      <c r="F697" s="8" t="s">
        <v>6369</v>
      </c>
      <c r="G697" s="10" t="s">
        <v>3</v>
      </c>
      <c r="H697" s="8" t="s">
        <v>6370</v>
      </c>
      <c r="I697" s="10" t="s">
        <v>1151</v>
      </c>
      <c r="J697" s="8" t="s">
        <v>2862</v>
      </c>
      <c r="K697" s="8" t="s">
        <v>1435</v>
      </c>
      <c r="L697" s="8" t="s">
        <v>87</v>
      </c>
      <c r="M697" s="10" t="s">
        <v>1436</v>
      </c>
      <c r="N697" s="8" t="s">
        <v>87</v>
      </c>
      <c r="O697" s="10" t="s">
        <v>22</v>
      </c>
      <c r="P697" s="8" t="s">
        <v>6371</v>
      </c>
      <c r="Q697" s="10" t="s">
        <v>223</v>
      </c>
      <c r="R697" s="10" t="s">
        <v>1438</v>
      </c>
      <c r="S697" s="8" t="s">
        <v>6372</v>
      </c>
      <c r="T697" s="10" t="s">
        <v>6358</v>
      </c>
      <c r="U697" s="10" t="s">
        <v>87</v>
      </c>
      <c r="V697" s="10" t="s">
        <v>87</v>
      </c>
    </row>
    <row r="698" spans="1:22" s="10" customFormat="1" x14ac:dyDescent="0.25">
      <c r="A698" s="10" t="s">
        <v>6373</v>
      </c>
      <c r="B698" s="10" t="s">
        <v>6350</v>
      </c>
      <c r="C698" s="10" t="s">
        <v>215</v>
      </c>
      <c r="D698" s="10" t="s">
        <v>6374</v>
      </c>
      <c r="E698" s="8" t="s">
        <v>6375</v>
      </c>
      <c r="F698" s="8" t="s">
        <v>6376</v>
      </c>
      <c r="G698" s="10" t="s">
        <v>4</v>
      </c>
      <c r="H698" s="8" t="s">
        <v>6377</v>
      </c>
      <c r="I698" s="10" t="s">
        <v>1151</v>
      </c>
      <c r="J698" s="8" t="s">
        <v>2862</v>
      </c>
      <c r="K698" s="8" t="s">
        <v>6378</v>
      </c>
      <c r="L698" s="8" t="s">
        <v>87</v>
      </c>
      <c r="M698" s="10" t="s">
        <v>1456</v>
      </c>
      <c r="N698" s="8" t="s">
        <v>87</v>
      </c>
      <c r="O698" s="10" t="s">
        <v>22</v>
      </c>
      <c r="P698" s="8" t="s">
        <v>6379</v>
      </c>
      <c r="Q698" s="10" t="s">
        <v>246</v>
      </c>
      <c r="R698" s="10" t="s">
        <v>1438</v>
      </c>
      <c r="S698" s="8" t="s">
        <v>6380</v>
      </c>
      <c r="T698" s="10" t="s">
        <v>6358</v>
      </c>
      <c r="U698" s="10" t="s">
        <v>87</v>
      </c>
      <c r="V698" s="10" t="s">
        <v>87</v>
      </c>
    </row>
    <row r="699" spans="1:22" s="10" customFormat="1" x14ac:dyDescent="0.25">
      <c r="A699" s="10" t="s">
        <v>6381</v>
      </c>
      <c r="B699" s="10" t="s">
        <v>6350</v>
      </c>
      <c r="C699" s="10" t="s">
        <v>215</v>
      </c>
      <c r="D699" s="10" t="s">
        <v>6382</v>
      </c>
      <c r="E699" s="8" t="s">
        <v>6383</v>
      </c>
      <c r="F699" s="8" t="s">
        <v>6384</v>
      </c>
      <c r="G699" s="10" t="s">
        <v>4</v>
      </c>
      <c r="H699" s="8" t="s">
        <v>6385</v>
      </c>
      <c r="I699" s="10" t="s">
        <v>6386</v>
      </c>
      <c r="J699" s="8" t="s">
        <v>2862</v>
      </c>
      <c r="K699" s="8" t="s">
        <v>1873</v>
      </c>
      <c r="L699" s="8" t="s">
        <v>87</v>
      </c>
      <c r="M699" s="10" t="s">
        <v>1456</v>
      </c>
      <c r="N699" s="8" t="s">
        <v>87</v>
      </c>
      <c r="O699" s="10" t="s">
        <v>22</v>
      </c>
      <c r="P699" s="8" t="s">
        <v>6387</v>
      </c>
      <c r="Q699" s="10" t="s">
        <v>223</v>
      </c>
      <c r="R699" s="10" t="s">
        <v>1438</v>
      </c>
      <c r="S699" s="8" t="s">
        <v>6388</v>
      </c>
      <c r="T699" s="10" t="s">
        <v>6358</v>
      </c>
      <c r="U699" s="10" t="s">
        <v>87</v>
      </c>
      <c r="V699" s="10" t="s">
        <v>87</v>
      </c>
    </row>
    <row r="700" spans="1:22" s="10" customFormat="1" x14ac:dyDescent="0.25">
      <c r="A700" s="10" t="s">
        <v>6389</v>
      </c>
      <c r="B700" s="10" t="s">
        <v>6350</v>
      </c>
      <c r="C700" s="11" t="s">
        <v>346</v>
      </c>
      <c r="D700" s="10" t="s">
        <v>6390</v>
      </c>
      <c r="E700" s="8" t="s">
        <v>6391</v>
      </c>
      <c r="F700" s="8" t="s">
        <v>6392</v>
      </c>
      <c r="G700" s="10" t="s">
        <v>4</v>
      </c>
      <c r="H700" s="8" t="s">
        <v>6354</v>
      </c>
      <c r="I700" s="10" t="s">
        <v>6363</v>
      </c>
      <c r="J700" s="8" t="s">
        <v>2862</v>
      </c>
      <c r="K700" s="8" t="s">
        <v>1873</v>
      </c>
      <c r="L700" s="8" t="s">
        <v>87</v>
      </c>
      <c r="M700" s="10" t="s">
        <v>1456</v>
      </c>
      <c r="N700" s="8" t="s">
        <v>87</v>
      </c>
      <c r="O700" s="10" t="s">
        <v>22</v>
      </c>
      <c r="P700" s="8" t="s">
        <v>6393</v>
      </c>
      <c r="Q700" s="10" t="s">
        <v>1447</v>
      </c>
      <c r="R700" s="10" t="s">
        <v>1438</v>
      </c>
      <c r="S700" s="8" t="s">
        <v>6394</v>
      </c>
      <c r="T700" s="10" t="s">
        <v>6358</v>
      </c>
      <c r="U700" s="10" t="s">
        <v>87</v>
      </c>
      <c r="V700" s="10" t="s">
        <v>87</v>
      </c>
    </row>
    <row r="701" spans="1:22" s="10" customFormat="1" x14ac:dyDescent="0.25">
      <c r="A701" s="10" t="s">
        <v>6395</v>
      </c>
      <c r="B701" s="10" t="s">
        <v>6350</v>
      </c>
      <c r="C701" s="10" t="s">
        <v>215</v>
      </c>
      <c r="D701" s="10" t="s">
        <v>6396</v>
      </c>
      <c r="E701" s="8" t="s">
        <v>6397</v>
      </c>
      <c r="F701" s="8" t="s">
        <v>6398</v>
      </c>
      <c r="G701" s="10" t="s">
        <v>2647</v>
      </c>
      <c r="H701" s="8" t="s">
        <v>6399</v>
      </c>
      <c r="I701" s="10" t="s">
        <v>4043</v>
      </c>
      <c r="J701" s="8" t="s">
        <v>2862</v>
      </c>
      <c r="K701" s="8" t="s">
        <v>2649</v>
      </c>
      <c r="L701" s="8" t="s">
        <v>87</v>
      </c>
      <c r="M701" s="10" t="s">
        <v>1436</v>
      </c>
      <c r="N701" s="8" t="s">
        <v>87</v>
      </c>
      <c r="O701" s="10" t="s">
        <v>22</v>
      </c>
      <c r="P701" s="8" t="s">
        <v>6400</v>
      </c>
      <c r="Q701" s="10" t="s">
        <v>223</v>
      </c>
      <c r="R701" s="10" t="s">
        <v>1438</v>
      </c>
      <c r="S701" s="8" t="s">
        <v>6401</v>
      </c>
      <c r="T701" s="10" t="s">
        <v>6358</v>
      </c>
      <c r="U701" s="10" t="s">
        <v>87</v>
      </c>
      <c r="V701" s="10" t="s">
        <v>87</v>
      </c>
    </row>
    <row r="702" spans="1:22" s="10" customFormat="1" x14ac:dyDescent="0.25">
      <c r="A702" s="10" t="s">
        <v>6402</v>
      </c>
      <c r="B702" s="10" t="s">
        <v>6350</v>
      </c>
      <c r="C702" s="10" t="s">
        <v>215</v>
      </c>
      <c r="D702" s="10" t="s">
        <v>6403</v>
      </c>
      <c r="E702" s="8" t="s">
        <v>6404</v>
      </c>
      <c r="F702" s="8" t="s">
        <v>2355</v>
      </c>
      <c r="G702" s="10" t="s">
        <v>3</v>
      </c>
      <c r="H702" s="8" t="s">
        <v>6354</v>
      </c>
      <c r="I702" s="10" t="s">
        <v>1151</v>
      </c>
      <c r="J702" s="8" t="s">
        <v>2862</v>
      </c>
      <c r="K702" s="8" t="s">
        <v>1435</v>
      </c>
      <c r="L702" s="8" t="s">
        <v>87</v>
      </c>
      <c r="M702" s="10" t="s">
        <v>1436</v>
      </c>
      <c r="N702" s="8" t="s">
        <v>87</v>
      </c>
      <c r="O702" s="10" t="s">
        <v>22</v>
      </c>
      <c r="P702" s="8" t="s">
        <v>6405</v>
      </c>
      <c r="Q702" s="10" t="s">
        <v>223</v>
      </c>
      <c r="R702" s="10" t="s">
        <v>1438</v>
      </c>
      <c r="S702" s="8" t="s">
        <v>6406</v>
      </c>
      <c r="T702" s="10" t="s">
        <v>6358</v>
      </c>
      <c r="U702" s="10" t="s">
        <v>87</v>
      </c>
      <c r="V702" s="10" t="s">
        <v>87</v>
      </c>
    </row>
    <row r="703" spans="1:22" s="10" customFormat="1" x14ac:dyDescent="0.25">
      <c r="A703" s="10" t="s">
        <v>6407</v>
      </c>
      <c r="B703" s="10" t="s">
        <v>6350</v>
      </c>
      <c r="C703" s="10" t="s">
        <v>215</v>
      </c>
      <c r="D703" s="10" t="s">
        <v>6408</v>
      </c>
      <c r="E703" s="8" t="s">
        <v>6409</v>
      </c>
      <c r="F703" s="8" t="s">
        <v>6410</v>
      </c>
      <c r="G703" s="10" t="s">
        <v>4</v>
      </c>
      <c r="H703" s="8" t="s">
        <v>6354</v>
      </c>
      <c r="I703" s="10" t="s">
        <v>1151</v>
      </c>
      <c r="J703" s="8" t="s">
        <v>2862</v>
      </c>
      <c r="K703" s="8" t="s">
        <v>1873</v>
      </c>
      <c r="L703" s="8" t="s">
        <v>87</v>
      </c>
      <c r="M703" s="10" t="s">
        <v>1456</v>
      </c>
      <c r="N703" s="8" t="s">
        <v>87</v>
      </c>
      <c r="O703" s="10" t="s">
        <v>22</v>
      </c>
      <c r="P703" s="8" t="s">
        <v>6411</v>
      </c>
      <c r="Q703" s="10" t="s">
        <v>223</v>
      </c>
      <c r="R703" s="10" t="s">
        <v>1438</v>
      </c>
      <c r="S703" s="8" t="s">
        <v>6412</v>
      </c>
      <c r="T703" s="10" t="s">
        <v>6358</v>
      </c>
      <c r="U703" s="10" t="s">
        <v>87</v>
      </c>
      <c r="V703" s="10" t="s">
        <v>87</v>
      </c>
    </row>
    <row r="704" spans="1:22" s="10" customFormat="1" x14ac:dyDescent="0.25">
      <c r="A704" s="10" t="s">
        <v>6413</v>
      </c>
      <c r="B704" s="10" t="s">
        <v>6350</v>
      </c>
      <c r="C704" s="11" t="s">
        <v>346</v>
      </c>
      <c r="D704" s="10" t="s">
        <v>6414</v>
      </c>
      <c r="E704" s="8" t="s">
        <v>6415</v>
      </c>
      <c r="F704" s="8" t="s">
        <v>6416</v>
      </c>
      <c r="G704" s="10" t="s">
        <v>4</v>
      </c>
      <c r="H704" s="8" t="s">
        <v>1653</v>
      </c>
      <c r="I704" s="10" t="s">
        <v>3429</v>
      </c>
      <c r="J704" s="8" t="s">
        <v>1655</v>
      </c>
      <c r="K704" s="8" t="s">
        <v>1873</v>
      </c>
      <c r="L704" s="8" t="s">
        <v>87</v>
      </c>
      <c r="M704" s="10" t="s">
        <v>1456</v>
      </c>
      <c r="N704" s="8" t="s">
        <v>87</v>
      </c>
      <c r="O704" s="10" t="s">
        <v>22</v>
      </c>
      <c r="P704" s="8" t="s">
        <v>6417</v>
      </c>
      <c r="Q704" s="10" t="s">
        <v>1447</v>
      </c>
      <c r="R704" s="10" t="s">
        <v>1657</v>
      </c>
      <c r="S704" s="8" t="s">
        <v>1658</v>
      </c>
      <c r="T704" s="10" t="s">
        <v>6358</v>
      </c>
      <c r="U704" s="10" t="s">
        <v>87</v>
      </c>
      <c r="V704" s="10" t="s">
        <v>87</v>
      </c>
    </row>
    <row r="705" spans="1:22" s="10" customFormat="1" x14ac:dyDescent="0.25">
      <c r="A705" s="10" t="s">
        <v>6418</v>
      </c>
      <c r="B705" s="10" t="s">
        <v>6350</v>
      </c>
      <c r="C705" s="10" t="s">
        <v>215</v>
      </c>
      <c r="D705" s="10" t="s">
        <v>6419</v>
      </c>
      <c r="E705" s="8" t="s">
        <v>6420</v>
      </c>
      <c r="F705" s="8" t="s">
        <v>1662</v>
      </c>
      <c r="G705" s="10" t="s">
        <v>4</v>
      </c>
      <c r="H705" s="8" t="s">
        <v>2185</v>
      </c>
      <c r="I705" s="10" t="s">
        <v>4043</v>
      </c>
      <c r="J705" s="8" t="s">
        <v>1664</v>
      </c>
      <c r="K705" s="8" t="s">
        <v>6421</v>
      </c>
      <c r="L705" s="8" t="s">
        <v>87</v>
      </c>
      <c r="M705" s="10" t="s">
        <v>1456</v>
      </c>
      <c r="N705" s="8" t="s">
        <v>87</v>
      </c>
      <c r="O705" s="10" t="s">
        <v>22</v>
      </c>
      <c r="P705" s="8" t="s">
        <v>6422</v>
      </c>
      <c r="Q705" s="10" t="s">
        <v>825</v>
      </c>
      <c r="R705" s="10" t="s">
        <v>2188</v>
      </c>
      <c r="S705" s="8" t="s">
        <v>1669</v>
      </c>
      <c r="T705" s="10" t="s">
        <v>6358</v>
      </c>
      <c r="U705" s="10" t="s">
        <v>87</v>
      </c>
      <c r="V705" s="10" t="s">
        <v>87</v>
      </c>
    </row>
    <row r="706" spans="1:22" s="10" customFormat="1" x14ac:dyDescent="0.25">
      <c r="A706" s="10" t="s">
        <v>6423</v>
      </c>
      <c r="B706" s="10" t="s">
        <v>6350</v>
      </c>
      <c r="C706" s="10" t="s">
        <v>215</v>
      </c>
      <c r="D706" s="10" t="s">
        <v>6424</v>
      </c>
      <c r="E706" s="8" t="s">
        <v>6425</v>
      </c>
      <c r="F706" s="8" t="s">
        <v>5143</v>
      </c>
      <c r="G706" s="10" t="s">
        <v>3</v>
      </c>
      <c r="H706" s="8" t="s">
        <v>6354</v>
      </c>
      <c r="I706" s="10" t="s">
        <v>1151</v>
      </c>
      <c r="J706" s="8" t="s">
        <v>2862</v>
      </c>
      <c r="K706" s="8" t="s">
        <v>1435</v>
      </c>
      <c r="L706" s="8" t="s">
        <v>87</v>
      </c>
      <c r="M706" s="10" t="s">
        <v>1436</v>
      </c>
      <c r="N706" s="8" t="s">
        <v>87</v>
      </c>
      <c r="O706" s="10" t="s">
        <v>22</v>
      </c>
      <c r="P706" s="8" t="s">
        <v>6426</v>
      </c>
      <c r="Q706" s="10" t="s">
        <v>223</v>
      </c>
      <c r="R706" s="10" t="s">
        <v>1438</v>
      </c>
      <c r="S706" s="8" t="s">
        <v>1648</v>
      </c>
      <c r="T706" s="10" t="s">
        <v>6358</v>
      </c>
      <c r="U706" s="10" t="s">
        <v>87</v>
      </c>
      <c r="V706" s="10" t="s">
        <v>87</v>
      </c>
    </row>
    <row r="707" spans="1:22" s="10" customFormat="1" x14ac:dyDescent="0.25">
      <c r="A707" s="10" t="s">
        <v>6427</v>
      </c>
      <c r="B707" s="10" t="s">
        <v>6350</v>
      </c>
      <c r="C707" s="10" t="s">
        <v>215</v>
      </c>
      <c r="D707" s="10" t="s">
        <v>6428</v>
      </c>
      <c r="E707" s="8" t="s">
        <v>6429</v>
      </c>
      <c r="F707" s="8" t="s">
        <v>6430</v>
      </c>
      <c r="G707" s="10" t="s">
        <v>4</v>
      </c>
      <c r="H707" s="8" t="s">
        <v>6431</v>
      </c>
      <c r="I707" s="10" t="s">
        <v>6432</v>
      </c>
      <c r="J707" s="8" t="s">
        <v>2862</v>
      </c>
      <c r="K707" s="8" t="s">
        <v>6433</v>
      </c>
      <c r="L707" s="8" t="s">
        <v>87</v>
      </c>
      <c r="M707" s="10" t="s">
        <v>1456</v>
      </c>
      <c r="N707" s="8" t="s">
        <v>87</v>
      </c>
      <c r="O707" s="10" t="s">
        <v>22</v>
      </c>
      <c r="P707" s="8" t="s">
        <v>6434</v>
      </c>
      <c r="Q707" s="10" t="s">
        <v>223</v>
      </c>
      <c r="R707" s="10" t="s">
        <v>1438</v>
      </c>
      <c r="S707" s="8" t="s">
        <v>6435</v>
      </c>
      <c r="T707" s="10" t="s">
        <v>6358</v>
      </c>
      <c r="U707" s="10" t="s">
        <v>87</v>
      </c>
      <c r="V707" s="10" t="s">
        <v>87</v>
      </c>
    </row>
    <row r="708" spans="1:22" s="10" customFormat="1" x14ac:dyDescent="0.25">
      <c r="A708" s="10" t="s">
        <v>6436</v>
      </c>
      <c r="B708" s="10" t="s">
        <v>6350</v>
      </c>
      <c r="C708" s="11" t="s">
        <v>346</v>
      </c>
      <c r="D708" s="10" t="s">
        <v>6437</v>
      </c>
      <c r="E708" s="8" t="s">
        <v>6438</v>
      </c>
      <c r="F708" s="8" t="s">
        <v>6439</v>
      </c>
      <c r="G708" s="10" t="s">
        <v>4</v>
      </c>
      <c r="H708" s="8" t="s">
        <v>6440</v>
      </c>
      <c r="I708" s="10" t="s">
        <v>6441</v>
      </c>
      <c r="J708" s="8" t="s">
        <v>2862</v>
      </c>
      <c r="K708" s="8" t="s">
        <v>6442</v>
      </c>
      <c r="L708" s="8" t="s">
        <v>87</v>
      </c>
      <c r="M708" s="10" t="s">
        <v>1456</v>
      </c>
      <c r="N708" s="8" t="s">
        <v>87</v>
      </c>
      <c r="O708" s="10" t="s">
        <v>22</v>
      </c>
      <c r="P708" s="8" t="s">
        <v>6443</v>
      </c>
      <c r="Q708" s="10" t="s">
        <v>223</v>
      </c>
      <c r="R708" s="10" t="s">
        <v>1438</v>
      </c>
      <c r="S708" s="8" t="s">
        <v>6444</v>
      </c>
      <c r="T708" s="10" t="s">
        <v>6358</v>
      </c>
      <c r="U708" s="10" t="s">
        <v>87</v>
      </c>
      <c r="V708" s="10" t="s">
        <v>87</v>
      </c>
    </row>
    <row r="709" spans="1:22" s="10" customFormat="1" x14ac:dyDescent="0.25">
      <c r="A709" s="10" t="s">
        <v>6445</v>
      </c>
      <c r="B709" s="10" t="s">
        <v>6350</v>
      </c>
      <c r="C709" s="10" t="s">
        <v>215</v>
      </c>
      <c r="D709" s="10" t="s">
        <v>6446</v>
      </c>
      <c r="E709" s="8" t="s">
        <v>6447</v>
      </c>
      <c r="F709" s="8" t="s">
        <v>6448</v>
      </c>
      <c r="G709" s="10" t="s">
        <v>4</v>
      </c>
      <c r="H709" s="8" t="s">
        <v>6449</v>
      </c>
      <c r="I709" s="10" t="s">
        <v>2918</v>
      </c>
      <c r="J709" s="8" t="s">
        <v>2862</v>
      </c>
      <c r="K709" s="8" t="s">
        <v>6442</v>
      </c>
      <c r="L709" s="8" t="s">
        <v>87</v>
      </c>
      <c r="M709" s="10" t="s">
        <v>1456</v>
      </c>
      <c r="N709" s="8" t="s">
        <v>87</v>
      </c>
      <c r="O709" s="10" t="s">
        <v>22</v>
      </c>
      <c r="P709" s="8" t="s">
        <v>6450</v>
      </c>
      <c r="Q709" s="10" t="s">
        <v>223</v>
      </c>
      <c r="R709" s="10" t="s">
        <v>1438</v>
      </c>
      <c r="S709" s="8" t="s">
        <v>6451</v>
      </c>
      <c r="T709" s="10" t="s">
        <v>6358</v>
      </c>
      <c r="U709" s="10" t="s">
        <v>87</v>
      </c>
      <c r="V709" s="10" t="s">
        <v>87</v>
      </c>
    </row>
    <row r="710" spans="1:22" s="10" customFormat="1" x14ac:dyDescent="0.25">
      <c r="A710" s="10" t="s">
        <v>6452</v>
      </c>
      <c r="B710" s="10" t="s">
        <v>6350</v>
      </c>
      <c r="C710" s="10" t="s">
        <v>215</v>
      </c>
      <c r="D710" s="10" t="s">
        <v>6453</v>
      </c>
      <c r="E710" s="8" t="s">
        <v>6454</v>
      </c>
      <c r="F710" s="8" t="s">
        <v>6455</v>
      </c>
      <c r="G710" s="10" t="s">
        <v>4</v>
      </c>
      <c r="H710" s="8" t="s">
        <v>6456</v>
      </c>
      <c r="I710" s="10" t="s">
        <v>479</v>
      </c>
      <c r="J710" s="8" t="s">
        <v>2862</v>
      </c>
      <c r="K710" s="8" t="s">
        <v>1873</v>
      </c>
      <c r="L710" s="8" t="s">
        <v>87</v>
      </c>
      <c r="M710" s="10" t="s">
        <v>1456</v>
      </c>
      <c r="N710" s="8" t="s">
        <v>87</v>
      </c>
      <c r="O710" s="10" t="s">
        <v>22</v>
      </c>
      <c r="P710" s="8" t="s">
        <v>6457</v>
      </c>
      <c r="Q710" s="10" t="s">
        <v>239</v>
      </c>
      <c r="R710" s="10" t="s">
        <v>1438</v>
      </c>
      <c r="S710" s="8" t="s">
        <v>6458</v>
      </c>
      <c r="T710" s="10" t="s">
        <v>6358</v>
      </c>
      <c r="U710" s="10" t="s">
        <v>87</v>
      </c>
      <c r="V710" s="10" t="s">
        <v>87</v>
      </c>
    </row>
    <row r="711" spans="1:22" s="10" customFormat="1" x14ac:dyDescent="0.25">
      <c r="A711" s="10" t="s">
        <v>6459</v>
      </c>
      <c r="B711" s="10" t="s">
        <v>6350</v>
      </c>
      <c r="C711" s="10" t="s">
        <v>215</v>
      </c>
      <c r="D711" s="10" t="s">
        <v>6460</v>
      </c>
      <c r="E711" s="8" t="s">
        <v>6461</v>
      </c>
      <c r="F711" s="8" t="s">
        <v>6462</v>
      </c>
      <c r="G711" s="10" t="s">
        <v>4</v>
      </c>
      <c r="H711" s="8" t="s">
        <v>6440</v>
      </c>
      <c r="I711" s="10" t="s">
        <v>479</v>
      </c>
      <c r="J711" s="8" t="s">
        <v>2862</v>
      </c>
      <c r="K711" s="8" t="s">
        <v>6442</v>
      </c>
      <c r="L711" s="8" t="s">
        <v>87</v>
      </c>
      <c r="M711" s="10" t="s">
        <v>1456</v>
      </c>
      <c r="N711" s="8" t="s">
        <v>87</v>
      </c>
      <c r="O711" s="10" t="s">
        <v>22</v>
      </c>
      <c r="P711" s="8" t="s">
        <v>6463</v>
      </c>
      <c r="Q711" s="10" t="s">
        <v>223</v>
      </c>
      <c r="R711" s="10" t="s">
        <v>1438</v>
      </c>
      <c r="S711" s="8" t="s">
        <v>6464</v>
      </c>
      <c r="T711" s="10" t="s">
        <v>6358</v>
      </c>
      <c r="U711" s="10" t="s">
        <v>87</v>
      </c>
      <c r="V711" s="10" t="s">
        <v>87</v>
      </c>
    </row>
    <row r="712" spans="1:22" s="10" customFormat="1" x14ac:dyDescent="0.25">
      <c r="A712" s="10" t="s">
        <v>6465</v>
      </c>
      <c r="B712" s="10" t="s">
        <v>6350</v>
      </c>
      <c r="C712" s="10" t="s">
        <v>215</v>
      </c>
      <c r="D712" s="10" t="s">
        <v>6466</v>
      </c>
      <c r="E712" s="8" t="s">
        <v>6467</v>
      </c>
      <c r="F712" s="8" t="s">
        <v>6468</v>
      </c>
      <c r="G712" s="10" t="s">
        <v>2647</v>
      </c>
      <c r="H712" s="8" t="s">
        <v>6469</v>
      </c>
      <c r="I712" s="10" t="s">
        <v>3850</v>
      </c>
      <c r="J712" s="8" t="s">
        <v>2862</v>
      </c>
      <c r="K712" s="8" t="s">
        <v>2649</v>
      </c>
      <c r="L712" s="8" t="s">
        <v>87</v>
      </c>
      <c r="M712" s="10" t="s">
        <v>1436</v>
      </c>
      <c r="N712" s="8" t="s">
        <v>87</v>
      </c>
      <c r="O712" s="10" t="s">
        <v>22</v>
      </c>
      <c r="P712" s="8" t="s">
        <v>6470</v>
      </c>
      <c r="Q712" s="10" t="s">
        <v>223</v>
      </c>
      <c r="R712" s="10" t="s">
        <v>1438</v>
      </c>
      <c r="S712" s="8" t="s">
        <v>6471</v>
      </c>
      <c r="T712" s="10" t="s">
        <v>6358</v>
      </c>
      <c r="U712" s="10" t="s">
        <v>87</v>
      </c>
      <c r="V712" s="10" t="s">
        <v>87</v>
      </c>
    </row>
    <row r="713" spans="1:22" s="10" customFormat="1" x14ac:dyDescent="0.25">
      <c r="A713" s="10" t="s">
        <v>6472</v>
      </c>
      <c r="B713" s="10" t="s">
        <v>6350</v>
      </c>
      <c r="C713" s="11" t="s">
        <v>346</v>
      </c>
      <c r="D713" s="10" t="s">
        <v>6473</v>
      </c>
      <c r="E713" s="8" t="s">
        <v>6474</v>
      </c>
      <c r="F713" s="8" t="s">
        <v>6475</v>
      </c>
      <c r="G713" s="10" t="s">
        <v>4</v>
      </c>
      <c r="H713" s="8" t="s">
        <v>6440</v>
      </c>
      <c r="I713" s="10" t="s">
        <v>6441</v>
      </c>
      <c r="J713" s="8" t="s">
        <v>2862</v>
      </c>
      <c r="K713" s="8" t="s">
        <v>6442</v>
      </c>
      <c r="L713" s="8" t="s">
        <v>87</v>
      </c>
      <c r="M713" s="10" t="s">
        <v>1456</v>
      </c>
      <c r="N713" s="8" t="s">
        <v>87</v>
      </c>
      <c r="O713" s="10" t="s">
        <v>22</v>
      </c>
      <c r="P713" s="8" t="s">
        <v>6476</v>
      </c>
      <c r="Q713" s="10" t="s">
        <v>1447</v>
      </c>
      <c r="R713" s="10" t="s">
        <v>1438</v>
      </c>
      <c r="S713" s="8" t="s">
        <v>6477</v>
      </c>
      <c r="T713" s="10" t="s">
        <v>6358</v>
      </c>
      <c r="U713" s="10" t="s">
        <v>87</v>
      </c>
      <c r="V713" s="10" t="s">
        <v>87</v>
      </c>
    </row>
    <row r="714" spans="1:22" s="10" customFormat="1" x14ac:dyDescent="0.25">
      <c r="A714" s="10" t="s">
        <v>6478</v>
      </c>
      <c r="B714" s="10" t="s">
        <v>6350</v>
      </c>
      <c r="C714" s="10" t="s">
        <v>215</v>
      </c>
      <c r="D714" s="10" t="s">
        <v>6479</v>
      </c>
      <c r="E714" s="8" t="s">
        <v>6480</v>
      </c>
      <c r="F714" s="8" t="s">
        <v>6481</v>
      </c>
      <c r="G714" s="10" t="s">
        <v>4</v>
      </c>
      <c r="H714" s="8" t="s">
        <v>6440</v>
      </c>
      <c r="I714" s="10" t="s">
        <v>479</v>
      </c>
      <c r="J714" s="8" t="s">
        <v>2862</v>
      </c>
      <c r="K714" s="8" t="s">
        <v>6442</v>
      </c>
      <c r="L714" s="8" t="s">
        <v>87</v>
      </c>
      <c r="M714" s="10" t="s">
        <v>1456</v>
      </c>
      <c r="N714" s="8" t="s">
        <v>87</v>
      </c>
      <c r="O714" s="10" t="s">
        <v>22</v>
      </c>
      <c r="P714" s="8" t="s">
        <v>6482</v>
      </c>
      <c r="Q714" s="10" t="s">
        <v>223</v>
      </c>
      <c r="R714" s="10" t="s">
        <v>1438</v>
      </c>
      <c r="S714" s="8" t="s">
        <v>6483</v>
      </c>
      <c r="T714" s="10" t="s">
        <v>6358</v>
      </c>
      <c r="U714" s="10" t="s">
        <v>87</v>
      </c>
      <c r="V714" s="10" t="s">
        <v>87</v>
      </c>
    </row>
    <row r="715" spans="1:22" s="10" customFormat="1" x14ac:dyDescent="0.25">
      <c r="A715" s="10" t="s">
        <v>6484</v>
      </c>
      <c r="B715" s="10" t="s">
        <v>6350</v>
      </c>
      <c r="C715" s="11" t="s">
        <v>346</v>
      </c>
      <c r="D715" s="10" t="s">
        <v>6485</v>
      </c>
      <c r="E715" s="8" t="s">
        <v>6486</v>
      </c>
      <c r="F715" s="8" t="s">
        <v>6487</v>
      </c>
      <c r="G715" s="10" t="s">
        <v>4</v>
      </c>
      <c r="H715" s="8" t="s">
        <v>1653</v>
      </c>
      <c r="I715" s="10" t="s">
        <v>6488</v>
      </c>
      <c r="J715" s="8" t="s">
        <v>1655</v>
      </c>
      <c r="K715" s="8" t="s">
        <v>1873</v>
      </c>
      <c r="L715" s="8" t="s">
        <v>87</v>
      </c>
      <c r="M715" s="10" t="s">
        <v>1456</v>
      </c>
      <c r="N715" s="8" t="s">
        <v>87</v>
      </c>
      <c r="O715" s="10" t="s">
        <v>22</v>
      </c>
      <c r="P715" s="8" t="s">
        <v>6489</v>
      </c>
      <c r="Q715" s="10" t="s">
        <v>1447</v>
      </c>
      <c r="R715" s="10" t="s">
        <v>1657</v>
      </c>
      <c r="S715" s="8" t="s">
        <v>2180</v>
      </c>
      <c r="T715" s="10" t="s">
        <v>6358</v>
      </c>
      <c r="U715" s="10" t="s">
        <v>87</v>
      </c>
      <c r="V715" s="10" t="s">
        <v>87</v>
      </c>
    </row>
    <row r="716" spans="1:22" s="10" customFormat="1" x14ac:dyDescent="0.25">
      <c r="A716" s="10" t="s">
        <v>6490</v>
      </c>
      <c r="B716" s="10" t="s">
        <v>6350</v>
      </c>
      <c r="C716" s="10" t="s">
        <v>215</v>
      </c>
      <c r="D716" s="10" t="s">
        <v>6491</v>
      </c>
      <c r="E716" s="8" t="s">
        <v>6492</v>
      </c>
      <c r="F716" s="8" t="s">
        <v>1662</v>
      </c>
      <c r="G716" s="10" t="s">
        <v>4</v>
      </c>
      <c r="H716" s="8" t="s">
        <v>1663</v>
      </c>
      <c r="I716" s="10" t="s">
        <v>2918</v>
      </c>
      <c r="J716" s="8" t="s">
        <v>1664</v>
      </c>
      <c r="K716" s="8" t="s">
        <v>6493</v>
      </c>
      <c r="L716" s="8" t="s">
        <v>1666</v>
      </c>
      <c r="M716" s="10" t="s">
        <v>1456</v>
      </c>
      <c r="N716" s="8" t="s">
        <v>87</v>
      </c>
      <c r="O716" s="10" t="s">
        <v>22</v>
      </c>
      <c r="P716" s="8" t="s">
        <v>6494</v>
      </c>
      <c r="Q716" s="10" t="s">
        <v>825</v>
      </c>
      <c r="R716" s="10" t="s">
        <v>1668</v>
      </c>
      <c r="S716" s="8" t="s">
        <v>1669</v>
      </c>
      <c r="T716" s="10" t="s">
        <v>6358</v>
      </c>
      <c r="U716" s="10" t="s">
        <v>87</v>
      </c>
      <c r="V716" s="10" t="s">
        <v>87</v>
      </c>
    </row>
    <row r="717" spans="1:22" s="10" customFormat="1" x14ac:dyDescent="0.25">
      <c r="A717" s="10" t="s">
        <v>6495</v>
      </c>
      <c r="B717" s="10" t="s">
        <v>6350</v>
      </c>
      <c r="C717" s="10" t="s">
        <v>215</v>
      </c>
      <c r="D717" s="10" t="s">
        <v>6496</v>
      </c>
      <c r="E717" s="8" t="s">
        <v>6497</v>
      </c>
      <c r="F717" s="8" t="s">
        <v>6498</v>
      </c>
      <c r="G717" s="10" t="s">
        <v>3</v>
      </c>
      <c r="H717" s="8" t="s">
        <v>6499</v>
      </c>
      <c r="I717" s="10" t="s">
        <v>2918</v>
      </c>
      <c r="J717" s="8" t="s">
        <v>2862</v>
      </c>
      <c r="K717" s="8" t="s">
        <v>1435</v>
      </c>
      <c r="L717" s="8" t="s">
        <v>87</v>
      </c>
      <c r="M717" s="10" t="s">
        <v>1436</v>
      </c>
      <c r="N717" s="8" t="s">
        <v>87</v>
      </c>
      <c r="O717" s="10" t="s">
        <v>22</v>
      </c>
      <c r="P717" s="8" t="s">
        <v>6500</v>
      </c>
      <c r="Q717" s="10" t="s">
        <v>246</v>
      </c>
      <c r="R717" s="10" t="s">
        <v>1438</v>
      </c>
      <c r="S717" s="8" t="s">
        <v>6501</v>
      </c>
      <c r="T717" s="10" t="s">
        <v>6358</v>
      </c>
      <c r="U717" s="10" t="s">
        <v>87</v>
      </c>
      <c r="V717" s="10" t="s">
        <v>87</v>
      </c>
    </row>
    <row r="718" spans="1:22" s="10" customFormat="1" x14ac:dyDescent="0.25">
      <c r="A718" s="10" t="s">
        <v>6502</v>
      </c>
      <c r="B718" s="10" t="s">
        <v>6350</v>
      </c>
      <c r="C718" s="10" t="s">
        <v>215</v>
      </c>
      <c r="D718" s="10" t="s">
        <v>6503</v>
      </c>
      <c r="E718" s="8" t="s">
        <v>6504</v>
      </c>
      <c r="F718" s="8" t="s">
        <v>6505</v>
      </c>
      <c r="G718" s="10" t="s">
        <v>4</v>
      </c>
      <c r="H718" s="8" t="s">
        <v>6440</v>
      </c>
      <c r="I718" s="10" t="s">
        <v>479</v>
      </c>
      <c r="J718" s="8" t="s">
        <v>2862</v>
      </c>
      <c r="K718" s="8" t="s">
        <v>6442</v>
      </c>
      <c r="L718" s="8" t="s">
        <v>87</v>
      </c>
      <c r="M718" s="10" t="s">
        <v>1456</v>
      </c>
      <c r="N718" s="8" t="s">
        <v>87</v>
      </c>
      <c r="O718" s="10" t="s">
        <v>22</v>
      </c>
      <c r="P718" s="8" t="s">
        <v>6506</v>
      </c>
      <c r="Q718" s="10" t="s">
        <v>223</v>
      </c>
      <c r="R718" s="10" t="s">
        <v>1438</v>
      </c>
      <c r="S718" s="8" t="s">
        <v>1648</v>
      </c>
      <c r="T718" s="10" t="s">
        <v>6358</v>
      </c>
      <c r="U718" s="10" t="s">
        <v>87</v>
      </c>
      <c r="V718" s="10" t="s">
        <v>87</v>
      </c>
    </row>
    <row r="719" spans="1:22" s="10" customFormat="1" x14ac:dyDescent="0.25">
      <c r="A719" s="10" t="s">
        <v>6507</v>
      </c>
      <c r="B719" s="10" t="s">
        <v>6350</v>
      </c>
      <c r="C719" s="10" t="s">
        <v>215</v>
      </c>
      <c r="D719" s="10" t="s">
        <v>6508</v>
      </c>
      <c r="E719" s="8" t="s">
        <v>6509</v>
      </c>
      <c r="F719" s="8" t="s">
        <v>6510</v>
      </c>
      <c r="G719" s="10" t="s">
        <v>3</v>
      </c>
      <c r="H719" s="8" t="s">
        <v>6511</v>
      </c>
      <c r="I719" s="10" t="s">
        <v>6512</v>
      </c>
      <c r="J719" s="8" t="s">
        <v>2862</v>
      </c>
      <c r="K719" s="8" t="s">
        <v>1435</v>
      </c>
      <c r="L719" s="8" t="s">
        <v>87</v>
      </c>
      <c r="M719" s="10" t="s">
        <v>1436</v>
      </c>
      <c r="N719" s="8" t="s">
        <v>87</v>
      </c>
      <c r="O719" s="10" t="s">
        <v>22</v>
      </c>
      <c r="P719" s="8" t="s">
        <v>6513</v>
      </c>
      <c r="Q719" s="10" t="s">
        <v>223</v>
      </c>
      <c r="R719" s="10" t="s">
        <v>1438</v>
      </c>
      <c r="S719" s="8" t="s">
        <v>6514</v>
      </c>
      <c r="T719" s="10" t="s">
        <v>6358</v>
      </c>
      <c r="U719" s="10" t="s">
        <v>87</v>
      </c>
      <c r="V719" s="10" t="s">
        <v>87</v>
      </c>
    </row>
    <row r="720" spans="1:22" s="10" customFormat="1" x14ac:dyDescent="0.25">
      <c r="A720" s="10" t="s">
        <v>6515</v>
      </c>
      <c r="B720" s="10" t="s">
        <v>6350</v>
      </c>
      <c r="C720" s="11" t="s">
        <v>346</v>
      </c>
      <c r="D720" s="10" t="s">
        <v>6516</v>
      </c>
      <c r="E720" s="8" t="s">
        <v>6517</v>
      </c>
      <c r="F720" s="8" t="s">
        <v>6518</v>
      </c>
      <c r="G720" s="10" t="s">
        <v>4</v>
      </c>
      <c r="H720" s="8" t="s">
        <v>6519</v>
      </c>
      <c r="I720" s="10" t="s">
        <v>6441</v>
      </c>
      <c r="J720" s="8" t="s">
        <v>2862</v>
      </c>
      <c r="K720" s="8" t="s">
        <v>1873</v>
      </c>
      <c r="L720" s="8" t="s">
        <v>87</v>
      </c>
      <c r="M720" s="10" t="s">
        <v>1456</v>
      </c>
      <c r="N720" s="8" t="s">
        <v>87</v>
      </c>
      <c r="O720" s="10" t="s">
        <v>22</v>
      </c>
      <c r="P720" s="8" t="s">
        <v>6520</v>
      </c>
      <c r="Q720" s="10" t="s">
        <v>223</v>
      </c>
      <c r="R720" s="10" t="s">
        <v>1438</v>
      </c>
      <c r="S720" s="8" t="s">
        <v>6521</v>
      </c>
      <c r="T720" s="10" t="s">
        <v>6358</v>
      </c>
      <c r="U720" s="10" t="s">
        <v>87</v>
      </c>
      <c r="V720" s="10" t="s">
        <v>87</v>
      </c>
    </row>
    <row r="721" spans="1:22" s="10" customFormat="1" x14ac:dyDescent="0.25">
      <c r="A721" s="10" t="s">
        <v>6522</v>
      </c>
      <c r="B721" s="10" t="s">
        <v>6350</v>
      </c>
      <c r="C721" s="11" t="s">
        <v>346</v>
      </c>
      <c r="D721" s="10" t="s">
        <v>6523</v>
      </c>
      <c r="E721" s="8" t="s">
        <v>6524</v>
      </c>
      <c r="F721" s="8" t="s">
        <v>6525</v>
      </c>
      <c r="G721" s="10" t="s">
        <v>4</v>
      </c>
      <c r="H721" s="8" t="s">
        <v>6526</v>
      </c>
      <c r="I721" s="10" t="s">
        <v>6512</v>
      </c>
      <c r="J721" s="8" t="s">
        <v>2862</v>
      </c>
      <c r="K721" s="8" t="s">
        <v>1873</v>
      </c>
      <c r="L721" s="8" t="s">
        <v>87</v>
      </c>
      <c r="M721" s="10" t="s">
        <v>1456</v>
      </c>
      <c r="N721" s="8" t="s">
        <v>87</v>
      </c>
      <c r="O721" s="10" t="s">
        <v>22</v>
      </c>
      <c r="P721" s="8" t="s">
        <v>6527</v>
      </c>
      <c r="Q721" s="10" t="s">
        <v>223</v>
      </c>
      <c r="R721" s="10" t="s">
        <v>1438</v>
      </c>
      <c r="S721" s="8" t="s">
        <v>6528</v>
      </c>
      <c r="T721" s="10" t="s">
        <v>6358</v>
      </c>
      <c r="U721" s="10" t="s">
        <v>87</v>
      </c>
      <c r="V721" s="10" t="s">
        <v>87</v>
      </c>
    </row>
    <row r="722" spans="1:22" s="10" customFormat="1" x14ac:dyDescent="0.25">
      <c r="A722" s="10" t="s">
        <v>6529</v>
      </c>
      <c r="B722" s="10" t="s">
        <v>6350</v>
      </c>
      <c r="C722" s="11" t="s">
        <v>346</v>
      </c>
      <c r="D722" s="10" t="s">
        <v>6530</v>
      </c>
      <c r="E722" s="8" t="s">
        <v>6531</v>
      </c>
      <c r="F722" s="8" t="s">
        <v>6532</v>
      </c>
      <c r="G722" s="10" t="s">
        <v>4</v>
      </c>
      <c r="H722" s="8" t="s">
        <v>6533</v>
      </c>
      <c r="I722" s="10" t="s">
        <v>6441</v>
      </c>
      <c r="J722" s="8" t="s">
        <v>6534</v>
      </c>
      <c r="K722" s="8" t="s">
        <v>1873</v>
      </c>
      <c r="L722" s="8" t="s">
        <v>87</v>
      </c>
      <c r="M722" s="10" t="s">
        <v>1456</v>
      </c>
      <c r="N722" s="8" t="s">
        <v>87</v>
      </c>
      <c r="O722" s="10" t="s">
        <v>22</v>
      </c>
      <c r="P722" s="8" t="s">
        <v>6535</v>
      </c>
      <c r="Q722" s="10" t="s">
        <v>1447</v>
      </c>
      <c r="R722" s="10" t="s">
        <v>1438</v>
      </c>
      <c r="S722" s="8" t="s">
        <v>6536</v>
      </c>
      <c r="T722" s="10" t="s">
        <v>6358</v>
      </c>
      <c r="U722" s="10" t="s">
        <v>87</v>
      </c>
      <c r="V722" s="10" t="s">
        <v>87</v>
      </c>
    </row>
    <row r="723" spans="1:22" s="10" customFormat="1" x14ac:dyDescent="0.25">
      <c r="A723" s="10" t="s">
        <v>6537</v>
      </c>
      <c r="B723" s="10" t="s">
        <v>6350</v>
      </c>
      <c r="C723" s="11" t="s">
        <v>346</v>
      </c>
      <c r="D723" s="10" t="s">
        <v>6538</v>
      </c>
      <c r="E723" s="8" t="s">
        <v>6539</v>
      </c>
      <c r="F723" s="8" t="s">
        <v>6540</v>
      </c>
      <c r="G723" s="10" t="s">
        <v>4</v>
      </c>
      <c r="H723" s="8" t="s">
        <v>6526</v>
      </c>
      <c r="I723" s="10" t="s">
        <v>6512</v>
      </c>
      <c r="J723" s="8" t="s">
        <v>6534</v>
      </c>
      <c r="K723" s="8" t="s">
        <v>1873</v>
      </c>
      <c r="L723" s="8" t="s">
        <v>87</v>
      </c>
      <c r="M723" s="10" t="s">
        <v>1456</v>
      </c>
      <c r="N723" s="8" t="s">
        <v>87</v>
      </c>
      <c r="O723" s="10" t="s">
        <v>22</v>
      </c>
      <c r="P723" s="8" t="s">
        <v>6541</v>
      </c>
      <c r="Q723" s="10" t="s">
        <v>1447</v>
      </c>
      <c r="R723" s="10" t="s">
        <v>1438</v>
      </c>
      <c r="S723" s="8" t="s">
        <v>6542</v>
      </c>
      <c r="T723" s="10" t="s">
        <v>6358</v>
      </c>
      <c r="U723" s="10" t="s">
        <v>87</v>
      </c>
      <c r="V723" s="10" t="s">
        <v>87</v>
      </c>
    </row>
    <row r="724" spans="1:22" s="10" customFormat="1" x14ac:dyDescent="0.25">
      <c r="A724" s="10" t="s">
        <v>6543</v>
      </c>
      <c r="B724" s="10" t="s">
        <v>6350</v>
      </c>
      <c r="C724" s="11" t="s">
        <v>346</v>
      </c>
      <c r="D724" s="10" t="s">
        <v>6544</v>
      </c>
      <c r="E724" s="8" t="s">
        <v>6545</v>
      </c>
      <c r="F724" s="8" t="s">
        <v>6546</v>
      </c>
      <c r="G724" s="10" t="s">
        <v>4</v>
      </c>
      <c r="H724" s="8" t="s">
        <v>6547</v>
      </c>
      <c r="I724" s="10" t="s">
        <v>6548</v>
      </c>
      <c r="J724" s="8" t="s">
        <v>6549</v>
      </c>
      <c r="K724" s="8" t="s">
        <v>1873</v>
      </c>
      <c r="L724" s="8" t="s">
        <v>87</v>
      </c>
      <c r="M724" s="10" t="s">
        <v>1456</v>
      </c>
      <c r="N724" s="8" t="s">
        <v>87</v>
      </c>
      <c r="O724" s="10" t="s">
        <v>22</v>
      </c>
      <c r="P724" s="8" t="s">
        <v>6550</v>
      </c>
      <c r="Q724" s="10" t="s">
        <v>1447</v>
      </c>
      <c r="R724" s="10" t="s">
        <v>1438</v>
      </c>
      <c r="S724" s="8" t="s">
        <v>6551</v>
      </c>
      <c r="T724" s="10" t="s">
        <v>6358</v>
      </c>
      <c r="U724" s="10" t="s">
        <v>87</v>
      </c>
      <c r="V724" s="10" t="s">
        <v>87</v>
      </c>
    </row>
    <row r="725" spans="1:22" s="10" customFormat="1" x14ac:dyDescent="0.25">
      <c r="A725" s="10" t="s">
        <v>6552</v>
      </c>
      <c r="B725" s="10" t="s">
        <v>6350</v>
      </c>
      <c r="C725" s="10" t="s">
        <v>215</v>
      </c>
      <c r="D725" s="10" t="s">
        <v>6553</v>
      </c>
      <c r="E725" s="8" t="s">
        <v>6554</v>
      </c>
      <c r="F725" s="8" t="s">
        <v>6555</v>
      </c>
      <c r="G725" s="10" t="s">
        <v>4</v>
      </c>
      <c r="H725" s="8" t="s">
        <v>6556</v>
      </c>
      <c r="I725" s="10" t="s">
        <v>6557</v>
      </c>
      <c r="J725" s="8" t="s">
        <v>2862</v>
      </c>
      <c r="K725" s="8" t="s">
        <v>6558</v>
      </c>
      <c r="L725" s="8" t="s">
        <v>87</v>
      </c>
      <c r="M725" s="10" t="s">
        <v>1456</v>
      </c>
      <c r="N725" s="8" t="s">
        <v>87</v>
      </c>
      <c r="O725" s="10" t="s">
        <v>22</v>
      </c>
      <c r="P725" s="8" t="s">
        <v>6559</v>
      </c>
      <c r="Q725" s="10" t="s">
        <v>223</v>
      </c>
      <c r="R725" s="10" t="s">
        <v>1438</v>
      </c>
      <c r="S725" s="8" t="s">
        <v>6560</v>
      </c>
      <c r="T725" s="10" t="s">
        <v>6358</v>
      </c>
      <c r="U725" s="10" t="s">
        <v>87</v>
      </c>
      <c r="V725" s="10" t="s">
        <v>87</v>
      </c>
    </row>
    <row r="726" spans="1:22" s="10" customFormat="1" x14ac:dyDescent="0.25">
      <c r="A726" s="10" t="s">
        <v>6561</v>
      </c>
      <c r="B726" s="10" t="s">
        <v>6350</v>
      </c>
      <c r="C726" s="11" t="s">
        <v>346</v>
      </c>
      <c r="D726" s="10" t="s">
        <v>6562</v>
      </c>
      <c r="E726" s="8" t="s">
        <v>6563</v>
      </c>
      <c r="F726" s="8" t="s">
        <v>6564</v>
      </c>
      <c r="G726" s="10" t="s">
        <v>3</v>
      </c>
      <c r="H726" s="8" t="s">
        <v>6565</v>
      </c>
      <c r="I726" s="10" t="s">
        <v>6566</v>
      </c>
      <c r="J726" s="8" t="s">
        <v>2862</v>
      </c>
      <c r="K726" s="8" t="s">
        <v>1435</v>
      </c>
      <c r="L726" s="8" t="s">
        <v>87</v>
      </c>
      <c r="M726" s="10" t="s">
        <v>1436</v>
      </c>
      <c r="N726" s="8" t="s">
        <v>87</v>
      </c>
      <c r="O726" s="10" t="s">
        <v>22</v>
      </c>
      <c r="P726" s="8" t="s">
        <v>6567</v>
      </c>
      <c r="Q726" s="10" t="s">
        <v>223</v>
      </c>
      <c r="R726" s="10" t="s">
        <v>1438</v>
      </c>
      <c r="S726" s="8" t="s">
        <v>6568</v>
      </c>
      <c r="T726" s="10" t="s">
        <v>6358</v>
      </c>
      <c r="U726" s="10" t="s">
        <v>87</v>
      </c>
      <c r="V726" s="10" t="s">
        <v>87</v>
      </c>
    </row>
    <row r="727" spans="1:22" s="10" customFormat="1" x14ac:dyDescent="0.25">
      <c r="A727" s="10" t="s">
        <v>6569</v>
      </c>
      <c r="B727" s="10" t="s">
        <v>6350</v>
      </c>
      <c r="C727" s="11" t="s">
        <v>346</v>
      </c>
      <c r="D727" s="10" t="s">
        <v>6570</v>
      </c>
      <c r="E727" s="8" t="s">
        <v>6571</v>
      </c>
      <c r="F727" s="8" t="s">
        <v>6572</v>
      </c>
      <c r="G727" s="10" t="s">
        <v>4</v>
      </c>
      <c r="H727" s="8" t="s">
        <v>6573</v>
      </c>
      <c r="I727" s="10" t="s">
        <v>6566</v>
      </c>
      <c r="J727" s="8" t="s">
        <v>6574</v>
      </c>
      <c r="K727" s="8" t="s">
        <v>1873</v>
      </c>
      <c r="L727" s="8" t="s">
        <v>87</v>
      </c>
      <c r="M727" s="10" t="s">
        <v>1456</v>
      </c>
      <c r="N727" s="8" t="s">
        <v>87</v>
      </c>
      <c r="O727" s="10" t="s">
        <v>22</v>
      </c>
      <c r="P727" s="8" t="s">
        <v>6575</v>
      </c>
      <c r="Q727" s="10" t="s">
        <v>1447</v>
      </c>
      <c r="R727" s="10" t="s">
        <v>1438</v>
      </c>
      <c r="S727" s="8" t="s">
        <v>6576</v>
      </c>
      <c r="T727" s="10" t="s">
        <v>6358</v>
      </c>
      <c r="U727" s="10" t="s">
        <v>87</v>
      </c>
      <c r="V727" s="10" t="s">
        <v>87</v>
      </c>
    </row>
    <row r="728" spans="1:22" s="10" customFormat="1" x14ac:dyDescent="0.25">
      <c r="A728" s="10" t="s">
        <v>6577</v>
      </c>
      <c r="B728" s="10" t="s">
        <v>6350</v>
      </c>
      <c r="C728" s="10" t="s">
        <v>215</v>
      </c>
      <c r="D728" s="10" t="s">
        <v>6578</v>
      </c>
      <c r="E728" s="8" t="s">
        <v>6579</v>
      </c>
      <c r="F728" s="8" t="s">
        <v>6580</v>
      </c>
      <c r="G728" s="10" t="s">
        <v>3</v>
      </c>
      <c r="H728" s="8" t="s">
        <v>6526</v>
      </c>
      <c r="I728" s="10" t="s">
        <v>6441</v>
      </c>
      <c r="J728" s="8" t="s">
        <v>2862</v>
      </c>
      <c r="K728" s="8" t="s">
        <v>1435</v>
      </c>
      <c r="L728" s="8" t="s">
        <v>87</v>
      </c>
      <c r="M728" s="10" t="s">
        <v>1436</v>
      </c>
      <c r="N728" s="8" t="s">
        <v>87</v>
      </c>
      <c r="O728" s="10" t="s">
        <v>22</v>
      </c>
      <c r="P728" s="8" t="s">
        <v>6581</v>
      </c>
      <c r="Q728" s="10" t="s">
        <v>223</v>
      </c>
      <c r="R728" s="10" t="s">
        <v>1438</v>
      </c>
      <c r="S728" s="8" t="s">
        <v>6582</v>
      </c>
      <c r="T728" s="10" t="s">
        <v>6358</v>
      </c>
      <c r="U728" s="10" t="s">
        <v>87</v>
      </c>
      <c r="V728" s="10" t="s">
        <v>87</v>
      </c>
    </row>
    <row r="729" spans="1:22" s="10" customFormat="1" x14ac:dyDescent="0.25">
      <c r="A729" s="10" t="s">
        <v>6583</v>
      </c>
      <c r="B729" s="10" t="s">
        <v>6350</v>
      </c>
      <c r="C729" s="11" t="s">
        <v>346</v>
      </c>
      <c r="D729" s="10" t="s">
        <v>6584</v>
      </c>
      <c r="E729" s="8" t="s">
        <v>6585</v>
      </c>
      <c r="F729" s="8" t="s">
        <v>6586</v>
      </c>
      <c r="G729" s="10" t="s">
        <v>4</v>
      </c>
      <c r="H729" s="8" t="s">
        <v>1663</v>
      </c>
      <c r="I729" s="10" t="s">
        <v>6587</v>
      </c>
      <c r="J729" s="8" t="s">
        <v>1655</v>
      </c>
      <c r="K729" s="8" t="s">
        <v>1873</v>
      </c>
      <c r="L729" s="8" t="s">
        <v>87</v>
      </c>
      <c r="M729" s="10" t="s">
        <v>1456</v>
      </c>
      <c r="N729" s="8" t="s">
        <v>87</v>
      </c>
      <c r="O729" s="10" t="s">
        <v>22</v>
      </c>
      <c r="P729" s="8" t="s">
        <v>6588</v>
      </c>
      <c r="Q729" s="10" t="s">
        <v>239</v>
      </c>
      <c r="R729" s="10" t="s">
        <v>1668</v>
      </c>
      <c r="S729" s="8" t="s">
        <v>6589</v>
      </c>
      <c r="T729" s="10" t="s">
        <v>6358</v>
      </c>
      <c r="U729" s="10" t="s">
        <v>87</v>
      </c>
      <c r="V729" s="10" t="s">
        <v>87</v>
      </c>
    </row>
    <row r="730" spans="1:22" s="10" customFormat="1" x14ac:dyDescent="0.25">
      <c r="A730" s="10" t="s">
        <v>6590</v>
      </c>
      <c r="B730" s="10" t="s">
        <v>6350</v>
      </c>
      <c r="C730" s="11" t="s">
        <v>346</v>
      </c>
      <c r="D730" s="10" t="s">
        <v>6591</v>
      </c>
      <c r="E730" s="8" t="s">
        <v>6592</v>
      </c>
      <c r="F730" s="8" t="s">
        <v>6593</v>
      </c>
      <c r="G730" s="10" t="s">
        <v>4</v>
      </c>
      <c r="H730" s="8" t="s">
        <v>1653</v>
      </c>
      <c r="I730" s="10" t="s">
        <v>6594</v>
      </c>
      <c r="J730" s="8" t="s">
        <v>1655</v>
      </c>
      <c r="K730" s="8" t="s">
        <v>1873</v>
      </c>
      <c r="L730" s="8" t="s">
        <v>87</v>
      </c>
      <c r="M730" s="10" t="s">
        <v>1456</v>
      </c>
      <c r="N730" s="8" t="s">
        <v>87</v>
      </c>
      <c r="O730" s="10" t="s">
        <v>22</v>
      </c>
      <c r="P730" s="8" t="s">
        <v>6595</v>
      </c>
      <c r="Q730" s="10" t="s">
        <v>1447</v>
      </c>
      <c r="R730" s="10" t="s">
        <v>1657</v>
      </c>
      <c r="S730" s="8" t="s">
        <v>1658</v>
      </c>
      <c r="T730" s="10" t="s">
        <v>6358</v>
      </c>
      <c r="U730" s="10" t="s">
        <v>87</v>
      </c>
      <c r="V730" s="10" t="s">
        <v>87</v>
      </c>
    </row>
    <row r="731" spans="1:22" s="10" customFormat="1" x14ac:dyDescent="0.25">
      <c r="A731" s="10" t="s">
        <v>6596</v>
      </c>
      <c r="B731" s="10" t="s">
        <v>6350</v>
      </c>
      <c r="C731" s="11" t="s">
        <v>346</v>
      </c>
      <c r="D731" s="10" t="s">
        <v>6597</v>
      </c>
      <c r="E731" s="8" t="s">
        <v>6598</v>
      </c>
      <c r="F731" s="8" t="s">
        <v>1662</v>
      </c>
      <c r="G731" s="10" t="s">
        <v>4</v>
      </c>
      <c r="H731" s="8" t="s">
        <v>1663</v>
      </c>
      <c r="I731" s="10" t="s">
        <v>6441</v>
      </c>
      <c r="J731" s="8" t="s">
        <v>1664</v>
      </c>
      <c r="K731" s="8" t="s">
        <v>6599</v>
      </c>
      <c r="L731" s="8" t="s">
        <v>1666</v>
      </c>
      <c r="M731" s="10" t="s">
        <v>1456</v>
      </c>
      <c r="N731" s="8" t="s">
        <v>87</v>
      </c>
      <c r="O731" s="10" t="s">
        <v>22</v>
      </c>
      <c r="P731" s="8" t="s">
        <v>6600</v>
      </c>
      <c r="Q731" s="10" t="s">
        <v>825</v>
      </c>
      <c r="R731" s="10" t="s">
        <v>1668</v>
      </c>
      <c r="S731" s="8" t="s">
        <v>1669</v>
      </c>
      <c r="T731" s="10" t="s">
        <v>6358</v>
      </c>
      <c r="U731" s="10" t="s">
        <v>87</v>
      </c>
      <c r="V731" s="10" t="s">
        <v>87</v>
      </c>
    </row>
    <row r="732" spans="1:22" s="10" customFormat="1" x14ac:dyDescent="0.25">
      <c r="A732" s="10" t="s">
        <v>6601</v>
      </c>
      <c r="B732" s="10" t="s">
        <v>6350</v>
      </c>
      <c r="C732" s="10" t="s">
        <v>215</v>
      </c>
      <c r="D732" s="10" t="s">
        <v>6602</v>
      </c>
      <c r="E732" s="8" t="s">
        <v>6603</v>
      </c>
      <c r="F732" s="8" t="s">
        <v>5143</v>
      </c>
      <c r="G732" s="10" t="s">
        <v>4</v>
      </c>
      <c r="H732" s="8" t="s">
        <v>6526</v>
      </c>
      <c r="I732" s="10" t="s">
        <v>6604</v>
      </c>
      <c r="J732" s="8" t="s">
        <v>2862</v>
      </c>
      <c r="K732" s="8" t="s">
        <v>1873</v>
      </c>
      <c r="L732" s="8" t="s">
        <v>87</v>
      </c>
      <c r="M732" s="10" t="s">
        <v>1436</v>
      </c>
      <c r="N732" s="8" t="s">
        <v>87</v>
      </c>
      <c r="O732" s="10" t="s">
        <v>22</v>
      </c>
      <c r="P732" s="8" t="s">
        <v>6605</v>
      </c>
      <c r="Q732" s="10" t="s">
        <v>223</v>
      </c>
      <c r="R732" s="10" t="s">
        <v>1438</v>
      </c>
      <c r="S732" s="8" t="s">
        <v>1648</v>
      </c>
      <c r="T732" s="10" t="s">
        <v>6358</v>
      </c>
      <c r="U732" s="10" t="s">
        <v>87</v>
      </c>
      <c r="V732" s="10" t="s">
        <v>87</v>
      </c>
    </row>
    <row r="733" spans="1:22" s="10" customFormat="1" x14ac:dyDescent="0.25">
      <c r="A733" s="10" t="s">
        <v>6606</v>
      </c>
      <c r="B733" s="10" t="s">
        <v>6350</v>
      </c>
      <c r="C733" s="10" t="s">
        <v>215</v>
      </c>
      <c r="D733" s="10" t="s">
        <v>6607</v>
      </c>
      <c r="E733" s="8" t="s">
        <v>6608</v>
      </c>
      <c r="F733" s="8" t="s">
        <v>6609</v>
      </c>
      <c r="G733" s="10" t="s">
        <v>4</v>
      </c>
      <c r="H733" s="8" t="s">
        <v>6610</v>
      </c>
      <c r="I733" s="10" t="s">
        <v>6611</v>
      </c>
      <c r="J733" s="8" t="s">
        <v>2862</v>
      </c>
      <c r="K733" s="8" t="s">
        <v>1873</v>
      </c>
      <c r="L733" s="8" t="s">
        <v>87</v>
      </c>
      <c r="M733" s="10" t="s">
        <v>1436</v>
      </c>
      <c r="N733" s="8" t="s">
        <v>87</v>
      </c>
      <c r="O733" s="10" t="s">
        <v>22</v>
      </c>
      <c r="P733" s="8" t="s">
        <v>6612</v>
      </c>
      <c r="Q733" s="10" t="s">
        <v>223</v>
      </c>
      <c r="R733" s="10" t="s">
        <v>1438</v>
      </c>
      <c r="S733" s="8" t="s">
        <v>6613</v>
      </c>
      <c r="T733" s="10" t="s">
        <v>6614</v>
      </c>
      <c r="U733" s="10" t="s">
        <v>87</v>
      </c>
      <c r="V733" s="10" t="s">
        <v>87</v>
      </c>
    </row>
    <row r="734" spans="1:22" s="10" customFormat="1" x14ac:dyDescent="0.25">
      <c r="A734" s="10" t="s">
        <v>6615</v>
      </c>
      <c r="B734" s="10" t="s">
        <v>6350</v>
      </c>
      <c r="C734" s="11" t="s">
        <v>346</v>
      </c>
      <c r="D734" s="10" t="s">
        <v>6616</v>
      </c>
      <c r="E734" s="8" t="s">
        <v>6617</v>
      </c>
      <c r="F734" s="8" t="s">
        <v>6618</v>
      </c>
      <c r="G734" s="10" t="s">
        <v>2647</v>
      </c>
      <c r="H734" s="8" t="s">
        <v>6619</v>
      </c>
      <c r="I734" s="10" t="s">
        <v>6620</v>
      </c>
      <c r="J734" s="8" t="s">
        <v>2862</v>
      </c>
      <c r="K734" s="8" t="s">
        <v>2649</v>
      </c>
      <c r="L734" s="8" t="s">
        <v>87</v>
      </c>
      <c r="M734" s="10" t="s">
        <v>1436</v>
      </c>
      <c r="N734" s="8" t="s">
        <v>87</v>
      </c>
      <c r="O734" s="10" t="s">
        <v>22</v>
      </c>
      <c r="P734" s="8" t="s">
        <v>6621</v>
      </c>
      <c r="Q734" s="10" t="s">
        <v>223</v>
      </c>
      <c r="R734" s="10" t="s">
        <v>1438</v>
      </c>
      <c r="S734" s="8" t="s">
        <v>6622</v>
      </c>
      <c r="T734" s="10" t="s">
        <v>6614</v>
      </c>
      <c r="U734" s="10" t="s">
        <v>87</v>
      </c>
      <c r="V734" s="10" t="s">
        <v>87</v>
      </c>
    </row>
    <row r="735" spans="1:22" s="10" customFormat="1" x14ac:dyDescent="0.25">
      <c r="A735" s="10" t="s">
        <v>6623</v>
      </c>
      <c r="B735" s="10" t="s">
        <v>6350</v>
      </c>
      <c r="C735" s="11" t="s">
        <v>346</v>
      </c>
      <c r="D735" s="10" t="s">
        <v>6624</v>
      </c>
      <c r="E735" s="8" t="s">
        <v>6625</v>
      </c>
      <c r="F735" s="8" t="s">
        <v>6626</v>
      </c>
      <c r="G735" s="10" t="s">
        <v>2647</v>
      </c>
      <c r="H735" s="8" t="s">
        <v>6627</v>
      </c>
      <c r="I735" s="10" t="s">
        <v>6628</v>
      </c>
      <c r="J735" s="8" t="s">
        <v>2862</v>
      </c>
      <c r="K735" s="8" t="s">
        <v>2649</v>
      </c>
      <c r="L735" s="8" t="s">
        <v>87</v>
      </c>
      <c r="M735" s="10" t="s">
        <v>1436</v>
      </c>
      <c r="N735" s="8" t="s">
        <v>87</v>
      </c>
      <c r="O735" s="10" t="s">
        <v>22</v>
      </c>
      <c r="P735" s="8" t="s">
        <v>6629</v>
      </c>
      <c r="Q735" s="10" t="s">
        <v>239</v>
      </c>
      <c r="R735" s="10" t="s">
        <v>1438</v>
      </c>
      <c r="S735" s="8" t="s">
        <v>4970</v>
      </c>
      <c r="T735" s="10" t="s">
        <v>6614</v>
      </c>
      <c r="U735" s="10" t="s">
        <v>87</v>
      </c>
      <c r="V735" s="10" t="s">
        <v>87</v>
      </c>
    </row>
    <row r="736" spans="1:22" s="10" customFormat="1" x14ac:dyDescent="0.25">
      <c r="A736" s="10" t="s">
        <v>6630</v>
      </c>
      <c r="B736" s="10" t="s">
        <v>6350</v>
      </c>
      <c r="C736" s="10" t="s">
        <v>215</v>
      </c>
      <c r="D736" s="10" t="s">
        <v>6631</v>
      </c>
      <c r="E736" s="8" t="s">
        <v>6632</v>
      </c>
      <c r="F736" s="8" t="s">
        <v>6633</v>
      </c>
      <c r="G736" s="10" t="s">
        <v>2647</v>
      </c>
      <c r="H736" s="8" t="s">
        <v>6634</v>
      </c>
      <c r="I736" s="10" t="s">
        <v>6635</v>
      </c>
      <c r="J736" s="8" t="s">
        <v>2862</v>
      </c>
      <c r="K736" s="8" t="s">
        <v>2649</v>
      </c>
      <c r="L736" s="8" t="s">
        <v>87</v>
      </c>
      <c r="M736" s="10" t="s">
        <v>1436</v>
      </c>
      <c r="N736" s="8" t="s">
        <v>87</v>
      </c>
      <c r="O736" s="10" t="s">
        <v>22</v>
      </c>
      <c r="P736" s="8" t="s">
        <v>6636</v>
      </c>
      <c r="Q736" s="10" t="s">
        <v>239</v>
      </c>
      <c r="R736" s="10" t="s">
        <v>1438</v>
      </c>
      <c r="S736" s="8" t="s">
        <v>1911</v>
      </c>
      <c r="T736" s="10" t="s">
        <v>6614</v>
      </c>
      <c r="U736" s="10" t="s">
        <v>87</v>
      </c>
      <c r="V736" s="10" t="s">
        <v>87</v>
      </c>
    </row>
    <row r="737" spans="1:22" s="10" customFormat="1" x14ac:dyDescent="0.25">
      <c r="A737" s="10" t="s">
        <v>6637</v>
      </c>
      <c r="B737" s="10" t="s">
        <v>6350</v>
      </c>
      <c r="C737" s="11" t="s">
        <v>346</v>
      </c>
      <c r="D737" s="10" t="s">
        <v>6638</v>
      </c>
      <c r="E737" s="8" t="s">
        <v>6639</v>
      </c>
      <c r="F737" s="8" t="s">
        <v>6640</v>
      </c>
      <c r="G737" s="10" t="s">
        <v>2647</v>
      </c>
      <c r="H737" s="8" t="s">
        <v>6641</v>
      </c>
      <c r="I737" s="10" t="s">
        <v>6635</v>
      </c>
      <c r="J737" s="8" t="s">
        <v>2862</v>
      </c>
      <c r="K737" s="8" t="s">
        <v>2649</v>
      </c>
      <c r="L737" s="8" t="s">
        <v>87</v>
      </c>
      <c r="M737" s="10" t="s">
        <v>1436</v>
      </c>
      <c r="N737" s="8" t="s">
        <v>87</v>
      </c>
      <c r="O737" s="10" t="s">
        <v>22</v>
      </c>
      <c r="P737" s="8" t="s">
        <v>6642</v>
      </c>
      <c r="Q737" s="10" t="s">
        <v>223</v>
      </c>
      <c r="R737" s="10" t="s">
        <v>1438</v>
      </c>
      <c r="S737" s="8" t="s">
        <v>6643</v>
      </c>
      <c r="T737" s="10" t="s">
        <v>6614</v>
      </c>
      <c r="U737" s="10" t="s">
        <v>87</v>
      </c>
      <c r="V737" s="10" t="s">
        <v>87</v>
      </c>
    </row>
    <row r="738" spans="1:22" s="10" customFormat="1" x14ac:dyDescent="0.25">
      <c r="A738" s="10" t="s">
        <v>6644</v>
      </c>
      <c r="B738" s="10" t="s">
        <v>6350</v>
      </c>
      <c r="C738" s="11" t="s">
        <v>346</v>
      </c>
      <c r="D738" s="10" t="s">
        <v>6645</v>
      </c>
      <c r="E738" s="8" t="s">
        <v>6646</v>
      </c>
      <c r="F738" s="8" t="s">
        <v>6647</v>
      </c>
      <c r="G738" s="10" t="s">
        <v>2647</v>
      </c>
      <c r="H738" s="8" t="s">
        <v>6648</v>
      </c>
      <c r="I738" s="10" t="s">
        <v>6649</v>
      </c>
      <c r="J738" s="8" t="s">
        <v>2862</v>
      </c>
      <c r="K738" s="8" t="s">
        <v>2649</v>
      </c>
      <c r="L738" s="8" t="s">
        <v>87</v>
      </c>
      <c r="M738" s="10" t="s">
        <v>1436</v>
      </c>
      <c r="N738" s="8" t="s">
        <v>87</v>
      </c>
      <c r="O738" s="10" t="s">
        <v>22</v>
      </c>
      <c r="P738" s="8" t="s">
        <v>6650</v>
      </c>
      <c r="Q738" s="10" t="s">
        <v>223</v>
      </c>
      <c r="R738" s="10" t="s">
        <v>1438</v>
      </c>
      <c r="S738" s="8" t="s">
        <v>6651</v>
      </c>
      <c r="T738" s="10" t="s">
        <v>6614</v>
      </c>
      <c r="U738" s="10" t="s">
        <v>87</v>
      </c>
      <c r="V738" s="10" t="s">
        <v>87</v>
      </c>
    </row>
    <row r="739" spans="1:22" s="10" customFormat="1" x14ac:dyDescent="0.25">
      <c r="A739" s="10" t="s">
        <v>6652</v>
      </c>
      <c r="B739" s="10" t="s">
        <v>6350</v>
      </c>
      <c r="C739" s="10" t="s">
        <v>215</v>
      </c>
      <c r="D739" s="10" t="s">
        <v>6653</v>
      </c>
      <c r="E739" s="8" t="s">
        <v>6654</v>
      </c>
      <c r="F739" s="8" t="s">
        <v>6655</v>
      </c>
      <c r="G739" s="10" t="s">
        <v>2647</v>
      </c>
      <c r="H739" s="8" t="s">
        <v>6656</v>
      </c>
      <c r="I739" s="10" t="s">
        <v>6620</v>
      </c>
      <c r="J739" s="8" t="s">
        <v>2862</v>
      </c>
      <c r="K739" s="8" t="s">
        <v>2649</v>
      </c>
      <c r="L739" s="8" t="s">
        <v>87</v>
      </c>
      <c r="M739" s="10" t="s">
        <v>1436</v>
      </c>
      <c r="N739" s="8" t="s">
        <v>87</v>
      </c>
      <c r="O739" s="10" t="s">
        <v>22</v>
      </c>
      <c r="P739" s="8" t="s">
        <v>6657</v>
      </c>
      <c r="Q739" s="10" t="s">
        <v>223</v>
      </c>
      <c r="R739" s="10" t="s">
        <v>1438</v>
      </c>
      <c r="S739" s="8" t="s">
        <v>6658</v>
      </c>
      <c r="T739" s="10" t="s">
        <v>6614</v>
      </c>
      <c r="U739" s="10" t="s">
        <v>87</v>
      </c>
      <c r="V739" s="10" t="s">
        <v>87</v>
      </c>
    </row>
    <row r="740" spans="1:22" s="10" customFormat="1" x14ac:dyDescent="0.25">
      <c r="A740" s="10" t="s">
        <v>6659</v>
      </c>
      <c r="B740" s="10" t="s">
        <v>6350</v>
      </c>
      <c r="C740" s="10" t="s">
        <v>215</v>
      </c>
      <c r="D740" s="10" t="s">
        <v>6660</v>
      </c>
      <c r="E740" s="8" t="s">
        <v>6661</v>
      </c>
      <c r="F740" s="8" t="s">
        <v>6662</v>
      </c>
      <c r="G740" s="10" t="s">
        <v>2647</v>
      </c>
      <c r="H740" s="8" t="s">
        <v>6663</v>
      </c>
      <c r="I740" s="10" t="s">
        <v>6635</v>
      </c>
      <c r="J740" s="8" t="s">
        <v>2862</v>
      </c>
      <c r="K740" s="8" t="s">
        <v>2649</v>
      </c>
      <c r="L740" s="8" t="s">
        <v>87</v>
      </c>
      <c r="M740" s="10" t="s">
        <v>1436</v>
      </c>
      <c r="N740" s="8" t="s">
        <v>87</v>
      </c>
      <c r="O740" s="10" t="s">
        <v>22</v>
      </c>
      <c r="P740" s="8" t="s">
        <v>6664</v>
      </c>
      <c r="Q740" s="10" t="s">
        <v>239</v>
      </c>
      <c r="R740" s="10" t="s">
        <v>1438</v>
      </c>
      <c r="S740" s="8" t="s">
        <v>6665</v>
      </c>
      <c r="T740" s="10" t="s">
        <v>6614</v>
      </c>
      <c r="U740" s="10" t="s">
        <v>87</v>
      </c>
      <c r="V740" s="10" t="s">
        <v>87</v>
      </c>
    </row>
    <row r="741" spans="1:22" s="10" customFormat="1" x14ac:dyDescent="0.25">
      <c r="A741" s="10" t="s">
        <v>6666</v>
      </c>
      <c r="B741" s="10" t="s">
        <v>6350</v>
      </c>
      <c r="C741" s="10" t="s">
        <v>215</v>
      </c>
      <c r="D741" s="10" t="s">
        <v>6667</v>
      </c>
      <c r="E741" s="8" t="s">
        <v>6668</v>
      </c>
      <c r="F741" s="8" t="s">
        <v>6669</v>
      </c>
      <c r="G741" s="10" t="s">
        <v>2647</v>
      </c>
      <c r="H741" s="8" t="s">
        <v>6670</v>
      </c>
      <c r="I741" s="10" t="s">
        <v>6671</v>
      </c>
      <c r="J741" s="8" t="s">
        <v>2862</v>
      </c>
      <c r="K741" s="8" t="s">
        <v>2649</v>
      </c>
      <c r="L741" s="8" t="s">
        <v>87</v>
      </c>
      <c r="M741" s="10" t="s">
        <v>1436</v>
      </c>
      <c r="N741" s="8" t="s">
        <v>87</v>
      </c>
      <c r="O741" s="10" t="s">
        <v>22</v>
      </c>
      <c r="P741" s="8" t="s">
        <v>6672</v>
      </c>
      <c r="Q741" s="10" t="s">
        <v>223</v>
      </c>
      <c r="R741" s="10" t="s">
        <v>1438</v>
      </c>
      <c r="S741" s="8" t="s">
        <v>6673</v>
      </c>
      <c r="T741" s="10" t="s">
        <v>6614</v>
      </c>
      <c r="U741" s="10" t="s">
        <v>87</v>
      </c>
      <c r="V741" s="10" t="s">
        <v>87</v>
      </c>
    </row>
    <row r="742" spans="1:22" s="10" customFormat="1" x14ac:dyDescent="0.25">
      <c r="A742" s="10" t="s">
        <v>6674</v>
      </c>
      <c r="B742" s="10" t="s">
        <v>6350</v>
      </c>
      <c r="C742" s="10" t="s">
        <v>215</v>
      </c>
      <c r="D742" s="10" t="s">
        <v>6675</v>
      </c>
      <c r="E742" s="8" t="s">
        <v>6676</v>
      </c>
      <c r="F742" s="8" t="s">
        <v>6677</v>
      </c>
      <c r="G742" s="10" t="s">
        <v>2647</v>
      </c>
      <c r="H742" s="8" t="s">
        <v>6678</v>
      </c>
      <c r="I742" s="10" t="s">
        <v>6620</v>
      </c>
      <c r="J742" s="8" t="s">
        <v>2862</v>
      </c>
      <c r="K742" s="8" t="s">
        <v>2649</v>
      </c>
      <c r="L742" s="8" t="s">
        <v>87</v>
      </c>
      <c r="M742" s="10" t="s">
        <v>1436</v>
      </c>
      <c r="N742" s="8" t="s">
        <v>87</v>
      </c>
      <c r="O742" s="10" t="s">
        <v>22</v>
      </c>
      <c r="P742" s="8" t="s">
        <v>6679</v>
      </c>
      <c r="Q742" s="10" t="s">
        <v>223</v>
      </c>
      <c r="R742" s="10" t="s">
        <v>1438</v>
      </c>
      <c r="S742" s="8" t="s">
        <v>6680</v>
      </c>
      <c r="T742" s="10" t="s">
        <v>6614</v>
      </c>
      <c r="U742" s="10" t="s">
        <v>87</v>
      </c>
      <c r="V742" s="10" t="s">
        <v>87</v>
      </c>
    </row>
    <row r="743" spans="1:22" s="10" customFormat="1" x14ac:dyDescent="0.25">
      <c r="A743" s="10" t="s">
        <v>6681</v>
      </c>
      <c r="B743" s="10" t="s">
        <v>6350</v>
      </c>
      <c r="C743" s="10" t="s">
        <v>215</v>
      </c>
      <c r="D743" s="10" t="s">
        <v>6682</v>
      </c>
      <c r="E743" s="8" t="s">
        <v>6683</v>
      </c>
      <c r="F743" s="8" t="s">
        <v>6684</v>
      </c>
      <c r="G743" s="10" t="s">
        <v>2647</v>
      </c>
      <c r="H743" s="8" t="s">
        <v>4078</v>
      </c>
      <c r="I743" s="10" t="s">
        <v>6635</v>
      </c>
      <c r="J743" s="8" t="s">
        <v>2862</v>
      </c>
      <c r="K743" s="8" t="s">
        <v>2649</v>
      </c>
      <c r="L743" s="8" t="s">
        <v>87</v>
      </c>
      <c r="M743" s="10" t="s">
        <v>1436</v>
      </c>
      <c r="N743" s="8" t="s">
        <v>87</v>
      </c>
      <c r="O743" s="10" t="s">
        <v>22</v>
      </c>
      <c r="P743" s="8" t="s">
        <v>6685</v>
      </c>
      <c r="Q743" s="10" t="s">
        <v>239</v>
      </c>
      <c r="R743" s="10" t="s">
        <v>1438</v>
      </c>
      <c r="S743" s="8" t="s">
        <v>6686</v>
      </c>
      <c r="T743" s="10" t="s">
        <v>6614</v>
      </c>
      <c r="U743" s="10" t="s">
        <v>87</v>
      </c>
      <c r="V743" s="10" t="s">
        <v>87</v>
      </c>
    </row>
    <row r="744" spans="1:22" s="10" customFormat="1" x14ac:dyDescent="0.25">
      <c r="A744" s="10" t="s">
        <v>6687</v>
      </c>
      <c r="B744" s="10" t="s">
        <v>6350</v>
      </c>
      <c r="C744" s="10" t="s">
        <v>215</v>
      </c>
      <c r="D744" s="10" t="s">
        <v>6688</v>
      </c>
      <c r="E744" s="8" t="s">
        <v>6689</v>
      </c>
      <c r="F744" s="8" t="s">
        <v>6690</v>
      </c>
      <c r="G744" s="10" t="s">
        <v>2647</v>
      </c>
      <c r="H744" s="8" t="s">
        <v>6691</v>
      </c>
      <c r="I744" s="10" t="s">
        <v>6635</v>
      </c>
      <c r="J744" s="8" t="s">
        <v>2862</v>
      </c>
      <c r="K744" s="8" t="s">
        <v>2649</v>
      </c>
      <c r="L744" s="8" t="s">
        <v>87</v>
      </c>
      <c r="M744" s="10" t="s">
        <v>1436</v>
      </c>
      <c r="N744" s="8" t="s">
        <v>87</v>
      </c>
      <c r="O744" s="10" t="s">
        <v>22</v>
      </c>
      <c r="P744" s="8" t="s">
        <v>6692</v>
      </c>
      <c r="Q744" s="10" t="s">
        <v>223</v>
      </c>
      <c r="R744" s="10" t="s">
        <v>1438</v>
      </c>
      <c r="S744" s="8" t="s">
        <v>6693</v>
      </c>
      <c r="T744" s="10" t="s">
        <v>6614</v>
      </c>
      <c r="U744" s="10" t="s">
        <v>87</v>
      </c>
      <c r="V744" s="10" t="s">
        <v>87</v>
      </c>
    </row>
    <row r="745" spans="1:22" s="10" customFormat="1" x14ac:dyDescent="0.25">
      <c r="A745" s="10" t="s">
        <v>6694</v>
      </c>
      <c r="B745" s="10" t="s">
        <v>6350</v>
      </c>
      <c r="C745" s="11" t="s">
        <v>346</v>
      </c>
      <c r="D745" s="10" t="s">
        <v>6695</v>
      </c>
      <c r="E745" s="8" t="s">
        <v>6696</v>
      </c>
      <c r="F745" s="8" t="s">
        <v>6697</v>
      </c>
      <c r="G745" s="10" t="s">
        <v>2647</v>
      </c>
      <c r="H745" s="8" t="s">
        <v>6698</v>
      </c>
      <c r="I745" s="10" t="s">
        <v>6699</v>
      </c>
      <c r="J745" s="8" t="s">
        <v>2862</v>
      </c>
      <c r="K745" s="8" t="s">
        <v>2649</v>
      </c>
      <c r="L745" s="8" t="s">
        <v>87</v>
      </c>
      <c r="M745" s="10" t="s">
        <v>1436</v>
      </c>
      <c r="N745" s="8" t="s">
        <v>87</v>
      </c>
      <c r="O745" s="10" t="s">
        <v>22</v>
      </c>
      <c r="P745" s="8" t="s">
        <v>6700</v>
      </c>
      <c r="Q745" s="10" t="s">
        <v>1447</v>
      </c>
      <c r="R745" s="10" t="s">
        <v>1438</v>
      </c>
      <c r="S745" s="8" t="s">
        <v>6701</v>
      </c>
      <c r="T745" s="10" t="s">
        <v>6614</v>
      </c>
      <c r="U745" s="10" t="s">
        <v>87</v>
      </c>
      <c r="V745" s="10" t="s">
        <v>87</v>
      </c>
    </row>
    <row r="746" spans="1:22" s="10" customFormat="1" x14ac:dyDescent="0.25">
      <c r="A746" s="10" t="s">
        <v>6702</v>
      </c>
      <c r="B746" s="10" t="s">
        <v>6350</v>
      </c>
      <c r="C746" s="10" t="s">
        <v>215</v>
      </c>
      <c r="D746" s="10" t="s">
        <v>6703</v>
      </c>
      <c r="E746" s="8" t="s">
        <v>6704</v>
      </c>
      <c r="F746" s="8" t="s">
        <v>6705</v>
      </c>
      <c r="G746" s="10" t="s">
        <v>2647</v>
      </c>
      <c r="H746" s="8" t="s">
        <v>6706</v>
      </c>
      <c r="I746" s="10" t="s">
        <v>6635</v>
      </c>
      <c r="J746" s="8" t="s">
        <v>2862</v>
      </c>
      <c r="K746" s="8" t="s">
        <v>2649</v>
      </c>
      <c r="L746" s="8" t="s">
        <v>87</v>
      </c>
      <c r="M746" s="10" t="s">
        <v>1436</v>
      </c>
      <c r="N746" s="8" t="s">
        <v>87</v>
      </c>
      <c r="O746" s="10" t="s">
        <v>22</v>
      </c>
      <c r="P746" s="8" t="s">
        <v>6707</v>
      </c>
      <c r="Q746" s="10" t="s">
        <v>223</v>
      </c>
      <c r="R746" s="10" t="s">
        <v>1438</v>
      </c>
      <c r="S746" s="8" t="s">
        <v>6708</v>
      </c>
      <c r="T746" s="10" t="s">
        <v>6614</v>
      </c>
      <c r="U746" s="10" t="s">
        <v>87</v>
      </c>
      <c r="V746" s="10" t="s">
        <v>87</v>
      </c>
    </row>
    <row r="747" spans="1:22" s="10" customFormat="1" x14ac:dyDescent="0.25">
      <c r="A747" s="10" t="s">
        <v>6709</v>
      </c>
      <c r="B747" s="10" t="s">
        <v>6350</v>
      </c>
      <c r="C747" s="11" t="s">
        <v>346</v>
      </c>
      <c r="D747" s="10" t="s">
        <v>6710</v>
      </c>
      <c r="E747" s="8" t="s">
        <v>6711</v>
      </c>
      <c r="F747" s="8" t="s">
        <v>6712</v>
      </c>
      <c r="G747" s="10" t="s">
        <v>2647</v>
      </c>
      <c r="H747" s="8" t="s">
        <v>1653</v>
      </c>
      <c r="I747" s="10" t="s">
        <v>6713</v>
      </c>
      <c r="J747" s="8" t="s">
        <v>1655</v>
      </c>
      <c r="K747" s="8" t="s">
        <v>2649</v>
      </c>
      <c r="L747" s="8" t="s">
        <v>87</v>
      </c>
      <c r="M747" s="10" t="s">
        <v>1436</v>
      </c>
      <c r="N747" s="8" t="s">
        <v>87</v>
      </c>
      <c r="O747" s="10" t="s">
        <v>22</v>
      </c>
      <c r="P747" s="8" t="s">
        <v>6714</v>
      </c>
      <c r="Q747" s="10" t="s">
        <v>1447</v>
      </c>
      <c r="R747" s="10" t="s">
        <v>1657</v>
      </c>
      <c r="S747" s="8" t="s">
        <v>6715</v>
      </c>
      <c r="T747" s="10" t="s">
        <v>6614</v>
      </c>
      <c r="U747" s="10" t="s">
        <v>87</v>
      </c>
      <c r="V747" s="10" t="s">
        <v>87</v>
      </c>
    </row>
    <row r="748" spans="1:22" s="10" customFormat="1" x14ac:dyDescent="0.25">
      <c r="A748" s="10" t="s">
        <v>6716</v>
      </c>
      <c r="B748" s="10" t="s">
        <v>6350</v>
      </c>
      <c r="C748" s="10" t="s">
        <v>215</v>
      </c>
      <c r="D748" s="10" t="s">
        <v>6717</v>
      </c>
      <c r="E748" s="8" t="s">
        <v>6718</v>
      </c>
      <c r="F748" s="8" t="s">
        <v>6719</v>
      </c>
      <c r="G748" s="10" t="s">
        <v>2647</v>
      </c>
      <c r="H748" s="8" t="s">
        <v>6720</v>
      </c>
      <c r="I748" s="10" t="s">
        <v>6628</v>
      </c>
      <c r="J748" s="8" t="s">
        <v>2862</v>
      </c>
      <c r="K748" s="8" t="s">
        <v>2649</v>
      </c>
      <c r="L748" s="8" t="s">
        <v>87</v>
      </c>
      <c r="M748" s="10" t="s">
        <v>1436</v>
      </c>
      <c r="N748" s="8" t="s">
        <v>87</v>
      </c>
      <c r="O748" s="10" t="s">
        <v>22</v>
      </c>
      <c r="P748" s="8" t="s">
        <v>6721</v>
      </c>
      <c r="Q748" s="10" t="s">
        <v>223</v>
      </c>
      <c r="R748" s="10" t="s">
        <v>1438</v>
      </c>
      <c r="S748" s="8" t="s">
        <v>1648</v>
      </c>
      <c r="T748" s="10" t="s">
        <v>6614</v>
      </c>
      <c r="U748" s="10" t="s">
        <v>87</v>
      </c>
      <c r="V748" s="10" t="s">
        <v>87</v>
      </c>
    </row>
    <row r="749" spans="1:22" s="10" customFormat="1" x14ac:dyDescent="0.25">
      <c r="A749" s="10" t="s">
        <v>6722</v>
      </c>
      <c r="B749" s="10" t="s">
        <v>6350</v>
      </c>
      <c r="C749" s="10" t="s">
        <v>215</v>
      </c>
      <c r="D749" s="10" t="s">
        <v>6723</v>
      </c>
      <c r="E749" s="8" t="s">
        <v>6724</v>
      </c>
      <c r="F749" s="8" t="s">
        <v>6725</v>
      </c>
      <c r="G749" s="10" t="s">
        <v>4</v>
      </c>
      <c r="H749" s="8" t="s">
        <v>6726</v>
      </c>
      <c r="I749" s="10" t="s">
        <v>6727</v>
      </c>
      <c r="J749" s="8" t="s">
        <v>2862</v>
      </c>
      <c r="K749" s="8" t="s">
        <v>6728</v>
      </c>
      <c r="L749" s="8" t="s">
        <v>87</v>
      </c>
      <c r="M749" s="10" t="s">
        <v>1456</v>
      </c>
      <c r="N749" s="8" t="s">
        <v>87</v>
      </c>
      <c r="O749" s="10" t="s">
        <v>22</v>
      </c>
      <c r="P749" s="8" t="s">
        <v>6729</v>
      </c>
      <c r="Q749" s="10" t="s">
        <v>223</v>
      </c>
      <c r="R749" s="10" t="s">
        <v>1438</v>
      </c>
      <c r="S749" s="8" t="s">
        <v>6730</v>
      </c>
      <c r="T749" s="10" t="s">
        <v>6614</v>
      </c>
      <c r="U749" s="10" t="s">
        <v>87</v>
      </c>
      <c r="V749" s="10" t="s">
        <v>87</v>
      </c>
    </row>
    <row r="750" spans="1:22" s="10" customFormat="1" x14ac:dyDescent="0.25">
      <c r="A750" s="10" t="s">
        <v>6731</v>
      </c>
      <c r="B750" s="10" t="s">
        <v>6350</v>
      </c>
      <c r="C750" s="11" t="s">
        <v>346</v>
      </c>
      <c r="D750" s="10" t="s">
        <v>6732</v>
      </c>
      <c r="E750" s="8" t="s">
        <v>6733</v>
      </c>
      <c r="F750" s="8" t="s">
        <v>6734</v>
      </c>
      <c r="G750" s="10" t="s">
        <v>4</v>
      </c>
      <c r="H750" s="8" t="s">
        <v>6735</v>
      </c>
      <c r="I750" s="10" t="s">
        <v>6736</v>
      </c>
      <c r="J750" s="8" t="s">
        <v>2862</v>
      </c>
      <c r="K750" s="8" t="s">
        <v>1873</v>
      </c>
      <c r="L750" s="8" t="s">
        <v>87</v>
      </c>
      <c r="M750" s="10" t="s">
        <v>1456</v>
      </c>
      <c r="N750" s="8" t="s">
        <v>87</v>
      </c>
      <c r="O750" s="10" t="s">
        <v>22</v>
      </c>
      <c r="P750" s="8" t="s">
        <v>6737</v>
      </c>
      <c r="Q750" s="10" t="s">
        <v>223</v>
      </c>
      <c r="R750" s="10" t="s">
        <v>1438</v>
      </c>
      <c r="S750" s="8" t="s">
        <v>6738</v>
      </c>
      <c r="T750" s="10" t="s">
        <v>6614</v>
      </c>
      <c r="U750" s="10" t="s">
        <v>87</v>
      </c>
      <c r="V750" s="10" t="s">
        <v>87</v>
      </c>
    </row>
    <row r="751" spans="1:22" s="10" customFormat="1" x14ac:dyDescent="0.25">
      <c r="A751" s="10" t="s">
        <v>6739</v>
      </c>
      <c r="B751" s="10" t="s">
        <v>6350</v>
      </c>
      <c r="C751" s="10" t="s">
        <v>215</v>
      </c>
      <c r="D751" s="10" t="s">
        <v>6740</v>
      </c>
      <c r="E751" s="8" t="s">
        <v>6741</v>
      </c>
      <c r="F751" s="8" t="s">
        <v>6742</v>
      </c>
      <c r="G751" s="10" t="s">
        <v>4</v>
      </c>
      <c r="H751" s="8" t="s">
        <v>6743</v>
      </c>
      <c r="I751" s="10" t="s">
        <v>6744</v>
      </c>
      <c r="J751" s="8" t="s">
        <v>2862</v>
      </c>
      <c r="K751" s="8" t="s">
        <v>1873</v>
      </c>
      <c r="L751" s="8" t="s">
        <v>87</v>
      </c>
      <c r="M751" s="10" t="s">
        <v>1456</v>
      </c>
      <c r="N751" s="8" t="s">
        <v>87</v>
      </c>
      <c r="O751" s="10" t="s">
        <v>22</v>
      </c>
      <c r="P751" s="8" t="s">
        <v>6745</v>
      </c>
      <c r="Q751" s="10" t="s">
        <v>239</v>
      </c>
      <c r="R751" s="10" t="s">
        <v>1438</v>
      </c>
      <c r="S751" s="8" t="s">
        <v>6746</v>
      </c>
      <c r="T751" s="10" t="s">
        <v>6614</v>
      </c>
      <c r="U751" s="10" t="s">
        <v>87</v>
      </c>
      <c r="V751" s="10" t="s">
        <v>87</v>
      </c>
    </row>
    <row r="752" spans="1:22" s="10" customFormat="1" x14ac:dyDescent="0.25">
      <c r="A752" s="10" t="s">
        <v>6747</v>
      </c>
      <c r="B752" s="10" t="s">
        <v>6350</v>
      </c>
      <c r="C752" s="10" t="s">
        <v>215</v>
      </c>
      <c r="D752" s="10" t="s">
        <v>6748</v>
      </c>
      <c r="E752" s="8" t="s">
        <v>6749</v>
      </c>
      <c r="F752" s="8" t="s">
        <v>6750</v>
      </c>
      <c r="G752" s="10" t="s">
        <v>4</v>
      </c>
      <c r="H752" s="8" t="s">
        <v>6751</v>
      </c>
      <c r="I752" s="10" t="s">
        <v>6744</v>
      </c>
      <c r="J752" s="8" t="s">
        <v>2862</v>
      </c>
      <c r="K752" s="8" t="s">
        <v>1873</v>
      </c>
      <c r="L752" s="8" t="s">
        <v>87</v>
      </c>
      <c r="M752" s="10" t="s">
        <v>1456</v>
      </c>
      <c r="N752" s="8" t="s">
        <v>87</v>
      </c>
      <c r="O752" s="10" t="s">
        <v>22</v>
      </c>
      <c r="P752" s="8" t="s">
        <v>6752</v>
      </c>
      <c r="Q752" s="10" t="s">
        <v>239</v>
      </c>
      <c r="R752" s="10" t="s">
        <v>1438</v>
      </c>
      <c r="S752" s="8" t="s">
        <v>6753</v>
      </c>
      <c r="T752" s="10" t="s">
        <v>6614</v>
      </c>
      <c r="U752" s="10" t="s">
        <v>87</v>
      </c>
      <c r="V752" s="10" t="s">
        <v>87</v>
      </c>
    </row>
    <row r="753" spans="1:22" s="10" customFormat="1" x14ac:dyDescent="0.25">
      <c r="A753" s="10" t="s">
        <v>6754</v>
      </c>
      <c r="B753" s="10" t="s">
        <v>6350</v>
      </c>
      <c r="C753" s="10" t="s">
        <v>215</v>
      </c>
      <c r="D753" s="10" t="s">
        <v>6755</v>
      </c>
      <c r="E753" s="8" t="s">
        <v>6756</v>
      </c>
      <c r="F753" s="8" t="s">
        <v>4091</v>
      </c>
      <c r="G753" s="10" t="s">
        <v>4</v>
      </c>
      <c r="H753" s="8" t="s">
        <v>4092</v>
      </c>
      <c r="I753" s="10" t="s">
        <v>6744</v>
      </c>
      <c r="J753" s="8" t="s">
        <v>2862</v>
      </c>
      <c r="K753" s="8" t="s">
        <v>1873</v>
      </c>
      <c r="L753" s="8" t="s">
        <v>87</v>
      </c>
      <c r="M753" s="10" t="s">
        <v>1456</v>
      </c>
      <c r="N753" s="8" t="s">
        <v>87</v>
      </c>
      <c r="O753" s="10" t="s">
        <v>22</v>
      </c>
      <c r="P753" s="8" t="s">
        <v>6757</v>
      </c>
      <c r="Q753" s="10" t="s">
        <v>239</v>
      </c>
      <c r="R753" s="10" t="s">
        <v>1438</v>
      </c>
      <c r="S753" s="8" t="s">
        <v>6758</v>
      </c>
      <c r="T753" s="10" t="s">
        <v>6614</v>
      </c>
      <c r="U753" s="10" t="s">
        <v>87</v>
      </c>
      <c r="V753" s="10" t="s">
        <v>87</v>
      </c>
    </row>
    <row r="754" spans="1:22" s="10" customFormat="1" x14ac:dyDescent="0.25">
      <c r="A754" s="10" t="s">
        <v>6759</v>
      </c>
      <c r="B754" s="10" t="s">
        <v>6350</v>
      </c>
      <c r="C754" s="10" t="s">
        <v>215</v>
      </c>
      <c r="D754" s="10" t="s">
        <v>6760</v>
      </c>
      <c r="E754" s="8" t="s">
        <v>6761</v>
      </c>
      <c r="F754" s="8" t="s">
        <v>6762</v>
      </c>
      <c r="G754" s="10" t="s">
        <v>4</v>
      </c>
      <c r="H754" s="8" t="s">
        <v>6763</v>
      </c>
      <c r="I754" s="10" t="s">
        <v>6736</v>
      </c>
      <c r="J754" s="8" t="s">
        <v>2862</v>
      </c>
      <c r="K754" s="8" t="s">
        <v>1873</v>
      </c>
      <c r="L754" s="8" t="s">
        <v>87</v>
      </c>
      <c r="M754" s="10" t="s">
        <v>1456</v>
      </c>
      <c r="N754" s="8" t="s">
        <v>87</v>
      </c>
      <c r="O754" s="10" t="s">
        <v>22</v>
      </c>
      <c r="P754" s="8" t="s">
        <v>6764</v>
      </c>
      <c r="Q754" s="10" t="s">
        <v>246</v>
      </c>
      <c r="R754" s="10" t="s">
        <v>1438</v>
      </c>
      <c r="S754" s="8" t="s">
        <v>6765</v>
      </c>
      <c r="T754" s="10" t="s">
        <v>6614</v>
      </c>
      <c r="U754" s="10" t="s">
        <v>87</v>
      </c>
      <c r="V754" s="10" t="s">
        <v>87</v>
      </c>
    </row>
    <row r="755" spans="1:22" s="10" customFormat="1" x14ac:dyDescent="0.25">
      <c r="A755" s="10" t="s">
        <v>6766</v>
      </c>
      <c r="B755" s="10" t="s">
        <v>6350</v>
      </c>
      <c r="C755" s="10" t="s">
        <v>215</v>
      </c>
      <c r="D755" s="10" t="s">
        <v>6767</v>
      </c>
      <c r="E755" s="8" t="s">
        <v>6768</v>
      </c>
      <c r="F755" s="8" t="s">
        <v>6769</v>
      </c>
      <c r="G755" s="10" t="s">
        <v>4</v>
      </c>
      <c r="H755" s="8" t="s">
        <v>6770</v>
      </c>
      <c r="I755" s="10" t="s">
        <v>6727</v>
      </c>
      <c r="J755" s="8" t="s">
        <v>2862</v>
      </c>
      <c r="K755" s="8" t="s">
        <v>1873</v>
      </c>
      <c r="L755" s="8" t="s">
        <v>87</v>
      </c>
      <c r="M755" s="10" t="s">
        <v>1456</v>
      </c>
      <c r="N755" s="8" t="s">
        <v>87</v>
      </c>
      <c r="O755" s="10" t="s">
        <v>22</v>
      </c>
      <c r="P755" s="8" t="s">
        <v>6771</v>
      </c>
      <c r="Q755" s="10" t="s">
        <v>223</v>
      </c>
      <c r="R755" s="10" t="s">
        <v>1438</v>
      </c>
      <c r="S755" s="8" t="s">
        <v>6772</v>
      </c>
      <c r="T755" s="10" t="s">
        <v>6614</v>
      </c>
      <c r="U755" s="10" t="s">
        <v>87</v>
      </c>
      <c r="V755" s="10" t="s">
        <v>87</v>
      </c>
    </row>
    <row r="756" spans="1:22" s="10" customFormat="1" x14ac:dyDescent="0.25">
      <c r="A756" s="10" t="s">
        <v>6773</v>
      </c>
      <c r="B756" s="10" t="s">
        <v>6350</v>
      </c>
      <c r="C756" s="10" t="s">
        <v>215</v>
      </c>
      <c r="D756" s="10" t="s">
        <v>6774</v>
      </c>
      <c r="E756" s="8" t="s">
        <v>6775</v>
      </c>
      <c r="F756" s="8" t="s">
        <v>6776</v>
      </c>
      <c r="G756" s="10" t="s">
        <v>4</v>
      </c>
      <c r="H756" s="8" t="s">
        <v>6777</v>
      </c>
      <c r="I756" s="10" t="s">
        <v>6727</v>
      </c>
      <c r="J756" s="8" t="s">
        <v>2862</v>
      </c>
      <c r="K756" s="8" t="s">
        <v>1873</v>
      </c>
      <c r="L756" s="8" t="s">
        <v>87</v>
      </c>
      <c r="M756" s="10" t="s">
        <v>1456</v>
      </c>
      <c r="N756" s="8" t="s">
        <v>87</v>
      </c>
      <c r="O756" s="10" t="s">
        <v>22</v>
      </c>
      <c r="P756" s="8" t="s">
        <v>6778</v>
      </c>
      <c r="Q756" s="10" t="s">
        <v>223</v>
      </c>
      <c r="R756" s="10" t="s">
        <v>1438</v>
      </c>
      <c r="S756" s="8" t="s">
        <v>6779</v>
      </c>
      <c r="T756" s="10" t="s">
        <v>6614</v>
      </c>
      <c r="U756" s="10" t="s">
        <v>87</v>
      </c>
      <c r="V756" s="10" t="s">
        <v>87</v>
      </c>
    </row>
    <row r="757" spans="1:22" s="10" customFormat="1" x14ac:dyDescent="0.25">
      <c r="A757" s="10" t="s">
        <v>6780</v>
      </c>
      <c r="B757" s="10" t="s">
        <v>6350</v>
      </c>
      <c r="C757" s="10" t="s">
        <v>215</v>
      </c>
      <c r="D757" s="10" t="s">
        <v>6781</v>
      </c>
      <c r="E757" s="8" t="s">
        <v>6782</v>
      </c>
      <c r="F757" s="8" t="s">
        <v>6783</v>
      </c>
      <c r="G757" s="10" t="s">
        <v>4</v>
      </c>
      <c r="H757" s="8" t="s">
        <v>6784</v>
      </c>
      <c r="I757" s="10" t="s">
        <v>6727</v>
      </c>
      <c r="J757" s="8" t="s">
        <v>2862</v>
      </c>
      <c r="K757" s="8" t="s">
        <v>1873</v>
      </c>
      <c r="L757" s="8" t="s">
        <v>87</v>
      </c>
      <c r="M757" s="10" t="s">
        <v>1456</v>
      </c>
      <c r="N757" s="8" t="s">
        <v>87</v>
      </c>
      <c r="O757" s="10" t="s">
        <v>22</v>
      </c>
      <c r="P757" s="8" t="s">
        <v>6785</v>
      </c>
      <c r="Q757" s="10" t="s">
        <v>223</v>
      </c>
      <c r="R757" s="10" t="s">
        <v>1438</v>
      </c>
      <c r="S757" s="8" t="s">
        <v>6786</v>
      </c>
      <c r="T757" s="10" t="s">
        <v>6614</v>
      </c>
      <c r="U757" s="10" t="s">
        <v>87</v>
      </c>
      <c r="V757" s="10" t="s">
        <v>87</v>
      </c>
    </row>
    <row r="758" spans="1:22" s="10" customFormat="1" x14ac:dyDescent="0.25">
      <c r="A758" s="10" t="s">
        <v>6787</v>
      </c>
      <c r="B758" s="10" t="s">
        <v>6350</v>
      </c>
      <c r="C758" s="10" t="s">
        <v>215</v>
      </c>
      <c r="D758" s="10" t="s">
        <v>6788</v>
      </c>
      <c r="E758" s="8" t="s">
        <v>6789</v>
      </c>
      <c r="F758" s="8" t="s">
        <v>6790</v>
      </c>
      <c r="G758" s="10" t="s">
        <v>4</v>
      </c>
      <c r="H758" s="8" t="s">
        <v>6791</v>
      </c>
      <c r="I758" s="10" t="s">
        <v>6727</v>
      </c>
      <c r="J758" s="8" t="s">
        <v>2862</v>
      </c>
      <c r="K758" s="8" t="s">
        <v>1873</v>
      </c>
      <c r="L758" s="8" t="s">
        <v>87</v>
      </c>
      <c r="M758" s="10" t="s">
        <v>1456</v>
      </c>
      <c r="N758" s="8" t="s">
        <v>87</v>
      </c>
      <c r="O758" s="10" t="s">
        <v>22</v>
      </c>
      <c r="P758" s="8" t="s">
        <v>6792</v>
      </c>
      <c r="Q758" s="10" t="s">
        <v>223</v>
      </c>
      <c r="R758" s="10" t="s">
        <v>1438</v>
      </c>
      <c r="S758" s="8" t="s">
        <v>6793</v>
      </c>
      <c r="T758" s="10" t="s">
        <v>6614</v>
      </c>
      <c r="U758" s="10" t="s">
        <v>87</v>
      </c>
      <c r="V758" s="10" t="s">
        <v>87</v>
      </c>
    </row>
    <row r="759" spans="1:22" s="10" customFormat="1" x14ac:dyDescent="0.25">
      <c r="A759" s="10" t="s">
        <v>6794</v>
      </c>
      <c r="B759" s="10" t="s">
        <v>6350</v>
      </c>
      <c r="C759" s="10" t="s">
        <v>215</v>
      </c>
      <c r="D759" s="10" t="s">
        <v>6795</v>
      </c>
      <c r="E759" s="8" t="s">
        <v>6796</v>
      </c>
      <c r="F759" s="8" t="s">
        <v>6797</v>
      </c>
      <c r="G759" s="10" t="s">
        <v>4</v>
      </c>
      <c r="H759" s="8" t="s">
        <v>6798</v>
      </c>
      <c r="I759" s="10" t="s">
        <v>6727</v>
      </c>
      <c r="J759" s="8" t="s">
        <v>2862</v>
      </c>
      <c r="K759" s="8" t="s">
        <v>1873</v>
      </c>
      <c r="L759" s="8" t="s">
        <v>87</v>
      </c>
      <c r="M759" s="10" t="s">
        <v>1456</v>
      </c>
      <c r="N759" s="8" t="s">
        <v>87</v>
      </c>
      <c r="O759" s="10" t="s">
        <v>22</v>
      </c>
      <c r="P759" s="8" t="s">
        <v>6799</v>
      </c>
      <c r="Q759" s="10" t="s">
        <v>223</v>
      </c>
      <c r="R759" s="10" t="s">
        <v>1438</v>
      </c>
      <c r="S759" s="8" t="s">
        <v>6800</v>
      </c>
      <c r="T759" s="10" t="s">
        <v>6614</v>
      </c>
      <c r="U759" s="10" t="s">
        <v>87</v>
      </c>
      <c r="V759" s="10" t="s">
        <v>87</v>
      </c>
    </row>
    <row r="760" spans="1:22" s="10" customFormat="1" x14ac:dyDescent="0.25">
      <c r="A760" s="10" t="s">
        <v>6801</v>
      </c>
      <c r="B760" s="10" t="s">
        <v>6350</v>
      </c>
      <c r="C760" s="10" t="s">
        <v>215</v>
      </c>
      <c r="D760" s="10" t="s">
        <v>6802</v>
      </c>
      <c r="E760" s="8" t="s">
        <v>6803</v>
      </c>
      <c r="F760" s="8" t="s">
        <v>6804</v>
      </c>
      <c r="G760" s="10" t="s">
        <v>4</v>
      </c>
      <c r="H760" s="8" t="s">
        <v>6805</v>
      </c>
      <c r="I760" s="10" t="s">
        <v>6727</v>
      </c>
      <c r="J760" s="8" t="s">
        <v>2862</v>
      </c>
      <c r="K760" s="8" t="s">
        <v>1873</v>
      </c>
      <c r="L760" s="8" t="s">
        <v>87</v>
      </c>
      <c r="M760" s="10" t="s">
        <v>1456</v>
      </c>
      <c r="N760" s="8" t="s">
        <v>87</v>
      </c>
      <c r="O760" s="10" t="s">
        <v>22</v>
      </c>
      <c r="P760" s="8" t="s">
        <v>6806</v>
      </c>
      <c r="Q760" s="10" t="s">
        <v>223</v>
      </c>
      <c r="R760" s="10" t="s">
        <v>1438</v>
      </c>
      <c r="S760" s="8" t="s">
        <v>6807</v>
      </c>
      <c r="T760" s="10" t="s">
        <v>6614</v>
      </c>
      <c r="U760" s="10" t="s">
        <v>87</v>
      </c>
      <c r="V760" s="10" t="s">
        <v>87</v>
      </c>
    </row>
    <row r="761" spans="1:22" s="10" customFormat="1" x14ac:dyDescent="0.25">
      <c r="A761" s="10" t="s">
        <v>6808</v>
      </c>
      <c r="B761" s="10" t="s">
        <v>6350</v>
      </c>
      <c r="C761" s="10" t="s">
        <v>215</v>
      </c>
      <c r="D761" s="10" t="s">
        <v>6809</v>
      </c>
      <c r="E761" s="8" t="s">
        <v>6810</v>
      </c>
      <c r="F761" s="8" t="s">
        <v>6811</v>
      </c>
      <c r="G761" s="10" t="s">
        <v>4</v>
      </c>
      <c r="H761" s="8" t="s">
        <v>6812</v>
      </c>
      <c r="I761" s="10" t="s">
        <v>6727</v>
      </c>
      <c r="J761" s="8" t="s">
        <v>2862</v>
      </c>
      <c r="K761" s="8" t="s">
        <v>1873</v>
      </c>
      <c r="L761" s="8" t="s">
        <v>87</v>
      </c>
      <c r="M761" s="10" t="s">
        <v>1456</v>
      </c>
      <c r="N761" s="8" t="s">
        <v>87</v>
      </c>
      <c r="O761" s="10" t="s">
        <v>22</v>
      </c>
      <c r="P761" s="8" t="s">
        <v>6813</v>
      </c>
      <c r="Q761" s="10" t="s">
        <v>223</v>
      </c>
      <c r="R761" s="10" t="s">
        <v>1438</v>
      </c>
      <c r="S761" s="8" t="s">
        <v>6814</v>
      </c>
      <c r="T761" s="10" t="s">
        <v>6614</v>
      </c>
      <c r="U761" s="10" t="s">
        <v>87</v>
      </c>
      <c r="V761" s="10" t="s">
        <v>87</v>
      </c>
    </row>
    <row r="762" spans="1:22" s="10" customFormat="1" x14ac:dyDescent="0.25">
      <c r="A762" s="10" t="s">
        <v>6815</v>
      </c>
      <c r="B762" s="10" t="s">
        <v>6350</v>
      </c>
      <c r="C762" s="10" t="s">
        <v>215</v>
      </c>
      <c r="D762" s="10" t="s">
        <v>6816</v>
      </c>
      <c r="E762" s="8" t="s">
        <v>6817</v>
      </c>
      <c r="F762" s="8" t="s">
        <v>6818</v>
      </c>
      <c r="G762" s="10" t="s">
        <v>4</v>
      </c>
      <c r="H762" s="8" t="s">
        <v>6819</v>
      </c>
      <c r="I762" s="10" t="s">
        <v>6727</v>
      </c>
      <c r="J762" s="8" t="s">
        <v>2862</v>
      </c>
      <c r="K762" s="8" t="s">
        <v>1873</v>
      </c>
      <c r="L762" s="8" t="s">
        <v>87</v>
      </c>
      <c r="M762" s="10" t="s">
        <v>1456</v>
      </c>
      <c r="N762" s="8" t="s">
        <v>87</v>
      </c>
      <c r="O762" s="10" t="s">
        <v>22</v>
      </c>
      <c r="P762" s="8" t="s">
        <v>6820</v>
      </c>
      <c r="Q762" s="10" t="s">
        <v>223</v>
      </c>
      <c r="R762" s="10" t="s">
        <v>1438</v>
      </c>
      <c r="S762" s="8" t="s">
        <v>6821</v>
      </c>
      <c r="T762" s="10" t="s">
        <v>6614</v>
      </c>
      <c r="U762" s="10" t="s">
        <v>87</v>
      </c>
      <c r="V762" s="10" t="s">
        <v>87</v>
      </c>
    </row>
    <row r="763" spans="1:22" s="10" customFormat="1" x14ac:dyDescent="0.25">
      <c r="A763" s="10" t="s">
        <v>6822</v>
      </c>
      <c r="B763" s="10" t="s">
        <v>6350</v>
      </c>
      <c r="C763" s="10" t="s">
        <v>215</v>
      </c>
      <c r="D763" s="10" t="s">
        <v>6823</v>
      </c>
      <c r="E763" s="8" t="s">
        <v>6824</v>
      </c>
      <c r="F763" s="8" t="s">
        <v>6825</v>
      </c>
      <c r="G763" s="10" t="s">
        <v>4</v>
      </c>
      <c r="H763" s="8" t="s">
        <v>6826</v>
      </c>
      <c r="I763" s="10" t="s">
        <v>6744</v>
      </c>
      <c r="J763" s="8" t="s">
        <v>2862</v>
      </c>
      <c r="K763" s="8" t="s">
        <v>1873</v>
      </c>
      <c r="L763" s="8" t="s">
        <v>87</v>
      </c>
      <c r="M763" s="10" t="s">
        <v>1456</v>
      </c>
      <c r="N763" s="8" t="s">
        <v>87</v>
      </c>
      <c r="O763" s="10" t="s">
        <v>22</v>
      </c>
      <c r="P763" s="8" t="s">
        <v>6827</v>
      </c>
      <c r="Q763" s="10" t="s">
        <v>223</v>
      </c>
      <c r="R763" s="10" t="s">
        <v>1438</v>
      </c>
      <c r="S763" s="8" t="s">
        <v>6828</v>
      </c>
      <c r="T763" s="10" t="s">
        <v>6614</v>
      </c>
      <c r="U763" s="10" t="s">
        <v>87</v>
      </c>
      <c r="V763" s="10" t="s">
        <v>87</v>
      </c>
    </row>
    <row r="764" spans="1:22" s="10" customFormat="1" x14ac:dyDescent="0.25">
      <c r="A764" s="10" t="s">
        <v>6829</v>
      </c>
      <c r="B764" s="10" t="s">
        <v>6350</v>
      </c>
      <c r="C764" s="10" t="s">
        <v>215</v>
      </c>
      <c r="D764" s="10" t="s">
        <v>6830</v>
      </c>
      <c r="E764" s="8" t="s">
        <v>6831</v>
      </c>
      <c r="F764" s="8" t="s">
        <v>6832</v>
      </c>
      <c r="G764" s="10" t="s">
        <v>4</v>
      </c>
      <c r="H764" s="8" t="s">
        <v>6833</v>
      </c>
      <c r="I764" s="10" t="s">
        <v>6744</v>
      </c>
      <c r="J764" s="8" t="s">
        <v>2862</v>
      </c>
      <c r="K764" s="8" t="s">
        <v>1873</v>
      </c>
      <c r="L764" s="8" t="s">
        <v>87</v>
      </c>
      <c r="M764" s="10" t="s">
        <v>1456</v>
      </c>
      <c r="N764" s="8" t="s">
        <v>87</v>
      </c>
      <c r="O764" s="10" t="s">
        <v>22</v>
      </c>
      <c r="P764" s="8" t="s">
        <v>6834</v>
      </c>
      <c r="Q764" s="10" t="s">
        <v>223</v>
      </c>
      <c r="R764" s="10" t="s">
        <v>1438</v>
      </c>
      <c r="S764" s="8" t="s">
        <v>6835</v>
      </c>
      <c r="T764" s="10" t="s">
        <v>6614</v>
      </c>
      <c r="U764" s="10" t="s">
        <v>87</v>
      </c>
      <c r="V764" s="10" t="s">
        <v>87</v>
      </c>
    </row>
    <row r="765" spans="1:22" s="10" customFormat="1" x14ac:dyDescent="0.25">
      <c r="A765" s="10" t="s">
        <v>6836</v>
      </c>
      <c r="B765" s="10" t="s">
        <v>6350</v>
      </c>
      <c r="C765" s="10" t="s">
        <v>215</v>
      </c>
      <c r="D765" s="10" t="s">
        <v>6837</v>
      </c>
      <c r="E765" s="8" t="s">
        <v>6838</v>
      </c>
      <c r="F765" s="8" t="s">
        <v>6839</v>
      </c>
      <c r="G765" s="10" t="s">
        <v>4</v>
      </c>
      <c r="H765" s="8" t="s">
        <v>6840</v>
      </c>
      <c r="I765" s="10" t="s">
        <v>6744</v>
      </c>
      <c r="J765" s="8" t="s">
        <v>2862</v>
      </c>
      <c r="K765" s="8" t="s">
        <v>1873</v>
      </c>
      <c r="L765" s="8" t="s">
        <v>87</v>
      </c>
      <c r="M765" s="10" t="s">
        <v>1456</v>
      </c>
      <c r="N765" s="8" t="s">
        <v>87</v>
      </c>
      <c r="O765" s="10" t="s">
        <v>22</v>
      </c>
      <c r="P765" s="8" t="s">
        <v>6841</v>
      </c>
      <c r="Q765" s="10" t="s">
        <v>223</v>
      </c>
      <c r="R765" s="10" t="s">
        <v>1438</v>
      </c>
      <c r="S765" s="8" t="s">
        <v>6842</v>
      </c>
      <c r="T765" s="10" t="s">
        <v>6614</v>
      </c>
      <c r="U765" s="10" t="s">
        <v>87</v>
      </c>
      <c r="V765" s="10" t="s">
        <v>87</v>
      </c>
    </row>
    <row r="766" spans="1:22" s="10" customFormat="1" x14ac:dyDescent="0.25">
      <c r="A766" s="10" t="s">
        <v>6843</v>
      </c>
      <c r="B766" s="10" t="s">
        <v>6350</v>
      </c>
      <c r="C766" s="10" t="s">
        <v>384</v>
      </c>
      <c r="D766" s="10" t="s">
        <v>6844</v>
      </c>
      <c r="E766" s="8" t="s">
        <v>6845</v>
      </c>
      <c r="F766" s="8" t="s">
        <v>6846</v>
      </c>
      <c r="G766" s="10" t="s">
        <v>4</v>
      </c>
      <c r="H766" s="8" t="s">
        <v>6847</v>
      </c>
      <c r="I766" s="10" t="s">
        <v>6736</v>
      </c>
      <c r="J766" s="8" t="s">
        <v>2862</v>
      </c>
      <c r="K766" s="8" t="s">
        <v>1873</v>
      </c>
      <c r="L766" s="8" t="s">
        <v>87</v>
      </c>
      <c r="M766" s="10" t="s">
        <v>1456</v>
      </c>
      <c r="N766" s="8" t="s">
        <v>87</v>
      </c>
      <c r="O766" s="10" t="s">
        <v>22</v>
      </c>
      <c r="P766" s="8" t="s">
        <v>6848</v>
      </c>
      <c r="Q766" s="10" t="s">
        <v>223</v>
      </c>
      <c r="R766" s="10" t="s">
        <v>1438</v>
      </c>
      <c r="S766" s="8" t="s">
        <v>6849</v>
      </c>
      <c r="T766" s="10" t="s">
        <v>6614</v>
      </c>
      <c r="U766" s="10" t="s">
        <v>87</v>
      </c>
      <c r="V766" s="10" t="s">
        <v>87</v>
      </c>
    </row>
    <row r="767" spans="1:22" s="10" customFormat="1" x14ac:dyDescent="0.25">
      <c r="A767" s="10" t="s">
        <v>6850</v>
      </c>
      <c r="B767" s="10" t="s">
        <v>6350</v>
      </c>
      <c r="C767" s="10" t="s">
        <v>384</v>
      </c>
      <c r="D767" s="10" t="s">
        <v>6851</v>
      </c>
      <c r="E767" s="8" t="s">
        <v>6852</v>
      </c>
      <c r="F767" s="8" t="s">
        <v>6853</v>
      </c>
      <c r="G767" s="10" t="s">
        <v>4</v>
      </c>
      <c r="H767" s="8" t="s">
        <v>6854</v>
      </c>
      <c r="I767" s="10" t="s">
        <v>6736</v>
      </c>
      <c r="J767" s="8" t="s">
        <v>2862</v>
      </c>
      <c r="K767" s="8" t="s">
        <v>1873</v>
      </c>
      <c r="L767" s="8" t="s">
        <v>87</v>
      </c>
      <c r="M767" s="10" t="s">
        <v>1456</v>
      </c>
      <c r="N767" s="8" t="s">
        <v>87</v>
      </c>
      <c r="O767" s="10" t="s">
        <v>22</v>
      </c>
      <c r="P767" s="8" t="s">
        <v>6855</v>
      </c>
      <c r="Q767" s="10" t="s">
        <v>223</v>
      </c>
      <c r="R767" s="10" t="s">
        <v>1438</v>
      </c>
      <c r="S767" s="8" t="s">
        <v>6856</v>
      </c>
      <c r="T767" s="10" t="s">
        <v>6614</v>
      </c>
      <c r="U767" s="10" t="s">
        <v>87</v>
      </c>
      <c r="V767" s="10" t="s">
        <v>87</v>
      </c>
    </row>
    <row r="768" spans="1:22" s="10" customFormat="1" x14ac:dyDescent="0.25">
      <c r="A768" s="10" t="s">
        <v>6857</v>
      </c>
      <c r="B768" s="10" t="s">
        <v>6350</v>
      </c>
      <c r="C768" s="10" t="s">
        <v>384</v>
      </c>
      <c r="D768" s="10" t="s">
        <v>6858</v>
      </c>
      <c r="E768" s="8" t="s">
        <v>6859</v>
      </c>
      <c r="F768" s="8" t="s">
        <v>6860</v>
      </c>
      <c r="G768" s="10" t="s">
        <v>4</v>
      </c>
      <c r="H768" s="8" t="s">
        <v>6861</v>
      </c>
      <c r="I768" s="10" t="s">
        <v>6736</v>
      </c>
      <c r="J768" s="8" t="s">
        <v>2862</v>
      </c>
      <c r="K768" s="8" t="s">
        <v>1873</v>
      </c>
      <c r="L768" s="8" t="s">
        <v>87</v>
      </c>
      <c r="M768" s="10" t="s">
        <v>1456</v>
      </c>
      <c r="N768" s="8" t="s">
        <v>87</v>
      </c>
      <c r="O768" s="10" t="s">
        <v>22</v>
      </c>
      <c r="P768" s="8" t="s">
        <v>6862</v>
      </c>
      <c r="Q768" s="10" t="s">
        <v>223</v>
      </c>
      <c r="R768" s="10" t="s">
        <v>1438</v>
      </c>
      <c r="S768" s="8" t="s">
        <v>6863</v>
      </c>
      <c r="T768" s="10" t="s">
        <v>6614</v>
      </c>
      <c r="U768" s="10" t="s">
        <v>87</v>
      </c>
      <c r="V768" s="10" t="s">
        <v>87</v>
      </c>
    </row>
    <row r="769" spans="1:22" s="10" customFormat="1" x14ac:dyDescent="0.25">
      <c r="A769" s="10" t="s">
        <v>6864</v>
      </c>
      <c r="B769" s="10" t="s">
        <v>6350</v>
      </c>
      <c r="C769" s="10" t="s">
        <v>384</v>
      </c>
      <c r="D769" s="10" t="s">
        <v>6865</v>
      </c>
      <c r="E769" s="8" t="s">
        <v>6866</v>
      </c>
      <c r="F769" s="8" t="s">
        <v>6867</v>
      </c>
      <c r="G769" s="10" t="s">
        <v>4</v>
      </c>
      <c r="H769" s="8" t="s">
        <v>6868</v>
      </c>
      <c r="I769" s="10" t="s">
        <v>6736</v>
      </c>
      <c r="J769" s="8" t="s">
        <v>2862</v>
      </c>
      <c r="K769" s="8" t="s">
        <v>1873</v>
      </c>
      <c r="L769" s="8" t="s">
        <v>87</v>
      </c>
      <c r="M769" s="10" t="s">
        <v>1456</v>
      </c>
      <c r="N769" s="8" t="s">
        <v>87</v>
      </c>
      <c r="O769" s="10" t="s">
        <v>22</v>
      </c>
      <c r="P769" s="8" t="s">
        <v>6869</v>
      </c>
      <c r="Q769" s="10" t="s">
        <v>223</v>
      </c>
      <c r="R769" s="10" t="s">
        <v>1438</v>
      </c>
      <c r="S769" s="8" t="s">
        <v>6870</v>
      </c>
      <c r="T769" s="10" t="s">
        <v>6614</v>
      </c>
      <c r="U769" s="10" t="s">
        <v>87</v>
      </c>
      <c r="V769" s="10" t="s">
        <v>87</v>
      </c>
    </row>
    <row r="770" spans="1:22" s="10" customFormat="1" x14ac:dyDescent="0.25">
      <c r="A770" s="10" t="s">
        <v>6871</v>
      </c>
      <c r="B770" s="10" t="s">
        <v>6350</v>
      </c>
      <c r="C770" s="10" t="s">
        <v>215</v>
      </c>
      <c r="D770" s="10" t="s">
        <v>6872</v>
      </c>
      <c r="E770" s="8" t="s">
        <v>6873</v>
      </c>
      <c r="F770" s="8" t="s">
        <v>6874</v>
      </c>
      <c r="G770" s="10" t="s">
        <v>4</v>
      </c>
      <c r="H770" s="8" t="s">
        <v>6875</v>
      </c>
      <c r="I770" s="10" t="s">
        <v>6744</v>
      </c>
      <c r="J770" s="8" t="s">
        <v>2862</v>
      </c>
      <c r="K770" s="8" t="s">
        <v>1873</v>
      </c>
      <c r="L770" s="8" t="s">
        <v>87</v>
      </c>
      <c r="M770" s="10" t="s">
        <v>1456</v>
      </c>
      <c r="N770" s="8" t="s">
        <v>87</v>
      </c>
      <c r="O770" s="10" t="s">
        <v>22</v>
      </c>
      <c r="P770" s="8" t="s">
        <v>6876</v>
      </c>
      <c r="Q770" s="10" t="s">
        <v>246</v>
      </c>
      <c r="R770" s="10" t="s">
        <v>1438</v>
      </c>
      <c r="S770" s="8" t="s">
        <v>6877</v>
      </c>
      <c r="T770" s="10" t="s">
        <v>6614</v>
      </c>
      <c r="U770" s="10" t="s">
        <v>87</v>
      </c>
      <c r="V770" s="10" t="s">
        <v>87</v>
      </c>
    </row>
    <row r="771" spans="1:22" s="10" customFormat="1" x14ac:dyDescent="0.25">
      <c r="A771" s="10" t="s">
        <v>6878</v>
      </c>
      <c r="B771" s="10" t="s">
        <v>6350</v>
      </c>
      <c r="C771" s="11" t="s">
        <v>346</v>
      </c>
      <c r="D771" s="10" t="s">
        <v>6879</v>
      </c>
      <c r="E771" s="8" t="s">
        <v>6880</v>
      </c>
      <c r="F771" s="8" t="s">
        <v>6881</v>
      </c>
      <c r="G771" s="10" t="s">
        <v>4</v>
      </c>
      <c r="H771" s="8" t="s">
        <v>6882</v>
      </c>
      <c r="I771" s="10" t="s">
        <v>6736</v>
      </c>
      <c r="J771" s="8" t="s">
        <v>2862</v>
      </c>
      <c r="K771" s="8" t="s">
        <v>1873</v>
      </c>
      <c r="L771" s="8" t="s">
        <v>87</v>
      </c>
      <c r="M771" s="10" t="s">
        <v>1456</v>
      </c>
      <c r="N771" s="8" t="s">
        <v>87</v>
      </c>
      <c r="O771" s="10" t="s">
        <v>22</v>
      </c>
      <c r="P771" s="8" t="s">
        <v>6883</v>
      </c>
      <c r="Q771" s="10" t="s">
        <v>246</v>
      </c>
      <c r="R771" s="10" t="s">
        <v>1438</v>
      </c>
      <c r="S771" s="8" t="s">
        <v>6884</v>
      </c>
      <c r="T771" s="10" t="s">
        <v>6614</v>
      </c>
      <c r="U771" s="10" t="s">
        <v>87</v>
      </c>
      <c r="V771" s="10" t="s">
        <v>87</v>
      </c>
    </row>
    <row r="772" spans="1:22" s="10" customFormat="1" x14ac:dyDescent="0.25">
      <c r="A772" s="10" t="s">
        <v>6885</v>
      </c>
      <c r="B772" s="10" t="s">
        <v>6350</v>
      </c>
      <c r="C772" s="10" t="s">
        <v>215</v>
      </c>
      <c r="D772" s="10" t="s">
        <v>6886</v>
      </c>
      <c r="E772" s="8" t="s">
        <v>6887</v>
      </c>
      <c r="F772" s="8" t="s">
        <v>6888</v>
      </c>
      <c r="G772" s="10" t="s">
        <v>4</v>
      </c>
      <c r="H772" s="8" t="s">
        <v>6889</v>
      </c>
      <c r="I772" s="10" t="s">
        <v>6744</v>
      </c>
      <c r="J772" s="8" t="s">
        <v>2862</v>
      </c>
      <c r="K772" s="8" t="s">
        <v>1873</v>
      </c>
      <c r="L772" s="8" t="s">
        <v>87</v>
      </c>
      <c r="M772" s="10" t="s">
        <v>1456</v>
      </c>
      <c r="N772" s="8" t="s">
        <v>87</v>
      </c>
      <c r="O772" s="10" t="s">
        <v>22</v>
      </c>
      <c r="P772" s="8" t="s">
        <v>6890</v>
      </c>
      <c r="Q772" s="10" t="s">
        <v>223</v>
      </c>
      <c r="R772" s="10" t="s">
        <v>1438</v>
      </c>
      <c r="S772" s="8" t="s">
        <v>6891</v>
      </c>
      <c r="T772" s="10" t="s">
        <v>6614</v>
      </c>
      <c r="U772" s="10" t="s">
        <v>87</v>
      </c>
      <c r="V772" s="10" t="s">
        <v>87</v>
      </c>
    </row>
    <row r="773" spans="1:22" s="10" customFormat="1" x14ac:dyDescent="0.25">
      <c r="A773" s="10" t="s">
        <v>6892</v>
      </c>
      <c r="B773" s="10" t="s">
        <v>6350</v>
      </c>
      <c r="C773" s="10" t="s">
        <v>215</v>
      </c>
      <c r="D773" s="10" t="s">
        <v>6893</v>
      </c>
      <c r="E773" s="8" t="s">
        <v>6894</v>
      </c>
      <c r="F773" s="8" t="s">
        <v>6895</v>
      </c>
      <c r="G773" s="10" t="s">
        <v>4</v>
      </c>
      <c r="H773" s="8" t="s">
        <v>6726</v>
      </c>
      <c r="I773" s="10" t="s">
        <v>6744</v>
      </c>
      <c r="J773" s="8" t="s">
        <v>2862</v>
      </c>
      <c r="K773" s="8" t="s">
        <v>1873</v>
      </c>
      <c r="L773" s="8" t="s">
        <v>87</v>
      </c>
      <c r="M773" s="10" t="s">
        <v>1456</v>
      </c>
      <c r="N773" s="8" t="s">
        <v>87</v>
      </c>
      <c r="O773" s="10" t="s">
        <v>22</v>
      </c>
      <c r="P773" s="8" t="s">
        <v>6896</v>
      </c>
      <c r="Q773" s="10" t="s">
        <v>223</v>
      </c>
      <c r="R773" s="10" t="s">
        <v>1438</v>
      </c>
      <c r="S773" s="8" t="s">
        <v>6897</v>
      </c>
      <c r="T773" s="10" t="s">
        <v>6614</v>
      </c>
      <c r="U773" s="10" t="s">
        <v>87</v>
      </c>
      <c r="V773" s="10" t="s">
        <v>87</v>
      </c>
    </row>
    <row r="774" spans="1:22" s="10" customFormat="1" x14ac:dyDescent="0.25">
      <c r="A774" s="10" t="s">
        <v>6898</v>
      </c>
      <c r="B774" s="10" t="s">
        <v>6350</v>
      </c>
      <c r="C774" s="11" t="s">
        <v>346</v>
      </c>
      <c r="D774" s="10" t="s">
        <v>6899</v>
      </c>
      <c r="E774" s="8" t="s">
        <v>6900</v>
      </c>
      <c r="F774" s="8" t="s">
        <v>6901</v>
      </c>
      <c r="G774" s="10" t="s">
        <v>4</v>
      </c>
      <c r="H774" s="8" t="s">
        <v>1653</v>
      </c>
      <c r="I774" s="10" t="s">
        <v>6902</v>
      </c>
      <c r="J774" s="8" t="s">
        <v>1655</v>
      </c>
      <c r="K774" s="8" t="s">
        <v>1873</v>
      </c>
      <c r="L774" s="8" t="s">
        <v>87</v>
      </c>
      <c r="M774" s="10" t="s">
        <v>1456</v>
      </c>
      <c r="N774" s="8" t="s">
        <v>87</v>
      </c>
      <c r="O774" s="10" t="s">
        <v>22</v>
      </c>
      <c r="P774" s="8" t="s">
        <v>6903</v>
      </c>
      <c r="Q774" s="10" t="s">
        <v>1447</v>
      </c>
      <c r="R774" s="10" t="s">
        <v>1657</v>
      </c>
      <c r="S774" s="8" t="s">
        <v>6904</v>
      </c>
      <c r="T774" s="10" t="s">
        <v>6614</v>
      </c>
      <c r="U774" s="10" t="s">
        <v>87</v>
      </c>
      <c r="V774" s="10" t="s">
        <v>87</v>
      </c>
    </row>
    <row r="775" spans="1:22" s="10" customFormat="1" x14ac:dyDescent="0.25">
      <c r="A775" s="10" t="s">
        <v>6905</v>
      </c>
      <c r="B775" s="10" t="s">
        <v>6350</v>
      </c>
      <c r="C775" s="10" t="s">
        <v>215</v>
      </c>
      <c r="D775" s="10" t="s">
        <v>6906</v>
      </c>
      <c r="E775" s="8" t="s">
        <v>6907</v>
      </c>
      <c r="F775" s="8" t="s">
        <v>6908</v>
      </c>
      <c r="G775" s="10" t="s">
        <v>3</v>
      </c>
      <c r="H775" s="8" t="s">
        <v>6909</v>
      </c>
      <c r="I775" s="10" t="s">
        <v>6910</v>
      </c>
      <c r="J775" s="8" t="s">
        <v>2862</v>
      </c>
      <c r="K775" s="8" t="s">
        <v>1435</v>
      </c>
      <c r="L775" s="8" t="s">
        <v>87</v>
      </c>
      <c r="M775" s="10" t="s">
        <v>1436</v>
      </c>
      <c r="N775" s="8" t="s">
        <v>87</v>
      </c>
      <c r="O775" s="10" t="s">
        <v>22</v>
      </c>
      <c r="P775" s="8" t="s">
        <v>6911</v>
      </c>
      <c r="Q775" s="10" t="s">
        <v>223</v>
      </c>
      <c r="R775" s="10" t="s">
        <v>1438</v>
      </c>
      <c r="S775" s="8" t="s">
        <v>6912</v>
      </c>
      <c r="T775" s="10" t="s">
        <v>6614</v>
      </c>
      <c r="U775" s="10" t="s">
        <v>87</v>
      </c>
      <c r="V775" s="10" t="s">
        <v>87</v>
      </c>
    </row>
    <row r="776" spans="1:22" s="10" customFormat="1" x14ac:dyDescent="0.25">
      <c r="A776" s="10" t="s">
        <v>6913</v>
      </c>
      <c r="B776" s="10" t="s">
        <v>6350</v>
      </c>
      <c r="C776" s="11" t="s">
        <v>346</v>
      </c>
      <c r="D776" s="10" t="s">
        <v>6914</v>
      </c>
      <c r="E776" s="8" t="s">
        <v>6915</v>
      </c>
      <c r="F776" s="8" t="s">
        <v>6916</v>
      </c>
      <c r="G776" s="10" t="s">
        <v>3</v>
      </c>
      <c r="H776" s="8" t="s">
        <v>6909</v>
      </c>
      <c r="I776" s="10" t="s">
        <v>6917</v>
      </c>
      <c r="J776" s="8" t="s">
        <v>2862</v>
      </c>
      <c r="K776" s="8" t="s">
        <v>1435</v>
      </c>
      <c r="L776" s="8" t="s">
        <v>87</v>
      </c>
      <c r="M776" s="10" t="s">
        <v>1436</v>
      </c>
      <c r="N776" s="8" t="s">
        <v>87</v>
      </c>
      <c r="O776" s="10" t="s">
        <v>22</v>
      </c>
      <c r="P776" s="8" t="s">
        <v>6918</v>
      </c>
      <c r="Q776" s="10" t="s">
        <v>223</v>
      </c>
      <c r="R776" s="10" t="s">
        <v>1438</v>
      </c>
      <c r="S776" s="8" t="s">
        <v>6919</v>
      </c>
      <c r="T776" s="10" t="s">
        <v>6614</v>
      </c>
      <c r="U776" s="10" t="s">
        <v>87</v>
      </c>
      <c r="V776" s="10" t="s">
        <v>87</v>
      </c>
    </row>
    <row r="777" spans="1:22" s="10" customFormat="1" x14ac:dyDescent="0.25">
      <c r="A777" s="10" t="s">
        <v>6920</v>
      </c>
      <c r="B777" s="10" t="s">
        <v>6350</v>
      </c>
      <c r="C777" s="10" t="s">
        <v>215</v>
      </c>
      <c r="D777" s="10" t="s">
        <v>6921</v>
      </c>
      <c r="E777" s="8" t="s">
        <v>6922</v>
      </c>
      <c r="F777" s="8" t="s">
        <v>6669</v>
      </c>
      <c r="G777" s="10" t="s">
        <v>4</v>
      </c>
      <c r="H777" s="8" t="s">
        <v>6923</v>
      </c>
      <c r="I777" s="10" t="s">
        <v>6924</v>
      </c>
      <c r="J777" s="8" t="s">
        <v>2862</v>
      </c>
      <c r="K777" s="8" t="s">
        <v>1873</v>
      </c>
      <c r="L777" s="8" t="s">
        <v>87</v>
      </c>
      <c r="M777" s="10" t="s">
        <v>1456</v>
      </c>
      <c r="N777" s="8" t="s">
        <v>87</v>
      </c>
      <c r="O777" s="10" t="s">
        <v>22</v>
      </c>
      <c r="P777" s="8" t="s">
        <v>6925</v>
      </c>
      <c r="Q777" s="10" t="s">
        <v>223</v>
      </c>
      <c r="R777" s="10" t="s">
        <v>1438</v>
      </c>
      <c r="S777" s="8" t="s">
        <v>6926</v>
      </c>
      <c r="T777" s="10" t="s">
        <v>6614</v>
      </c>
      <c r="U777" s="10" t="s">
        <v>87</v>
      </c>
      <c r="V777" s="10" t="s">
        <v>87</v>
      </c>
    </row>
    <row r="778" spans="1:22" s="10" customFormat="1" x14ac:dyDescent="0.25">
      <c r="A778" s="10" t="s">
        <v>6927</v>
      </c>
      <c r="B778" s="10" t="s">
        <v>6350</v>
      </c>
      <c r="C778" s="10" t="s">
        <v>215</v>
      </c>
      <c r="D778" s="10" t="s">
        <v>6928</v>
      </c>
      <c r="E778" s="8" t="s">
        <v>6929</v>
      </c>
      <c r="F778" s="8" t="s">
        <v>6930</v>
      </c>
      <c r="G778" s="10" t="s">
        <v>4</v>
      </c>
      <c r="H778" s="8" t="s">
        <v>6931</v>
      </c>
      <c r="I778" s="10" t="s">
        <v>1454</v>
      </c>
      <c r="J778" s="8" t="s">
        <v>2862</v>
      </c>
      <c r="K778" s="8" t="s">
        <v>6932</v>
      </c>
      <c r="L778" s="8" t="s">
        <v>87</v>
      </c>
      <c r="M778" s="10" t="s">
        <v>1456</v>
      </c>
      <c r="N778" s="8" t="s">
        <v>87</v>
      </c>
      <c r="O778" s="10" t="s">
        <v>22</v>
      </c>
      <c r="P778" s="8" t="s">
        <v>6933</v>
      </c>
      <c r="Q778" s="10" t="s">
        <v>223</v>
      </c>
      <c r="R778" s="10" t="s">
        <v>1438</v>
      </c>
      <c r="S778" s="8" t="s">
        <v>6934</v>
      </c>
      <c r="T778" s="10" t="s">
        <v>6614</v>
      </c>
      <c r="U778" s="10" t="s">
        <v>87</v>
      </c>
      <c r="V778" s="10" t="s">
        <v>87</v>
      </c>
    </row>
    <row r="779" spans="1:22" s="10" customFormat="1" x14ac:dyDescent="0.25">
      <c r="A779" s="10" t="s">
        <v>6935</v>
      </c>
      <c r="B779" s="10" t="s">
        <v>6350</v>
      </c>
      <c r="C779" s="10" t="s">
        <v>215</v>
      </c>
      <c r="D779" s="10" t="s">
        <v>6936</v>
      </c>
      <c r="E779" s="8" t="s">
        <v>6937</v>
      </c>
      <c r="F779" s="8" t="s">
        <v>6938</v>
      </c>
      <c r="G779" s="10" t="s">
        <v>3</v>
      </c>
      <c r="H779" s="8" t="s">
        <v>6939</v>
      </c>
      <c r="I779" s="10" t="s">
        <v>6940</v>
      </c>
      <c r="J779" s="8" t="s">
        <v>2862</v>
      </c>
      <c r="K779" s="8" t="s">
        <v>1435</v>
      </c>
      <c r="L779" s="8" t="s">
        <v>87</v>
      </c>
      <c r="M779" s="10" t="s">
        <v>1436</v>
      </c>
      <c r="N779" s="8" t="s">
        <v>87</v>
      </c>
      <c r="O779" s="10" t="s">
        <v>22</v>
      </c>
      <c r="P779" s="8" t="s">
        <v>6941</v>
      </c>
      <c r="Q779" s="10" t="s">
        <v>246</v>
      </c>
      <c r="R779" s="10" t="s">
        <v>1438</v>
      </c>
      <c r="S779" s="8" t="s">
        <v>6942</v>
      </c>
      <c r="T779" s="10" t="s">
        <v>6614</v>
      </c>
      <c r="U779" s="10" t="s">
        <v>87</v>
      </c>
      <c r="V779" s="10" t="s">
        <v>87</v>
      </c>
    </row>
    <row r="780" spans="1:22" s="10" customFormat="1" x14ac:dyDescent="0.25">
      <c r="A780" s="10" t="s">
        <v>6943</v>
      </c>
      <c r="B780" s="10" t="s">
        <v>6350</v>
      </c>
      <c r="C780" s="10" t="s">
        <v>384</v>
      </c>
      <c r="D780" s="10" t="s">
        <v>6944</v>
      </c>
      <c r="E780" s="8" t="s">
        <v>6945</v>
      </c>
      <c r="F780" s="8" t="s">
        <v>4867</v>
      </c>
      <c r="G780" s="10" t="s">
        <v>3</v>
      </c>
      <c r="H780" s="8" t="s">
        <v>6946</v>
      </c>
      <c r="I780" s="10" t="s">
        <v>1454</v>
      </c>
      <c r="J780" s="8" t="s">
        <v>2862</v>
      </c>
      <c r="K780" s="8" t="s">
        <v>1435</v>
      </c>
      <c r="L780" s="8" t="s">
        <v>87</v>
      </c>
      <c r="M780" s="10" t="s">
        <v>1436</v>
      </c>
      <c r="N780" s="8" t="s">
        <v>87</v>
      </c>
      <c r="O780" s="10" t="s">
        <v>22</v>
      </c>
      <c r="P780" s="8" t="s">
        <v>6947</v>
      </c>
      <c r="Q780" s="10" t="s">
        <v>223</v>
      </c>
      <c r="R780" s="10" t="s">
        <v>1438</v>
      </c>
      <c r="S780" s="8" t="s">
        <v>6948</v>
      </c>
      <c r="T780" s="10" t="s">
        <v>6614</v>
      </c>
      <c r="U780" s="10" t="s">
        <v>87</v>
      </c>
      <c r="V780" s="10" t="s">
        <v>87</v>
      </c>
    </row>
    <row r="781" spans="1:22" s="10" customFormat="1" x14ac:dyDescent="0.25">
      <c r="A781" s="10" t="s">
        <v>6949</v>
      </c>
      <c r="B781" s="10" t="s">
        <v>6350</v>
      </c>
      <c r="C781" s="11" t="s">
        <v>346</v>
      </c>
      <c r="D781" s="10" t="s">
        <v>6950</v>
      </c>
      <c r="E781" s="8" t="s">
        <v>6951</v>
      </c>
      <c r="F781" s="8" t="s">
        <v>6952</v>
      </c>
      <c r="G781" s="10" t="s">
        <v>4</v>
      </c>
      <c r="H781" s="8" t="s">
        <v>6385</v>
      </c>
      <c r="I781" s="10" t="s">
        <v>6924</v>
      </c>
      <c r="J781" s="8" t="s">
        <v>2862</v>
      </c>
      <c r="K781" s="8" t="s">
        <v>1873</v>
      </c>
      <c r="L781" s="8" t="s">
        <v>87</v>
      </c>
      <c r="M781" s="10" t="s">
        <v>1456</v>
      </c>
      <c r="N781" s="8" t="s">
        <v>87</v>
      </c>
      <c r="O781" s="10" t="s">
        <v>22</v>
      </c>
      <c r="P781" s="8" t="s">
        <v>6953</v>
      </c>
      <c r="Q781" s="10" t="s">
        <v>1447</v>
      </c>
      <c r="R781" s="10" t="s">
        <v>1438</v>
      </c>
      <c r="S781" s="8" t="s">
        <v>6954</v>
      </c>
      <c r="T781" s="10" t="s">
        <v>6614</v>
      </c>
      <c r="U781" s="10" t="s">
        <v>87</v>
      </c>
      <c r="V781" s="10" t="s">
        <v>87</v>
      </c>
    </row>
    <row r="782" spans="1:22" s="10" customFormat="1" x14ac:dyDescent="0.25">
      <c r="A782" s="10" t="s">
        <v>6955</v>
      </c>
      <c r="B782" s="10" t="s">
        <v>6350</v>
      </c>
      <c r="C782" s="10" t="s">
        <v>215</v>
      </c>
      <c r="D782" s="10" t="s">
        <v>6956</v>
      </c>
      <c r="E782" s="8" t="s">
        <v>6957</v>
      </c>
      <c r="F782" s="8" t="s">
        <v>6958</v>
      </c>
      <c r="G782" s="10" t="s">
        <v>3</v>
      </c>
      <c r="H782" s="8" t="s">
        <v>6909</v>
      </c>
      <c r="I782" s="10" t="s">
        <v>6940</v>
      </c>
      <c r="J782" s="8" t="s">
        <v>2862</v>
      </c>
      <c r="K782" s="8" t="s">
        <v>1435</v>
      </c>
      <c r="L782" s="8" t="s">
        <v>87</v>
      </c>
      <c r="M782" s="10" t="s">
        <v>1436</v>
      </c>
      <c r="N782" s="8" t="s">
        <v>87</v>
      </c>
      <c r="O782" s="10" t="s">
        <v>22</v>
      </c>
      <c r="P782" s="8" t="s">
        <v>6959</v>
      </c>
      <c r="Q782" s="10" t="s">
        <v>223</v>
      </c>
      <c r="R782" s="10" t="s">
        <v>1438</v>
      </c>
      <c r="S782" s="8" t="s">
        <v>6960</v>
      </c>
      <c r="T782" s="10" t="s">
        <v>6614</v>
      </c>
      <c r="U782" s="10" t="s">
        <v>87</v>
      </c>
      <c r="V782" s="10" t="s">
        <v>87</v>
      </c>
    </row>
    <row r="783" spans="1:22" s="10" customFormat="1" x14ac:dyDescent="0.25">
      <c r="A783" s="10" t="s">
        <v>6961</v>
      </c>
      <c r="B783" s="10" t="s">
        <v>6350</v>
      </c>
      <c r="C783" s="11" t="s">
        <v>346</v>
      </c>
      <c r="D783" s="10" t="s">
        <v>6962</v>
      </c>
      <c r="E783" s="8" t="s">
        <v>6963</v>
      </c>
      <c r="F783" s="8" t="s">
        <v>6964</v>
      </c>
      <c r="G783" s="10" t="s">
        <v>4</v>
      </c>
      <c r="H783" s="8" t="s">
        <v>1653</v>
      </c>
      <c r="I783" s="10" t="s">
        <v>6965</v>
      </c>
      <c r="J783" s="8" t="s">
        <v>1655</v>
      </c>
      <c r="K783" s="8" t="s">
        <v>1873</v>
      </c>
      <c r="L783" s="8" t="s">
        <v>87</v>
      </c>
      <c r="M783" s="10" t="s">
        <v>1456</v>
      </c>
      <c r="N783" s="8" t="s">
        <v>87</v>
      </c>
      <c r="O783" s="10" t="s">
        <v>22</v>
      </c>
      <c r="P783" s="8" t="s">
        <v>6966</v>
      </c>
      <c r="Q783" s="10" t="s">
        <v>1447</v>
      </c>
      <c r="R783" s="10" t="s">
        <v>1657</v>
      </c>
      <c r="S783" s="8" t="s">
        <v>6967</v>
      </c>
      <c r="T783" s="10" t="s">
        <v>6614</v>
      </c>
      <c r="U783" s="10" t="s">
        <v>87</v>
      </c>
      <c r="V783" s="10" t="s">
        <v>87</v>
      </c>
    </row>
    <row r="784" spans="1:22" s="10" customFormat="1" x14ac:dyDescent="0.25">
      <c r="A784" s="10" t="s">
        <v>6968</v>
      </c>
      <c r="B784" s="10" t="s">
        <v>6350</v>
      </c>
      <c r="C784" s="10" t="s">
        <v>215</v>
      </c>
      <c r="D784" s="10" t="s">
        <v>6969</v>
      </c>
      <c r="E784" s="8" t="s">
        <v>6970</v>
      </c>
      <c r="F784" s="8" t="s">
        <v>6971</v>
      </c>
      <c r="G784" s="10" t="s">
        <v>3</v>
      </c>
      <c r="H784" s="8" t="s">
        <v>6972</v>
      </c>
      <c r="I784" s="10" t="s">
        <v>6940</v>
      </c>
      <c r="J784" s="8" t="s">
        <v>2862</v>
      </c>
      <c r="K784" s="8" t="s">
        <v>1435</v>
      </c>
      <c r="L784" s="8" t="s">
        <v>87</v>
      </c>
      <c r="M784" s="10" t="s">
        <v>1436</v>
      </c>
      <c r="N784" s="8" t="s">
        <v>87</v>
      </c>
      <c r="O784" s="10" t="s">
        <v>22</v>
      </c>
      <c r="P784" s="8" t="s">
        <v>6973</v>
      </c>
      <c r="Q784" s="10" t="s">
        <v>223</v>
      </c>
      <c r="R784" s="10" t="s">
        <v>1438</v>
      </c>
      <c r="S784" s="8" t="s">
        <v>1648</v>
      </c>
      <c r="T784" s="10" t="s">
        <v>6614</v>
      </c>
      <c r="U784" s="10" t="s">
        <v>87</v>
      </c>
      <c r="V784" s="10" t="s">
        <v>87</v>
      </c>
    </row>
    <row r="785" spans="1:22" s="10" customFormat="1" x14ac:dyDescent="0.25">
      <c r="A785" s="10" t="s">
        <v>6974</v>
      </c>
      <c r="B785" s="10" t="s">
        <v>6350</v>
      </c>
      <c r="C785" s="10" t="s">
        <v>215</v>
      </c>
      <c r="D785" s="10" t="s">
        <v>6975</v>
      </c>
      <c r="E785" s="8" t="s">
        <v>6976</v>
      </c>
      <c r="F785" s="8" t="s">
        <v>6977</v>
      </c>
      <c r="G785" s="10" t="s">
        <v>3</v>
      </c>
      <c r="H785" s="8" t="s">
        <v>6978</v>
      </c>
      <c r="I785" s="10" t="s">
        <v>6979</v>
      </c>
      <c r="J785" s="8" t="s">
        <v>2862</v>
      </c>
      <c r="K785" s="8" t="s">
        <v>1435</v>
      </c>
      <c r="L785" s="8" t="s">
        <v>87</v>
      </c>
      <c r="M785" s="10" t="s">
        <v>1436</v>
      </c>
      <c r="N785" s="8" t="s">
        <v>87</v>
      </c>
      <c r="O785" s="10" t="s">
        <v>22</v>
      </c>
      <c r="P785" s="8" t="s">
        <v>6980</v>
      </c>
      <c r="Q785" s="10" t="s">
        <v>223</v>
      </c>
      <c r="R785" s="10" t="s">
        <v>1438</v>
      </c>
      <c r="S785" s="8" t="s">
        <v>6981</v>
      </c>
      <c r="T785" s="10" t="s">
        <v>6614</v>
      </c>
      <c r="U785" s="10" t="s">
        <v>87</v>
      </c>
      <c r="V785" s="10" t="s">
        <v>87</v>
      </c>
    </row>
    <row r="786" spans="1:22" s="10" customFormat="1" x14ac:dyDescent="0.25">
      <c r="A786" s="10" t="s">
        <v>6982</v>
      </c>
      <c r="B786" s="10" t="s">
        <v>6350</v>
      </c>
      <c r="C786" s="11" t="s">
        <v>346</v>
      </c>
      <c r="D786" s="10" t="s">
        <v>6983</v>
      </c>
      <c r="E786" s="8" t="s">
        <v>6984</v>
      </c>
      <c r="F786" s="8" t="s">
        <v>6985</v>
      </c>
      <c r="G786" s="10" t="s">
        <v>4</v>
      </c>
      <c r="H786" s="8" t="s">
        <v>6978</v>
      </c>
      <c r="I786" s="10" t="s">
        <v>4005</v>
      </c>
      <c r="J786" s="8" t="s">
        <v>2862</v>
      </c>
      <c r="K786" s="8" t="s">
        <v>1873</v>
      </c>
      <c r="L786" s="8" t="s">
        <v>87</v>
      </c>
      <c r="M786" s="10" t="s">
        <v>1456</v>
      </c>
      <c r="N786" s="8" t="s">
        <v>87</v>
      </c>
      <c r="O786" s="10" t="s">
        <v>22</v>
      </c>
      <c r="P786" s="8" t="s">
        <v>6986</v>
      </c>
      <c r="Q786" s="10" t="s">
        <v>223</v>
      </c>
      <c r="R786" s="10" t="s">
        <v>1438</v>
      </c>
      <c r="S786" s="8" t="s">
        <v>6987</v>
      </c>
      <c r="T786" s="10" t="s">
        <v>6614</v>
      </c>
      <c r="U786" s="10" t="s">
        <v>87</v>
      </c>
      <c r="V786" s="10" t="s">
        <v>87</v>
      </c>
    </row>
    <row r="787" spans="1:22" s="10" customFormat="1" x14ac:dyDescent="0.25">
      <c r="A787" s="10" t="s">
        <v>6988</v>
      </c>
      <c r="B787" s="10" t="s">
        <v>6350</v>
      </c>
      <c r="C787" s="10" t="s">
        <v>215</v>
      </c>
      <c r="D787" s="10" t="s">
        <v>6989</v>
      </c>
      <c r="E787" s="8" t="s">
        <v>6990</v>
      </c>
      <c r="F787" s="8" t="s">
        <v>6991</v>
      </c>
      <c r="G787" s="10" t="s">
        <v>4</v>
      </c>
      <c r="H787" s="8" t="s">
        <v>6992</v>
      </c>
      <c r="I787" s="10" t="s">
        <v>6993</v>
      </c>
      <c r="J787" s="8" t="s">
        <v>2862</v>
      </c>
      <c r="K787" s="8" t="s">
        <v>1873</v>
      </c>
      <c r="L787" s="8" t="s">
        <v>87</v>
      </c>
      <c r="M787" s="10" t="s">
        <v>1456</v>
      </c>
      <c r="N787" s="8" t="s">
        <v>87</v>
      </c>
      <c r="O787" s="10" t="s">
        <v>22</v>
      </c>
      <c r="P787" s="8" t="s">
        <v>6994</v>
      </c>
      <c r="Q787" s="10" t="s">
        <v>239</v>
      </c>
      <c r="R787" s="10" t="s">
        <v>1438</v>
      </c>
      <c r="S787" s="8" t="s">
        <v>6995</v>
      </c>
      <c r="T787" s="10" t="s">
        <v>6614</v>
      </c>
      <c r="U787" s="10" t="s">
        <v>87</v>
      </c>
      <c r="V787" s="10" t="s">
        <v>87</v>
      </c>
    </row>
    <row r="788" spans="1:22" s="10" customFormat="1" x14ac:dyDescent="0.25">
      <c r="A788" s="10" t="s">
        <v>6996</v>
      </c>
      <c r="B788" s="10" t="s">
        <v>6350</v>
      </c>
      <c r="C788" s="10" t="s">
        <v>215</v>
      </c>
      <c r="D788" s="10" t="s">
        <v>6997</v>
      </c>
      <c r="E788" s="8" t="s">
        <v>6998</v>
      </c>
      <c r="F788" s="8" t="s">
        <v>6999</v>
      </c>
      <c r="G788" s="10" t="s">
        <v>4</v>
      </c>
      <c r="H788" s="8" t="s">
        <v>7000</v>
      </c>
      <c r="I788" s="10" t="s">
        <v>7001</v>
      </c>
      <c r="J788" s="8" t="s">
        <v>7002</v>
      </c>
      <c r="K788" s="8" t="s">
        <v>1873</v>
      </c>
      <c r="L788" s="8" t="s">
        <v>87</v>
      </c>
      <c r="M788" s="10" t="s">
        <v>1456</v>
      </c>
      <c r="N788" s="8" t="s">
        <v>87</v>
      </c>
      <c r="O788" s="10" t="s">
        <v>22</v>
      </c>
      <c r="P788" s="8" t="s">
        <v>7003</v>
      </c>
      <c r="Q788" s="10" t="s">
        <v>223</v>
      </c>
      <c r="R788" s="10" t="s">
        <v>1438</v>
      </c>
      <c r="S788" s="8" t="s">
        <v>7004</v>
      </c>
      <c r="T788" s="10" t="s">
        <v>6614</v>
      </c>
      <c r="U788" s="10" t="s">
        <v>87</v>
      </c>
      <c r="V788" s="10" t="s">
        <v>87</v>
      </c>
    </row>
    <row r="789" spans="1:22" s="10" customFormat="1" x14ac:dyDescent="0.25">
      <c r="A789" s="10" t="s">
        <v>7005</v>
      </c>
      <c r="B789" s="10" t="s">
        <v>6350</v>
      </c>
      <c r="C789" s="11" t="s">
        <v>346</v>
      </c>
      <c r="D789" s="10" t="s">
        <v>7006</v>
      </c>
      <c r="E789" s="8" t="s">
        <v>7007</v>
      </c>
      <c r="F789" s="8" t="s">
        <v>7008</v>
      </c>
      <c r="G789" s="10" t="s">
        <v>4</v>
      </c>
      <c r="H789" s="8" t="s">
        <v>7009</v>
      </c>
      <c r="I789" s="10" t="s">
        <v>4005</v>
      </c>
      <c r="J789" s="8" t="s">
        <v>7010</v>
      </c>
      <c r="K789" s="8" t="s">
        <v>1873</v>
      </c>
      <c r="L789" s="8" t="s">
        <v>87</v>
      </c>
      <c r="M789" s="10" t="s">
        <v>1456</v>
      </c>
      <c r="N789" s="8" t="s">
        <v>87</v>
      </c>
      <c r="O789" s="10" t="s">
        <v>22</v>
      </c>
      <c r="P789" s="8" t="s">
        <v>7011</v>
      </c>
      <c r="Q789" s="10" t="s">
        <v>239</v>
      </c>
      <c r="R789" s="10" t="s">
        <v>1438</v>
      </c>
      <c r="S789" s="8" t="s">
        <v>7012</v>
      </c>
      <c r="T789" s="10" t="s">
        <v>6614</v>
      </c>
      <c r="U789" s="10" t="s">
        <v>87</v>
      </c>
      <c r="V789" s="10" t="s">
        <v>87</v>
      </c>
    </row>
    <row r="790" spans="1:22" s="10" customFormat="1" x14ac:dyDescent="0.25">
      <c r="A790" s="10" t="s">
        <v>7013</v>
      </c>
      <c r="B790" s="10" t="s">
        <v>6350</v>
      </c>
      <c r="C790" s="11" t="s">
        <v>346</v>
      </c>
      <c r="D790" s="10" t="s">
        <v>7014</v>
      </c>
      <c r="E790" s="8" t="s">
        <v>7015</v>
      </c>
      <c r="F790" s="8" t="s">
        <v>7016</v>
      </c>
      <c r="G790" s="10" t="s">
        <v>4</v>
      </c>
      <c r="H790" s="8" t="s">
        <v>1653</v>
      </c>
      <c r="I790" s="10" t="s">
        <v>7017</v>
      </c>
      <c r="J790" s="8" t="s">
        <v>1655</v>
      </c>
      <c r="K790" s="8" t="s">
        <v>1873</v>
      </c>
      <c r="L790" s="8" t="s">
        <v>87</v>
      </c>
      <c r="M790" s="10" t="s">
        <v>1456</v>
      </c>
      <c r="N790" s="8" t="s">
        <v>87</v>
      </c>
      <c r="O790" s="10" t="s">
        <v>22</v>
      </c>
      <c r="P790" s="8" t="s">
        <v>7018</v>
      </c>
      <c r="Q790" s="10" t="s">
        <v>1447</v>
      </c>
      <c r="R790" s="10" t="s">
        <v>1657</v>
      </c>
      <c r="S790" s="8" t="s">
        <v>7019</v>
      </c>
      <c r="T790" s="10" t="s">
        <v>6614</v>
      </c>
      <c r="U790" s="10" t="s">
        <v>87</v>
      </c>
      <c r="V790" s="10" t="s">
        <v>87</v>
      </c>
    </row>
    <row r="791" spans="1:22" s="10" customFormat="1" x14ac:dyDescent="0.25">
      <c r="A791" s="10" t="s">
        <v>7020</v>
      </c>
      <c r="B791" s="10" t="s">
        <v>7021</v>
      </c>
      <c r="C791" s="10" t="s">
        <v>215</v>
      </c>
      <c r="D791" s="10" t="s">
        <v>7022</v>
      </c>
      <c r="E791" s="8" t="s">
        <v>7023</v>
      </c>
      <c r="F791" s="8" t="s">
        <v>7024</v>
      </c>
      <c r="G791" s="10" t="s">
        <v>4</v>
      </c>
      <c r="H791" s="8" t="s">
        <v>7025</v>
      </c>
      <c r="I791" s="10" t="s">
        <v>7026</v>
      </c>
      <c r="J791" s="8" t="s">
        <v>2862</v>
      </c>
      <c r="K791" s="8" t="s">
        <v>1873</v>
      </c>
      <c r="L791" s="8" t="s">
        <v>87</v>
      </c>
      <c r="M791" s="10" t="s">
        <v>1436</v>
      </c>
      <c r="N791" s="8" t="s">
        <v>87</v>
      </c>
      <c r="O791" s="10" t="s">
        <v>22</v>
      </c>
      <c r="P791" s="8" t="s">
        <v>7027</v>
      </c>
      <c r="Q791" s="10" t="s">
        <v>223</v>
      </c>
      <c r="R791" s="10" t="s">
        <v>1438</v>
      </c>
      <c r="S791" s="8" t="s">
        <v>7028</v>
      </c>
      <c r="T791" s="10" t="s">
        <v>7029</v>
      </c>
      <c r="U791" s="10" t="s">
        <v>87</v>
      </c>
      <c r="V791" s="10" t="s">
        <v>87</v>
      </c>
    </row>
    <row r="792" spans="1:22" s="10" customFormat="1" x14ac:dyDescent="0.25">
      <c r="A792" s="10" t="s">
        <v>7030</v>
      </c>
      <c r="B792" s="10" t="s">
        <v>7021</v>
      </c>
      <c r="C792" s="11" t="s">
        <v>346</v>
      </c>
      <c r="D792" s="10" t="s">
        <v>7031</v>
      </c>
      <c r="E792" s="8" t="s">
        <v>7032</v>
      </c>
      <c r="F792" s="8" t="s">
        <v>7033</v>
      </c>
      <c r="G792" s="10" t="s">
        <v>2647</v>
      </c>
      <c r="H792" s="8" t="s">
        <v>7034</v>
      </c>
      <c r="I792" s="10" t="s">
        <v>7035</v>
      </c>
      <c r="J792" s="8" t="s">
        <v>2862</v>
      </c>
      <c r="K792" s="8" t="s">
        <v>2649</v>
      </c>
      <c r="L792" s="8" t="s">
        <v>87</v>
      </c>
      <c r="M792" s="10" t="s">
        <v>1436</v>
      </c>
      <c r="N792" s="8" t="s">
        <v>87</v>
      </c>
      <c r="O792" s="10" t="s">
        <v>22</v>
      </c>
      <c r="P792" s="8" t="s">
        <v>7036</v>
      </c>
      <c r="Q792" s="10" t="s">
        <v>223</v>
      </c>
      <c r="R792" s="10" t="s">
        <v>1438</v>
      </c>
      <c r="S792" s="8" t="s">
        <v>7037</v>
      </c>
      <c r="T792" s="10" t="s">
        <v>7029</v>
      </c>
      <c r="U792" s="10" t="s">
        <v>87</v>
      </c>
      <c r="V792" s="10" t="s">
        <v>87</v>
      </c>
    </row>
    <row r="793" spans="1:22" s="10" customFormat="1" x14ac:dyDescent="0.25">
      <c r="A793" s="10" t="s">
        <v>7038</v>
      </c>
      <c r="B793" s="10" t="s">
        <v>7021</v>
      </c>
      <c r="C793" s="10" t="s">
        <v>215</v>
      </c>
      <c r="D793" s="10" t="s">
        <v>7039</v>
      </c>
      <c r="E793" s="8" t="s">
        <v>7040</v>
      </c>
      <c r="F793" s="8" t="s">
        <v>7041</v>
      </c>
      <c r="G793" s="10" t="s">
        <v>2647</v>
      </c>
      <c r="H793" s="8" t="s">
        <v>7042</v>
      </c>
      <c r="I793" s="10" t="s">
        <v>919</v>
      </c>
      <c r="J793" s="8" t="s">
        <v>2862</v>
      </c>
      <c r="K793" s="8" t="s">
        <v>2649</v>
      </c>
      <c r="L793" s="8" t="s">
        <v>87</v>
      </c>
      <c r="M793" s="10" t="s">
        <v>1436</v>
      </c>
      <c r="N793" s="8" t="s">
        <v>87</v>
      </c>
      <c r="O793" s="10" t="s">
        <v>22</v>
      </c>
      <c r="P793" s="8" t="s">
        <v>7043</v>
      </c>
      <c r="Q793" s="10" t="s">
        <v>239</v>
      </c>
      <c r="R793" s="10" t="s">
        <v>1438</v>
      </c>
      <c r="S793" s="8" t="s">
        <v>7044</v>
      </c>
      <c r="T793" s="10" t="s">
        <v>7029</v>
      </c>
      <c r="U793" s="10" t="s">
        <v>87</v>
      </c>
      <c r="V793" s="10" t="s">
        <v>87</v>
      </c>
    </row>
    <row r="794" spans="1:22" s="10" customFormat="1" x14ac:dyDescent="0.25">
      <c r="A794" s="10" t="s">
        <v>7045</v>
      </c>
      <c r="B794" s="10" t="s">
        <v>7021</v>
      </c>
      <c r="C794" s="10" t="s">
        <v>215</v>
      </c>
      <c r="D794" s="10" t="s">
        <v>7046</v>
      </c>
      <c r="E794" s="8" t="s">
        <v>7047</v>
      </c>
      <c r="F794" s="8" t="s">
        <v>5804</v>
      </c>
      <c r="G794" s="10" t="s">
        <v>2647</v>
      </c>
      <c r="H794" s="8" t="s">
        <v>7048</v>
      </c>
      <c r="I794" s="10" t="s">
        <v>7035</v>
      </c>
      <c r="J794" s="8" t="s">
        <v>2862</v>
      </c>
      <c r="K794" s="8" t="s">
        <v>2649</v>
      </c>
      <c r="L794" s="8" t="s">
        <v>87</v>
      </c>
      <c r="M794" s="10" t="s">
        <v>1436</v>
      </c>
      <c r="N794" s="8" t="s">
        <v>87</v>
      </c>
      <c r="O794" s="10" t="s">
        <v>22</v>
      </c>
      <c r="P794" s="8" t="s">
        <v>7049</v>
      </c>
      <c r="Q794" s="10" t="s">
        <v>223</v>
      </c>
      <c r="R794" s="10" t="s">
        <v>1438</v>
      </c>
      <c r="S794" s="8" t="s">
        <v>7050</v>
      </c>
      <c r="T794" s="10" t="s">
        <v>7029</v>
      </c>
      <c r="U794" s="10" t="s">
        <v>87</v>
      </c>
      <c r="V794" s="10" t="s">
        <v>87</v>
      </c>
    </row>
    <row r="795" spans="1:22" s="10" customFormat="1" x14ac:dyDescent="0.25">
      <c r="A795" s="10" t="s">
        <v>7051</v>
      </c>
      <c r="B795" s="10" t="s">
        <v>7021</v>
      </c>
      <c r="C795" s="10" t="s">
        <v>215</v>
      </c>
      <c r="D795" s="10" t="s">
        <v>7052</v>
      </c>
      <c r="E795" s="8" t="s">
        <v>7053</v>
      </c>
      <c r="F795" s="8" t="s">
        <v>7054</v>
      </c>
      <c r="G795" s="10" t="s">
        <v>2647</v>
      </c>
      <c r="H795" s="8" t="s">
        <v>7055</v>
      </c>
      <c r="I795" s="10" t="s">
        <v>7035</v>
      </c>
      <c r="J795" s="8" t="s">
        <v>2862</v>
      </c>
      <c r="K795" s="8" t="s">
        <v>2649</v>
      </c>
      <c r="L795" s="8" t="s">
        <v>87</v>
      </c>
      <c r="M795" s="10" t="s">
        <v>1436</v>
      </c>
      <c r="N795" s="8" t="s">
        <v>87</v>
      </c>
      <c r="O795" s="10" t="s">
        <v>22</v>
      </c>
      <c r="P795" s="8" t="s">
        <v>7056</v>
      </c>
      <c r="Q795" s="10" t="s">
        <v>246</v>
      </c>
      <c r="R795" s="10" t="s">
        <v>1438</v>
      </c>
      <c r="S795" s="8" t="s">
        <v>7057</v>
      </c>
      <c r="T795" s="10" t="s">
        <v>7029</v>
      </c>
      <c r="U795" s="10" t="s">
        <v>87</v>
      </c>
      <c r="V795" s="10" t="s">
        <v>87</v>
      </c>
    </row>
    <row r="796" spans="1:22" s="10" customFormat="1" x14ac:dyDescent="0.25">
      <c r="A796" s="10" t="s">
        <v>7058</v>
      </c>
      <c r="B796" s="10" t="s">
        <v>7021</v>
      </c>
      <c r="C796" s="10" t="s">
        <v>215</v>
      </c>
      <c r="D796" s="10" t="s">
        <v>7059</v>
      </c>
      <c r="E796" s="8" t="s">
        <v>7060</v>
      </c>
      <c r="F796" s="8" t="s">
        <v>7061</v>
      </c>
      <c r="G796" s="10" t="s">
        <v>2647</v>
      </c>
      <c r="H796" s="8" t="s">
        <v>7062</v>
      </c>
      <c r="I796" s="10" t="s">
        <v>919</v>
      </c>
      <c r="J796" s="8" t="s">
        <v>2862</v>
      </c>
      <c r="K796" s="8" t="s">
        <v>2649</v>
      </c>
      <c r="L796" s="8" t="s">
        <v>87</v>
      </c>
      <c r="M796" s="10" t="s">
        <v>1436</v>
      </c>
      <c r="N796" s="8" t="s">
        <v>87</v>
      </c>
      <c r="O796" s="10" t="s">
        <v>22</v>
      </c>
      <c r="P796" s="8" t="s">
        <v>7063</v>
      </c>
      <c r="Q796" s="10" t="s">
        <v>223</v>
      </c>
      <c r="R796" s="10" t="s">
        <v>1438</v>
      </c>
      <c r="S796" s="8" t="s">
        <v>7064</v>
      </c>
      <c r="T796" s="10" t="s">
        <v>7029</v>
      </c>
      <c r="U796" s="10" t="s">
        <v>87</v>
      </c>
      <c r="V796" s="10" t="s">
        <v>87</v>
      </c>
    </row>
    <row r="797" spans="1:22" s="10" customFormat="1" x14ac:dyDescent="0.25">
      <c r="A797" s="10" t="s">
        <v>7065</v>
      </c>
      <c r="B797" s="10" t="s">
        <v>7021</v>
      </c>
      <c r="C797" s="10" t="s">
        <v>215</v>
      </c>
      <c r="D797" s="10" t="s">
        <v>7066</v>
      </c>
      <c r="E797" s="8" t="s">
        <v>7067</v>
      </c>
      <c r="F797" s="8" t="s">
        <v>7068</v>
      </c>
      <c r="G797" s="10" t="s">
        <v>2647</v>
      </c>
      <c r="H797" s="8" t="s">
        <v>7069</v>
      </c>
      <c r="I797" s="10" t="s">
        <v>7035</v>
      </c>
      <c r="J797" s="8" t="s">
        <v>2862</v>
      </c>
      <c r="K797" s="8" t="s">
        <v>2649</v>
      </c>
      <c r="L797" s="8" t="s">
        <v>87</v>
      </c>
      <c r="M797" s="10" t="s">
        <v>1436</v>
      </c>
      <c r="N797" s="8" t="s">
        <v>87</v>
      </c>
      <c r="O797" s="10" t="s">
        <v>22</v>
      </c>
      <c r="P797" s="8" t="s">
        <v>7070</v>
      </c>
      <c r="Q797" s="10" t="s">
        <v>223</v>
      </c>
      <c r="R797" s="10" t="s">
        <v>1438</v>
      </c>
      <c r="S797" s="8" t="s">
        <v>7071</v>
      </c>
      <c r="T797" s="10" t="s">
        <v>7029</v>
      </c>
      <c r="U797" s="10" t="s">
        <v>87</v>
      </c>
      <c r="V797" s="10" t="s">
        <v>87</v>
      </c>
    </row>
    <row r="798" spans="1:22" s="10" customFormat="1" x14ac:dyDescent="0.25">
      <c r="A798" s="10" t="s">
        <v>7072</v>
      </c>
      <c r="B798" s="10" t="s">
        <v>7021</v>
      </c>
      <c r="C798" s="11" t="s">
        <v>346</v>
      </c>
      <c r="D798" s="10" t="s">
        <v>7073</v>
      </c>
      <c r="E798" s="8" t="s">
        <v>7074</v>
      </c>
      <c r="F798" s="8" t="s">
        <v>7075</v>
      </c>
      <c r="G798" s="10" t="s">
        <v>2647</v>
      </c>
      <c r="H798" s="8" t="s">
        <v>7076</v>
      </c>
      <c r="I798" s="10" t="s">
        <v>5753</v>
      </c>
      <c r="J798" s="8" t="s">
        <v>2862</v>
      </c>
      <c r="K798" s="8" t="s">
        <v>2649</v>
      </c>
      <c r="L798" s="8" t="s">
        <v>87</v>
      </c>
      <c r="M798" s="10" t="s">
        <v>1436</v>
      </c>
      <c r="N798" s="8" t="s">
        <v>87</v>
      </c>
      <c r="O798" s="10" t="s">
        <v>22</v>
      </c>
      <c r="P798" s="8" t="s">
        <v>7077</v>
      </c>
      <c r="Q798" s="10" t="s">
        <v>223</v>
      </c>
      <c r="R798" s="10" t="s">
        <v>1438</v>
      </c>
      <c r="S798" s="8" t="s">
        <v>7078</v>
      </c>
      <c r="T798" s="10" t="s">
        <v>7029</v>
      </c>
      <c r="U798" s="10" t="s">
        <v>87</v>
      </c>
      <c r="V798" s="10" t="s">
        <v>87</v>
      </c>
    </row>
    <row r="799" spans="1:22" s="10" customFormat="1" x14ac:dyDescent="0.25">
      <c r="A799" s="10" t="s">
        <v>7079</v>
      </c>
      <c r="B799" s="10" t="s">
        <v>7021</v>
      </c>
      <c r="C799" s="10" t="s">
        <v>215</v>
      </c>
      <c r="D799" s="10" t="s">
        <v>7080</v>
      </c>
      <c r="E799" s="8" t="s">
        <v>7081</v>
      </c>
      <c r="F799" s="8" t="s">
        <v>7082</v>
      </c>
      <c r="G799" s="10" t="s">
        <v>2647</v>
      </c>
      <c r="H799" s="8" t="s">
        <v>7083</v>
      </c>
      <c r="I799" s="10" t="s">
        <v>5753</v>
      </c>
      <c r="J799" s="8" t="s">
        <v>2862</v>
      </c>
      <c r="K799" s="8" t="s">
        <v>2649</v>
      </c>
      <c r="L799" s="8" t="s">
        <v>87</v>
      </c>
      <c r="M799" s="10" t="s">
        <v>1436</v>
      </c>
      <c r="N799" s="8" t="s">
        <v>87</v>
      </c>
      <c r="O799" s="10" t="s">
        <v>22</v>
      </c>
      <c r="P799" s="8" t="s">
        <v>7084</v>
      </c>
      <c r="Q799" s="10" t="s">
        <v>239</v>
      </c>
      <c r="R799" s="10" t="s">
        <v>1438</v>
      </c>
      <c r="S799" s="8" t="s">
        <v>7085</v>
      </c>
      <c r="T799" s="10" t="s">
        <v>7029</v>
      </c>
      <c r="U799" s="10" t="s">
        <v>87</v>
      </c>
      <c r="V799" s="10" t="s">
        <v>87</v>
      </c>
    </row>
    <row r="800" spans="1:22" s="10" customFormat="1" x14ac:dyDescent="0.25">
      <c r="A800" s="10" t="s">
        <v>7086</v>
      </c>
      <c r="B800" s="10" t="s">
        <v>7021</v>
      </c>
      <c r="C800" s="10" t="s">
        <v>215</v>
      </c>
      <c r="D800" s="10" t="s">
        <v>7087</v>
      </c>
      <c r="E800" s="8" t="s">
        <v>7088</v>
      </c>
      <c r="F800" s="8" t="s">
        <v>7089</v>
      </c>
      <c r="G800" s="10" t="s">
        <v>2647</v>
      </c>
      <c r="H800" s="8" t="s">
        <v>7090</v>
      </c>
      <c r="I800" s="10" t="s">
        <v>5753</v>
      </c>
      <c r="J800" s="8" t="s">
        <v>2862</v>
      </c>
      <c r="K800" s="8" t="s">
        <v>2649</v>
      </c>
      <c r="L800" s="8" t="s">
        <v>87</v>
      </c>
      <c r="M800" s="10" t="s">
        <v>1436</v>
      </c>
      <c r="N800" s="8" t="s">
        <v>87</v>
      </c>
      <c r="O800" s="10" t="s">
        <v>22</v>
      </c>
      <c r="P800" s="8" t="s">
        <v>7091</v>
      </c>
      <c r="Q800" s="10" t="s">
        <v>239</v>
      </c>
      <c r="R800" s="10" t="s">
        <v>1438</v>
      </c>
      <c r="S800" s="8" t="s">
        <v>1911</v>
      </c>
      <c r="T800" s="10" t="s">
        <v>7029</v>
      </c>
      <c r="U800" s="10" t="s">
        <v>87</v>
      </c>
      <c r="V800" s="10" t="s">
        <v>87</v>
      </c>
    </row>
    <row r="801" spans="1:22" s="10" customFormat="1" x14ac:dyDescent="0.25">
      <c r="A801" s="10" t="s">
        <v>7092</v>
      </c>
      <c r="B801" s="10" t="s">
        <v>7021</v>
      </c>
      <c r="C801" s="11" t="s">
        <v>346</v>
      </c>
      <c r="D801" s="10" t="s">
        <v>7093</v>
      </c>
      <c r="E801" s="8" t="s">
        <v>7094</v>
      </c>
      <c r="F801" s="8" t="s">
        <v>7095</v>
      </c>
      <c r="G801" s="10" t="s">
        <v>2647</v>
      </c>
      <c r="H801" s="8" t="s">
        <v>7096</v>
      </c>
      <c r="I801" s="10" t="s">
        <v>5753</v>
      </c>
      <c r="J801" s="8" t="s">
        <v>2862</v>
      </c>
      <c r="K801" s="8" t="s">
        <v>2649</v>
      </c>
      <c r="L801" s="8" t="s">
        <v>87</v>
      </c>
      <c r="M801" s="10" t="s">
        <v>1436</v>
      </c>
      <c r="N801" s="8" t="s">
        <v>87</v>
      </c>
      <c r="O801" s="10" t="s">
        <v>22</v>
      </c>
      <c r="P801" s="8" t="s">
        <v>7097</v>
      </c>
      <c r="Q801" s="10" t="s">
        <v>223</v>
      </c>
      <c r="R801" s="10" t="s">
        <v>1438</v>
      </c>
      <c r="S801" s="8" t="s">
        <v>7098</v>
      </c>
      <c r="T801" s="10" t="s">
        <v>7029</v>
      </c>
      <c r="U801" s="10" t="s">
        <v>87</v>
      </c>
      <c r="V801" s="10" t="s">
        <v>87</v>
      </c>
    </row>
    <row r="802" spans="1:22" s="10" customFormat="1" x14ac:dyDescent="0.25">
      <c r="A802" s="10" t="s">
        <v>7099</v>
      </c>
      <c r="B802" s="10" t="s">
        <v>7021</v>
      </c>
      <c r="C802" s="10" t="s">
        <v>215</v>
      </c>
      <c r="D802" s="10" t="s">
        <v>7100</v>
      </c>
      <c r="E802" s="8" t="s">
        <v>7101</v>
      </c>
      <c r="F802" s="8" t="s">
        <v>7102</v>
      </c>
      <c r="G802" s="10" t="s">
        <v>2647</v>
      </c>
      <c r="H802" s="8" t="s">
        <v>7103</v>
      </c>
      <c r="I802" s="10" t="s">
        <v>7104</v>
      </c>
      <c r="J802" s="8" t="s">
        <v>2862</v>
      </c>
      <c r="K802" s="8" t="s">
        <v>2649</v>
      </c>
      <c r="L802" s="8" t="s">
        <v>87</v>
      </c>
      <c r="M802" s="10" t="s">
        <v>1436</v>
      </c>
      <c r="N802" s="8" t="s">
        <v>87</v>
      </c>
      <c r="O802" s="10" t="s">
        <v>22</v>
      </c>
      <c r="P802" s="8" t="s">
        <v>7105</v>
      </c>
      <c r="Q802" s="10" t="s">
        <v>223</v>
      </c>
      <c r="R802" s="10" t="s">
        <v>1438</v>
      </c>
      <c r="S802" s="8" t="s">
        <v>7106</v>
      </c>
      <c r="T802" s="10" t="s">
        <v>7029</v>
      </c>
      <c r="U802" s="10" t="s">
        <v>87</v>
      </c>
      <c r="V802" s="10" t="s">
        <v>87</v>
      </c>
    </row>
    <row r="803" spans="1:22" s="10" customFormat="1" x14ac:dyDescent="0.25">
      <c r="A803" s="10" t="s">
        <v>7107</v>
      </c>
      <c r="B803" s="10" t="s">
        <v>7021</v>
      </c>
      <c r="C803" s="10" t="s">
        <v>215</v>
      </c>
      <c r="D803" s="10" t="s">
        <v>7108</v>
      </c>
      <c r="E803" s="8" t="s">
        <v>7109</v>
      </c>
      <c r="F803" s="8" t="s">
        <v>7110</v>
      </c>
      <c r="G803" s="10" t="s">
        <v>2647</v>
      </c>
      <c r="H803" s="8" t="s">
        <v>7111</v>
      </c>
      <c r="I803" s="10" t="s">
        <v>873</v>
      </c>
      <c r="J803" s="8" t="s">
        <v>2862</v>
      </c>
      <c r="K803" s="8" t="s">
        <v>2649</v>
      </c>
      <c r="L803" s="8" t="s">
        <v>87</v>
      </c>
      <c r="M803" s="10" t="s">
        <v>1436</v>
      </c>
      <c r="N803" s="8" t="s">
        <v>87</v>
      </c>
      <c r="O803" s="10" t="s">
        <v>22</v>
      </c>
      <c r="P803" s="8" t="s">
        <v>7112</v>
      </c>
      <c r="Q803" s="10" t="s">
        <v>223</v>
      </c>
      <c r="R803" s="10" t="s">
        <v>1438</v>
      </c>
      <c r="S803" s="8" t="s">
        <v>7113</v>
      </c>
      <c r="T803" s="10" t="s">
        <v>7029</v>
      </c>
      <c r="U803" s="10" t="s">
        <v>87</v>
      </c>
      <c r="V803" s="10" t="s">
        <v>87</v>
      </c>
    </row>
    <row r="804" spans="1:22" s="10" customFormat="1" x14ac:dyDescent="0.25">
      <c r="A804" s="10" t="s">
        <v>7114</v>
      </c>
      <c r="B804" s="10" t="s">
        <v>7021</v>
      </c>
      <c r="C804" s="11" t="s">
        <v>346</v>
      </c>
      <c r="D804" s="10" t="s">
        <v>7115</v>
      </c>
      <c r="E804" s="8" t="s">
        <v>7116</v>
      </c>
      <c r="F804" s="8" t="s">
        <v>7117</v>
      </c>
      <c r="G804" s="10" t="s">
        <v>2647</v>
      </c>
      <c r="H804" s="8" t="s">
        <v>1653</v>
      </c>
      <c r="I804" s="10" t="s">
        <v>7118</v>
      </c>
      <c r="J804" s="8" t="s">
        <v>1655</v>
      </c>
      <c r="K804" s="8" t="s">
        <v>2649</v>
      </c>
      <c r="L804" s="8" t="s">
        <v>87</v>
      </c>
      <c r="M804" s="10" t="s">
        <v>1436</v>
      </c>
      <c r="N804" s="8" t="s">
        <v>87</v>
      </c>
      <c r="O804" s="10" t="s">
        <v>22</v>
      </c>
      <c r="P804" s="8" t="s">
        <v>7119</v>
      </c>
      <c r="Q804" s="10" t="s">
        <v>1447</v>
      </c>
      <c r="R804" s="10" t="s">
        <v>1657</v>
      </c>
      <c r="S804" s="8" t="s">
        <v>7120</v>
      </c>
      <c r="T804" s="10" t="s">
        <v>7029</v>
      </c>
      <c r="U804" s="10" t="s">
        <v>87</v>
      </c>
      <c r="V804" s="10" t="s">
        <v>87</v>
      </c>
    </row>
    <row r="805" spans="1:22" s="10" customFormat="1" x14ac:dyDescent="0.25">
      <c r="A805" s="10" t="s">
        <v>7121</v>
      </c>
      <c r="B805" s="10" t="s">
        <v>7021</v>
      </c>
      <c r="C805" s="11" t="s">
        <v>346</v>
      </c>
      <c r="D805" s="10" t="s">
        <v>7122</v>
      </c>
      <c r="E805" s="8" t="s">
        <v>7123</v>
      </c>
      <c r="F805" s="8" t="s">
        <v>1662</v>
      </c>
      <c r="G805" s="10" t="s">
        <v>2647</v>
      </c>
      <c r="H805" s="8" t="s">
        <v>7124</v>
      </c>
      <c r="I805" s="10" t="s">
        <v>7125</v>
      </c>
      <c r="J805" s="8" t="s">
        <v>1664</v>
      </c>
      <c r="K805" s="8" t="s">
        <v>2649</v>
      </c>
      <c r="L805" s="8" t="s">
        <v>87</v>
      </c>
      <c r="M805" s="10" t="s">
        <v>1436</v>
      </c>
      <c r="N805" s="8" t="s">
        <v>87</v>
      </c>
      <c r="O805" s="10" t="s">
        <v>22</v>
      </c>
      <c r="P805" s="8" t="s">
        <v>7126</v>
      </c>
      <c r="Q805" s="10" t="s">
        <v>825</v>
      </c>
      <c r="R805" s="10" t="s">
        <v>7127</v>
      </c>
      <c r="S805" s="8" t="s">
        <v>1669</v>
      </c>
      <c r="T805" s="10" t="s">
        <v>7029</v>
      </c>
      <c r="U805" s="10" t="s">
        <v>87</v>
      </c>
      <c r="V805" s="10" t="s">
        <v>87</v>
      </c>
    </row>
    <row r="806" spans="1:22" s="10" customFormat="1" x14ac:dyDescent="0.25">
      <c r="A806" s="10" t="s">
        <v>7128</v>
      </c>
      <c r="B806" s="10" t="s">
        <v>7021</v>
      </c>
      <c r="C806" s="10" t="s">
        <v>215</v>
      </c>
      <c r="D806" s="10" t="s">
        <v>7129</v>
      </c>
      <c r="E806" s="8" t="s">
        <v>7130</v>
      </c>
      <c r="F806" s="8" t="s">
        <v>7131</v>
      </c>
      <c r="G806" s="10" t="s">
        <v>2647</v>
      </c>
      <c r="H806" s="8" t="s">
        <v>7069</v>
      </c>
      <c r="I806" s="10" t="s">
        <v>7132</v>
      </c>
      <c r="J806" s="8" t="s">
        <v>2862</v>
      </c>
      <c r="K806" s="8" t="s">
        <v>2649</v>
      </c>
      <c r="L806" s="8" t="s">
        <v>87</v>
      </c>
      <c r="M806" s="10" t="s">
        <v>1436</v>
      </c>
      <c r="N806" s="8" t="s">
        <v>87</v>
      </c>
      <c r="O806" s="10" t="s">
        <v>22</v>
      </c>
      <c r="P806" s="8" t="s">
        <v>7133</v>
      </c>
      <c r="Q806" s="10" t="s">
        <v>223</v>
      </c>
      <c r="R806" s="10" t="s">
        <v>1438</v>
      </c>
      <c r="S806" s="8" t="s">
        <v>1648</v>
      </c>
      <c r="T806" s="10" t="s">
        <v>7029</v>
      </c>
      <c r="U806" s="10" t="s">
        <v>87</v>
      </c>
      <c r="V806" s="10" t="s">
        <v>87</v>
      </c>
    </row>
    <row r="807" spans="1:22" s="10" customFormat="1" x14ac:dyDescent="0.25">
      <c r="A807" s="10" t="s">
        <v>7134</v>
      </c>
      <c r="B807" s="10" t="s">
        <v>7021</v>
      </c>
      <c r="C807" s="10" t="s">
        <v>215</v>
      </c>
      <c r="D807" s="10" t="s">
        <v>7135</v>
      </c>
      <c r="E807" s="8" t="s">
        <v>7136</v>
      </c>
      <c r="F807" s="8" t="s">
        <v>7137</v>
      </c>
      <c r="G807" s="10" t="s">
        <v>2647</v>
      </c>
      <c r="H807" s="8" t="s">
        <v>7138</v>
      </c>
      <c r="I807" s="10" t="s">
        <v>5158</v>
      </c>
      <c r="J807" s="8" t="s">
        <v>2862</v>
      </c>
      <c r="K807" s="8" t="s">
        <v>2649</v>
      </c>
      <c r="L807" s="8" t="s">
        <v>87</v>
      </c>
      <c r="M807" s="10" t="s">
        <v>1436</v>
      </c>
      <c r="N807" s="8" t="s">
        <v>87</v>
      </c>
      <c r="O807" s="10" t="s">
        <v>22</v>
      </c>
      <c r="P807" s="8" t="s">
        <v>7139</v>
      </c>
      <c r="Q807" s="10" t="s">
        <v>223</v>
      </c>
      <c r="R807" s="10" t="s">
        <v>1438</v>
      </c>
      <c r="S807" s="8" t="s">
        <v>7140</v>
      </c>
      <c r="T807" s="10" t="s">
        <v>7029</v>
      </c>
      <c r="U807" s="10" t="s">
        <v>87</v>
      </c>
      <c r="V807" s="10" t="s">
        <v>87</v>
      </c>
    </row>
    <row r="808" spans="1:22" s="10" customFormat="1" x14ac:dyDescent="0.25">
      <c r="A808" s="10" t="s">
        <v>7141</v>
      </c>
      <c r="B808" s="10" t="s">
        <v>7021</v>
      </c>
      <c r="C808" s="10" t="s">
        <v>215</v>
      </c>
      <c r="D808" s="10" t="s">
        <v>7142</v>
      </c>
      <c r="E808" s="8" t="s">
        <v>7143</v>
      </c>
      <c r="F808" s="8" t="s">
        <v>7144</v>
      </c>
      <c r="G808" s="10" t="s">
        <v>2647</v>
      </c>
      <c r="H808" s="8" t="s">
        <v>7145</v>
      </c>
      <c r="I808" s="10" t="s">
        <v>5158</v>
      </c>
      <c r="J808" s="8" t="s">
        <v>2862</v>
      </c>
      <c r="K808" s="8" t="s">
        <v>2649</v>
      </c>
      <c r="L808" s="8" t="s">
        <v>87</v>
      </c>
      <c r="M808" s="10" t="s">
        <v>1436</v>
      </c>
      <c r="N808" s="8" t="s">
        <v>87</v>
      </c>
      <c r="O808" s="10" t="s">
        <v>22</v>
      </c>
      <c r="P808" s="8" t="s">
        <v>7146</v>
      </c>
      <c r="Q808" s="10" t="s">
        <v>223</v>
      </c>
      <c r="R808" s="10" t="s">
        <v>1438</v>
      </c>
      <c r="S808" s="8" t="s">
        <v>7147</v>
      </c>
      <c r="T808" s="10" t="s">
        <v>7029</v>
      </c>
      <c r="U808" s="10" t="s">
        <v>87</v>
      </c>
      <c r="V808" s="10" t="s">
        <v>87</v>
      </c>
    </row>
    <row r="809" spans="1:22" s="10" customFormat="1" x14ac:dyDescent="0.25">
      <c r="A809" s="10" t="s">
        <v>7148</v>
      </c>
      <c r="B809" s="10" t="s">
        <v>7021</v>
      </c>
      <c r="C809" s="10" t="s">
        <v>215</v>
      </c>
      <c r="D809" s="10" t="s">
        <v>7149</v>
      </c>
      <c r="E809" s="8" t="s">
        <v>7150</v>
      </c>
      <c r="F809" s="8" t="s">
        <v>7151</v>
      </c>
      <c r="G809" s="10" t="s">
        <v>2647</v>
      </c>
      <c r="H809" s="8" t="s">
        <v>7152</v>
      </c>
      <c r="I809" s="10" t="s">
        <v>5158</v>
      </c>
      <c r="J809" s="8" t="s">
        <v>2862</v>
      </c>
      <c r="K809" s="8" t="s">
        <v>2649</v>
      </c>
      <c r="L809" s="8" t="s">
        <v>87</v>
      </c>
      <c r="M809" s="10" t="s">
        <v>1436</v>
      </c>
      <c r="N809" s="8" t="s">
        <v>87</v>
      </c>
      <c r="O809" s="10" t="s">
        <v>22</v>
      </c>
      <c r="P809" s="8" t="s">
        <v>7153</v>
      </c>
      <c r="Q809" s="10" t="s">
        <v>223</v>
      </c>
      <c r="R809" s="10" t="s">
        <v>1438</v>
      </c>
      <c r="S809" s="8" t="s">
        <v>7154</v>
      </c>
      <c r="T809" s="10" t="s">
        <v>7029</v>
      </c>
      <c r="U809" s="10" t="s">
        <v>87</v>
      </c>
      <c r="V809" s="10" t="s">
        <v>87</v>
      </c>
    </row>
    <row r="810" spans="1:22" s="10" customFormat="1" x14ac:dyDescent="0.25">
      <c r="A810" s="10" t="s">
        <v>7155</v>
      </c>
      <c r="B810" s="10" t="s">
        <v>7021</v>
      </c>
      <c r="C810" s="10" t="s">
        <v>215</v>
      </c>
      <c r="D810" s="10" t="s">
        <v>7156</v>
      </c>
      <c r="E810" s="8" t="s">
        <v>7157</v>
      </c>
      <c r="F810" s="8" t="s">
        <v>7158</v>
      </c>
      <c r="G810" s="10" t="s">
        <v>2647</v>
      </c>
      <c r="H810" s="8" t="s">
        <v>7159</v>
      </c>
      <c r="I810" s="10" t="s">
        <v>5158</v>
      </c>
      <c r="J810" s="8" t="s">
        <v>2862</v>
      </c>
      <c r="K810" s="8" t="s">
        <v>2649</v>
      </c>
      <c r="L810" s="8" t="s">
        <v>87</v>
      </c>
      <c r="M810" s="10" t="s">
        <v>1436</v>
      </c>
      <c r="N810" s="8" t="s">
        <v>87</v>
      </c>
      <c r="O810" s="10" t="s">
        <v>22</v>
      </c>
      <c r="P810" s="8" t="s">
        <v>7160</v>
      </c>
      <c r="Q810" s="10" t="s">
        <v>223</v>
      </c>
      <c r="R810" s="10" t="s">
        <v>1438</v>
      </c>
      <c r="S810" s="8" t="s">
        <v>7161</v>
      </c>
      <c r="T810" s="10" t="s">
        <v>7029</v>
      </c>
      <c r="U810" s="10" t="s">
        <v>87</v>
      </c>
      <c r="V810" s="10" t="s">
        <v>87</v>
      </c>
    </row>
    <row r="811" spans="1:22" s="10" customFormat="1" x14ac:dyDescent="0.25">
      <c r="A811" s="10" t="s">
        <v>7162</v>
      </c>
      <c r="B811" s="10" t="s">
        <v>7021</v>
      </c>
      <c r="C811" s="10" t="s">
        <v>215</v>
      </c>
      <c r="D811" s="10" t="s">
        <v>7163</v>
      </c>
      <c r="E811" s="8" t="s">
        <v>7164</v>
      </c>
      <c r="F811" s="8" t="s">
        <v>7165</v>
      </c>
      <c r="G811" s="10" t="s">
        <v>3</v>
      </c>
      <c r="H811" s="8" t="s">
        <v>7166</v>
      </c>
      <c r="I811" s="10" t="s">
        <v>7167</v>
      </c>
      <c r="J811" s="8" t="s">
        <v>2862</v>
      </c>
      <c r="K811" s="8" t="s">
        <v>1435</v>
      </c>
      <c r="L811" s="8" t="s">
        <v>87</v>
      </c>
      <c r="M811" s="10" t="s">
        <v>1436</v>
      </c>
      <c r="N811" s="8" t="s">
        <v>87</v>
      </c>
      <c r="O811" s="10" t="s">
        <v>22</v>
      </c>
      <c r="P811" s="8" t="s">
        <v>7168</v>
      </c>
      <c r="Q811" s="10" t="s">
        <v>223</v>
      </c>
      <c r="R811" s="10" t="s">
        <v>1438</v>
      </c>
      <c r="S811" s="8" t="s">
        <v>7169</v>
      </c>
      <c r="T811" s="10" t="s">
        <v>7029</v>
      </c>
      <c r="U811" s="10" t="s">
        <v>87</v>
      </c>
      <c r="V811" s="10" t="s">
        <v>87</v>
      </c>
    </row>
    <row r="812" spans="1:22" s="10" customFormat="1" x14ac:dyDescent="0.25">
      <c r="A812" s="10" t="s">
        <v>7170</v>
      </c>
      <c r="B812" s="10" t="s">
        <v>7021</v>
      </c>
      <c r="C812" s="11" t="s">
        <v>346</v>
      </c>
      <c r="D812" s="10" t="s">
        <v>7171</v>
      </c>
      <c r="E812" s="8" t="s">
        <v>7172</v>
      </c>
      <c r="F812" s="8" t="s">
        <v>4867</v>
      </c>
      <c r="G812" s="10" t="s">
        <v>4</v>
      </c>
      <c r="H812" s="8" t="s">
        <v>7166</v>
      </c>
      <c r="I812" s="10" t="s">
        <v>7173</v>
      </c>
      <c r="J812" s="8" t="s">
        <v>2862</v>
      </c>
      <c r="K812" s="8" t="s">
        <v>7174</v>
      </c>
      <c r="L812" s="8" t="s">
        <v>87</v>
      </c>
      <c r="M812" s="10" t="s">
        <v>1456</v>
      </c>
      <c r="N812" s="8" t="s">
        <v>87</v>
      </c>
      <c r="O812" s="10" t="s">
        <v>22</v>
      </c>
      <c r="P812" s="8" t="s">
        <v>7175</v>
      </c>
      <c r="Q812" s="10" t="s">
        <v>223</v>
      </c>
      <c r="R812" s="10" t="s">
        <v>1438</v>
      </c>
      <c r="S812" s="8" t="s">
        <v>7176</v>
      </c>
      <c r="T812" s="10" t="s">
        <v>7029</v>
      </c>
      <c r="U812" s="10" t="s">
        <v>87</v>
      </c>
      <c r="V812" s="10" t="s">
        <v>87</v>
      </c>
    </row>
    <row r="813" spans="1:22" s="10" customFormat="1" x14ac:dyDescent="0.25">
      <c r="A813" s="10" t="s">
        <v>7177</v>
      </c>
      <c r="B813" s="10" t="s">
        <v>7021</v>
      </c>
      <c r="C813" s="10" t="s">
        <v>215</v>
      </c>
      <c r="D813" s="10" t="s">
        <v>7178</v>
      </c>
      <c r="E813" s="8" t="s">
        <v>7179</v>
      </c>
      <c r="F813" s="8" t="s">
        <v>7180</v>
      </c>
      <c r="G813" s="10" t="s">
        <v>4</v>
      </c>
      <c r="H813" s="8" t="s">
        <v>7181</v>
      </c>
      <c r="I813" s="10" t="s">
        <v>7173</v>
      </c>
      <c r="J813" s="8" t="s">
        <v>2862</v>
      </c>
      <c r="K813" s="8" t="s">
        <v>7174</v>
      </c>
      <c r="L813" s="8" t="s">
        <v>2696</v>
      </c>
      <c r="M813" s="10" t="s">
        <v>1456</v>
      </c>
      <c r="N813" s="8" t="s">
        <v>87</v>
      </c>
      <c r="O813" s="10" t="s">
        <v>22</v>
      </c>
      <c r="P813" s="8" t="s">
        <v>7182</v>
      </c>
      <c r="Q813" s="10" t="s">
        <v>239</v>
      </c>
      <c r="R813" s="10" t="s">
        <v>1438</v>
      </c>
      <c r="S813" s="8" t="s">
        <v>7183</v>
      </c>
      <c r="T813" s="10" t="s">
        <v>7029</v>
      </c>
      <c r="U813" s="10" t="s">
        <v>87</v>
      </c>
      <c r="V813" s="10" t="s">
        <v>87</v>
      </c>
    </row>
    <row r="814" spans="1:22" s="10" customFormat="1" x14ac:dyDescent="0.25">
      <c r="A814" s="10" t="s">
        <v>7184</v>
      </c>
      <c r="B814" s="10" t="s">
        <v>7021</v>
      </c>
      <c r="C814" s="10" t="s">
        <v>215</v>
      </c>
      <c r="D814" s="10" t="s">
        <v>7185</v>
      </c>
      <c r="E814" s="8" t="s">
        <v>7186</v>
      </c>
      <c r="F814" s="8" t="s">
        <v>7187</v>
      </c>
      <c r="G814" s="10" t="s">
        <v>4</v>
      </c>
      <c r="H814" s="8" t="s">
        <v>7188</v>
      </c>
      <c r="I814" s="10" t="s">
        <v>7173</v>
      </c>
      <c r="J814" s="8" t="s">
        <v>2862</v>
      </c>
      <c r="K814" s="8" t="s">
        <v>7174</v>
      </c>
      <c r="L814" s="8" t="s">
        <v>87</v>
      </c>
      <c r="M814" s="10" t="s">
        <v>1456</v>
      </c>
      <c r="N814" s="8" t="s">
        <v>87</v>
      </c>
      <c r="O814" s="10" t="s">
        <v>22</v>
      </c>
      <c r="P814" s="8" t="s">
        <v>7189</v>
      </c>
      <c r="Q814" s="10" t="s">
        <v>246</v>
      </c>
      <c r="R814" s="10" t="s">
        <v>1438</v>
      </c>
      <c r="S814" s="8" t="s">
        <v>7190</v>
      </c>
      <c r="T814" s="10" t="s">
        <v>7029</v>
      </c>
      <c r="U814" s="10" t="s">
        <v>87</v>
      </c>
      <c r="V814" s="10" t="s">
        <v>87</v>
      </c>
    </row>
    <row r="815" spans="1:22" s="10" customFormat="1" x14ac:dyDescent="0.25">
      <c r="A815" s="10" t="s">
        <v>7191</v>
      </c>
      <c r="B815" s="10" t="s">
        <v>7021</v>
      </c>
      <c r="C815" s="10" t="s">
        <v>215</v>
      </c>
      <c r="D815" s="10" t="s">
        <v>7192</v>
      </c>
      <c r="E815" s="8" t="s">
        <v>7193</v>
      </c>
      <c r="F815" s="8" t="s">
        <v>7194</v>
      </c>
      <c r="G815" s="10" t="s">
        <v>4</v>
      </c>
      <c r="H815" s="8" t="s">
        <v>7195</v>
      </c>
      <c r="I815" s="10" t="s">
        <v>7196</v>
      </c>
      <c r="J815" s="8" t="s">
        <v>2862</v>
      </c>
      <c r="K815" s="8" t="s">
        <v>7174</v>
      </c>
      <c r="L815" s="8" t="s">
        <v>87</v>
      </c>
      <c r="M815" s="10" t="s">
        <v>1456</v>
      </c>
      <c r="N815" s="8" t="s">
        <v>87</v>
      </c>
      <c r="O815" s="10" t="s">
        <v>22</v>
      </c>
      <c r="P815" s="8" t="s">
        <v>7197</v>
      </c>
      <c r="Q815" s="10" t="s">
        <v>223</v>
      </c>
      <c r="R815" s="10" t="s">
        <v>1438</v>
      </c>
      <c r="S815" s="8" t="s">
        <v>7198</v>
      </c>
      <c r="T815" s="10" t="s">
        <v>7029</v>
      </c>
      <c r="U815" s="10" t="s">
        <v>87</v>
      </c>
      <c r="V815" s="10" t="s">
        <v>87</v>
      </c>
    </row>
    <row r="816" spans="1:22" s="10" customFormat="1" x14ac:dyDescent="0.25">
      <c r="A816" s="10" t="s">
        <v>7199</v>
      </c>
      <c r="B816" s="10" t="s">
        <v>7021</v>
      </c>
      <c r="C816" s="10" t="s">
        <v>215</v>
      </c>
      <c r="D816" s="10" t="s">
        <v>7200</v>
      </c>
      <c r="E816" s="8" t="s">
        <v>7201</v>
      </c>
      <c r="F816" s="8" t="s">
        <v>7202</v>
      </c>
      <c r="G816" s="10" t="s">
        <v>4</v>
      </c>
      <c r="H816" s="8" t="s">
        <v>7203</v>
      </c>
      <c r="I816" s="10" t="s">
        <v>7173</v>
      </c>
      <c r="J816" s="8" t="s">
        <v>2862</v>
      </c>
      <c r="K816" s="8" t="s">
        <v>7174</v>
      </c>
      <c r="L816" s="8" t="s">
        <v>87</v>
      </c>
      <c r="M816" s="10" t="s">
        <v>1456</v>
      </c>
      <c r="N816" s="8" t="s">
        <v>87</v>
      </c>
      <c r="O816" s="10" t="s">
        <v>22</v>
      </c>
      <c r="P816" s="8" t="s">
        <v>7204</v>
      </c>
      <c r="Q816" s="10" t="s">
        <v>223</v>
      </c>
      <c r="R816" s="10" t="s">
        <v>1438</v>
      </c>
      <c r="S816" s="8" t="s">
        <v>7205</v>
      </c>
      <c r="T816" s="10" t="s">
        <v>7029</v>
      </c>
      <c r="U816" s="10" t="s">
        <v>87</v>
      </c>
      <c r="V816" s="10" t="s">
        <v>87</v>
      </c>
    </row>
    <row r="817" spans="1:22" s="10" customFormat="1" x14ac:dyDescent="0.25">
      <c r="A817" s="10" t="s">
        <v>7206</v>
      </c>
      <c r="B817" s="10" t="s">
        <v>7021</v>
      </c>
      <c r="C817" s="11" t="s">
        <v>346</v>
      </c>
      <c r="D817" s="10" t="s">
        <v>7207</v>
      </c>
      <c r="E817" s="8" t="s">
        <v>7208</v>
      </c>
      <c r="F817" s="8" t="s">
        <v>7209</v>
      </c>
      <c r="G817" s="10" t="s">
        <v>3</v>
      </c>
      <c r="H817" s="8" t="s">
        <v>7210</v>
      </c>
      <c r="I817" s="10" t="s">
        <v>7173</v>
      </c>
      <c r="J817" s="8" t="s">
        <v>2862</v>
      </c>
      <c r="K817" s="8" t="s">
        <v>1435</v>
      </c>
      <c r="L817" s="8" t="s">
        <v>87</v>
      </c>
      <c r="M817" s="10" t="s">
        <v>1436</v>
      </c>
      <c r="N817" s="8" t="s">
        <v>87</v>
      </c>
      <c r="O817" s="10" t="s">
        <v>22</v>
      </c>
      <c r="P817" s="8" t="s">
        <v>7211</v>
      </c>
      <c r="Q817" s="10" t="s">
        <v>239</v>
      </c>
      <c r="R817" s="10" t="s">
        <v>1438</v>
      </c>
      <c r="S817" s="8" t="s">
        <v>1911</v>
      </c>
      <c r="T817" s="10" t="s">
        <v>7029</v>
      </c>
      <c r="U817" s="10" t="s">
        <v>87</v>
      </c>
      <c r="V817" s="10" t="s">
        <v>87</v>
      </c>
    </row>
    <row r="818" spans="1:22" s="10" customFormat="1" x14ac:dyDescent="0.25">
      <c r="A818" s="10" t="s">
        <v>7212</v>
      </c>
      <c r="B818" s="10" t="s">
        <v>7021</v>
      </c>
      <c r="C818" s="11" t="s">
        <v>346</v>
      </c>
      <c r="D818" s="10" t="s">
        <v>7213</v>
      </c>
      <c r="E818" s="8" t="s">
        <v>7214</v>
      </c>
      <c r="F818" s="8" t="s">
        <v>7215</v>
      </c>
      <c r="G818" s="10" t="s">
        <v>3</v>
      </c>
      <c r="H818" s="8" t="s">
        <v>7166</v>
      </c>
      <c r="I818" s="10" t="s">
        <v>7173</v>
      </c>
      <c r="J818" s="8" t="s">
        <v>2862</v>
      </c>
      <c r="K818" s="8" t="s">
        <v>1435</v>
      </c>
      <c r="L818" s="8" t="s">
        <v>87</v>
      </c>
      <c r="M818" s="10" t="s">
        <v>1436</v>
      </c>
      <c r="N818" s="8" t="s">
        <v>87</v>
      </c>
      <c r="O818" s="10" t="s">
        <v>22</v>
      </c>
      <c r="P818" s="8" t="s">
        <v>7216</v>
      </c>
      <c r="Q818" s="10" t="s">
        <v>223</v>
      </c>
      <c r="R818" s="10" t="s">
        <v>1438</v>
      </c>
      <c r="S818" s="8" t="s">
        <v>6643</v>
      </c>
      <c r="T818" s="10" t="s">
        <v>7029</v>
      </c>
      <c r="U818" s="10" t="s">
        <v>87</v>
      </c>
      <c r="V818" s="10" t="s">
        <v>87</v>
      </c>
    </row>
    <row r="819" spans="1:22" s="10" customFormat="1" x14ac:dyDescent="0.25">
      <c r="A819" s="10" t="s">
        <v>7217</v>
      </c>
      <c r="B819" s="10" t="s">
        <v>7021</v>
      </c>
      <c r="C819" s="10" t="s">
        <v>215</v>
      </c>
      <c r="D819" s="10" t="s">
        <v>7218</v>
      </c>
      <c r="E819" s="8" t="s">
        <v>7219</v>
      </c>
      <c r="F819" s="8" t="s">
        <v>7220</v>
      </c>
      <c r="G819" s="10" t="s">
        <v>4</v>
      </c>
      <c r="H819" s="8" t="s">
        <v>7221</v>
      </c>
      <c r="I819" s="10" t="s">
        <v>7222</v>
      </c>
      <c r="J819" s="8" t="s">
        <v>7223</v>
      </c>
      <c r="K819" s="8" t="s">
        <v>7224</v>
      </c>
      <c r="L819" s="8" t="s">
        <v>87</v>
      </c>
      <c r="M819" s="10" t="s">
        <v>1456</v>
      </c>
      <c r="N819" s="8" t="s">
        <v>87</v>
      </c>
      <c r="O819" s="10" t="s">
        <v>22</v>
      </c>
      <c r="P819" s="8" t="s">
        <v>7225</v>
      </c>
      <c r="Q819" s="10" t="s">
        <v>223</v>
      </c>
      <c r="R819" s="10" t="s">
        <v>1438</v>
      </c>
      <c r="S819" s="8" t="s">
        <v>7226</v>
      </c>
      <c r="T819" s="10" t="s">
        <v>7029</v>
      </c>
      <c r="U819" s="10" t="s">
        <v>87</v>
      </c>
      <c r="V819" s="10" t="s">
        <v>87</v>
      </c>
    </row>
    <row r="820" spans="1:22" s="10" customFormat="1" x14ac:dyDescent="0.25">
      <c r="A820" s="10" t="s">
        <v>7227</v>
      </c>
      <c r="B820" s="10" t="s">
        <v>7021</v>
      </c>
      <c r="C820" s="10" t="s">
        <v>215</v>
      </c>
      <c r="D820" s="10" t="s">
        <v>7228</v>
      </c>
      <c r="E820" s="8" t="s">
        <v>7229</v>
      </c>
      <c r="F820" s="8" t="s">
        <v>7230</v>
      </c>
      <c r="G820" s="10" t="s">
        <v>4</v>
      </c>
      <c r="H820" s="8" t="s">
        <v>7231</v>
      </c>
      <c r="I820" s="10" t="s">
        <v>7222</v>
      </c>
      <c r="J820" s="8" t="s">
        <v>7223</v>
      </c>
      <c r="K820" s="8" t="s">
        <v>7232</v>
      </c>
      <c r="L820" s="8" t="s">
        <v>87</v>
      </c>
      <c r="M820" s="10" t="s">
        <v>1456</v>
      </c>
      <c r="N820" s="8" t="s">
        <v>87</v>
      </c>
      <c r="O820" s="10" t="s">
        <v>22</v>
      </c>
      <c r="P820" s="8" t="s">
        <v>7233</v>
      </c>
      <c r="Q820" s="10" t="s">
        <v>223</v>
      </c>
      <c r="R820" s="10" t="s">
        <v>1438</v>
      </c>
      <c r="S820" s="8" t="s">
        <v>7234</v>
      </c>
      <c r="T820" s="10" t="s">
        <v>7029</v>
      </c>
      <c r="U820" s="10" t="s">
        <v>87</v>
      </c>
      <c r="V820" s="10" t="s">
        <v>87</v>
      </c>
    </row>
    <row r="821" spans="1:22" s="10" customFormat="1" x14ac:dyDescent="0.25">
      <c r="A821" s="10" t="s">
        <v>7235</v>
      </c>
      <c r="B821" s="10" t="s">
        <v>7021</v>
      </c>
      <c r="C821" s="10" t="s">
        <v>215</v>
      </c>
      <c r="D821" s="10" t="s">
        <v>7236</v>
      </c>
      <c r="E821" s="8" t="s">
        <v>7237</v>
      </c>
      <c r="F821" s="8" t="s">
        <v>7238</v>
      </c>
      <c r="G821" s="10" t="s">
        <v>3</v>
      </c>
      <c r="H821" s="8" t="s">
        <v>7239</v>
      </c>
      <c r="I821" s="10" t="s">
        <v>7222</v>
      </c>
      <c r="J821" s="8" t="s">
        <v>7223</v>
      </c>
      <c r="K821" s="8" t="s">
        <v>1435</v>
      </c>
      <c r="L821" s="8" t="s">
        <v>87</v>
      </c>
      <c r="M821" s="10" t="s">
        <v>1436</v>
      </c>
      <c r="N821" s="8" t="s">
        <v>87</v>
      </c>
      <c r="O821" s="10" t="s">
        <v>22</v>
      </c>
      <c r="P821" s="8" t="s">
        <v>7240</v>
      </c>
      <c r="Q821" s="10" t="s">
        <v>223</v>
      </c>
      <c r="R821" s="10" t="s">
        <v>1438</v>
      </c>
      <c r="S821" s="8" t="s">
        <v>7241</v>
      </c>
      <c r="T821" s="10" t="s">
        <v>7029</v>
      </c>
      <c r="U821" s="10" t="s">
        <v>87</v>
      </c>
      <c r="V821" s="10" t="s">
        <v>87</v>
      </c>
    </row>
    <row r="822" spans="1:22" s="10" customFormat="1" x14ac:dyDescent="0.25">
      <c r="A822" s="10" t="s">
        <v>7242</v>
      </c>
      <c r="B822" s="10" t="s">
        <v>7021</v>
      </c>
      <c r="C822" s="10" t="s">
        <v>215</v>
      </c>
      <c r="D822" s="10" t="s">
        <v>7243</v>
      </c>
      <c r="E822" s="8" t="s">
        <v>7244</v>
      </c>
      <c r="F822" s="8" t="s">
        <v>7245</v>
      </c>
      <c r="G822" s="10" t="s">
        <v>4</v>
      </c>
      <c r="H822" s="8" t="s">
        <v>7246</v>
      </c>
      <c r="I822" s="10" t="s">
        <v>7222</v>
      </c>
      <c r="J822" s="8" t="s">
        <v>7223</v>
      </c>
      <c r="K822" s="8" t="s">
        <v>7247</v>
      </c>
      <c r="L822" s="8" t="s">
        <v>87</v>
      </c>
      <c r="M822" s="10" t="s">
        <v>1456</v>
      </c>
      <c r="N822" s="8" t="s">
        <v>87</v>
      </c>
      <c r="O822" s="10" t="s">
        <v>22</v>
      </c>
      <c r="P822" s="8" t="s">
        <v>7248</v>
      </c>
      <c r="Q822" s="10" t="s">
        <v>223</v>
      </c>
      <c r="R822" s="10" t="s">
        <v>1438</v>
      </c>
      <c r="S822" s="8" t="s">
        <v>7249</v>
      </c>
      <c r="T822" s="10" t="s">
        <v>7029</v>
      </c>
      <c r="U822" s="10" t="s">
        <v>87</v>
      </c>
      <c r="V822" s="10" t="s">
        <v>87</v>
      </c>
    </row>
    <row r="823" spans="1:22" s="10" customFormat="1" x14ac:dyDescent="0.25">
      <c r="A823" s="10" t="s">
        <v>7250</v>
      </c>
      <c r="B823" s="10" t="s">
        <v>7021</v>
      </c>
      <c r="C823" s="10" t="s">
        <v>215</v>
      </c>
      <c r="D823" s="10" t="s">
        <v>7251</v>
      </c>
      <c r="E823" s="8" t="s">
        <v>7252</v>
      </c>
      <c r="F823" s="8" t="s">
        <v>7253</v>
      </c>
      <c r="G823" s="10" t="s">
        <v>4</v>
      </c>
      <c r="H823" s="8" t="s">
        <v>7254</v>
      </c>
      <c r="I823" s="10" t="s">
        <v>7222</v>
      </c>
      <c r="J823" s="8" t="s">
        <v>7223</v>
      </c>
      <c r="K823" s="8" t="s">
        <v>7255</v>
      </c>
      <c r="L823" s="8" t="s">
        <v>87</v>
      </c>
      <c r="M823" s="10" t="s">
        <v>1456</v>
      </c>
      <c r="N823" s="8" t="s">
        <v>87</v>
      </c>
      <c r="O823" s="10" t="s">
        <v>22</v>
      </c>
      <c r="P823" s="8" t="s">
        <v>7256</v>
      </c>
      <c r="Q823" s="10" t="s">
        <v>223</v>
      </c>
      <c r="R823" s="10" t="s">
        <v>1438</v>
      </c>
      <c r="S823" s="8" t="s">
        <v>7257</v>
      </c>
      <c r="T823" s="10" t="s">
        <v>7029</v>
      </c>
      <c r="U823" s="10" t="s">
        <v>87</v>
      </c>
      <c r="V823" s="10" t="s">
        <v>87</v>
      </c>
    </row>
    <row r="824" spans="1:22" s="10" customFormat="1" x14ac:dyDescent="0.25">
      <c r="A824" s="10" t="s">
        <v>7258</v>
      </c>
      <c r="B824" s="10" t="s">
        <v>7021</v>
      </c>
      <c r="C824" s="11" t="s">
        <v>346</v>
      </c>
      <c r="D824" s="10" t="s">
        <v>7259</v>
      </c>
      <c r="E824" s="8" t="s">
        <v>7260</v>
      </c>
      <c r="F824" s="8" t="s">
        <v>7261</v>
      </c>
      <c r="G824" s="10" t="s">
        <v>2647</v>
      </c>
      <c r="H824" s="8" t="s">
        <v>7262</v>
      </c>
      <c r="I824" s="10" t="s">
        <v>2884</v>
      </c>
      <c r="J824" s="8" t="s">
        <v>2862</v>
      </c>
      <c r="K824" s="8" t="s">
        <v>2649</v>
      </c>
      <c r="L824" s="8" t="s">
        <v>87</v>
      </c>
      <c r="M824" s="10" t="s">
        <v>1436</v>
      </c>
      <c r="N824" s="8" t="s">
        <v>87</v>
      </c>
      <c r="O824" s="10" t="s">
        <v>22</v>
      </c>
      <c r="P824" s="8" t="s">
        <v>7263</v>
      </c>
      <c r="Q824" s="10" t="s">
        <v>246</v>
      </c>
      <c r="R824" s="10" t="s">
        <v>1438</v>
      </c>
      <c r="S824" s="8" t="s">
        <v>7264</v>
      </c>
      <c r="T824" s="10" t="s">
        <v>7029</v>
      </c>
      <c r="U824" s="10" t="s">
        <v>87</v>
      </c>
      <c r="V824" s="10" t="s">
        <v>87</v>
      </c>
    </row>
    <row r="825" spans="1:22" s="10" customFormat="1" x14ac:dyDescent="0.25">
      <c r="A825" s="10" t="s">
        <v>7265</v>
      </c>
      <c r="B825" s="10" t="s">
        <v>7021</v>
      </c>
      <c r="C825" s="10" t="s">
        <v>215</v>
      </c>
      <c r="D825" s="10" t="s">
        <v>7266</v>
      </c>
      <c r="E825" s="8" t="s">
        <v>7267</v>
      </c>
      <c r="F825" s="8" t="s">
        <v>7268</v>
      </c>
      <c r="G825" s="10" t="s">
        <v>4</v>
      </c>
      <c r="H825" s="8" t="s">
        <v>7166</v>
      </c>
      <c r="I825" s="10" t="s">
        <v>7173</v>
      </c>
      <c r="J825" s="8" t="s">
        <v>2862</v>
      </c>
      <c r="K825" s="8" t="s">
        <v>7174</v>
      </c>
      <c r="L825" s="8" t="s">
        <v>87</v>
      </c>
      <c r="M825" s="10" t="s">
        <v>1456</v>
      </c>
      <c r="N825" s="8" t="s">
        <v>87</v>
      </c>
      <c r="O825" s="10" t="s">
        <v>22</v>
      </c>
      <c r="P825" s="8" t="s">
        <v>7269</v>
      </c>
      <c r="Q825" s="10" t="s">
        <v>223</v>
      </c>
      <c r="R825" s="10" t="s">
        <v>1438</v>
      </c>
      <c r="S825" s="8" t="s">
        <v>7270</v>
      </c>
      <c r="T825" s="10" t="s">
        <v>7029</v>
      </c>
      <c r="U825" s="10" t="s">
        <v>87</v>
      </c>
      <c r="V825" s="10" t="s">
        <v>87</v>
      </c>
    </row>
    <row r="826" spans="1:22" s="10" customFormat="1" x14ac:dyDescent="0.25">
      <c r="A826" s="10" t="s">
        <v>7271</v>
      </c>
      <c r="B826" s="10" t="s">
        <v>7021</v>
      </c>
      <c r="C826" s="11" t="s">
        <v>346</v>
      </c>
      <c r="D826" s="10" t="s">
        <v>7272</v>
      </c>
      <c r="E826" s="8" t="s">
        <v>7273</v>
      </c>
      <c r="F826" s="8" t="s">
        <v>1662</v>
      </c>
      <c r="G826" s="10" t="s">
        <v>3</v>
      </c>
      <c r="H826" s="8" t="s">
        <v>7124</v>
      </c>
      <c r="I826" s="10" t="s">
        <v>7125</v>
      </c>
      <c r="J826" s="8" t="s">
        <v>1664</v>
      </c>
      <c r="K826" s="8" t="s">
        <v>1435</v>
      </c>
      <c r="L826" s="8" t="s">
        <v>2367</v>
      </c>
      <c r="M826" s="10" t="s">
        <v>1436</v>
      </c>
      <c r="N826" s="8" t="s">
        <v>87</v>
      </c>
      <c r="O826" s="10" t="s">
        <v>22</v>
      </c>
      <c r="P826" s="8" t="s">
        <v>7274</v>
      </c>
      <c r="Q826" s="10" t="s">
        <v>825</v>
      </c>
      <c r="R826" s="10" t="s">
        <v>7127</v>
      </c>
      <c r="S826" s="8" t="s">
        <v>1669</v>
      </c>
      <c r="T826" s="10" t="s">
        <v>7029</v>
      </c>
      <c r="U826" s="10" t="s">
        <v>87</v>
      </c>
      <c r="V826" s="10" t="s">
        <v>87</v>
      </c>
    </row>
    <row r="827" spans="1:22" s="10" customFormat="1" x14ac:dyDescent="0.25">
      <c r="A827" s="10" t="s">
        <v>7275</v>
      </c>
      <c r="B827" s="10" t="s">
        <v>7021</v>
      </c>
      <c r="C827" s="10" t="s">
        <v>215</v>
      </c>
      <c r="D827" s="10" t="s">
        <v>7276</v>
      </c>
      <c r="E827" s="8" t="s">
        <v>7277</v>
      </c>
      <c r="F827" s="8" t="s">
        <v>7278</v>
      </c>
      <c r="G827" s="10" t="s">
        <v>4</v>
      </c>
      <c r="H827" s="8" t="s">
        <v>7279</v>
      </c>
      <c r="I827" s="10" t="s">
        <v>7280</v>
      </c>
      <c r="J827" s="8" t="s">
        <v>2862</v>
      </c>
      <c r="K827" s="8" t="s">
        <v>7281</v>
      </c>
      <c r="L827" s="8" t="s">
        <v>7282</v>
      </c>
      <c r="M827" s="10" t="s">
        <v>1456</v>
      </c>
      <c r="N827" s="8" t="s">
        <v>87</v>
      </c>
      <c r="O827" s="10" t="s">
        <v>22</v>
      </c>
      <c r="P827" s="8" t="s">
        <v>7283</v>
      </c>
      <c r="Q827" s="10" t="s">
        <v>223</v>
      </c>
      <c r="R827" s="10" t="s">
        <v>1438</v>
      </c>
      <c r="S827" s="8" t="s">
        <v>7284</v>
      </c>
      <c r="T827" s="10" t="s">
        <v>7029</v>
      </c>
      <c r="U827" s="10" t="s">
        <v>87</v>
      </c>
      <c r="V827" s="10" t="s">
        <v>87</v>
      </c>
    </row>
    <row r="828" spans="1:22" s="10" customFormat="1" x14ac:dyDescent="0.25">
      <c r="A828" s="10" t="s">
        <v>7285</v>
      </c>
      <c r="B828" s="10" t="s">
        <v>7021</v>
      </c>
      <c r="C828" s="11" t="s">
        <v>346</v>
      </c>
      <c r="D828" s="10" t="s">
        <v>7286</v>
      </c>
      <c r="E828" s="8" t="s">
        <v>7287</v>
      </c>
      <c r="F828" s="8" t="s">
        <v>4867</v>
      </c>
      <c r="G828" s="10" t="s">
        <v>4</v>
      </c>
      <c r="H828" s="8" t="s">
        <v>7279</v>
      </c>
      <c r="I828" s="10" t="s">
        <v>7288</v>
      </c>
      <c r="J828" s="8" t="s">
        <v>2862</v>
      </c>
      <c r="K828" s="8" t="s">
        <v>1873</v>
      </c>
      <c r="L828" s="8" t="s">
        <v>7282</v>
      </c>
      <c r="M828" s="10" t="s">
        <v>1456</v>
      </c>
      <c r="N828" s="8" t="s">
        <v>87</v>
      </c>
      <c r="O828" s="10" t="s">
        <v>22</v>
      </c>
      <c r="P828" s="8" t="s">
        <v>7289</v>
      </c>
      <c r="Q828" s="10" t="s">
        <v>223</v>
      </c>
      <c r="R828" s="10" t="s">
        <v>1438</v>
      </c>
      <c r="S828" s="8" t="s">
        <v>7290</v>
      </c>
      <c r="T828" s="10" t="s">
        <v>7029</v>
      </c>
      <c r="U828" s="10" t="s">
        <v>87</v>
      </c>
      <c r="V828" s="10" t="s">
        <v>87</v>
      </c>
    </row>
    <row r="829" spans="1:22" s="10" customFormat="1" x14ac:dyDescent="0.25">
      <c r="A829" s="10" t="s">
        <v>7291</v>
      </c>
      <c r="B829" s="10" t="s">
        <v>7021</v>
      </c>
      <c r="C829" s="11" t="s">
        <v>346</v>
      </c>
      <c r="D829" s="10" t="s">
        <v>7292</v>
      </c>
      <c r="E829" s="8" t="s">
        <v>7293</v>
      </c>
      <c r="F829" s="8" t="s">
        <v>7294</v>
      </c>
      <c r="G829" s="10" t="s">
        <v>2647</v>
      </c>
      <c r="H829" s="8" t="s">
        <v>2199</v>
      </c>
      <c r="I829" s="10" t="s">
        <v>7288</v>
      </c>
      <c r="J829" s="8" t="s">
        <v>2862</v>
      </c>
      <c r="K829" s="8" t="s">
        <v>2649</v>
      </c>
      <c r="L829" s="8" t="s">
        <v>7282</v>
      </c>
      <c r="M829" s="10" t="s">
        <v>1436</v>
      </c>
      <c r="N829" s="8" t="s">
        <v>87</v>
      </c>
      <c r="O829" s="10" t="s">
        <v>22</v>
      </c>
      <c r="P829" s="8" t="s">
        <v>7295</v>
      </c>
      <c r="Q829" s="10" t="s">
        <v>246</v>
      </c>
      <c r="R829" s="10" t="s">
        <v>1438</v>
      </c>
      <c r="S829" s="8" t="s">
        <v>7296</v>
      </c>
      <c r="T829" s="10" t="s">
        <v>7029</v>
      </c>
      <c r="U829" s="10" t="s">
        <v>87</v>
      </c>
      <c r="V829" s="10" t="s">
        <v>87</v>
      </c>
    </row>
    <row r="830" spans="1:22" s="10" customFormat="1" x14ac:dyDescent="0.25">
      <c r="A830" s="10" t="s">
        <v>7297</v>
      </c>
      <c r="B830" s="10" t="s">
        <v>7021</v>
      </c>
      <c r="C830" s="10" t="s">
        <v>215</v>
      </c>
      <c r="D830" s="10" t="s">
        <v>7298</v>
      </c>
      <c r="E830" s="8" t="s">
        <v>7299</v>
      </c>
      <c r="F830" s="8" t="s">
        <v>7300</v>
      </c>
      <c r="G830" s="10" t="s">
        <v>4</v>
      </c>
      <c r="H830" s="8" t="s">
        <v>7301</v>
      </c>
      <c r="I830" s="10" t="s">
        <v>7302</v>
      </c>
      <c r="J830" s="8" t="s">
        <v>2862</v>
      </c>
      <c r="K830" s="8" t="s">
        <v>7303</v>
      </c>
      <c r="L830" s="8" t="s">
        <v>7304</v>
      </c>
      <c r="M830" s="10" t="s">
        <v>1456</v>
      </c>
      <c r="N830" s="8" t="s">
        <v>87</v>
      </c>
      <c r="O830" s="10" t="s">
        <v>22</v>
      </c>
      <c r="P830" s="8" t="s">
        <v>7305</v>
      </c>
      <c r="Q830" s="10" t="s">
        <v>223</v>
      </c>
      <c r="R830" s="10" t="s">
        <v>1438</v>
      </c>
      <c r="S830" s="8" t="s">
        <v>7306</v>
      </c>
      <c r="T830" s="10" t="s">
        <v>7029</v>
      </c>
      <c r="U830" s="10" t="s">
        <v>87</v>
      </c>
      <c r="V830" s="10" t="s">
        <v>87</v>
      </c>
    </row>
    <row r="831" spans="1:22" s="10" customFormat="1" x14ac:dyDescent="0.25">
      <c r="A831" s="10" t="s">
        <v>7307</v>
      </c>
      <c r="B831" s="10" t="s">
        <v>7021</v>
      </c>
      <c r="C831" s="11" t="s">
        <v>346</v>
      </c>
      <c r="D831" s="10" t="s">
        <v>7308</v>
      </c>
      <c r="E831" s="8" t="s">
        <v>7309</v>
      </c>
      <c r="F831" s="8" t="s">
        <v>7310</v>
      </c>
      <c r="G831" s="10" t="s">
        <v>2647</v>
      </c>
      <c r="H831" s="8" t="s">
        <v>7311</v>
      </c>
      <c r="I831" s="10" t="s">
        <v>7312</v>
      </c>
      <c r="J831" s="8" t="s">
        <v>2862</v>
      </c>
      <c r="K831" s="8" t="s">
        <v>2649</v>
      </c>
      <c r="L831" s="8" t="s">
        <v>7282</v>
      </c>
      <c r="M831" s="10" t="s">
        <v>1436</v>
      </c>
      <c r="N831" s="8" t="s">
        <v>87</v>
      </c>
      <c r="O831" s="10" t="s">
        <v>22</v>
      </c>
      <c r="P831" s="8" t="s">
        <v>7313</v>
      </c>
      <c r="Q831" s="10" t="s">
        <v>223</v>
      </c>
      <c r="R831" s="10" t="s">
        <v>1438</v>
      </c>
      <c r="S831" s="8" t="s">
        <v>7314</v>
      </c>
      <c r="T831" s="10" t="s">
        <v>7029</v>
      </c>
      <c r="U831" s="10" t="s">
        <v>87</v>
      </c>
      <c r="V831" s="10" t="s">
        <v>87</v>
      </c>
    </row>
    <row r="832" spans="1:22" s="10" customFormat="1" x14ac:dyDescent="0.25">
      <c r="A832" s="10" t="s">
        <v>7315</v>
      </c>
      <c r="B832" s="10" t="s">
        <v>7021</v>
      </c>
      <c r="C832" s="11" t="s">
        <v>346</v>
      </c>
      <c r="D832" s="10" t="s">
        <v>7316</v>
      </c>
      <c r="E832" s="8" t="s">
        <v>7317</v>
      </c>
      <c r="F832" s="8" t="s">
        <v>7318</v>
      </c>
      <c r="G832" s="10" t="s">
        <v>3</v>
      </c>
      <c r="H832" s="8" t="s">
        <v>7319</v>
      </c>
      <c r="I832" s="10" t="s">
        <v>7312</v>
      </c>
      <c r="J832" s="8" t="s">
        <v>2862</v>
      </c>
      <c r="K832" s="8" t="s">
        <v>1435</v>
      </c>
      <c r="L832" s="8" t="s">
        <v>7282</v>
      </c>
      <c r="M832" s="10" t="s">
        <v>1436</v>
      </c>
      <c r="N832" s="8" t="s">
        <v>87</v>
      </c>
      <c r="O832" s="10" t="s">
        <v>22</v>
      </c>
      <c r="P832" s="8" t="s">
        <v>7320</v>
      </c>
      <c r="Q832" s="10" t="s">
        <v>239</v>
      </c>
      <c r="R832" s="10" t="s">
        <v>1438</v>
      </c>
      <c r="S832" s="8" t="s">
        <v>4970</v>
      </c>
      <c r="T832" s="10" t="s">
        <v>7029</v>
      </c>
      <c r="U832" s="10" t="s">
        <v>87</v>
      </c>
      <c r="V832" s="10" t="s">
        <v>87</v>
      </c>
    </row>
    <row r="833" spans="1:22" s="10" customFormat="1" x14ac:dyDescent="0.25">
      <c r="A833" s="10" t="s">
        <v>7321</v>
      </c>
      <c r="B833" s="10" t="s">
        <v>7021</v>
      </c>
      <c r="C833" s="11" t="s">
        <v>346</v>
      </c>
      <c r="D833" s="10" t="s">
        <v>7322</v>
      </c>
      <c r="E833" s="8" t="s">
        <v>7323</v>
      </c>
      <c r="F833" s="8" t="s">
        <v>7324</v>
      </c>
      <c r="G833" s="10" t="s">
        <v>3</v>
      </c>
      <c r="H833" s="8" t="s">
        <v>7325</v>
      </c>
      <c r="I833" s="10" t="s">
        <v>7326</v>
      </c>
      <c r="J833" s="8" t="s">
        <v>2862</v>
      </c>
      <c r="K833" s="8" t="s">
        <v>1435</v>
      </c>
      <c r="L833" s="8" t="s">
        <v>7282</v>
      </c>
      <c r="M833" s="10" t="s">
        <v>1436</v>
      </c>
      <c r="N833" s="8" t="s">
        <v>87</v>
      </c>
      <c r="O833" s="10" t="s">
        <v>22</v>
      </c>
      <c r="P833" s="8" t="s">
        <v>7327</v>
      </c>
      <c r="Q833" s="10" t="s">
        <v>246</v>
      </c>
      <c r="R833" s="10" t="s">
        <v>1438</v>
      </c>
      <c r="S833" s="8" t="s">
        <v>7328</v>
      </c>
      <c r="T833" s="10" t="s">
        <v>7029</v>
      </c>
      <c r="U833" s="10" t="s">
        <v>87</v>
      </c>
      <c r="V833" s="10" t="s">
        <v>87</v>
      </c>
    </row>
    <row r="834" spans="1:22" s="10" customFormat="1" x14ac:dyDescent="0.25">
      <c r="A834" s="10" t="s">
        <v>7329</v>
      </c>
      <c r="B834" s="10" t="s">
        <v>7021</v>
      </c>
      <c r="C834" s="10" t="s">
        <v>215</v>
      </c>
      <c r="D834" s="10" t="s">
        <v>7330</v>
      </c>
      <c r="E834" s="8" t="s">
        <v>7331</v>
      </c>
      <c r="F834" s="8" t="s">
        <v>6705</v>
      </c>
      <c r="G834" s="10" t="s">
        <v>4</v>
      </c>
      <c r="H834" s="8" t="s">
        <v>7332</v>
      </c>
      <c r="I834" s="10" t="s">
        <v>7302</v>
      </c>
      <c r="J834" s="8" t="s">
        <v>2862</v>
      </c>
      <c r="K834" s="8" t="s">
        <v>7333</v>
      </c>
      <c r="L834" s="8" t="s">
        <v>7282</v>
      </c>
      <c r="M834" s="10" t="s">
        <v>1456</v>
      </c>
      <c r="N834" s="8" t="s">
        <v>87</v>
      </c>
      <c r="O834" s="10" t="s">
        <v>22</v>
      </c>
      <c r="P834" s="8" t="s">
        <v>7334</v>
      </c>
      <c r="Q834" s="10" t="s">
        <v>223</v>
      </c>
      <c r="R834" s="10" t="s">
        <v>1438</v>
      </c>
      <c r="S834" s="8" t="s">
        <v>7335</v>
      </c>
      <c r="T834" s="10" t="s">
        <v>7029</v>
      </c>
      <c r="U834" s="10" t="s">
        <v>87</v>
      </c>
      <c r="V834" s="10" t="s">
        <v>87</v>
      </c>
    </row>
    <row r="835" spans="1:22" s="10" customFormat="1" x14ac:dyDescent="0.25">
      <c r="A835" s="10" t="s">
        <v>7336</v>
      </c>
      <c r="B835" s="10" t="s">
        <v>7021</v>
      </c>
      <c r="C835" s="11" t="s">
        <v>346</v>
      </c>
      <c r="D835" s="10" t="s">
        <v>7337</v>
      </c>
      <c r="E835" s="8" t="s">
        <v>7338</v>
      </c>
      <c r="F835" s="8" t="s">
        <v>7339</v>
      </c>
      <c r="G835" s="10" t="s">
        <v>4</v>
      </c>
      <c r="H835" s="8" t="s">
        <v>1653</v>
      </c>
      <c r="I835" s="10" t="s">
        <v>7340</v>
      </c>
      <c r="J835" s="8" t="s">
        <v>1655</v>
      </c>
      <c r="K835" s="8" t="s">
        <v>1873</v>
      </c>
      <c r="L835" s="8" t="s">
        <v>7282</v>
      </c>
      <c r="M835" s="10" t="s">
        <v>1456</v>
      </c>
      <c r="N835" s="8" t="s">
        <v>87</v>
      </c>
      <c r="O835" s="10" t="s">
        <v>22</v>
      </c>
      <c r="P835" s="8" t="s">
        <v>7341</v>
      </c>
      <c r="Q835" s="10" t="s">
        <v>1447</v>
      </c>
      <c r="R835" s="10" t="s">
        <v>1657</v>
      </c>
      <c r="S835" s="8" t="s">
        <v>7342</v>
      </c>
      <c r="T835" s="10" t="s">
        <v>7029</v>
      </c>
      <c r="U835" s="10" t="s">
        <v>87</v>
      </c>
      <c r="V835" s="10" t="s">
        <v>87</v>
      </c>
    </row>
    <row r="836" spans="1:22" s="10" customFormat="1" x14ac:dyDescent="0.25">
      <c r="A836" s="10" t="s">
        <v>7343</v>
      </c>
      <c r="B836" s="10" t="s">
        <v>7021</v>
      </c>
      <c r="C836" s="11" t="s">
        <v>346</v>
      </c>
      <c r="D836" s="10" t="s">
        <v>7344</v>
      </c>
      <c r="E836" s="8" t="s">
        <v>7345</v>
      </c>
      <c r="F836" s="8" t="s">
        <v>1662</v>
      </c>
      <c r="G836" s="10" t="s">
        <v>3</v>
      </c>
      <c r="H836" s="8" t="s">
        <v>7346</v>
      </c>
      <c r="I836" s="10" t="s">
        <v>7347</v>
      </c>
      <c r="J836" s="8" t="s">
        <v>1664</v>
      </c>
      <c r="K836" s="8" t="s">
        <v>1435</v>
      </c>
      <c r="L836" s="8" t="s">
        <v>7348</v>
      </c>
      <c r="M836" s="10" t="s">
        <v>1436</v>
      </c>
      <c r="N836" s="8" t="s">
        <v>87</v>
      </c>
      <c r="O836" s="10" t="s">
        <v>22</v>
      </c>
      <c r="P836" s="8" t="s">
        <v>7349</v>
      </c>
      <c r="Q836" s="10" t="s">
        <v>825</v>
      </c>
      <c r="R836" s="10" t="s">
        <v>7350</v>
      </c>
      <c r="S836" s="8" t="s">
        <v>1669</v>
      </c>
      <c r="T836" s="10" t="s">
        <v>7029</v>
      </c>
      <c r="U836" s="10" t="s">
        <v>87</v>
      </c>
      <c r="V836" s="10" t="s">
        <v>87</v>
      </c>
    </row>
    <row r="837" spans="1:22" s="10" customFormat="1" x14ac:dyDescent="0.25">
      <c r="A837" s="10" t="s">
        <v>7351</v>
      </c>
      <c r="B837" s="10" t="s">
        <v>7021</v>
      </c>
      <c r="C837" s="10" t="s">
        <v>215</v>
      </c>
      <c r="D837" s="10" t="s">
        <v>7352</v>
      </c>
      <c r="E837" s="8" t="s">
        <v>7353</v>
      </c>
      <c r="F837" s="8" t="s">
        <v>7354</v>
      </c>
      <c r="G837" s="10" t="s">
        <v>3</v>
      </c>
      <c r="H837" s="8" t="s">
        <v>7355</v>
      </c>
      <c r="I837" s="10" t="s">
        <v>7356</v>
      </c>
      <c r="J837" s="8" t="s">
        <v>2862</v>
      </c>
      <c r="K837" s="8" t="s">
        <v>1435</v>
      </c>
      <c r="L837" s="8" t="s">
        <v>87</v>
      </c>
      <c r="M837" s="10" t="s">
        <v>1436</v>
      </c>
      <c r="N837" s="8" t="s">
        <v>87</v>
      </c>
      <c r="O837" s="10" t="s">
        <v>22</v>
      </c>
      <c r="P837" s="8" t="s">
        <v>7357</v>
      </c>
      <c r="Q837" s="10" t="s">
        <v>223</v>
      </c>
      <c r="R837" s="10" t="s">
        <v>1438</v>
      </c>
      <c r="S837" s="8" t="s">
        <v>7358</v>
      </c>
      <c r="T837" s="10" t="s">
        <v>7029</v>
      </c>
      <c r="U837" s="10" t="s">
        <v>87</v>
      </c>
      <c r="V837" s="10" t="s">
        <v>87</v>
      </c>
    </row>
    <row r="838" spans="1:22" s="10" customFormat="1" x14ac:dyDescent="0.25">
      <c r="A838" s="10" t="s">
        <v>7359</v>
      </c>
      <c r="B838" s="10" t="s">
        <v>7021</v>
      </c>
      <c r="C838" s="11" t="s">
        <v>346</v>
      </c>
      <c r="D838" s="10" t="s">
        <v>7360</v>
      </c>
      <c r="E838" s="8" t="s">
        <v>7361</v>
      </c>
      <c r="F838" s="8" t="s">
        <v>4867</v>
      </c>
      <c r="G838" s="10" t="s">
        <v>3</v>
      </c>
      <c r="H838" s="8" t="s">
        <v>7355</v>
      </c>
      <c r="I838" s="10" t="s">
        <v>7362</v>
      </c>
      <c r="J838" s="8" t="s">
        <v>2862</v>
      </c>
      <c r="K838" s="8" t="s">
        <v>1435</v>
      </c>
      <c r="L838" s="8" t="s">
        <v>87</v>
      </c>
      <c r="M838" s="10" t="s">
        <v>1436</v>
      </c>
      <c r="N838" s="8" t="s">
        <v>87</v>
      </c>
      <c r="O838" s="10" t="s">
        <v>22</v>
      </c>
      <c r="P838" s="8" t="s">
        <v>7363</v>
      </c>
      <c r="Q838" s="10" t="s">
        <v>223</v>
      </c>
      <c r="R838" s="10" t="s">
        <v>1438</v>
      </c>
      <c r="S838" s="8" t="s">
        <v>7364</v>
      </c>
      <c r="T838" s="10" t="s">
        <v>7029</v>
      </c>
      <c r="U838" s="10" t="s">
        <v>87</v>
      </c>
      <c r="V838" s="10" t="s">
        <v>87</v>
      </c>
    </row>
    <row r="839" spans="1:22" s="10" customFormat="1" x14ac:dyDescent="0.25">
      <c r="A839" s="10" t="s">
        <v>7365</v>
      </c>
      <c r="B839" s="10" t="s">
        <v>7021</v>
      </c>
      <c r="C839" s="11" t="s">
        <v>346</v>
      </c>
      <c r="D839" s="10" t="s">
        <v>7366</v>
      </c>
      <c r="E839" s="8" t="s">
        <v>7367</v>
      </c>
      <c r="F839" s="8" t="s">
        <v>7368</v>
      </c>
      <c r="G839" s="10" t="s">
        <v>3</v>
      </c>
      <c r="H839" s="8" t="s">
        <v>7369</v>
      </c>
      <c r="I839" s="10" t="s">
        <v>7370</v>
      </c>
      <c r="J839" s="8" t="s">
        <v>2862</v>
      </c>
      <c r="K839" s="8" t="s">
        <v>1435</v>
      </c>
      <c r="L839" s="8" t="s">
        <v>87</v>
      </c>
      <c r="M839" s="10" t="s">
        <v>1436</v>
      </c>
      <c r="N839" s="8" t="s">
        <v>87</v>
      </c>
      <c r="O839" s="10" t="s">
        <v>22</v>
      </c>
      <c r="P839" s="8" t="s">
        <v>7371</v>
      </c>
      <c r="Q839" s="10" t="s">
        <v>239</v>
      </c>
      <c r="R839" s="10" t="s">
        <v>1438</v>
      </c>
      <c r="S839" s="8" t="s">
        <v>4970</v>
      </c>
      <c r="T839" s="10" t="s">
        <v>7029</v>
      </c>
      <c r="U839" s="10" t="s">
        <v>87</v>
      </c>
      <c r="V839" s="10" t="s">
        <v>87</v>
      </c>
    </row>
    <row r="840" spans="1:22" s="10" customFormat="1" x14ac:dyDescent="0.25">
      <c r="A840" s="10" t="s">
        <v>7372</v>
      </c>
      <c r="B840" s="10" t="s">
        <v>7021</v>
      </c>
      <c r="C840" s="10" t="s">
        <v>215</v>
      </c>
      <c r="D840" s="10" t="s">
        <v>7373</v>
      </c>
      <c r="E840" s="8" t="s">
        <v>7374</v>
      </c>
      <c r="F840" s="8" t="s">
        <v>7375</v>
      </c>
      <c r="G840" s="10" t="s">
        <v>3</v>
      </c>
      <c r="H840" s="8" t="s">
        <v>7376</v>
      </c>
      <c r="I840" s="10" t="s">
        <v>7377</v>
      </c>
      <c r="J840" s="8" t="s">
        <v>2862</v>
      </c>
      <c r="K840" s="8" t="s">
        <v>1435</v>
      </c>
      <c r="L840" s="8" t="s">
        <v>87</v>
      </c>
      <c r="M840" s="10" t="s">
        <v>1436</v>
      </c>
      <c r="N840" s="8" t="s">
        <v>87</v>
      </c>
      <c r="O840" s="10" t="s">
        <v>22</v>
      </c>
      <c r="P840" s="8" t="s">
        <v>7378</v>
      </c>
      <c r="Q840" s="10" t="s">
        <v>223</v>
      </c>
      <c r="R840" s="10" t="s">
        <v>1438</v>
      </c>
      <c r="S840" s="8" t="s">
        <v>7379</v>
      </c>
      <c r="T840" s="10" t="s">
        <v>7029</v>
      </c>
      <c r="U840" s="10" t="s">
        <v>87</v>
      </c>
      <c r="V840" s="10" t="s">
        <v>87</v>
      </c>
    </row>
    <row r="841" spans="1:22" s="10" customFormat="1" x14ac:dyDescent="0.25">
      <c r="A841" s="10" t="s">
        <v>7380</v>
      </c>
      <c r="B841" s="10" t="s">
        <v>7021</v>
      </c>
      <c r="C841" s="10" t="s">
        <v>215</v>
      </c>
      <c r="D841" s="10" t="s">
        <v>7381</v>
      </c>
      <c r="E841" s="8" t="s">
        <v>7382</v>
      </c>
      <c r="F841" s="8" t="s">
        <v>7383</v>
      </c>
      <c r="G841" s="10" t="s">
        <v>4</v>
      </c>
      <c r="H841" s="8" t="s">
        <v>7384</v>
      </c>
      <c r="I841" s="10" t="s">
        <v>7370</v>
      </c>
      <c r="J841" s="8" t="s">
        <v>2862</v>
      </c>
      <c r="K841" s="8" t="s">
        <v>7385</v>
      </c>
      <c r="L841" s="8" t="s">
        <v>87</v>
      </c>
      <c r="M841" s="10" t="s">
        <v>1456</v>
      </c>
      <c r="N841" s="8" t="s">
        <v>87</v>
      </c>
      <c r="O841" s="10" t="s">
        <v>22</v>
      </c>
      <c r="P841" s="8" t="s">
        <v>7386</v>
      </c>
      <c r="Q841" s="10" t="s">
        <v>239</v>
      </c>
      <c r="R841" s="10" t="s">
        <v>1438</v>
      </c>
      <c r="S841" s="8" t="s">
        <v>7387</v>
      </c>
      <c r="T841" s="10" t="s">
        <v>7029</v>
      </c>
      <c r="U841" s="10" t="s">
        <v>87</v>
      </c>
      <c r="V841" s="10" t="s">
        <v>87</v>
      </c>
    </row>
    <row r="842" spans="1:22" s="10" customFormat="1" x14ac:dyDescent="0.25">
      <c r="A842" s="10" t="s">
        <v>7388</v>
      </c>
      <c r="B842" s="10" t="s">
        <v>7021</v>
      </c>
      <c r="C842" s="10" t="s">
        <v>215</v>
      </c>
      <c r="D842" s="10" t="s">
        <v>7389</v>
      </c>
      <c r="E842" s="8" t="s">
        <v>7390</v>
      </c>
      <c r="F842" s="8" t="s">
        <v>7268</v>
      </c>
      <c r="G842" s="10" t="s">
        <v>3</v>
      </c>
      <c r="H842" s="8" t="s">
        <v>7355</v>
      </c>
      <c r="I842" s="10" t="s">
        <v>7377</v>
      </c>
      <c r="J842" s="8" t="s">
        <v>2862</v>
      </c>
      <c r="K842" s="8" t="s">
        <v>1435</v>
      </c>
      <c r="L842" s="8" t="s">
        <v>87</v>
      </c>
      <c r="M842" s="10" t="s">
        <v>1436</v>
      </c>
      <c r="N842" s="8" t="s">
        <v>87</v>
      </c>
      <c r="O842" s="10" t="s">
        <v>22</v>
      </c>
      <c r="P842" s="8" t="s">
        <v>7391</v>
      </c>
      <c r="Q842" s="10" t="s">
        <v>223</v>
      </c>
      <c r="R842" s="10" t="s">
        <v>1438</v>
      </c>
      <c r="S842" s="8" t="s">
        <v>7392</v>
      </c>
      <c r="T842" s="10" t="s">
        <v>7029</v>
      </c>
      <c r="U842" s="10" t="s">
        <v>87</v>
      </c>
      <c r="V842" s="10" t="s">
        <v>87</v>
      </c>
    </row>
    <row r="843" spans="1:22" s="10" customFormat="1" x14ac:dyDescent="0.25">
      <c r="A843" s="10" t="s">
        <v>7393</v>
      </c>
      <c r="B843" s="10" t="s">
        <v>7021</v>
      </c>
      <c r="C843" s="11" t="s">
        <v>346</v>
      </c>
      <c r="D843" s="10" t="s">
        <v>7394</v>
      </c>
      <c r="E843" s="8" t="s">
        <v>7395</v>
      </c>
      <c r="F843" s="8" t="s">
        <v>7396</v>
      </c>
      <c r="G843" s="10" t="s">
        <v>4</v>
      </c>
      <c r="H843" s="8" t="s">
        <v>1653</v>
      </c>
      <c r="I843" s="10" t="s">
        <v>7397</v>
      </c>
      <c r="J843" s="8" t="s">
        <v>1655</v>
      </c>
      <c r="K843" s="8" t="s">
        <v>1873</v>
      </c>
      <c r="L843" s="8" t="s">
        <v>87</v>
      </c>
      <c r="M843" s="10" t="s">
        <v>1456</v>
      </c>
      <c r="N843" s="8" t="s">
        <v>87</v>
      </c>
      <c r="O843" s="10" t="s">
        <v>22</v>
      </c>
      <c r="P843" s="8" t="s">
        <v>7398</v>
      </c>
      <c r="Q843" s="10" t="s">
        <v>1447</v>
      </c>
      <c r="R843" s="10" t="s">
        <v>1657</v>
      </c>
      <c r="S843" s="8" t="s">
        <v>5220</v>
      </c>
      <c r="T843" s="10" t="s">
        <v>7029</v>
      </c>
      <c r="U843" s="10" t="s">
        <v>87</v>
      </c>
      <c r="V843" s="10" t="s">
        <v>87</v>
      </c>
    </row>
    <row r="844" spans="1:22" s="10" customFormat="1" x14ac:dyDescent="0.25">
      <c r="A844" s="10" t="s">
        <v>7399</v>
      </c>
      <c r="B844" s="10" t="s">
        <v>7021</v>
      </c>
      <c r="C844" s="10" t="s">
        <v>215</v>
      </c>
      <c r="D844" s="10" t="s">
        <v>7400</v>
      </c>
      <c r="E844" s="8" t="s">
        <v>7401</v>
      </c>
      <c r="F844" s="8" t="s">
        <v>7402</v>
      </c>
      <c r="G844" s="10" t="s">
        <v>3</v>
      </c>
      <c r="H844" s="8" t="s">
        <v>7355</v>
      </c>
      <c r="I844" s="10" t="s">
        <v>7370</v>
      </c>
      <c r="J844" s="8" t="s">
        <v>2862</v>
      </c>
      <c r="K844" s="8" t="s">
        <v>1435</v>
      </c>
      <c r="L844" s="8" t="s">
        <v>87</v>
      </c>
      <c r="M844" s="10" t="s">
        <v>1436</v>
      </c>
      <c r="N844" s="8" t="s">
        <v>87</v>
      </c>
      <c r="O844" s="10" t="s">
        <v>22</v>
      </c>
      <c r="P844" s="8" t="s">
        <v>7403</v>
      </c>
      <c r="Q844" s="10" t="s">
        <v>223</v>
      </c>
      <c r="R844" s="10" t="s">
        <v>1438</v>
      </c>
      <c r="S844" s="8" t="s">
        <v>1648</v>
      </c>
      <c r="T844" s="10" t="s">
        <v>7029</v>
      </c>
      <c r="U844" s="10" t="s">
        <v>87</v>
      </c>
      <c r="V844" s="10" t="s">
        <v>87</v>
      </c>
    </row>
    <row r="845" spans="1:22" s="10" customFormat="1" x14ac:dyDescent="0.25">
      <c r="A845" s="10" t="s">
        <v>7404</v>
      </c>
      <c r="B845" s="10" t="s">
        <v>7021</v>
      </c>
      <c r="C845" s="10" t="s">
        <v>215</v>
      </c>
      <c r="D845" s="10" t="s">
        <v>7405</v>
      </c>
      <c r="E845" s="8" t="s">
        <v>7406</v>
      </c>
      <c r="F845" s="8" t="s">
        <v>7407</v>
      </c>
      <c r="G845" s="10" t="s">
        <v>3</v>
      </c>
      <c r="H845" s="8" t="s">
        <v>7408</v>
      </c>
      <c r="I845" s="10" t="s">
        <v>7409</v>
      </c>
      <c r="J845" s="8" t="s">
        <v>2862</v>
      </c>
      <c r="K845" s="8" t="s">
        <v>1435</v>
      </c>
      <c r="L845" s="8" t="s">
        <v>87</v>
      </c>
      <c r="M845" s="10" t="s">
        <v>1436</v>
      </c>
      <c r="N845" s="8" t="s">
        <v>87</v>
      </c>
      <c r="O845" s="10" t="s">
        <v>22</v>
      </c>
      <c r="P845" s="8" t="s">
        <v>7410</v>
      </c>
      <c r="Q845" s="10" t="s">
        <v>223</v>
      </c>
      <c r="R845" s="10" t="s">
        <v>1438</v>
      </c>
      <c r="S845" s="8" t="s">
        <v>7411</v>
      </c>
      <c r="T845" s="10" t="s">
        <v>7029</v>
      </c>
      <c r="U845" s="10" t="s">
        <v>87</v>
      </c>
      <c r="V845" s="10" t="s">
        <v>87</v>
      </c>
    </row>
    <row r="846" spans="1:22" s="10" customFormat="1" x14ac:dyDescent="0.25">
      <c r="A846" s="10" t="s">
        <v>7412</v>
      </c>
      <c r="B846" s="10" t="s">
        <v>7021</v>
      </c>
      <c r="C846" s="11" t="s">
        <v>346</v>
      </c>
      <c r="D846" s="10" t="s">
        <v>7413</v>
      </c>
      <c r="E846" s="8" t="s">
        <v>7414</v>
      </c>
      <c r="F846" s="8" t="s">
        <v>7415</v>
      </c>
      <c r="G846" s="10" t="s">
        <v>4</v>
      </c>
      <c r="H846" s="8" t="s">
        <v>7408</v>
      </c>
      <c r="I846" s="10" t="s">
        <v>7409</v>
      </c>
      <c r="J846" s="8" t="s">
        <v>2862</v>
      </c>
      <c r="K846" s="8" t="s">
        <v>1873</v>
      </c>
      <c r="L846" s="8" t="s">
        <v>87</v>
      </c>
      <c r="M846" s="10" t="s">
        <v>1456</v>
      </c>
      <c r="N846" s="8" t="s">
        <v>87</v>
      </c>
      <c r="O846" s="10" t="s">
        <v>22</v>
      </c>
      <c r="P846" s="8" t="s">
        <v>7416</v>
      </c>
      <c r="Q846" s="10" t="s">
        <v>223</v>
      </c>
      <c r="R846" s="10" t="s">
        <v>1438</v>
      </c>
      <c r="S846" s="8" t="s">
        <v>7417</v>
      </c>
      <c r="T846" s="10" t="s">
        <v>7029</v>
      </c>
      <c r="U846" s="10" t="s">
        <v>87</v>
      </c>
      <c r="V846" s="10" t="s">
        <v>87</v>
      </c>
    </row>
    <row r="847" spans="1:22" s="10" customFormat="1" x14ac:dyDescent="0.25">
      <c r="A847" s="10" t="s">
        <v>7418</v>
      </c>
      <c r="B847" s="10" t="s">
        <v>7021</v>
      </c>
      <c r="C847" s="11" t="s">
        <v>346</v>
      </c>
      <c r="D847" s="10" t="s">
        <v>7419</v>
      </c>
      <c r="E847" s="8" t="s">
        <v>7420</v>
      </c>
      <c r="F847" s="8" t="s">
        <v>7421</v>
      </c>
      <c r="G847" s="10" t="s">
        <v>2647</v>
      </c>
      <c r="H847" s="8" t="s">
        <v>7408</v>
      </c>
      <c r="I847" s="10" t="s">
        <v>7409</v>
      </c>
      <c r="J847" s="8" t="s">
        <v>2862</v>
      </c>
      <c r="K847" s="8" t="s">
        <v>2649</v>
      </c>
      <c r="L847" s="8" t="s">
        <v>87</v>
      </c>
      <c r="M847" s="10" t="s">
        <v>1436</v>
      </c>
      <c r="N847" s="8" t="s">
        <v>87</v>
      </c>
      <c r="O847" s="10" t="s">
        <v>22</v>
      </c>
      <c r="P847" s="8" t="s">
        <v>7422</v>
      </c>
      <c r="Q847" s="10" t="s">
        <v>246</v>
      </c>
      <c r="R847" s="10" t="s">
        <v>1438</v>
      </c>
      <c r="S847" s="8" t="s">
        <v>7423</v>
      </c>
      <c r="T847" s="10" t="s">
        <v>7029</v>
      </c>
      <c r="U847" s="10" t="s">
        <v>87</v>
      </c>
      <c r="V847" s="10" t="s">
        <v>87</v>
      </c>
    </row>
    <row r="848" spans="1:22" s="10" customFormat="1" x14ac:dyDescent="0.25">
      <c r="A848" s="10" t="s">
        <v>7424</v>
      </c>
      <c r="B848" s="10" t="s">
        <v>7021</v>
      </c>
      <c r="C848" s="10" t="s">
        <v>215</v>
      </c>
      <c r="D848" s="10" t="s">
        <v>7425</v>
      </c>
      <c r="E848" s="8" t="s">
        <v>7426</v>
      </c>
      <c r="F848" s="8" t="s">
        <v>7427</v>
      </c>
      <c r="G848" s="10" t="s">
        <v>4</v>
      </c>
      <c r="H848" s="8" t="s">
        <v>7428</v>
      </c>
      <c r="I848" s="10" t="s">
        <v>7409</v>
      </c>
      <c r="J848" s="8" t="s">
        <v>2862</v>
      </c>
      <c r="K848" s="8" t="s">
        <v>1873</v>
      </c>
      <c r="L848" s="8" t="s">
        <v>87</v>
      </c>
      <c r="M848" s="10" t="s">
        <v>1456</v>
      </c>
      <c r="N848" s="8" t="s">
        <v>87</v>
      </c>
      <c r="O848" s="10" t="s">
        <v>22</v>
      </c>
      <c r="P848" s="8" t="s">
        <v>7429</v>
      </c>
      <c r="Q848" s="10" t="s">
        <v>239</v>
      </c>
      <c r="R848" s="10" t="s">
        <v>1438</v>
      </c>
      <c r="S848" s="8" t="s">
        <v>7430</v>
      </c>
      <c r="T848" s="10" t="s">
        <v>7029</v>
      </c>
      <c r="U848" s="10" t="s">
        <v>87</v>
      </c>
      <c r="V848" s="10" t="s">
        <v>87</v>
      </c>
    </row>
    <row r="849" spans="1:22" s="10" customFormat="1" x14ac:dyDescent="0.25">
      <c r="A849" s="10" t="s">
        <v>7431</v>
      </c>
      <c r="B849" s="10" t="s">
        <v>7021</v>
      </c>
      <c r="C849" s="11" t="s">
        <v>346</v>
      </c>
      <c r="D849" s="10" t="s">
        <v>7432</v>
      </c>
      <c r="E849" s="8" t="s">
        <v>7433</v>
      </c>
      <c r="F849" s="8" t="s">
        <v>7434</v>
      </c>
      <c r="G849" s="10" t="s">
        <v>2647</v>
      </c>
      <c r="H849" s="8" t="s">
        <v>7408</v>
      </c>
      <c r="I849" s="10" t="s">
        <v>7409</v>
      </c>
      <c r="J849" s="8" t="s">
        <v>2862</v>
      </c>
      <c r="K849" s="8" t="s">
        <v>2649</v>
      </c>
      <c r="L849" s="8" t="s">
        <v>87</v>
      </c>
      <c r="M849" s="10" t="s">
        <v>1436</v>
      </c>
      <c r="N849" s="8" t="s">
        <v>87</v>
      </c>
      <c r="O849" s="10" t="s">
        <v>22</v>
      </c>
      <c r="P849" s="8" t="s">
        <v>7435</v>
      </c>
      <c r="Q849" s="10" t="s">
        <v>223</v>
      </c>
      <c r="R849" s="10" t="s">
        <v>1438</v>
      </c>
      <c r="S849" s="8" t="s">
        <v>7436</v>
      </c>
      <c r="T849" s="10" t="s">
        <v>7029</v>
      </c>
      <c r="U849" s="10" t="s">
        <v>87</v>
      </c>
      <c r="V849" s="10" t="s">
        <v>87</v>
      </c>
    </row>
    <row r="850" spans="1:22" s="10" customFormat="1" x14ac:dyDescent="0.25">
      <c r="A850" s="10" t="s">
        <v>7437</v>
      </c>
      <c r="B850" s="10" t="s">
        <v>7021</v>
      </c>
      <c r="C850" s="11" t="s">
        <v>346</v>
      </c>
      <c r="D850" s="10" t="s">
        <v>7438</v>
      </c>
      <c r="E850" s="8" t="s">
        <v>7439</v>
      </c>
      <c r="F850" s="8" t="s">
        <v>7440</v>
      </c>
      <c r="G850" s="10" t="s">
        <v>4</v>
      </c>
      <c r="H850" s="8" t="s">
        <v>7408</v>
      </c>
      <c r="I850" s="10" t="s">
        <v>7409</v>
      </c>
      <c r="J850" s="8" t="s">
        <v>2862</v>
      </c>
      <c r="K850" s="8" t="s">
        <v>1873</v>
      </c>
      <c r="L850" s="8" t="s">
        <v>87</v>
      </c>
      <c r="M850" s="10" t="s">
        <v>1456</v>
      </c>
      <c r="N850" s="8" t="s">
        <v>87</v>
      </c>
      <c r="O850" s="10" t="s">
        <v>22</v>
      </c>
      <c r="P850" s="8" t="s">
        <v>7441</v>
      </c>
      <c r="Q850" s="10" t="s">
        <v>1447</v>
      </c>
      <c r="R850" s="10" t="s">
        <v>1438</v>
      </c>
      <c r="S850" s="8" t="s">
        <v>7442</v>
      </c>
      <c r="T850" s="10" t="s">
        <v>7029</v>
      </c>
      <c r="U850" s="10" t="s">
        <v>87</v>
      </c>
      <c r="V850" s="10" t="s">
        <v>87</v>
      </c>
    </row>
    <row r="851" spans="1:22" s="10" customFormat="1" x14ac:dyDescent="0.25">
      <c r="A851" s="10" t="s">
        <v>7443</v>
      </c>
      <c r="B851" s="10" t="s">
        <v>7021</v>
      </c>
      <c r="C851" s="10" t="s">
        <v>215</v>
      </c>
      <c r="D851" s="10" t="s">
        <v>7444</v>
      </c>
      <c r="E851" s="8" t="s">
        <v>7445</v>
      </c>
      <c r="F851" s="8" t="s">
        <v>7446</v>
      </c>
      <c r="G851" s="10" t="s">
        <v>2647</v>
      </c>
      <c r="H851" s="8" t="s">
        <v>7408</v>
      </c>
      <c r="I851" s="10" t="s">
        <v>1013</v>
      </c>
      <c r="J851" s="8" t="s">
        <v>2862</v>
      </c>
      <c r="K851" s="8" t="s">
        <v>2649</v>
      </c>
      <c r="L851" s="8" t="s">
        <v>87</v>
      </c>
      <c r="M851" s="10" t="s">
        <v>1436</v>
      </c>
      <c r="N851" s="8" t="s">
        <v>87</v>
      </c>
      <c r="O851" s="10" t="s">
        <v>22</v>
      </c>
      <c r="P851" s="8" t="s">
        <v>7447</v>
      </c>
      <c r="Q851" s="10" t="s">
        <v>223</v>
      </c>
      <c r="R851" s="10" t="s">
        <v>1438</v>
      </c>
      <c r="S851" s="8" t="s">
        <v>2345</v>
      </c>
      <c r="T851" s="10" t="s">
        <v>7029</v>
      </c>
      <c r="U851" s="10" t="s">
        <v>87</v>
      </c>
      <c r="V851" s="10" t="s">
        <v>87</v>
      </c>
    </row>
    <row r="852" spans="1:22" s="10" customFormat="1" x14ac:dyDescent="0.25">
      <c r="A852" s="10" t="s">
        <v>7448</v>
      </c>
      <c r="B852" s="10" t="s">
        <v>7021</v>
      </c>
      <c r="C852" s="11" t="s">
        <v>346</v>
      </c>
      <c r="D852" s="10" t="s">
        <v>7449</v>
      </c>
      <c r="E852" s="8" t="s">
        <v>7450</v>
      </c>
      <c r="F852" s="8" t="s">
        <v>7451</v>
      </c>
      <c r="G852" s="10" t="s">
        <v>4</v>
      </c>
      <c r="H852" s="8" t="s">
        <v>1653</v>
      </c>
      <c r="I852" s="10" t="s">
        <v>7452</v>
      </c>
      <c r="J852" s="8" t="s">
        <v>1655</v>
      </c>
      <c r="K852" s="8" t="s">
        <v>1873</v>
      </c>
      <c r="L852" s="8" t="s">
        <v>87</v>
      </c>
      <c r="M852" s="10" t="s">
        <v>1456</v>
      </c>
      <c r="N852" s="8" t="s">
        <v>87</v>
      </c>
      <c r="O852" s="10" t="s">
        <v>22</v>
      </c>
      <c r="P852" s="8" t="s">
        <v>7453</v>
      </c>
      <c r="Q852" s="10" t="s">
        <v>1447</v>
      </c>
      <c r="R852" s="10" t="s">
        <v>1657</v>
      </c>
      <c r="S852" s="8" t="s">
        <v>7454</v>
      </c>
      <c r="T852" s="10" t="s">
        <v>7029</v>
      </c>
      <c r="U852" s="10" t="s">
        <v>87</v>
      </c>
      <c r="V852" s="10" t="s">
        <v>87</v>
      </c>
    </row>
    <row r="853" spans="1:22" s="10" customFormat="1" x14ac:dyDescent="0.25">
      <c r="A853" s="10" t="s">
        <v>7455</v>
      </c>
      <c r="B853" s="10" t="s">
        <v>7021</v>
      </c>
      <c r="C853" s="11" t="s">
        <v>346</v>
      </c>
      <c r="D853" s="10" t="s">
        <v>7456</v>
      </c>
      <c r="E853" s="8" t="s">
        <v>7457</v>
      </c>
      <c r="F853" s="8" t="s">
        <v>1662</v>
      </c>
      <c r="G853" s="10" t="s">
        <v>3</v>
      </c>
      <c r="H853" s="8" t="s">
        <v>2185</v>
      </c>
      <c r="I853" s="10" t="s">
        <v>7409</v>
      </c>
      <c r="J853" s="8" t="s">
        <v>1664</v>
      </c>
      <c r="K853" s="8" t="s">
        <v>1435</v>
      </c>
      <c r="L853" s="8" t="s">
        <v>87</v>
      </c>
      <c r="M853" s="10" t="s">
        <v>1436</v>
      </c>
      <c r="N853" s="8" t="s">
        <v>87</v>
      </c>
      <c r="O853" s="10" t="s">
        <v>22</v>
      </c>
      <c r="P853" s="8" t="s">
        <v>7458</v>
      </c>
      <c r="Q853" s="10" t="s">
        <v>825</v>
      </c>
      <c r="R853" s="10" t="s">
        <v>2188</v>
      </c>
      <c r="S853" s="8" t="s">
        <v>1669</v>
      </c>
      <c r="T853" s="10" t="s">
        <v>7029</v>
      </c>
      <c r="U853" s="10" t="s">
        <v>87</v>
      </c>
      <c r="V853" s="10" t="s">
        <v>87</v>
      </c>
    </row>
    <row r="854" spans="1:22" s="10" customFormat="1" x14ac:dyDescent="0.25">
      <c r="A854" s="10" t="s">
        <v>7459</v>
      </c>
      <c r="B854" s="10" t="s">
        <v>7021</v>
      </c>
      <c r="C854" s="10" t="s">
        <v>215</v>
      </c>
      <c r="D854" s="10" t="s">
        <v>7460</v>
      </c>
      <c r="E854" s="8" t="s">
        <v>7461</v>
      </c>
      <c r="F854" s="8" t="s">
        <v>7462</v>
      </c>
      <c r="G854" s="10" t="s">
        <v>4</v>
      </c>
      <c r="H854" s="8" t="s">
        <v>7408</v>
      </c>
      <c r="I854" s="10" t="s">
        <v>7409</v>
      </c>
      <c r="J854" s="8" t="s">
        <v>2862</v>
      </c>
      <c r="K854" s="8" t="s">
        <v>1873</v>
      </c>
      <c r="L854" s="8" t="s">
        <v>87</v>
      </c>
      <c r="M854" s="10" t="s">
        <v>1436</v>
      </c>
      <c r="N854" s="8" t="s">
        <v>87</v>
      </c>
      <c r="O854" s="10" t="s">
        <v>22</v>
      </c>
      <c r="P854" s="8" t="s">
        <v>7463</v>
      </c>
      <c r="Q854" s="10" t="s">
        <v>223</v>
      </c>
      <c r="R854" s="10" t="s">
        <v>1438</v>
      </c>
      <c r="S854" s="8" t="s">
        <v>1648</v>
      </c>
      <c r="T854" s="10" t="s">
        <v>7029</v>
      </c>
      <c r="U854" s="10" t="s">
        <v>87</v>
      </c>
      <c r="V854" s="10" t="s">
        <v>87</v>
      </c>
    </row>
    <row r="855" spans="1:22" s="10" customFormat="1" x14ac:dyDescent="0.25">
      <c r="A855" s="10" t="s">
        <v>7464</v>
      </c>
      <c r="B855" s="10" t="s">
        <v>7021</v>
      </c>
      <c r="C855" s="10" t="s">
        <v>215</v>
      </c>
      <c r="D855" s="10" t="s">
        <v>7465</v>
      </c>
      <c r="E855" s="8" t="s">
        <v>7466</v>
      </c>
      <c r="F855" s="8" t="s">
        <v>7467</v>
      </c>
      <c r="G855" s="10" t="s">
        <v>4</v>
      </c>
      <c r="H855" s="8" t="s">
        <v>7468</v>
      </c>
      <c r="I855" s="10" t="s">
        <v>7409</v>
      </c>
      <c r="J855" s="8" t="s">
        <v>2862</v>
      </c>
      <c r="K855" s="8" t="s">
        <v>7469</v>
      </c>
      <c r="L855" s="8" t="s">
        <v>2696</v>
      </c>
      <c r="M855" s="10" t="s">
        <v>1456</v>
      </c>
      <c r="N855" s="8" t="s">
        <v>87</v>
      </c>
      <c r="O855" s="10" t="s">
        <v>22</v>
      </c>
      <c r="P855" s="8" t="s">
        <v>7470</v>
      </c>
      <c r="Q855" s="10" t="s">
        <v>223</v>
      </c>
      <c r="R855" s="10" t="s">
        <v>1438</v>
      </c>
      <c r="S855" s="8" t="s">
        <v>7471</v>
      </c>
      <c r="T855" s="10" t="s">
        <v>7029</v>
      </c>
      <c r="U855" s="10" t="s">
        <v>87</v>
      </c>
      <c r="V855" s="10" t="s">
        <v>87</v>
      </c>
    </row>
    <row r="856" spans="1:22" s="10" customFormat="1" x14ac:dyDescent="0.25">
      <c r="A856" s="10" t="s">
        <v>7472</v>
      </c>
      <c r="B856" s="10" t="s">
        <v>7021</v>
      </c>
      <c r="C856" s="11" t="s">
        <v>346</v>
      </c>
      <c r="D856" s="10" t="s">
        <v>7473</v>
      </c>
      <c r="E856" s="8" t="s">
        <v>7474</v>
      </c>
      <c r="F856" s="8" t="s">
        <v>7475</v>
      </c>
      <c r="G856" s="10" t="s">
        <v>4</v>
      </c>
      <c r="H856" s="8" t="s">
        <v>7468</v>
      </c>
      <c r="I856" s="10" t="s">
        <v>1013</v>
      </c>
      <c r="J856" s="8" t="s">
        <v>2862</v>
      </c>
      <c r="K856" s="8" t="s">
        <v>1873</v>
      </c>
      <c r="L856" s="8" t="s">
        <v>2696</v>
      </c>
      <c r="M856" s="10" t="s">
        <v>1456</v>
      </c>
      <c r="N856" s="8" t="s">
        <v>87</v>
      </c>
      <c r="O856" s="10" t="s">
        <v>22</v>
      </c>
      <c r="P856" s="8" t="s">
        <v>7476</v>
      </c>
      <c r="Q856" s="10" t="s">
        <v>223</v>
      </c>
      <c r="R856" s="10" t="s">
        <v>1438</v>
      </c>
      <c r="S856" s="8" t="s">
        <v>7477</v>
      </c>
      <c r="T856" s="10" t="s">
        <v>7029</v>
      </c>
      <c r="U856" s="10" t="s">
        <v>87</v>
      </c>
      <c r="V856" s="10" t="s">
        <v>87</v>
      </c>
    </row>
    <row r="857" spans="1:22" s="10" customFormat="1" x14ac:dyDescent="0.25">
      <c r="A857" s="10" t="s">
        <v>7478</v>
      </c>
      <c r="B857" s="10" t="s">
        <v>7021</v>
      </c>
      <c r="C857" s="11" t="s">
        <v>346</v>
      </c>
      <c r="D857" s="10" t="s">
        <v>7479</v>
      </c>
      <c r="E857" s="8" t="s">
        <v>7480</v>
      </c>
      <c r="F857" s="8" t="s">
        <v>7481</v>
      </c>
      <c r="G857" s="10" t="s">
        <v>4</v>
      </c>
      <c r="H857" s="8" t="s">
        <v>7384</v>
      </c>
      <c r="I857" s="10" t="s">
        <v>7409</v>
      </c>
      <c r="J857" s="8" t="s">
        <v>2862</v>
      </c>
      <c r="K857" s="8" t="s">
        <v>1873</v>
      </c>
      <c r="L857" s="8" t="s">
        <v>2696</v>
      </c>
      <c r="M857" s="10" t="s">
        <v>1456</v>
      </c>
      <c r="N857" s="8" t="s">
        <v>87</v>
      </c>
      <c r="O857" s="10" t="s">
        <v>22</v>
      </c>
      <c r="P857" s="8" t="s">
        <v>7482</v>
      </c>
      <c r="Q857" s="10" t="s">
        <v>239</v>
      </c>
      <c r="R857" s="10" t="s">
        <v>1438</v>
      </c>
      <c r="S857" s="8" t="s">
        <v>7483</v>
      </c>
      <c r="T857" s="10" t="s">
        <v>7029</v>
      </c>
      <c r="U857" s="10" t="s">
        <v>87</v>
      </c>
      <c r="V857" s="10" t="s">
        <v>87</v>
      </c>
    </row>
    <row r="858" spans="1:22" s="10" customFormat="1" x14ac:dyDescent="0.25">
      <c r="A858" s="10" t="s">
        <v>7484</v>
      </c>
      <c r="B858" s="10" t="s">
        <v>7021</v>
      </c>
      <c r="C858" s="10" t="s">
        <v>215</v>
      </c>
      <c r="D858" s="10" t="s">
        <v>7485</v>
      </c>
      <c r="E858" s="8" t="s">
        <v>7486</v>
      </c>
      <c r="F858" s="8" t="s">
        <v>7487</v>
      </c>
      <c r="G858" s="10" t="s">
        <v>4</v>
      </c>
      <c r="H858" s="8" t="s">
        <v>7488</v>
      </c>
      <c r="I858" s="10" t="s">
        <v>1013</v>
      </c>
      <c r="J858" s="8" t="s">
        <v>2862</v>
      </c>
      <c r="K858" s="8" t="s">
        <v>1873</v>
      </c>
      <c r="L858" s="8" t="s">
        <v>2696</v>
      </c>
      <c r="M858" s="10" t="s">
        <v>1456</v>
      </c>
      <c r="N858" s="8" t="s">
        <v>87</v>
      </c>
      <c r="O858" s="10" t="s">
        <v>22</v>
      </c>
      <c r="P858" s="8" t="s">
        <v>7489</v>
      </c>
      <c r="Q858" s="10" t="s">
        <v>239</v>
      </c>
      <c r="R858" s="10" t="s">
        <v>1438</v>
      </c>
      <c r="S858" s="8" t="s">
        <v>7490</v>
      </c>
      <c r="T858" s="10" t="s">
        <v>7029</v>
      </c>
      <c r="U858" s="10" t="s">
        <v>87</v>
      </c>
      <c r="V858" s="10" t="s">
        <v>87</v>
      </c>
    </row>
    <row r="859" spans="1:22" s="10" customFormat="1" x14ac:dyDescent="0.25">
      <c r="A859" s="10" t="s">
        <v>7491</v>
      </c>
      <c r="B859" s="10" t="s">
        <v>7021</v>
      </c>
      <c r="C859" s="10" t="s">
        <v>215</v>
      </c>
      <c r="D859" s="10" t="s">
        <v>7492</v>
      </c>
      <c r="E859" s="8" t="s">
        <v>7493</v>
      </c>
      <c r="F859" s="8" t="s">
        <v>7494</v>
      </c>
      <c r="G859" s="10" t="s">
        <v>4</v>
      </c>
      <c r="H859" s="8" t="s">
        <v>7495</v>
      </c>
      <c r="I859" s="10" t="s">
        <v>7409</v>
      </c>
      <c r="J859" s="8" t="s">
        <v>2862</v>
      </c>
      <c r="K859" s="8" t="s">
        <v>7496</v>
      </c>
      <c r="L859" s="8" t="s">
        <v>2696</v>
      </c>
      <c r="M859" s="10" t="s">
        <v>1456</v>
      </c>
      <c r="N859" s="8" t="s">
        <v>87</v>
      </c>
      <c r="O859" s="10" t="s">
        <v>22</v>
      </c>
      <c r="P859" s="8" t="s">
        <v>7497</v>
      </c>
      <c r="Q859" s="10" t="s">
        <v>223</v>
      </c>
      <c r="R859" s="10" t="s">
        <v>1438</v>
      </c>
      <c r="S859" s="8" t="s">
        <v>7498</v>
      </c>
      <c r="T859" s="10" t="s">
        <v>7029</v>
      </c>
      <c r="U859" s="10" t="s">
        <v>87</v>
      </c>
      <c r="V859" s="10" t="s">
        <v>87</v>
      </c>
    </row>
    <row r="860" spans="1:22" s="10" customFormat="1" x14ac:dyDescent="0.25">
      <c r="A860" s="10" t="s">
        <v>7499</v>
      </c>
      <c r="B860" s="10" t="s">
        <v>7021</v>
      </c>
      <c r="C860" s="11" t="s">
        <v>346</v>
      </c>
      <c r="D860" s="10" t="s">
        <v>7500</v>
      </c>
      <c r="E860" s="8" t="s">
        <v>7501</v>
      </c>
      <c r="F860" s="8" t="s">
        <v>7502</v>
      </c>
      <c r="G860" s="10" t="s">
        <v>4</v>
      </c>
      <c r="H860" s="8" t="s">
        <v>7503</v>
      </c>
      <c r="I860" s="10" t="s">
        <v>7409</v>
      </c>
      <c r="J860" s="8" t="s">
        <v>2862</v>
      </c>
      <c r="K860" s="8" t="s">
        <v>7504</v>
      </c>
      <c r="L860" s="8" t="s">
        <v>2696</v>
      </c>
      <c r="M860" s="10" t="s">
        <v>1456</v>
      </c>
      <c r="N860" s="8" t="s">
        <v>87</v>
      </c>
      <c r="O860" s="10" t="s">
        <v>22</v>
      </c>
      <c r="P860" s="8" t="s">
        <v>7505</v>
      </c>
      <c r="Q860" s="10" t="s">
        <v>246</v>
      </c>
      <c r="R860" s="10" t="s">
        <v>1438</v>
      </c>
      <c r="S860" s="8" t="s">
        <v>7506</v>
      </c>
      <c r="T860" s="10" t="s">
        <v>7029</v>
      </c>
      <c r="U860" s="10" t="s">
        <v>87</v>
      </c>
      <c r="V860" s="10" t="s">
        <v>87</v>
      </c>
    </row>
    <row r="861" spans="1:22" s="10" customFormat="1" x14ac:dyDescent="0.25">
      <c r="A861" s="10" t="s">
        <v>7507</v>
      </c>
      <c r="B861" s="10" t="s">
        <v>7021</v>
      </c>
      <c r="C861" s="11" t="s">
        <v>346</v>
      </c>
      <c r="D861" s="10" t="s">
        <v>7508</v>
      </c>
      <c r="E861" s="8" t="s">
        <v>7509</v>
      </c>
      <c r="F861" s="8" t="s">
        <v>7510</v>
      </c>
      <c r="G861" s="10" t="s">
        <v>4</v>
      </c>
      <c r="H861" s="8" t="s">
        <v>1653</v>
      </c>
      <c r="I861" s="10" t="s">
        <v>7452</v>
      </c>
      <c r="J861" s="8" t="s">
        <v>1655</v>
      </c>
      <c r="K861" s="8" t="s">
        <v>1873</v>
      </c>
      <c r="L861" s="8" t="s">
        <v>2696</v>
      </c>
      <c r="M861" s="10" t="s">
        <v>1456</v>
      </c>
      <c r="N861" s="8" t="s">
        <v>87</v>
      </c>
      <c r="O861" s="10" t="s">
        <v>22</v>
      </c>
      <c r="P861" s="8" t="s">
        <v>7511</v>
      </c>
      <c r="Q861" s="10" t="s">
        <v>1447</v>
      </c>
      <c r="R861" s="10" t="s">
        <v>1657</v>
      </c>
      <c r="S861" s="8" t="s">
        <v>7512</v>
      </c>
      <c r="T861" s="10" t="s">
        <v>7029</v>
      </c>
      <c r="U861" s="10" t="s">
        <v>87</v>
      </c>
      <c r="V861" s="10" t="s">
        <v>87</v>
      </c>
    </row>
    <row r="862" spans="1:22" s="10" customFormat="1" x14ac:dyDescent="0.25">
      <c r="A862" s="10" t="s">
        <v>7513</v>
      </c>
      <c r="B862" s="10" t="s">
        <v>7021</v>
      </c>
      <c r="C862" s="10" t="s">
        <v>215</v>
      </c>
      <c r="D862" s="10" t="s">
        <v>7514</v>
      </c>
      <c r="E862" s="8" t="s">
        <v>7515</v>
      </c>
      <c r="F862" s="8" t="s">
        <v>7462</v>
      </c>
      <c r="G862" s="10" t="s">
        <v>4</v>
      </c>
      <c r="H862" s="8" t="s">
        <v>7468</v>
      </c>
      <c r="I862" s="10" t="s">
        <v>7409</v>
      </c>
      <c r="J862" s="8" t="s">
        <v>2862</v>
      </c>
      <c r="K862" s="8" t="s">
        <v>7516</v>
      </c>
      <c r="L862" s="8" t="s">
        <v>2696</v>
      </c>
      <c r="M862" s="10" t="s">
        <v>1456</v>
      </c>
      <c r="N862" s="8" t="s">
        <v>87</v>
      </c>
      <c r="O862" s="10" t="s">
        <v>22</v>
      </c>
      <c r="P862" s="8" t="s">
        <v>7517</v>
      </c>
      <c r="Q862" s="10" t="s">
        <v>223</v>
      </c>
      <c r="R862" s="10" t="s">
        <v>1438</v>
      </c>
      <c r="S862" s="8" t="s">
        <v>1648</v>
      </c>
      <c r="T862" s="10" t="s">
        <v>7029</v>
      </c>
      <c r="U862" s="10" t="s">
        <v>87</v>
      </c>
      <c r="V862" s="10" t="s">
        <v>87</v>
      </c>
    </row>
    <row r="863" spans="1:22" s="10" customFormat="1" x14ac:dyDescent="0.25">
      <c r="A863" s="10" t="s">
        <v>7518</v>
      </c>
      <c r="B863" s="10" t="s">
        <v>7021</v>
      </c>
      <c r="C863" s="10" t="s">
        <v>215</v>
      </c>
      <c r="D863" s="10" t="s">
        <v>7519</v>
      </c>
      <c r="E863" s="8" t="s">
        <v>7520</v>
      </c>
      <c r="F863" s="8" t="s">
        <v>7521</v>
      </c>
      <c r="G863" s="10" t="s">
        <v>3</v>
      </c>
      <c r="H863" s="8" t="s">
        <v>7522</v>
      </c>
      <c r="I863" s="10" t="s">
        <v>7523</v>
      </c>
      <c r="J863" s="8" t="s">
        <v>2862</v>
      </c>
      <c r="K863" s="8" t="s">
        <v>1435</v>
      </c>
      <c r="L863" s="8" t="s">
        <v>87</v>
      </c>
      <c r="M863" s="10" t="s">
        <v>1436</v>
      </c>
      <c r="N863" s="8" t="s">
        <v>87</v>
      </c>
      <c r="O863" s="10" t="s">
        <v>22</v>
      </c>
      <c r="P863" s="8" t="s">
        <v>7524</v>
      </c>
      <c r="Q863" s="10" t="s">
        <v>223</v>
      </c>
      <c r="R863" s="10" t="s">
        <v>1438</v>
      </c>
      <c r="S863" s="8" t="s">
        <v>7525</v>
      </c>
      <c r="T863" s="10" t="s">
        <v>7029</v>
      </c>
      <c r="U863" s="10" t="s">
        <v>87</v>
      </c>
      <c r="V863" s="10" t="s">
        <v>87</v>
      </c>
    </row>
    <row r="864" spans="1:22" s="10" customFormat="1" x14ac:dyDescent="0.25">
      <c r="A864" s="10" t="s">
        <v>7526</v>
      </c>
      <c r="B864" s="10" t="s">
        <v>7021</v>
      </c>
      <c r="C864" s="11" t="s">
        <v>346</v>
      </c>
      <c r="D864" s="10" t="s">
        <v>7527</v>
      </c>
      <c r="E864" s="8" t="s">
        <v>7528</v>
      </c>
      <c r="F864" s="8" t="s">
        <v>7529</v>
      </c>
      <c r="G864" s="10" t="s">
        <v>4</v>
      </c>
      <c r="H864" s="8" t="s">
        <v>7522</v>
      </c>
      <c r="I864" s="10" t="s">
        <v>7530</v>
      </c>
      <c r="J864" s="8" t="s">
        <v>2862</v>
      </c>
      <c r="K864" s="8" t="s">
        <v>1873</v>
      </c>
      <c r="L864" s="8" t="s">
        <v>87</v>
      </c>
      <c r="M864" s="10" t="s">
        <v>1456</v>
      </c>
      <c r="N864" s="8" t="s">
        <v>87</v>
      </c>
      <c r="O864" s="10" t="s">
        <v>22</v>
      </c>
      <c r="P864" s="8" t="s">
        <v>7531</v>
      </c>
      <c r="Q864" s="10" t="s">
        <v>223</v>
      </c>
      <c r="R864" s="10" t="s">
        <v>1438</v>
      </c>
      <c r="S864" s="8" t="s">
        <v>7532</v>
      </c>
      <c r="T864" s="10" t="s">
        <v>7029</v>
      </c>
      <c r="U864" s="10" t="s">
        <v>87</v>
      </c>
      <c r="V864" s="10" t="s">
        <v>87</v>
      </c>
    </row>
    <row r="865" spans="1:22" s="10" customFormat="1" x14ac:dyDescent="0.25">
      <c r="A865" s="10" t="s">
        <v>7533</v>
      </c>
      <c r="B865" s="10" t="s">
        <v>7021</v>
      </c>
      <c r="C865" s="11" t="s">
        <v>346</v>
      </c>
      <c r="D865" s="10" t="s">
        <v>7534</v>
      </c>
      <c r="E865" s="8" t="s">
        <v>7535</v>
      </c>
      <c r="F865" s="8" t="s">
        <v>5165</v>
      </c>
      <c r="G865" s="10" t="s">
        <v>3</v>
      </c>
      <c r="H865" s="8" t="s">
        <v>7536</v>
      </c>
      <c r="I865" s="10" t="s">
        <v>5167</v>
      </c>
      <c r="J865" s="8" t="s">
        <v>2862</v>
      </c>
      <c r="K865" s="8" t="s">
        <v>1435</v>
      </c>
      <c r="L865" s="8" t="s">
        <v>87</v>
      </c>
      <c r="M865" s="10" t="s">
        <v>1436</v>
      </c>
      <c r="N865" s="8" t="s">
        <v>87</v>
      </c>
      <c r="O865" s="10" t="s">
        <v>22</v>
      </c>
      <c r="P865" s="8" t="s">
        <v>7537</v>
      </c>
      <c r="Q865" s="10" t="s">
        <v>239</v>
      </c>
      <c r="R865" s="10" t="s">
        <v>1438</v>
      </c>
      <c r="S865" s="8" t="s">
        <v>4970</v>
      </c>
      <c r="T865" s="10" t="s">
        <v>7029</v>
      </c>
      <c r="U865" s="10" t="s">
        <v>87</v>
      </c>
      <c r="V865" s="10" t="s">
        <v>87</v>
      </c>
    </row>
    <row r="866" spans="1:22" s="10" customFormat="1" x14ac:dyDescent="0.25">
      <c r="A866" s="10" t="s">
        <v>7538</v>
      </c>
      <c r="B866" s="10" t="s">
        <v>7021</v>
      </c>
      <c r="C866" s="10" t="s">
        <v>215</v>
      </c>
      <c r="D866" s="10" t="s">
        <v>7539</v>
      </c>
      <c r="E866" s="8" t="s">
        <v>7540</v>
      </c>
      <c r="F866" s="8" t="s">
        <v>7541</v>
      </c>
      <c r="G866" s="10" t="s">
        <v>4</v>
      </c>
      <c r="H866" s="8" t="s">
        <v>7542</v>
      </c>
      <c r="I866" s="10" t="s">
        <v>7543</v>
      </c>
      <c r="J866" s="8" t="s">
        <v>2862</v>
      </c>
      <c r="K866" s="8" t="s">
        <v>7544</v>
      </c>
      <c r="L866" s="8" t="s">
        <v>87</v>
      </c>
      <c r="M866" s="10" t="s">
        <v>1456</v>
      </c>
      <c r="N866" s="8" t="s">
        <v>87</v>
      </c>
      <c r="O866" s="10" t="s">
        <v>22</v>
      </c>
      <c r="P866" s="8" t="s">
        <v>7545</v>
      </c>
      <c r="Q866" s="10" t="s">
        <v>223</v>
      </c>
      <c r="R866" s="10" t="s">
        <v>1438</v>
      </c>
      <c r="S866" s="8" t="s">
        <v>7546</v>
      </c>
      <c r="T866" s="10" t="s">
        <v>7029</v>
      </c>
      <c r="U866" s="10" t="s">
        <v>87</v>
      </c>
      <c r="V866" s="10" t="s">
        <v>87</v>
      </c>
    </row>
    <row r="867" spans="1:22" s="10" customFormat="1" x14ac:dyDescent="0.25">
      <c r="A867" s="10" t="s">
        <v>7547</v>
      </c>
      <c r="B867" s="10" t="s">
        <v>7021</v>
      </c>
      <c r="C867" s="10" t="s">
        <v>215</v>
      </c>
      <c r="D867" s="10" t="s">
        <v>7548</v>
      </c>
      <c r="E867" s="8" t="s">
        <v>7549</v>
      </c>
      <c r="F867" s="8" t="s">
        <v>7550</v>
      </c>
      <c r="G867" s="10" t="s">
        <v>4</v>
      </c>
      <c r="H867" s="8" t="s">
        <v>7522</v>
      </c>
      <c r="I867" s="10" t="s">
        <v>7523</v>
      </c>
      <c r="J867" s="8" t="s">
        <v>2862</v>
      </c>
      <c r="K867" s="8" t="s">
        <v>1873</v>
      </c>
      <c r="L867" s="8" t="s">
        <v>87</v>
      </c>
      <c r="M867" s="10" t="s">
        <v>1456</v>
      </c>
      <c r="N867" s="8" t="s">
        <v>87</v>
      </c>
      <c r="O867" s="10" t="s">
        <v>22</v>
      </c>
      <c r="P867" s="8" t="s">
        <v>7551</v>
      </c>
      <c r="Q867" s="10" t="s">
        <v>223</v>
      </c>
      <c r="R867" s="10" t="s">
        <v>1438</v>
      </c>
      <c r="S867" s="8" t="s">
        <v>7552</v>
      </c>
      <c r="T867" s="10" t="s">
        <v>7029</v>
      </c>
      <c r="U867" s="10" t="s">
        <v>87</v>
      </c>
      <c r="V867" s="10" t="s">
        <v>87</v>
      </c>
    </row>
    <row r="868" spans="1:22" s="10" customFormat="1" x14ac:dyDescent="0.25">
      <c r="A868" s="10" t="s">
        <v>7553</v>
      </c>
      <c r="B868" s="10" t="s">
        <v>7021</v>
      </c>
      <c r="C868" s="10" t="s">
        <v>215</v>
      </c>
      <c r="D868" s="10" t="s">
        <v>7554</v>
      </c>
      <c r="E868" s="8" t="s">
        <v>7555</v>
      </c>
      <c r="F868" s="8" t="s">
        <v>7556</v>
      </c>
      <c r="G868" s="10" t="s">
        <v>4</v>
      </c>
      <c r="H868" s="8" t="s">
        <v>7522</v>
      </c>
      <c r="I868" s="10" t="s">
        <v>7557</v>
      </c>
      <c r="J868" s="8" t="s">
        <v>2862</v>
      </c>
      <c r="K868" s="8" t="s">
        <v>1873</v>
      </c>
      <c r="L868" s="8" t="s">
        <v>87</v>
      </c>
      <c r="M868" s="10" t="s">
        <v>1456</v>
      </c>
      <c r="N868" s="8" t="s">
        <v>87</v>
      </c>
      <c r="O868" s="10" t="s">
        <v>22</v>
      </c>
      <c r="P868" s="8" t="s">
        <v>7558</v>
      </c>
      <c r="Q868" s="10" t="s">
        <v>223</v>
      </c>
      <c r="R868" s="10" t="s">
        <v>1438</v>
      </c>
      <c r="S868" s="8" t="s">
        <v>7559</v>
      </c>
      <c r="T868" s="10" t="s">
        <v>7029</v>
      </c>
      <c r="U868" s="10" t="s">
        <v>87</v>
      </c>
      <c r="V868" s="10" t="s">
        <v>87</v>
      </c>
    </row>
    <row r="869" spans="1:22" s="10" customFormat="1" x14ac:dyDescent="0.25">
      <c r="A869" s="10" t="s">
        <v>7560</v>
      </c>
      <c r="B869" s="10" t="s">
        <v>7021</v>
      </c>
      <c r="C869" s="11" t="s">
        <v>346</v>
      </c>
      <c r="D869" s="10" t="s">
        <v>7561</v>
      </c>
      <c r="E869" s="8" t="s">
        <v>7562</v>
      </c>
      <c r="F869" s="8" t="s">
        <v>7563</v>
      </c>
      <c r="G869" s="10" t="s">
        <v>4</v>
      </c>
      <c r="H869" s="8" t="s">
        <v>1653</v>
      </c>
      <c r="I869" s="10" t="s">
        <v>5218</v>
      </c>
      <c r="J869" s="8" t="s">
        <v>1655</v>
      </c>
      <c r="K869" s="8" t="s">
        <v>1873</v>
      </c>
      <c r="L869" s="8" t="s">
        <v>87</v>
      </c>
      <c r="M869" s="10" t="s">
        <v>1456</v>
      </c>
      <c r="N869" s="8" t="s">
        <v>87</v>
      </c>
      <c r="O869" s="10" t="s">
        <v>22</v>
      </c>
      <c r="P869" s="8" t="s">
        <v>7564</v>
      </c>
      <c r="Q869" s="10" t="s">
        <v>1447</v>
      </c>
      <c r="R869" s="10" t="s">
        <v>1657</v>
      </c>
      <c r="S869" s="8" t="s">
        <v>5220</v>
      </c>
      <c r="T869" s="10" t="s">
        <v>7029</v>
      </c>
      <c r="U869" s="10" t="s">
        <v>87</v>
      </c>
      <c r="V869" s="10" t="s">
        <v>87</v>
      </c>
    </row>
    <row r="870" spans="1:22" s="10" customFormat="1" x14ac:dyDescent="0.25">
      <c r="A870" s="10" t="s">
        <v>7565</v>
      </c>
      <c r="B870" s="10" t="s">
        <v>7021</v>
      </c>
      <c r="C870" s="11" t="s">
        <v>346</v>
      </c>
      <c r="D870" s="10" t="s">
        <v>7566</v>
      </c>
      <c r="E870" s="8" t="s">
        <v>7567</v>
      </c>
      <c r="F870" s="8" t="s">
        <v>1662</v>
      </c>
      <c r="G870" s="10" t="s">
        <v>3</v>
      </c>
      <c r="H870" s="8" t="s">
        <v>7568</v>
      </c>
      <c r="I870" s="10" t="s">
        <v>5167</v>
      </c>
      <c r="J870" s="8" t="s">
        <v>1664</v>
      </c>
      <c r="K870" s="8" t="s">
        <v>1435</v>
      </c>
      <c r="L870" s="8" t="s">
        <v>87</v>
      </c>
      <c r="M870" s="10" t="s">
        <v>1436</v>
      </c>
      <c r="N870" s="8" t="s">
        <v>87</v>
      </c>
      <c r="O870" s="10" t="s">
        <v>22</v>
      </c>
      <c r="P870" s="8" t="s">
        <v>7569</v>
      </c>
      <c r="Q870" s="10" t="s">
        <v>825</v>
      </c>
      <c r="R870" s="10" t="s">
        <v>7570</v>
      </c>
      <c r="S870" s="8" t="s">
        <v>1669</v>
      </c>
      <c r="T870" s="10" t="s">
        <v>7029</v>
      </c>
      <c r="U870" s="10" t="s">
        <v>87</v>
      </c>
      <c r="V870" s="10" t="s">
        <v>87</v>
      </c>
    </row>
    <row r="871" spans="1:22" s="10" customFormat="1" x14ac:dyDescent="0.25">
      <c r="A871" s="10" t="s">
        <v>7571</v>
      </c>
      <c r="B871" s="10" t="s">
        <v>7021</v>
      </c>
      <c r="C871" s="10" t="s">
        <v>215</v>
      </c>
      <c r="D871" s="10" t="s">
        <v>7572</v>
      </c>
      <c r="E871" s="8" t="s">
        <v>7573</v>
      </c>
      <c r="F871" s="8" t="s">
        <v>7574</v>
      </c>
      <c r="G871" s="10" t="s">
        <v>3</v>
      </c>
      <c r="H871" s="8" t="s">
        <v>7575</v>
      </c>
      <c r="I871" s="10" t="s">
        <v>7576</v>
      </c>
      <c r="J871" s="8" t="s">
        <v>2862</v>
      </c>
      <c r="K871" s="8" t="s">
        <v>1435</v>
      </c>
      <c r="L871" s="8" t="s">
        <v>87</v>
      </c>
      <c r="M871" s="10" t="s">
        <v>1436</v>
      </c>
      <c r="N871" s="8" t="s">
        <v>87</v>
      </c>
      <c r="O871" s="10" t="s">
        <v>22</v>
      </c>
      <c r="P871" s="8" t="s">
        <v>7577</v>
      </c>
      <c r="Q871" s="10" t="s">
        <v>223</v>
      </c>
      <c r="R871" s="10" t="s">
        <v>1438</v>
      </c>
      <c r="S871" s="8" t="s">
        <v>7578</v>
      </c>
      <c r="T871" s="10" t="s">
        <v>7579</v>
      </c>
      <c r="U871" s="10" t="s">
        <v>87</v>
      </c>
      <c r="V871" s="10" t="s">
        <v>87</v>
      </c>
    </row>
    <row r="872" spans="1:22" s="10" customFormat="1" x14ac:dyDescent="0.25">
      <c r="A872" s="10" t="s">
        <v>7580</v>
      </c>
      <c r="B872" s="10" t="s">
        <v>7021</v>
      </c>
      <c r="C872" s="11" t="s">
        <v>346</v>
      </c>
      <c r="D872" s="10" t="s">
        <v>7581</v>
      </c>
      <c r="E872" s="8" t="s">
        <v>7582</v>
      </c>
      <c r="F872" s="8" t="s">
        <v>7583</v>
      </c>
      <c r="G872" s="10" t="s">
        <v>4</v>
      </c>
      <c r="H872" s="8" t="s">
        <v>7575</v>
      </c>
      <c r="I872" s="10" t="s">
        <v>7584</v>
      </c>
      <c r="J872" s="8" t="s">
        <v>2862</v>
      </c>
      <c r="K872" s="8" t="s">
        <v>1873</v>
      </c>
      <c r="L872" s="8" t="s">
        <v>87</v>
      </c>
      <c r="M872" s="10" t="s">
        <v>1456</v>
      </c>
      <c r="N872" s="8" t="s">
        <v>87</v>
      </c>
      <c r="O872" s="10" t="s">
        <v>22</v>
      </c>
      <c r="P872" s="8" t="s">
        <v>7585</v>
      </c>
      <c r="Q872" s="10" t="s">
        <v>223</v>
      </c>
      <c r="R872" s="10" t="s">
        <v>1438</v>
      </c>
      <c r="S872" s="8" t="s">
        <v>7586</v>
      </c>
      <c r="T872" s="10" t="s">
        <v>7579</v>
      </c>
      <c r="U872" s="10" t="s">
        <v>87</v>
      </c>
      <c r="V872" s="10" t="s">
        <v>87</v>
      </c>
    </row>
    <row r="873" spans="1:22" s="10" customFormat="1" x14ac:dyDescent="0.25">
      <c r="A873" s="10" t="s">
        <v>7587</v>
      </c>
      <c r="B873" s="10" t="s">
        <v>7021</v>
      </c>
      <c r="C873" s="10" t="s">
        <v>215</v>
      </c>
      <c r="D873" s="10" t="s">
        <v>7588</v>
      </c>
      <c r="E873" s="8" t="s">
        <v>7589</v>
      </c>
      <c r="F873" s="8" t="s">
        <v>7590</v>
      </c>
      <c r="G873" s="10" t="s">
        <v>2647</v>
      </c>
      <c r="H873" s="8" t="s">
        <v>7575</v>
      </c>
      <c r="I873" s="10" t="s">
        <v>1241</v>
      </c>
      <c r="J873" s="8" t="s">
        <v>2862</v>
      </c>
      <c r="K873" s="8" t="s">
        <v>2649</v>
      </c>
      <c r="L873" s="8" t="s">
        <v>87</v>
      </c>
      <c r="M873" s="10" t="s">
        <v>1436</v>
      </c>
      <c r="N873" s="8" t="s">
        <v>87</v>
      </c>
      <c r="O873" s="10" t="s">
        <v>22</v>
      </c>
      <c r="P873" s="8" t="s">
        <v>7591</v>
      </c>
      <c r="Q873" s="10" t="s">
        <v>223</v>
      </c>
      <c r="R873" s="10" t="s">
        <v>1438</v>
      </c>
      <c r="S873" s="8" t="s">
        <v>7592</v>
      </c>
      <c r="T873" s="10" t="s">
        <v>7579</v>
      </c>
      <c r="U873" s="10" t="s">
        <v>87</v>
      </c>
      <c r="V873" s="10" t="s">
        <v>87</v>
      </c>
    </row>
    <row r="874" spans="1:22" s="10" customFormat="1" x14ac:dyDescent="0.25">
      <c r="A874" s="10" t="s">
        <v>7593</v>
      </c>
      <c r="B874" s="10" t="s">
        <v>7021</v>
      </c>
      <c r="C874" s="11" t="s">
        <v>346</v>
      </c>
      <c r="D874" s="10" t="s">
        <v>7594</v>
      </c>
      <c r="E874" s="8" t="s">
        <v>7595</v>
      </c>
      <c r="F874" s="8" t="s">
        <v>7596</v>
      </c>
      <c r="G874" s="10" t="s">
        <v>3</v>
      </c>
      <c r="H874" s="8" t="s">
        <v>7597</v>
      </c>
      <c r="I874" s="10" t="s">
        <v>7584</v>
      </c>
      <c r="J874" s="8" t="s">
        <v>2862</v>
      </c>
      <c r="K874" s="8" t="s">
        <v>1435</v>
      </c>
      <c r="L874" s="8" t="s">
        <v>87</v>
      </c>
      <c r="M874" s="10" t="s">
        <v>1436</v>
      </c>
      <c r="N874" s="8" t="s">
        <v>87</v>
      </c>
      <c r="O874" s="10" t="s">
        <v>22</v>
      </c>
      <c r="P874" s="8" t="s">
        <v>7598</v>
      </c>
      <c r="Q874" s="10" t="s">
        <v>246</v>
      </c>
      <c r="R874" s="10" t="s">
        <v>1438</v>
      </c>
      <c r="S874" s="8" t="s">
        <v>7599</v>
      </c>
      <c r="T874" s="10" t="s">
        <v>7579</v>
      </c>
      <c r="U874" s="10" t="s">
        <v>87</v>
      </c>
      <c r="V874" s="10" t="s">
        <v>87</v>
      </c>
    </row>
    <row r="875" spans="1:22" s="10" customFormat="1" x14ac:dyDescent="0.25">
      <c r="A875" s="10" t="s">
        <v>7600</v>
      </c>
      <c r="B875" s="10" t="s">
        <v>7021</v>
      </c>
      <c r="C875" s="10" t="s">
        <v>215</v>
      </c>
      <c r="D875" s="10" t="s">
        <v>7601</v>
      </c>
      <c r="E875" s="8" t="s">
        <v>7602</v>
      </c>
      <c r="F875" s="8" t="s">
        <v>7603</v>
      </c>
      <c r="G875" s="10" t="s">
        <v>4</v>
      </c>
      <c r="H875" s="8" t="s">
        <v>7604</v>
      </c>
      <c r="I875" s="10" t="s">
        <v>7605</v>
      </c>
      <c r="J875" s="8" t="s">
        <v>2862</v>
      </c>
      <c r="K875" s="8" t="s">
        <v>1873</v>
      </c>
      <c r="L875" s="8" t="s">
        <v>87</v>
      </c>
      <c r="M875" s="10" t="s">
        <v>1456</v>
      </c>
      <c r="N875" s="8" t="s">
        <v>87</v>
      </c>
      <c r="O875" s="10" t="s">
        <v>22</v>
      </c>
      <c r="P875" s="8" t="s">
        <v>7606</v>
      </c>
      <c r="Q875" s="10" t="s">
        <v>1447</v>
      </c>
      <c r="R875" s="10" t="s">
        <v>1438</v>
      </c>
      <c r="S875" s="8" t="s">
        <v>7607</v>
      </c>
      <c r="T875" s="10" t="s">
        <v>7579</v>
      </c>
      <c r="U875" s="10" t="s">
        <v>87</v>
      </c>
      <c r="V875" s="10" t="s">
        <v>87</v>
      </c>
    </row>
    <row r="876" spans="1:22" s="10" customFormat="1" x14ac:dyDescent="0.25">
      <c r="A876" s="10" t="s">
        <v>7608</v>
      </c>
      <c r="B876" s="10" t="s">
        <v>7021</v>
      </c>
      <c r="C876" s="10" t="s">
        <v>215</v>
      </c>
      <c r="D876" s="10" t="s">
        <v>7609</v>
      </c>
      <c r="E876" s="8" t="s">
        <v>7610</v>
      </c>
      <c r="F876" s="8" t="s">
        <v>7611</v>
      </c>
      <c r="G876" s="10" t="s">
        <v>2647</v>
      </c>
      <c r="H876" s="8" t="s">
        <v>7575</v>
      </c>
      <c r="I876" s="10" t="s">
        <v>1241</v>
      </c>
      <c r="J876" s="8" t="s">
        <v>2862</v>
      </c>
      <c r="K876" s="8" t="s">
        <v>2649</v>
      </c>
      <c r="L876" s="8" t="s">
        <v>87</v>
      </c>
      <c r="M876" s="10" t="s">
        <v>1436</v>
      </c>
      <c r="N876" s="8" t="s">
        <v>87</v>
      </c>
      <c r="O876" s="10" t="s">
        <v>22</v>
      </c>
      <c r="P876" s="8" t="s">
        <v>7612</v>
      </c>
      <c r="Q876" s="10" t="s">
        <v>223</v>
      </c>
      <c r="R876" s="10" t="s">
        <v>1438</v>
      </c>
      <c r="S876" s="8" t="s">
        <v>7613</v>
      </c>
      <c r="T876" s="10" t="s">
        <v>7579</v>
      </c>
      <c r="U876" s="10" t="s">
        <v>87</v>
      </c>
      <c r="V876" s="10" t="s">
        <v>87</v>
      </c>
    </row>
    <row r="877" spans="1:22" s="10" customFormat="1" x14ac:dyDescent="0.25">
      <c r="A877" s="10" t="s">
        <v>7614</v>
      </c>
      <c r="B877" s="10" t="s">
        <v>7021</v>
      </c>
      <c r="C877" s="11" t="s">
        <v>346</v>
      </c>
      <c r="D877" s="10" t="s">
        <v>7615</v>
      </c>
      <c r="E877" s="8" t="s">
        <v>7616</v>
      </c>
      <c r="F877" s="8" t="s">
        <v>7617</v>
      </c>
      <c r="G877" s="10" t="s">
        <v>4</v>
      </c>
      <c r="H877" s="8" t="s">
        <v>1653</v>
      </c>
      <c r="I877" s="10" t="s">
        <v>2833</v>
      </c>
      <c r="J877" s="8" t="s">
        <v>1655</v>
      </c>
      <c r="K877" s="8" t="s">
        <v>1873</v>
      </c>
      <c r="L877" s="8" t="s">
        <v>87</v>
      </c>
      <c r="M877" s="10" t="s">
        <v>1456</v>
      </c>
      <c r="N877" s="8" t="s">
        <v>87</v>
      </c>
      <c r="O877" s="10" t="s">
        <v>22</v>
      </c>
      <c r="P877" s="8" t="s">
        <v>7618</v>
      </c>
      <c r="Q877" s="10" t="s">
        <v>1447</v>
      </c>
      <c r="R877" s="10" t="s">
        <v>1657</v>
      </c>
      <c r="S877" s="8" t="s">
        <v>7619</v>
      </c>
      <c r="T877" s="10" t="s">
        <v>7579</v>
      </c>
      <c r="U877" s="10" t="s">
        <v>87</v>
      </c>
      <c r="V877" s="10" t="s">
        <v>87</v>
      </c>
    </row>
    <row r="878" spans="1:22" s="10" customFormat="1" x14ac:dyDescent="0.25">
      <c r="A878" s="10" t="s">
        <v>7620</v>
      </c>
      <c r="B878" s="10" t="s">
        <v>7021</v>
      </c>
      <c r="C878" s="10" t="s">
        <v>215</v>
      </c>
      <c r="D878" s="10" t="s">
        <v>7621</v>
      </c>
      <c r="E878" s="8" t="s">
        <v>7622</v>
      </c>
      <c r="F878" s="8" t="s">
        <v>1662</v>
      </c>
      <c r="G878" s="10" t="s">
        <v>3</v>
      </c>
      <c r="H878" s="8" t="s">
        <v>2839</v>
      </c>
      <c r="I878" s="10" t="s">
        <v>1241</v>
      </c>
      <c r="J878" s="8" t="s">
        <v>1664</v>
      </c>
      <c r="K878" s="8" t="s">
        <v>1435</v>
      </c>
      <c r="L878" s="8" t="s">
        <v>87</v>
      </c>
      <c r="M878" s="10" t="s">
        <v>1436</v>
      </c>
      <c r="N878" s="8" t="s">
        <v>87</v>
      </c>
      <c r="O878" s="10" t="s">
        <v>22</v>
      </c>
      <c r="P878" s="8" t="s">
        <v>7623</v>
      </c>
      <c r="Q878" s="10" t="s">
        <v>825</v>
      </c>
      <c r="R878" s="10" t="s">
        <v>2841</v>
      </c>
      <c r="S878" s="8" t="s">
        <v>1669</v>
      </c>
      <c r="T878" s="10" t="s">
        <v>7579</v>
      </c>
      <c r="U878" s="10" t="s">
        <v>87</v>
      </c>
      <c r="V878" s="10" t="s">
        <v>87</v>
      </c>
    </row>
    <row r="879" spans="1:22" s="10" customFormat="1" x14ac:dyDescent="0.25">
      <c r="A879" s="10" t="s">
        <v>7624</v>
      </c>
      <c r="B879" s="10" t="s">
        <v>7021</v>
      </c>
      <c r="C879" s="10" t="s">
        <v>215</v>
      </c>
      <c r="D879" s="10" t="s">
        <v>7625</v>
      </c>
      <c r="E879" s="8" t="s">
        <v>7626</v>
      </c>
      <c r="F879" s="8" t="s">
        <v>7627</v>
      </c>
      <c r="G879" s="10" t="s">
        <v>4</v>
      </c>
      <c r="H879" s="8" t="s">
        <v>7575</v>
      </c>
      <c r="I879" s="10" t="s">
        <v>1241</v>
      </c>
      <c r="J879" s="8" t="s">
        <v>2862</v>
      </c>
      <c r="K879" s="8" t="s">
        <v>7628</v>
      </c>
      <c r="L879" s="8" t="s">
        <v>87</v>
      </c>
      <c r="M879" s="10" t="s">
        <v>1456</v>
      </c>
      <c r="N879" s="8" t="s">
        <v>87</v>
      </c>
      <c r="O879" s="10" t="s">
        <v>22</v>
      </c>
      <c r="P879" s="8" t="s">
        <v>7629</v>
      </c>
      <c r="Q879" s="10" t="s">
        <v>223</v>
      </c>
      <c r="R879" s="10" t="s">
        <v>1438</v>
      </c>
      <c r="S879" s="8" t="s">
        <v>7630</v>
      </c>
      <c r="T879" s="10" t="s">
        <v>7579</v>
      </c>
      <c r="U879" s="10" t="s">
        <v>87</v>
      </c>
      <c r="V879" s="10" t="s">
        <v>87</v>
      </c>
    </row>
    <row r="880" spans="1:22" s="10" customFormat="1" x14ac:dyDescent="0.25">
      <c r="A880" s="10" t="s">
        <v>7631</v>
      </c>
      <c r="B880" s="10" t="s">
        <v>7021</v>
      </c>
      <c r="C880" s="10" t="s">
        <v>215</v>
      </c>
      <c r="D880" s="10" t="s">
        <v>7632</v>
      </c>
      <c r="E880" s="8" t="s">
        <v>7633</v>
      </c>
      <c r="F880" s="8" t="s">
        <v>7634</v>
      </c>
      <c r="G880" s="10" t="s">
        <v>3</v>
      </c>
      <c r="H880" s="8" t="s">
        <v>7575</v>
      </c>
      <c r="I880" s="10" t="s">
        <v>1241</v>
      </c>
      <c r="J880" s="8" t="s">
        <v>2862</v>
      </c>
      <c r="K880" s="8" t="s">
        <v>1435</v>
      </c>
      <c r="L880" s="8" t="s">
        <v>87</v>
      </c>
      <c r="M880" s="10" t="s">
        <v>1436</v>
      </c>
      <c r="N880" s="8" t="s">
        <v>87</v>
      </c>
      <c r="O880" s="10" t="s">
        <v>22</v>
      </c>
      <c r="P880" s="8" t="s">
        <v>7635</v>
      </c>
      <c r="Q880" s="10" t="s">
        <v>223</v>
      </c>
      <c r="R880" s="10" t="s">
        <v>1438</v>
      </c>
      <c r="S880" s="8" t="s">
        <v>1648</v>
      </c>
      <c r="T880" s="10" t="s">
        <v>7579</v>
      </c>
      <c r="U880" s="10" t="s">
        <v>87</v>
      </c>
      <c r="V880" s="10" t="s">
        <v>87</v>
      </c>
    </row>
    <row r="881" spans="1:22" s="10" customFormat="1" x14ac:dyDescent="0.25">
      <c r="A881" s="10" t="s">
        <v>7636</v>
      </c>
      <c r="B881" s="10" t="s">
        <v>7021</v>
      </c>
      <c r="C881" s="10" t="s">
        <v>215</v>
      </c>
      <c r="D881" s="10" t="s">
        <v>7637</v>
      </c>
      <c r="E881" s="8" t="s">
        <v>7638</v>
      </c>
      <c r="F881" s="8" t="s">
        <v>7639</v>
      </c>
      <c r="G881" s="10" t="s">
        <v>4</v>
      </c>
      <c r="H881" s="8" t="s">
        <v>7640</v>
      </c>
      <c r="I881" s="10" t="s">
        <v>7641</v>
      </c>
      <c r="J881" s="8" t="s">
        <v>2862</v>
      </c>
      <c r="K881" s="8" t="s">
        <v>1873</v>
      </c>
      <c r="L881" s="8" t="s">
        <v>87</v>
      </c>
      <c r="M881" s="10" t="s">
        <v>1436</v>
      </c>
      <c r="N881" s="8" t="s">
        <v>87</v>
      </c>
      <c r="O881" s="10" t="s">
        <v>22</v>
      </c>
      <c r="P881" s="8" t="s">
        <v>7642</v>
      </c>
      <c r="Q881" s="10" t="s">
        <v>223</v>
      </c>
      <c r="R881" s="10" t="s">
        <v>1438</v>
      </c>
      <c r="S881" s="8" t="s">
        <v>7643</v>
      </c>
      <c r="T881" s="10" t="s">
        <v>7579</v>
      </c>
      <c r="U881" s="10" t="s">
        <v>87</v>
      </c>
      <c r="V881" s="10" t="s">
        <v>87</v>
      </c>
    </row>
    <row r="882" spans="1:22" s="10" customFormat="1" x14ac:dyDescent="0.25">
      <c r="A882" s="10" t="s">
        <v>7644</v>
      </c>
      <c r="B882" s="10" t="s">
        <v>7021</v>
      </c>
      <c r="C882" s="11" t="s">
        <v>346</v>
      </c>
      <c r="D882" s="10" t="s">
        <v>7645</v>
      </c>
      <c r="E882" s="8" t="s">
        <v>7646</v>
      </c>
      <c r="F882" s="8" t="s">
        <v>7647</v>
      </c>
      <c r="G882" s="10" t="s">
        <v>2647</v>
      </c>
      <c r="H882" s="8" t="s">
        <v>7648</v>
      </c>
      <c r="I882" s="10" t="s">
        <v>7649</v>
      </c>
      <c r="J882" s="8" t="s">
        <v>2862</v>
      </c>
      <c r="K882" s="8" t="s">
        <v>2649</v>
      </c>
      <c r="L882" s="8" t="s">
        <v>87</v>
      </c>
      <c r="M882" s="10" t="s">
        <v>1436</v>
      </c>
      <c r="N882" s="8" t="s">
        <v>87</v>
      </c>
      <c r="O882" s="10" t="s">
        <v>22</v>
      </c>
      <c r="P882" s="8" t="s">
        <v>7650</v>
      </c>
      <c r="Q882" s="10" t="s">
        <v>223</v>
      </c>
      <c r="R882" s="10" t="s">
        <v>1438</v>
      </c>
      <c r="S882" s="8" t="s">
        <v>7651</v>
      </c>
      <c r="T882" s="10" t="s">
        <v>7579</v>
      </c>
      <c r="U882" s="10" t="s">
        <v>87</v>
      </c>
      <c r="V882" s="10" t="s">
        <v>87</v>
      </c>
    </row>
    <row r="883" spans="1:22" s="10" customFormat="1" x14ac:dyDescent="0.25">
      <c r="A883" s="10" t="s">
        <v>7652</v>
      </c>
      <c r="B883" s="10" t="s">
        <v>7021</v>
      </c>
      <c r="C883" s="10" t="s">
        <v>215</v>
      </c>
      <c r="D883" s="10" t="s">
        <v>7653</v>
      </c>
      <c r="E883" s="8" t="s">
        <v>7654</v>
      </c>
      <c r="F883" s="8" t="s">
        <v>7655</v>
      </c>
      <c r="G883" s="10" t="s">
        <v>2647</v>
      </c>
      <c r="H883" s="8" t="s">
        <v>7656</v>
      </c>
      <c r="I883" s="10" t="s">
        <v>1000</v>
      </c>
      <c r="J883" s="8" t="s">
        <v>2862</v>
      </c>
      <c r="K883" s="8" t="s">
        <v>2649</v>
      </c>
      <c r="L883" s="8" t="s">
        <v>87</v>
      </c>
      <c r="M883" s="10" t="s">
        <v>1436</v>
      </c>
      <c r="N883" s="8" t="s">
        <v>87</v>
      </c>
      <c r="O883" s="10" t="s">
        <v>22</v>
      </c>
      <c r="P883" s="8" t="s">
        <v>7657</v>
      </c>
      <c r="Q883" s="10" t="s">
        <v>239</v>
      </c>
      <c r="R883" s="10" t="s">
        <v>1438</v>
      </c>
      <c r="S883" s="8" t="s">
        <v>7658</v>
      </c>
      <c r="T883" s="10" t="s">
        <v>7579</v>
      </c>
      <c r="U883" s="10" t="s">
        <v>87</v>
      </c>
      <c r="V883" s="10" t="s">
        <v>87</v>
      </c>
    </row>
    <row r="884" spans="1:22" s="10" customFormat="1" x14ac:dyDescent="0.25">
      <c r="A884" s="10" t="s">
        <v>7659</v>
      </c>
      <c r="B884" s="10" t="s">
        <v>7021</v>
      </c>
      <c r="C884" s="11" t="s">
        <v>346</v>
      </c>
      <c r="D884" s="10" t="s">
        <v>7660</v>
      </c>
      <c r="E884" s="8" t="s">
        <v>7661</v>
      </c>
      <c r="F884" s="8" t="s">
        <v>7662</v>
      </c>
      <c r="G884" s="10" t="s">
        <v>2647</v>
      </c>
      <c r="H884" s="8" t="s">
        <v>7663</v>
      </c>
      <c r="I884" s="10" t="s">
        <v>7641</v>
      </c>
      <c r="J884" s="8" t="s">
        <v>2862</v>
      </c>
      <c r="K884" s="8" t="s">
        <v>2649</v>
      </c>
      <c r="L884" s="8" t="s">
        <v>87</v>
      </c>
      <c r="M884" s="10" t="s">
        <v>1436</v>
      </c>
      <c r="N884" s="8" t="s">
        <v>87</v>
      </c>
      <c r="O884" s="10" t="s">
        <v>22</v>
      </c>
      <c r="P884" s="8" t="s">
        <v>7664</v>
      </c>
      <c r="Q884" s="10" t="s">
        <v>223</v>
      </c>
      <c r="R884" s="10" t="s">
        <v>1438</v>
      </c>
      <c r="S884" s="8" t="s">
        <v>7665</v>
      </c>
      <c r="T884" s="10" t="s">
        <v>7579</v>
      </c>
      <c r="U884" s="10" t="s">
        <v>87</v>
      </c>
      <c r="V884" s="10" t="s">
        <v>87</v>
      </c>
    </row>
    <row r="885" spans="1:22" s="10" customFormat="1" x14ac:dyDescent="0.25">
      <c r="A885" s="10" t="s">
        <v>7666</v>
      </c>
      <c r="B885" s="10" t="s">
        <v>7021</v>
      </c>
      <c r="C885" s="11" t="s">
        <v>346</v>
      </c>
      <c r="D885" s="10" t="s">
        <v>7667</v>
      </c>
      <c r="E885" s="8" t="s">
        <v>7668</v>
      </c>
      <c r="F885" s="8" t="s">
        <v>7669</v>
      </c>
      <c r="G885" s="10" t="s">
        <v>2647</v>
      </c>
      <c r="H885" s="8" t="s">
        <v>7663</v>
      </c>
      <c r="I885" s="10" t="s">
        <v>7641</v>
      </c>
      <c r="J885" s="8" t="s">
        <v>2862</v>
      </c>
      <c r="K885" s="8" t="s">
        <v>2649</v>
      </c>
      <c r="L885" s="8" t="s">
        <v>87</v>
      </c>
      <c r="M885" s="10" t="s">
        <v>1436</v>
      </c>
      <c r="N885" s="8" t="s">
        <v>87</v>
      </c>
      <c r="O885" s="10" t="s">
        <v>22</v>
      </c>
      <c r="P885" s="8" t="s">
        <v>7670</v>
      </c>
      <c r="Q885" s="10" t="s">
        <v>246</v>
      </c>
      <c r="R885" s="10" t="s">
        <v>1438</v>
      </c>
      <c r="S885" s="8" t="s">
        <v>7671</v>
      </c>
      <c r="T885" s="10" t="s">
        <v>7579</v>
      </c>
      <c r="U885" s="10" t="s">
        <v>87</v>
      </c>
      <c r="V885" s="10" t="s">
        <v>87</v>
      </c>
    </row>
    <row r="886" spans="1:22" s="10" customFormat="1" x14ac:dyDescent="0.25">
      <c r="A886" s="10" t="s">
        <v>7672</v>
      </c>
      <c r="B886" s="10" t="s">
        <v>7021</v>
      </c>
      <c r="C886" s="10" t="s">
        <v>215</v>
      </c>
      <c r="D886" s="10" t="s">
        <v>7673</v>
      </c>
      <c r="E886" s="8" t="s">
        <v>7674</v>
      </c>
      <c r="F886" s="8" t="s">
        <v>7675</v>
      </c>
      <c r="G886" s="10" t="s">
        <v>2647</v>
      </c>
      <c r="H886" s="8" t="s">
        <v>7676</v>
      </c>
      <c r="I886" s="10" t="s">
        <v>7677</v>
      </c>
      <c r="J886" s="8" t="s">
        <v>2862</v>
      </c>
      <c r="K886" s="8" t="s">
        <v>2649</v>
      </c>
      <c r="L886" s="8" t="s">
        <v>87</v>
      </c>
      <c r="M886" s="10" t="s">
        <v>1436</v>
      </c>
      <c r="N886" s="8" t="s">
        <v>87</v>
      </c>
      <c r="O886" s="10" t="s">
        <v>22</v>
      </c>
      <c r="P886" s="8" t="s">
        <v>7678</v>
      </c>
      <c r="Q886" s="10" t="s">
        <v>223</v>
      </c>
      <c r="R886" s="10" t="s">
        <v>1438</v>
      </c>
      <c r="S886" s="8" t="s">
        <v>7679</v>
      </c>
      <c r="T886" s="10" t="s">
        <v>7579</v>
      </c>
      <c r="U886" s="10" t="s">
        <v>87</v>
      </c>
      <c r="V886" s="10" t="s">
        <v>87</v>
      </c>
    </row>
    <row r="887" spans="1:22" s="10" customFormat="1" x14ac:dyDescent="0.25">
      <c r="A887" s="10" t="s">
        <v>7680</v>
      </c>
      <c r="B887" s="10" t="s">
        <v>7021</v>
      </c>
      <c r="C887" s="11" t="s">
        <v>346</v>
      </c>
      <c r="D887" s="10" t="s">
        <v>7681</v>
      </c>
      <c r="E887" s="8" t="s">
        <v>7682</v>
      </c>
      <c r="F887" s="8" t="s">
        <v>7683</v>
      </c>
      <c r="G887" s="10" t="s">
        <v>2647</v>
      </c>
      <c r="H887" s="8" t="s">
        <v>7684</v>
      </c>
      <c r="I887" s="10" t="s">
        <v>7685</v>
      </c>
      <c r="J887" s="8" t="s">
        <v>1655</v>
      </c>
      <c r="K887" s="8" t="s">
        <v>2649</v>
      </c>
      <c r="L887" s="8" t="s">
        <v>87</v>
      </c>
      <c r="M887" s="10" t="s">
        <v>1436</v>
      </c>
      <c r="N887" s="8" t="s">
        <v>87</v>
      </c>
      <c r="O887" s="10" t="s">
        <v>22</v>
      </c>
      <c r="P887" s="8" t="s">
        <v>7686</v>
      </c>
      <c r="Q887" s="10" t="s">
        <v>239</v>
      </c>
      <c r="R887" s="10" t="s">
        <v>1438</v>
      </c>
      <c r="S887" s="8" t="s">
        <v>7687</v>
      </c>
      <c r="T887" s="10" t="s">
        <v>7579</v>
      </c>
      <c r="U887" s="10" t="s">
        <v>87</v>
      </c>
      <c r="V887" s="10" t="s">
        <v>87</v>
      </c>
    </row>
    <row r="888" spans="1:22" s="10" customFormat="1" x14ac:dyDescent="0.25">
      <c r="A888" s="10" t="s">
        <v>7688</v>
      </c>
      <c r="B888" s="10" t="s">
        <v>7021</v>
      </c>
      <c r="C888" s="11" t="s">
        <v>346</v>
      </c>
      <c r="D888" s="10" t="s">
        <v>7689</v>
      </c>
      <c r="E888" s="8" t="s">
        <v>7690</v>
      </c>
      <c r="F888" s="8" t="s">
        <v>1662</v>
      </c>
      <c r="G888" s="10" t="s">
        <v>2647</v>
      </c>
      <c r="H888" s="8" t="s">
        <v>2185</v>
      </c>
      <c r="I888" s="10" t="s">
        <v>7691</v>
      </c>
      <c r="J888" s="8" t="s">
        <v>1664</v>
      </c>
      <c r="K888" s="8" t="s">
        <v>2649</v>
      </c>
      <c r="L888" s="8" t="s">
        <v>87</v>
      </c>
      <c r="M888" s="10" t="s">
        <v>1436</v>
      </c>
      <c r="N888" s="8" t="s">
        <v>87</v>
      </c>
      <c r="O888" s="10" t="s">
        <v>22</v>
      </c>
      <c r="P888" s="8" t="s">
        <v>7692</v>
      </c>
      <c r="Q888" s="10" t="s">
        <v>825</v>
      </c>
      <c r="R888" s="10" t="s">
        <v>2188</v>
      </c>
      <c r="S888" s="8" t="s">
        <v>1669</v>
      </c>
      <c r="T888" s="10" t="s">
        <v>7579</v>
      </c>
      <c r="U888" s="10" t="s">
        <v>87</v>
      </c>
      <c r="V888" s="10" t="s">
        <v>87</v>
      </c>
    </row>
    <row r="889" spans="1:22" s="10" customFormat="1" x14ac:dyDescent="0.25">
      <c r="A889" s="10" t="s">
        <v>7693</v>
      </c>
      <c r="B889" s="10" t="s">
        <v>7021</v>
      </c>
      <c r="C889" s="11" t="s">
        <v>346</v>
      </c>
      <c r="D889" s="10" t="s">
        <v>7694</v>
      </c>
      <c r="E889" s="8" t="s">
        <v>7695</v>
      </c>
      <c r="F889" s="8" t="s">
        <v>7696</v>
      </c>
      <c r="G889" s="10" t="s">
        <v>2647</v>
      </c>
      <c r="H889" s="8" t="s">
        <v>1653</v>
      </c>
      <c r="I889" s="10" t="s">
        <v>7697</v>
      </c>
      <c r="J889" s="8" t="s">
        <v>1655</v>
      </c>
      <c r="K889" s="8" t="s">
        <v>2649</v>
      </c>
      <c r="L889" s="8" t="s">
        <v>87</v>
      </c>
      <c r="M889" s="10" t="s">
        <v>1436</v>
      </c>
      <c r="N889" s="8" t="s">
        <v>87</v>
      </c>
      <c r="O889" s="10" t="s">
        <v>22</v>
      </c>
      <c r="P889" s="8" t="s">
        <v>7698</v>
      </c>
      <c r="Q889" s="10" t="s">
        <v>1447</v>
      </c>
      <c r="R889" s="10" t="s">
        <v>1657</v>
      </c>
      <c r="S889" s="8" t="s">
        <v>7699</v>
      </c>
      <c r="T889" s="10" t="s">
        <v>7579</v>
      </c>
      <c r="U889" s="10" t="s">
        <v>87</v>
      </c>
      <c r="V889" s="10" t="s">
        <v>87</v>
      </c>
    </row>
    <row r="890" spans="1:22" s="10" customFormat="1" x14ac:dyDescent="0.25">
      <c r="A890" s="10" t="s">
        <v>7700</v>
      </c>
      <c r="B890" s="10" t="s">
        <v>7021</v>
      </c>
      <c r="C890" s="10" t="s">
        <v>215</v>
      </c>
      <c r="D890" s="10" t="s">
        <v>7701</v>
      </c>
      <c r="E890" s="8" t="s">
        <v>7702</v>
      </c>
      <c r="F890" s="8" t="s">
        <v>7703</v>
      </c>
      <c r="G890" s="10" t="s">
        <v>2647</v>
      </c>
      <c r="H890" s="8" t="s">
        <v>7704</v>
      </c>
      <c r="I890" s="10" t="s">
        <v>7691</v>
      </c>
      <c r="J890" s="8" t="s">
        <v>2862</v>
      </c>
      <c r="K890" s="8" t="s">
        <v>2649</v>
      </c>
      <c r="L890" s="8" t="s">
        <v>87</v>
      </c>
      <c r="M890" s="10" t="s">
        <v>1436</v>
      </c>
      <c r="N890" s="8" t="s">
        <v>87</v>
      </c>
      <c r="O890" s="10" t="s">
        <v>22</v>
      </c>
      <c r="P890" s="8" t="s">
        <v>7705</v>
      </c>
      <c r="Q890" s="10" t="s">
        <v>223</v>
      </c>
      <c r="R890" s="10" t="s">
        <v>1438</v>
      </c>
      <c r="S890" s="8" t="s">
        <v>1648</v>
      </c>
      <c r="T890" s="10" t="s">
        <v>7579</v>
      </c>
      <c r="U890" s="10" t="s">
        <v>87</v>
      </c>
      <c r="V890" s="10" t="s">
        <v>87</v>
      </c>
    </row>
    <row r="891" spans="1:22" s="10" customFormat="1" x14ac:dyDescent="0.25">
      <c r="A891" s="10" t="s">
        <v>7706</v>
      </c>
      <c r="B891" s="10" t="s">
        <v>7021</v>
      </c>
      <c r="C891" s="10" t="s">
        <v>215</v>
      </c>
      <c r="D891" s="10" t="s">
        <v>7707</v>
      </c>
      <c r="E891" s="8" t="s">
        <v>7708</v>
      </c>
      <c r="F891" s="8" t="s">
        <v>7709</v>
      </c>
      <c r="G891" s="10" t="s">
        <v>4</v>
      </c>
      <c r="H891" s="8" t="s">
        <v>7710</v>
      </c>
      <c r="I891" s="10" t="s">
        <v>7711</v>
      </c>
      <c r="J891" s="8" t="s">
        <v>2862</v>
      </c>
      <c r="K891" s="8" t="s">
        <v>7712</v>
      </c>
      <c r="L891" s="8" t="s">
        <v>87</v>
      </c>
      <c r="M891" s="10" t="s">
        <v>1456</v>
      </c>
      <c r="N891" s="8" t="s">
        <v>87</v>
      </c>
      <c r="O891" s="10" t="s">
        <v>22</v>
      </c>
      <c r="P891" s="8" t="s">
        <v>7713</v>
      </c>
      <c r="Q891" s="10" t="s">
        <v>223</v>
      </c>
      <c r="R891" s="10" t="s">
        <v>1438</v>
      </c>
      <c r="S891" s="8" t="s">
        <v>7714</v>
      </c>
      <c r="T891" s="10" t="s">
        <v>7579</v>
      </c>
      <c r="U891" s="10" t="s">
        <v>87</v>
      </c>
      <c r="V891" s="10" t="s">
        <v>87</v>
      </c>
    </row>
    <row r="892" spans="1:22" s="10" customFormat="1" x14ac:dyDescent="0.25">
      <c r="A892" s="10" t="s">
        <v>7715</v>
      </c>
      <c r="B892" s="10" t="s">
        <v>7021</v>
      </c>
      <c r="C892" s="11" t="s">
        <v>346</v>
      </c>
      <c r="D892" s="10" t="s">
        <v>7716</v>
      </c>
      <c r="E892" s="8" t="s">
        <v>7717</v>
      </c>
      <c r="F892" s="8" t="s">
        <v>7718</v>
      </c>
      <c r="G892" s="10" t="s">
        <v>4</v>
      </c>
      <c r="H892" s="8" t="s">
        <v>7719</v>
      </c>
      <c r="I892" s="10" t="s">
        <v>7720</v>
      </c>
      <c r="J892" s="8" t="s">
        <v>2862</v>
      </c>
      <c r="K892" s="8" t="s">
        <v>1873</v>
      </c>
      <c r="L892" s="8" t="s">
        <v>87</v>
      </c>
      <c r="M892" s="10" t="s">
        <v>1456</v>
      </c>
      <c r="N892" s="8" t="s">
        <v>87</v>
      </c>
      <c r="O892" s="10" t="s">
        <v>22</v>
      </c>
      <c r="P892" s="8" t="s">
        <v>7721</v>
      </c>
      <c r="Q892" s="10" t="s">
        <v>223</v>
      </c>
      <c r="R892" s="10" t="s">
        <v>1438</v>
      </c>
      <c r="S892" s="8" t="s">
        <v>7722</v>
      </c>
      <c r="T892" s="10" t="s">
        <v>7579</v>
      </c>
      <c r="U892" s="10" t="s">
        <v>87</v>
      </c>
      <c r="V892" s="10" t="s">
        <v>87</v>
      </c>
    </row>
    <row r="893" spans="1:22" s="10" customFormat="1" x14ac:dyDescent="0.25">
      <c r="A893" s="10" t="s">
        <v>7723</v>
      </c>
      <c r="B893" s="10" t="s">
        <v>7021</v>
      </c>
      <c r="C893" s="11" t="s">
        <v>346</v>
      </c>
      <c r="D893" s="10" t="s">
        <v>7724</v>
      </c>
      <c r="E893" s="8" t="s">
        <v>7725</v>
      </c>
      <c r="F893" s="8" t="s">
        <v>7726</v>
      </c>
      <c r="G893" s="10" t="s">
        <v>4</v>
      </c>
      <c r="H893" s="8" t="s">
        <v>7727</v>
      </c>
      <c r="I893" s="10" t="s">
        <v>7728</v>
      </c>
      <c r="J893" s="8" t="s">
        <v>2862</v>
      </c>
      <c r="K893" s="8" t="s">
        <v>1873</v>
      </c>
      <c r="L893" s="8" t="s">
        <v>87</v>
      </c>
      <c r="M893" s="10" t="s">
        <v>1456</v>
      </c>
      <c r="N893" s="8" t="s">
        <v>87</v>
      </c>
      <c r="O893" s="10" t="s">
        <v>22</v>
      </c>
      <c r="P893" s="8" t="s">
        <v>7729</v>
      </c>
      <c r="Q893" s="10" t="s">
        <v>246</v>
      </c>
      <c r="R893" s="10" t="s">
        <v>1438</v>
      </c>
      <c r="S893" s="8" t="s">
        <v>7730</v>
      </c>
      <c r="T893" s="10" t="s">
        <v>7579</v>
      </c>
      <c r="U893" s="10" t="s">
        <v>87</v>
      </c>
      <c r="V893" s="10" t="s">
        <v>87</v>
      </c>
    </row>
    <row r="894" spans="1:22" s="10" customFormat="1" x14ac:dyDescent="0.25">
      <c r="A894" s="10" t="s">
        <v>7731</v>
      </c>
      <c r="B894" s="10" t="s">
        <v>7021</v>
      </c>
      <c r="C894" s="11" t="s">
        <v>346</v>
      </c>
      <c r="D894" s="10" t="s">
        <v>7732</v>
      </c>
      <c r="E894" s="8" t="s">
        <v>7733</v>
      </c>
      <c r="F894" s="8" t="s">
        <v>7734</v>
      </c>
      <c r="G894" s="10" t="s">
        <v>4</v>
      </c>
      <c r="H894" s="8" t="s">
        <v>7735</v>
      </c>
      <c r="I894" s="10" t="s">
        <v>7649</v>
      </c>
      <c r="J894" s="8" t="s">
        <v>2862</v>
      </c>
      <c r="K894" s="8" t="s">
        <v>1873</v>
      </c>
      <c r="L894" s="8" t="s">
        <v>87</v>
      </c>
      <c r="M894" s="10" t="s">
        <v>1456</v>
      </c>
      <c r="N894" s="8" t="s">
        <v>87</v>
      </c>
      <c r="O894" s="10" t="s">
        <v>22</v>
      </c>
      <c r="P894" s="8" t="s">
        <v>7736</v>
      </c>
      <c r="Q894" s="10" t="s">
        <v>246</v>
      </c>
      <c r="R894" s="10" t="s">
        <v>1438</v>
      </c>
      <c r="S894" s="8" t="s">
        <v>7737</v>
      </c>
      <c r="T894" s="10" t="s">
        <v>7579</v>
      </c>
      <c r="U894" s="10" t="s">
        <v>87</v>
      </c>
      <c r="V894" s="10" t="s">
        <v>87</v>
      </c>
    </row>
    <row r="895" spans="1:22" s="10" customFormat="1" x14ac:dyDescent="0.25">
      <c r="A895" s="10" t="s">
        <v>7738</v>
      </c>
      <c r="B895" s="10" t="s">
        <v>7021</v>
      </c>
      <c r="C895" s="10" t="s">
        <v>215</v>
      </c>
      <c r="D895" s="10" t="s">
        <v>7739</v>
      </c>
      <c r="E895" s="8" t="s">
        <v>7740</v>
      </c>
      <c r="F895" s="8" t="s">
        <v>4867</v>
      </c>
      <c r="G895" s="10" t="s">
        <v>4</v>
      </c>
      <c r="H895" s="8" t="s">
        <v>7741</v>
      </c>
      <c r="I895" s="10" t="s">
        <v>7649</v>
      </c>
      <c r="J895" s="8" t="s">
        <v>2862</v>
      </c>
      <c r="K895" s="8" t="s">
        <v>7742</v>
      </c>
      <c r="L895" s="8" t="s">
        <v>87</v>
      </c>
      <c r="M895" s="10" t="s">
        <v>1456</v>
      </c>
      <c r="N895" s="8" t="s">
        <v>87</v>
      </c>
      <c r="O895" s="10" t="s">
        <v>22</v>
      </c>
      <c r="P895" s="8" t="s">
        <v>7743</v>
      </c>
      <c r="Q895" s="10" t="s">
        <v>223</v>
      </c>
      <c r="R895" s="10" t="s">
        <v>1438</v>
      </c>
      <c r="S895" s="8" t="s">
        <v>7744</v>
      </c>
      <c r="T895" s="10" t="s">
        <v>7579</v>
      </c>
      <c r="U895" s="10" t="s">
        <v>87</v>
      </c>
      <c r="V895" s="10" t="s">
        <v>87</v>
      </c>
    </row>
    <row r="896" spans="1:22" s="10" customFormat="1" x14ac:dyDescent="0.25">
      <c r="A896" s="10" t="s">
        <v>7745</v>
      </c>
      <c r="B896" s="10" t="s">
        <v>7021</v>
      </c>
      <c r="C896" s="10" t="s">
        <v>215</v>
      </c>
      <c r="D896" s="10" t="s">
        <v>7746</v>
      </c>
      <c r="E896" s="8" t="s">
        <v>7747</v>
      </c>
      <c r="F896" s="8" t="s">
        <v>7748</v>
      </c>
      <c r="G896" s="10" t="s">
        <v>3</v>
      </c>
      <c r="H896" s="8" t="s">
        <v>7749</v>
      </c>
      <c r="I896" s="10" t="s">
        <v>7720</v>
      </c>
      <c r="J896" s="8" t="s">
        <v>2862</v>
      </c>
      <c r="K896" s="8" t="s">
        <v>1435</v>
      </c>
      <c r="L896" s="8" t="s">
        <v>87</v>
      </c>
      <c r="M896" s="10" t="s">
        <v>1436</v>
      </c>
      <c r="N896" s="8" t="s">
        <v>87</v>
      </c>
      <c r="O896" s="10" t="s">
        <v>22</v>
      </c>
      <c r="P896" s="8" t="s">
        <v>7750</v>
      </c>
      <c r="Q896" s="10" t="s">
        <v>223</v>
      </c>
      <c r="R896" s="10" t="s">
        <v>1438</v>
      </c>
      <c r="S896" s="8" t="s">
        <v>7751</v>
      </c>
      <c r="T896" s="10" t="s">
        <v>7579</v>
      </c>
      <c r="U896" s="10" t="s">
        <v>87</v>
      </c>
      <c r="V896" s="10" t="s">
        <v>87</v>
      </c>
    </row>
    <row r="897" spans="1:22" s="10" customFormat="1" x14ac:dyDescent="0.25">
      <c r="A897" s="10" t="s">
        <v>7752</v>
      </c>
      <c r="B897" s="10" t="s">
        <v>7021</v>
      </c>
      <c r="C897" s="11" t="s">
        <v>346</v>
      </c>
      <c r="D897" s="10" t="s">
        <v>7753</v>
      </c>
      <c r="E897" s="8" t="s">
        <v>7754</v>
      </c>
      <c r="F897" s="8" t="s">
        <v>7755</v>
      </c>
      <c r="G897" s="10" t="s">
        <v>4</v>
      </c>
      <c r="H897" s="8" t="s">
        <v>1653</v>
      </c>
      <c r="I897" s="10" t="s">
        <v>7756</v>
      </c>
      <c r="J897" s="8" t="s">
        <v>1655</v>
      </c>
      <c r="K897" s="8" t="s">
        <v>1873</v>
      </c>
      <c r="L897" s="8" t="s">
        <v>87</v>
      </c>
      <c r="M897" s="10" t="s">
        <v>1456</v>
      </c>
      <c r="N897" s="8" t="s">
        <v>87</v>
      </c>
      <c r="O897" s="10" t="s">
        <v>22</v>
      </c>
      <c r="P897" s="8" t="s">
        <v>7757</v>
      </c>
      <c r="Q897" s="10" t="s">
        <v>1447</v>
      </c>
      <c r="R897" s="10" t="s">
        <v>1657</v>
      </c>
      <c r="S897" s="8" t="s">
        <v>7758</v>
      </c>
      <c r="T897" s="10" t="s">
        <v>7579</v>
      </c>
      <c r="U897" s="10" t="s">
        <v>87</v>
      </c>
      <c r="V897" s="10" t="s">
        <v>87</v>
      </c>
    </row>
    <row r="898" spans="1:22" s="10" customFormat="1" x14ac:dyDescent="0.25">
      <c r="A898" s="10" t="s">
        <v>7759</v>
      </c>
      <c r="B898" s="10" t="s">
        <v>7021</v>
      </c>
      <c r="C898" s="11" t="s">
        <v>346</v>
      </c>
      <c r="D898" s="10" t="s">
        <v>7760</v>
      </c>
      <c r="E898" s="8" t="s">
        <v>7761</v>
      </c>
      <c r="F898" s="8" t="s">
        <v>7762</v>
      </c>
      <c r="G898" s="10" t="s">
        <v>3</v>
      </c>
      <c r="H898" s="8" t="s">
        <v>7346</v>
      </c>
      <c r="I898" s="10" t="s">
        <v>7649</v>
      </c>
      <c r="J898" s="8" t="s">
        <v>1664</v>
      </c>
      <c r="K898" s="8" t="s">
        <v>1435</v>
      </c>
      <c r="L898" s="8" t="s">
        <v>2367</v>
      </c>
      <c r="M898" s="10" t="s">
        <v>1436</v>
      </c>
      <c r="N898" s="8" t="s">
        <v>87</v>
      </c>
      <c r="O898" s="10" t="s">
        <v>22</v>
      </c>
      <c r="P898" s="8" t="s">
        <v>7763</v>
      </c>
      <c r="Q898" s="10" t="s">
        <v>825</v>
      </c>
      <c r="R898" s="10" t="s">
        <v>7350</v>
      </c>
      <c r="S898" s="8" t="s">
        <v>1669</v>
      </c>
      <c r="T898" s="10" t="s">
        <v>7579</v>
      </c>
      <c r="U898" s="10" t="s">
        <v>87</v>
      </c>
      <c r="V898" s="10" t="s">
        <v>87</v>
      </c>
    </row>
    <row r="899" spans="1:22" s="10" customFormat="1" x14ac:dyDescent="0.25">
      <c r="A899" s="10" t="s">
        <v>7764</v>
      </c>
      <c r="B899" s="10" t="s">
        <v>7021</v>
      </c>
      <c r="C899" s="10" t="s">
        <v>215</v>
      </c>
      <c r="D899" s="10" t="s">
        <v>7765</v>
      </c>
      <c r="E899" s="8" t="s">
        <v>7766</v>
      </c>
      <c r="F899" s="8" t="s">
        <v>7767</v>
      </c>
      <c r="G899" s="10" t="s">
        <v>4</v>
      </c>
      <c r="H899" s="8" t="s">
        <v>7768</v>
      </c>
      <c r="I899" s="10" t="s">
        <v>7769</v>
      </c>
      <c r="J899" s="8" t="s">
        <v>2862</v>
      </c>
      <c r="K899" s="8" t="s">
        <v>7770</v>
      </c>
      <c r="L899" s="8" t="s">
        <v>87</v>
      </c>
      <c r="M899" s="10" t="s">
        <v>1456</v>
      </c>
      <c r="N899" s="8" t="s">
        <v>87</v>
      </c>
      <c r="O899" s="10" t="s">
        <v>22</v>
      </c>
      <c r="P899" s="8" t="s">
        <v>7771</v>
      </c>
      <c r="Q899" s="10" t="s">
        <v>223</v>
      </c>
      <c r="R899" s="10" t="s">
        <v>1438</v>
      </c>
      <c r="S899" s="8" t="s">
        <v>7772</v>
      </c>
      <c r="T899" s="10" t="s">
        <v>7579</v>
      </c>
      <c r="U899" s="10" t="s">
        <v>87</v>
      </c>
      <c r="V899" s="10" t="s">
        <v>87</v>
      </c>
    </row>
    <row r="900" spans="1:22" s="10" customFormat="1" x14ac:dyDescent="0.25">
      <c r="A900" s="10" t="s">
        <v>7773</v>
      </c>
      <c r="B900" s="10" t="s">
        <v>7021</v>
      </c>
      <c r="C900" s="11" t="s">
        <v>346</v>
      </c>
      <c r="D900" s="10" t="s">
        <v>7774</v>
      </c>
      <c r="E900" s="8" t="s">
        <v>7775</v>
      </c>
      <c r="F900" s="8" t="s">
        <v>7776</v>
      </c>
      <c r="G900" s="10" t="s">
        <v>4</v>
      </c>
      <c r="H900" s="8" t="s">
        <v>7777</v>
      </c>
      <c r="I900" s="10" t="s">
        <v>7778</v>
      </c>
      <c r="J900" s="8" t="s">
        <v>2862</v>
      </c>
      <c r="K900" s="8" t="s">
        <v>1873</v>
      </c>
      <c r="L900" s="8" t="s">
        <v>87</v>
      </c>
      <c r="M900" s="10" t="s">
        <v>1456</v>
      </c>
      <c r="N900" s="8" t="s">
        <v>87</v>
      </c>
      <c r="O900" s="10" t="s">
        <v>22</v>
      </c>
      <c r="P900" s="8" t="s">
        <v>7779</v>
      </c>
      <c r="Q900" s="10" t="s">
        <v>1447</v>
      </c>
      <c r="R900" s="10" t="s">
        <v>1438</v>
      </c>
      <c r="S900" s="8" t="s">
        <v>7780</v>
      </c>
      <c r="T900" s="10" t="s">
        <v>7579</v>
      </c>
      <c r="U900" s="10" t="s">
        <v>87</v>
      </c>
      <c r="V900" s="10" t="s">
        <v>87</v>
      </c>
    </row>
    <row r="901" spans="1:22" s="10" customFormat="1" x14ac:dyDescent="0.25">
      <c r="A901" s="10" t="s">
        <v>7781</v>
      </c>
      <c r="B901" s="10" t="s">
        <v>7021</v>
      </c>
      <c r="C901" s="10" t="s">
        <v>215</v>
      </c>
      <c r="D901" s="10" t="s">
        <v>7782</v>
      </c>
      <c r="E901" s="8" t="s">
        <v>7783</v>
      </c>
      <c r="F901" s="8" t="s">
        <v>7784</v>
      </c>
      <c r="G901" s="10" t="s">
        <v>4</v>
      </c>
      <c r="H901" s="8" t="s">
        <v>2462</v>
      </c>
      <c r="I901" s="10" t="s">
        <v>4322</v>
      </c>
      <c r="J901" s="8" t="s">
        <v>2862</v>
      </c>
      <c r="K901" s="8" t="s">
        <v>1873</v>
      </c>
      <c r="L901" s="8" t="s">
        <v>87</v>
      </c>
      <c r="M901" s="10" t="s">
        <v>1456</v>
      </c>
      <c r="N901" s="8" t="s">
        <v>87</v>
      </c>
      <c r="O901" s="10" t="s">
        <v>22</v>
      </c>
      <c r="P901" s="8" t="s">
        <v>7785</v>
      </c>
      <c r="Q901" s="10" t="s">
        <v>223</v>
      </c>
      <c r="R901" s="10" t="s">
        <v>1438</v>
      </c>
      <c r="S901" s="8" t="s">
        <v>7786</v>
      </c>
      <c r="T901" s="10" t="s">
        <v>7579</v>
      </c>
      <c r="U901" s="10" t="s">
        <v>87</v>
      </c>
      <c r="V901" s="10" t="s">
        <v>87</v>
      </c>
    </row>
    <row r="902" spans="1:22" s="10" customFormat="1" x14ac:dyDescent="0.25">
      <c r="A902" s="10" t="s">
        <v>7787</v>
      </c>
      <c r="B902" s="10" t="s">
        <v>7021</v>
      </c>
      <c r="C902" s="10" t="s">
        <v>215</v>
      </c>
      <c r="D902" s="10" t="s">
        <v>7788</v>
      </c>
      <c r="E902" s="8" t="s">
        <v>7789</v>
      </c>
      <c r="F902" s="8" t="s">
        <v>7790</v>
      </c>
      <c r="G902" s="10" t="s">
        <v>2647</v>
      </c>
      <c r="H902" s="8" t="s">
        <v>7791</v>
      </c>
      <c r="I902" s="10" t="s">
        <v>4314</v>
      </c>
      <c r="J902" s="8" t="s">
        <v>2862</v>
      </c>
      <c r="K902" s="8" t="s">
        <v>2649</v>
      </c>
      <c r="L902" s="8" t="s">
        <v>87</v>
      </c>
      <c r="M902" s="10" t="s">
        <v>1436</v>
      </c>
      <c r="N902" s="8" t="s">
        <v>87</v>
      </c>
      <c r="O902" s="10" t="s">
        <v>22</v>
      </c>
      <c r="P902" s="8" t="s">
        <v>7792</v>
      </c>
      <c r="Q902" s="10" t="s">
        <v>223</v>
      </c>
      <c r="R902" s="10" t="s">
        <v>1438</v>
      </c>
      <c r="S902" s="8" t="s">
        <v>2492</v>
      </c>
      <c r="T902" s="10" t="s">
        <v>7579</v>
      </c>
      <c r="U902" s="10" t="s">
        <v>87</v>
      </c>
      <c r="V902" s="10" t="s">
        <v>87</v>
      </c>
    </row>
    <row r="903" spans="1:22" s="10" customFormat="1" x14ac:dyDescent="0.25">
      <c r="A903" s="10" t="s">
        <v>7793</v>
      </c>
      <c r="B903" s="10" t="s">
        <v>7021</v>
      </c>
      <c r="C903" s="10" t="s">
        <v>215</v>
      </c>
      <c r="D903" s="10" t="s">
        <v>7794</v>
      </c>
      <c r="E903" s="8" t="s">
        <v>7795</v>
      </c>
      <c r="F903" s="8" t="s">
        <v>7796</v>
      </c>
      <c r="G903" s="10" t="s">
        <v>3</v>
      </c>
      <c r="H903" s="8" t="s">
        <v>7797</v>
      </c>
      <c r="I903" s="10" t="s">
        <v>7798</v>
      </c>
      <c r="J903" s="8" t="s">
        <v>2862</v>
      </c>
      <c r="K903" s="8" t="s">
        <v>1435</v>
      </c>
      <c r="L903" s="8" t="s">
        <v>87</v>
      </c>
      <c r="M903" s="10" t="s">
        <v>1436</v>
      </c>
      <c r="N903" s="8" t="s">
        <v>87</v>
      </c>
      <c r="O903" s="10" t="s">
        <v>22</v>
      </c>
      <c r="P903" s="8" t="s">
        <v>7799</v>
      </c>
      <c r="Q903" s="10" t="s">
        <v>223</v>
      </c>
      <c r="R903" s="10" t="s">
        <v>1438</v>
      </c>
      <c r="S903" s="8" t="s">
        <v>2492</v>
      </c>
      <c r="T903" s="10" t="s">
        <v>7579</v>
      </c>
      <c r="U903" s="10" t="s">
        <v>87</v>
      </c>
      <c r="V903" s="10" t="s">
        <v>87</v>
      </c>
    </row>
    <row r="904" spans="1:22" s="10" customFormat="1" x14ac:dyDescent="0.25">
      <c r="A904" s="10" t="s">
        <v>7800</v>
      </c>
      <c r="B904" s="10" t="s">
        <v>7021</v>
      </c>
      <c r="C904" s="10" t="s">
        <v>215</v>
      </c>
      <c r="D904" s="10" t="s">
        <v>7801</v>
      </c>
      <c r="E904" s="8" t="s">
        <v>7802</v>
      </c>
      <c r="F904" s="8" t="s">
        <v>7803</v>
      </c>
      <c r="G904" s="10" t="s">
        <v>4</v>
      </c>
      <c r="H904" s="8" t="s">
        <v>7804</v>
      </c>
      <c r="I904" s="10" t="s">
        <v>4314</v>
      </c>
      <c r="J904" s="8" t="s">
        <v>2862</v>
      </c>
      <c r="K904" s="8" t="s">
        <v>7805</v>
      </c>
      <c r="L904" s="8" t="s">
        <v>87</v>
      </c>
      <c r="M904" s="10" t="s">
        <v>1456</v>
      </c>
      <c r="N904" s="8" t="s">
        <v>87</v>
      </c>
      <c r="O904" s="10" t="s">
        <v>22</v>
      </c>
      <c r="P904" s="8" t="s">
        <v>7806</v>
      </c>
      <c r="Q904" s="10" t="s">
        <v>223</v>
      </c>
      <c r="R904" s="10" t="s">
        <v>1438</v>
      </c>
      <c r="S904" s="8" t="s">
        <v>7807</v>
      </c>
      <c r="T904" s="10" t="s">
        <v>7579</v>
      </c>
      <c r="U904" s="10" t="s">
        <v>87</v>
      </c>
      <c r="V904" s="10" t="s">
        <v>87</v>
      </c>
    </row>
    <row r="905" spans="1:22" s="10" customFormat="1" x14ac:dyDescent="0.25">
      <c r="A905" s="10" t="s">
        <v>7808</v>
      </c>
      <c r="B905" s="10" t="s">
        <v>7021</v>
      </c>
      <c r="C905" s="11" t="s">
        <v>346</v>
      </c>
      <c r="D905" s="10" t="s">
        <v>7809</v>
      </c>
      <c r="E905" s="8" t="s">
        <v>7810</v>
      </c>
      <c r="F905" s="8" t="s">
        <v>7811</v>
      </c>
      <c r="G905" s="10" t="s">
        <v>3</v>
      </c>
      <c r="H905" s="8" t="s">
        <v>7812</v>
      </c>
      <c r="I905" s="10" t="s">
        <v>7813</v>
      </c>
      <c r="J905" s="8" t="s">
        <v>2862</v>
      </c>
      <c r="K905" s="8" t="s">
        <v>1435</v>
      </c>
      <c r="L905" s="8" t="s">
        <v>87</v>
      </c>
      <c r="M905" s="10" t="s">
        <v>1436</v>
      </c>
      <c r="N905" s="8" t="s">
        <v>87</v>
      </c>
      <c r="O905" s="10" t="s">
        <v>22</v>
      </c>
      <c r="P905" s="8" t="s">
        <v>7814</v>
      </c>
      <c r="Q905" s="10" t="s">
        <v>239</v>
      </c>
      <c r="R905" s="10" t="s">
        <v>1438</v>
      </c>
      <c r="S905" s="8" t="s">
        <v>7815</v>
      </c>
      <c r="T905" s="10" t="s">
        <v>7579</v>
      </c>
      <c r="U905" s="10" t="s">
        <v>87</v>
      </c>
      <c r="V905" s="10" t="s">
        <v>87</v>
      </c>
    </row>
    <row r="906" spans="1:22" s="10" customFormat="1" x14ac:dyDescent="0.25">
      <c r="A906" s="10" t="s">
        <v>7816</v>
      </c>
      <c r="B906" s="10" t="s">
        <v>7021</v>
      </c>
      <c r="C906" s="11" t="s">
        <v>346</v>
      </c>
      <c r="D906" s="10" t="s">
        <v>7817</v>
      </c>
      <c r="E906" s="8" t="s">
        <v>7818</v>
      </c>
      <c r="F906" s="8" t="s">
        <v>7819</v>
      </c>
      <c r="G906" s="10" t="s">
        <v>4</v>
      </c>
      <c r="H906" s="8" t="s">
        <v>1653</v>
      </c>
      <c r="I906" s="10" t="s">
        <v>7820</v>
      </c>
      <c r="J906" s="8" t="s">
        <v>1655</v>
      </c>
      <c r="K906" s="8" t="s">
        <v>1873</v>
      </c>
      <c r="L906" s="8" t="s">
        <v>87</v>
      </c>
      <c r="M906" s="10" t="s">
        <v>1456</v>
      </c>
      <c r="N906" s="8" t="s">
        <v>87</v>
      </c>
      <c r="O906" s="10" t="s">
        <v>22</v>
      </c>
      <c r="P906" s="8" t="s">
        <v>7821</v>
      </c>
      <c r="Q906" s="10" t="s">
        <v>1447</v>
      </c>
      <c r="R906" s="10" t="s">
        <v>1657</v>
      </c>
      <c r="S906" s="8" t="s">
        <v>7822</v>
      </c>
      <c r="T906" s="10" t="s">
        <v>7579</v>
      </c>
      <c r="U906" s="10" t="s">
        <v>87</v>
      </c>
      <c r="V906" s="10" t="s">
        <v>87</v>
      </c>
    </row>
    <row r="907" spans="1:22" s="10" customFormat="1" x14ac:dyDescent="0.25">
      <c r="A907" s="10" t="s">
        <v>7823</v>
      </c>
      <c r="B907" s="10" t="s">
        <v>7824</v>
      </c>
      <c r="C907" s="11" t="s">
        <v>346</v>
      </c>
      <c r="D907" s="10" t="s">
        <v>7825</v>
      </c>
      <c r="E907" s="8" t="s">
        <v>7826</v>
      </c>
      <c r="F907" s="8" t="s">
        <v>7827</v>
      </c>
      <c r="G907" s="10" t="s">
        <v>4</v>
      </c>
      <c r="H907" s="8" t="s">
        <v>7828</v>
      </c>
      <c r="I907" s="10" t="s">
        <v>4043</v>
      </c>
      <c r="J907" s="8" t="s">
        <v>7829</v>
      </c>
      <c r="K907" s="8" t="s">
        <v>1873</v>
      </c>
      <c r="L907" s="8" t="s">
        <v>87</v>
      </c>
      <c r="M907" s="10" t="s">
        <v>1456</v>
      </c>
      <c r="N907" s="8" t="s">
        <v>87</v>
      </c>
      <c r="O907" s="10" t="s">
        <v>22</v>
      </c>
      <c r="P907" s="8" t="s">
        <v>7830</v>
      </c>
      <c r="Q907" s="10" t="s">
        <v>1447</v>
      </c>
      <c r="R907" s="10" t="s">
        <v>1438</v>
      </c>
      <c r="S907" s="8" t="s">
        <v>7831</v>
      </c>
      <c r="T907" s="10" t="s">
        <v>7832</v>
      </c>
      <c r="U907" s="10" t="s">
        <v>87</v>
      </c>
      <c r="V907" s="10" t="s">
        <v>87</v>
      </c>
    </row>
    <row r="908" spans="1:22" s="10" customFormat="1" x14ac:dyDescent="0.25">
      <c r="A908" s="10" t="s">
        <v>7833</v>
      </c>
      <c r="B908" s="10" t="s">
        <v>7824</v>
      </c>
      <c r="C908" s="11" t="s">
        <v>346</v>
      </c>
      <c r="D908" s="10" t="s">
        <v>7834</v>
      </c>
      <c r="E908" s="8" t="s">
        <v>7835</v>
      </c>
      <c r="F908" s="8" t="s">
        <v>7836</v>
      </c>
      <c r="G908" s="10" t="s">
        <v>4</v>
      </c>
      <c r="H908" s="8" t="s">
        <v>7837</v>
      </c>
      <c r="I908" s="10" t="s">
        <v>3741</v>
      </c>
      <c r="J908" s="8" t="s">
        <v>7829</v>
      </c>
      <c r="K908" s="8" t="s">
        <v>1873</v>
      </c>
      <c r="L908" s="8" t="s">
        <v>87</v>
      </c>
      <c r="M908" s="10" t="s">
        <v>1456</v>
      </c>
      <c r="N908" s="8" t="s">
        <v>87</v>
      </c>
      <c r="O908" s="10" t="s">
        <v>22</v>
      </c>
      <c r="P908" s="8" t="s">
        <v>7838</v>
      </c>
      <c r="Q908" s="10" t="s">
        <v>1447</v>
      </c>
      <c r="R908" s="10" t="s">
        <v>1438</v>
      </c>
      <c r="S908" s="8" t="s">
        <v>7839</v>
      </c>
      <c r="T908" s="10" t="s">
        <v>7832</v>
      </c>
      <c r="U908" s="10" t="s">
        <v>87</v>
      </c>
      <c r="V908" s="10" t="s">
        <v>87</v>
      </c>
    </row>
    <row r="909" spans="1:22" s="10" customFormat="1" x14ac:dyDescent="0.25">
      <c r="A909" s="10" t="s">
        <v>7840</v>
      </c>
      <c r="B909" s="10" t="s">
        <v>7824</v>
      </c>
      <c r="C909" s="11" t="s">
        <v>346</v>
      </c>
      <c r="D909" s="10" t="s">
        <v>7841</v>
      </c>
      <c r="E909" s="8" t="s">
        <v>7842</v>
      </c>
      <c r="F909" s="8" t="s">
        <v>7843</v>
      </c>
      <c r="G909" s="10" t="s">
        <v>4</v>
      </c>
      <c r="H909" s="8" t="s">
        <v>7844</v>
      </c>
      <c r="I909" s="10" t="s">
        <v>3741</v>
      </c>
      <c r="J909" s="8" t="s">
        <v>7829</v>
      </c>
      <c r="K909" s="8" t="s">
        <v>1873</v>
      </c>
      <c r="L909" s="8" t="s">
        <v>87</v>
      </c>
      <c r="M909" s="10" t="s">
        <v>1456</v>
      </c>
      <c r="N909" s="8" t="s">
        <v>87</v>
      </c>
      <c r="O909" s="10" t="s">
        <v>22</v>
      </c>
      <c r="P909" s="8" t="s">
        <v>7845</v>
      </c>
      <c r="Q909" s="10" t="s">
        <v>1447</v>
      </c>
      <c r="R909" s="10" t="s">
        <v>1438</v>
      </c>
      <c r="S909" s="8" t="s">
        <v>7846</v>
      </c>
      <c r="T909" s="10" t="s">
        <v>7832</v>
      </c>
      <c r="U909" s="10" t="s">
        <v>87</v>
      </c>
      <c r="V909" s="10" t="s">
        <v>87</v>
      </c>
    </row>
    <row r="910" spans="1:22" s="10" customFormat="1" x14ac:dyDescent="0.25">
      <c r="A910" s="10" t="s">
        <v>7847</v>
      </c>
      <c r="B910" s="10" t="s">
        <v>7824</v>
      </c>
      <c r="C910" s="11" t="s">
        <v>346</v>
      </c>
      <c r="D910" s="10" t="s">
        <v>7848</v>
      </c>
      <c r="E910" s="8" t="s">
        <v>7849</v>
      </c>
      <c r="F910" s="8" t="s">
        <v>7850</v>
      </c>
      <c r="G910" s="10" t="s">
        <v>4</v>
      </c>
      <c r="H910" s="8" t="s">
        <v>5455</v>
      </c>
      <c r="I910" s="10" t="s">
        <v>7851</v>
      </c>
      <c r="J910" s="8" t="s">
        <v>7829</v>
      </c>
      <c r="K910" s="8" t="s">
        <v>1873</v>
      </c>
      <c r="L910" s="8" t="s">
        <v>87</v>
      </c>
      <c r="M910" s="10" t="s">
        <v>1456</v>
      </c>
      <c r="N910" s="8" t="s">
        <v>87</v>
      </c>
      <c r="O910" s="10" t="s">
        <v>22</v>
      </c>
      <c r="P910" s="8" t="s">
        <v>7852</v>
      </c>
      <c r="Q910" s="10" t="s">
        <v>1447</v>
      </c>
      <c r="R910" s="10" t="s">
        <v>1438</v>
      </c>
      <c r="S910" s="8" t="s">
        <v>5458</v>
      </c>
      <c r="T910" s="10" t="s">
        <v>7832</v>
      </c>
      <c r="U910" s="10" t="s">
        <v>87</v>
      </c>
      <c r="V910" s="10" t="s">
        <v>87</v>
      </c>
    </row>
    <row r="911" spans="1:22" s="10" customFormat="1" x14ac:dyDescent="0.25">
      <c r="A911" s="10" t="s">
        <v>7853</v>
      </c>
      <c r="B911" s="10" t="s">
        <v>7824</v>
      </c>
      <c r="C911" s="11" t="s">
        <v>346</v>
      </c>
      <c r="D911" s="10" t="s">
        <v>7854</v>
      </c>
      <c r="E911" s="8" t="s">
        <v>7855</v>
      </c>
      <c r="F911" s="8" t="s">
        <v>7856</v>
      </c>
      <c r="G911" s="10" t="s">
        <v>4</v>
      </c>
      <c r="H911" s="8" t="s">
        <v>5237</v>
      </c>
      <c r="I911" s="10" t="s">
        <v>5403</v>
      </c>
      <c r="J911" s="8" t="s">
        <v>7829</v>
      </c>
      <c r="K911" s="8" t="s">
        <v>1873</v>
      </c>
      <c r="L911" s="8" t="s">
        <v>87</v>
      </c>
      <c r="M911" s="10" t="s">
        <v>1456</v>
      </c>
      <c r="N911" s="8" t="s">
        <v>87</v>
      </c>
      <c r="O911" s="10" t="s">
        <v>22</v>
      </c>
      <c r="P911" s="8" t="s">
        <v>7857</v>
      </c>
      <c r="Q911" s="10" t="s">
        <v>1447</v>
      </c>
      <c r="R911" s="10" t="s">
        <v>1438</v>
      </c>
      <c r="S911" s="8" t="s">
        <v>5240</v>
      </c>
      <c r="T911" s="10" t="s">
        <v>7832</v>
      </c>
      <c r="U911" s="10" t="s">
        <v>87</v>
      </c>
      <c r="V911" s="10" t="s">
        <v>87</v>
      </c>
    </row>
    <row r="912" spans="1:22" s="10" customFormat="1" x14ac:dyDescent="0.25">
      <c r="A912" s="10" t="s">
        <v>7858</v>
      </c>
      <c r="B912" s="10" t="s">
        <v>7824</v>
      </c>
      <c r="C912" s="11" t="s">
        <v>346</v>
      </c>
      <c r="D912" s="10" t="s">
        <v>7859</v>
      </c>
      <c r="E912" s="8" t="s">
        <v>7860</v>
      </c>
      <c r="F912" s="8" t="s">
        <v>7861</v>
      </c>
      <c r="G912" s="10" t="s">
        <v>4</v>
      </c>
      <c r="H912" s="8" t="s">
        <v>5832</v>
      </c>
      <c r="I912" s="10" t="s">
        <v>5847</v>
      </c>
      <c r="J912" s="8" t="s">
        <v>7829</v>
      </c>
      <c r="K912" s="8" t="s">
        <v>1873</v>
      </c>
      <c r="L912" s="8" t="s">
        <v>87</v>
      </c>
      <c r="M912" s="10" t="s">
        <v>1456</v>
      </c>
      <c r="N912" s="8" t="s">
        <v>87</v>
      </c>
      <c r="O912" s="10" t="s">
        <v>22</v>
      </c>
      <c r="P912" s="8" t="s">
        <v>7862</v>
      </c>
      <c r="Q912" s="10" t="s">
        <v>1447</v>
      </c>
      <c r="R912" s="10" t="s">
        <v>1438</v>
      </c>
      <c r="S912" s="8" t="s">
        <v>7863</v>
      </c>
      <c r="T912" s="10" t="s">
        <v>7832</v>
      </c>
      <c r="U912" s="10" t="s">
        <v>87</v>
      </c>
      <c r="V912" s="10" t="s">
        <v>87</v>
      </c>
    </row>
    <row r="913" spans="1:22" s="10" customFormat="1" x14ac:dyDescent="0.25">
      <c r="A913" s="10" t="s">
        <v>7864</v>
      </c>
      <c r="B913" s="10" t="s">
        <v>7824</v>
      </c>
      <c r="C913" s="10" t="s">
        <v>215</v>
      </c>
      <c r="D913" s="10" t="s">
        <v>7865</v>
      </c>
      <c r="E913" s="8" t="s">
        <v>7866</v>
      </c>
      <c r="F913" s="8" t="s">
        <v>7867</v>
      </c>
      <c r="G913" s="10" t="s">
        <v>4</v>
      </c>
      <c r="H913" s="8" t="s">
        <v>6354</v>
      </c>
      <c r="I913" s="10" t="s">
        <v>6363</v>
      </c>
      <c r="J913" s="8" t="s">
        <v>7829</v>
      </c>
      <c r="K913" s="8" t="s">
        <v>1873</v>
      </c>
      <c r="L913" s="8" t="s">
        <v>87</v>
      </c>
      <c r="M913" s="10" t="s">
        <v>1456</v>
      </c>
      <c r="N913" s="8" t="s">
        <v>87</v>
      </c>
      <c r="O913" s="10" t="s">
        <v>22</v>
      </c>
      <c r="P913" s="8" t="s">
        <v>7868</v>
      </c>
      <c r="Q913" s="10" t="s">
        <v>1447</v>
      </c>
      <c r="R913" s="10" t="s">
        <v>1438</v>
      </c>
      <c r="S913" s="8" t="s">
        <v>7869</v>
      </c>
      <c r="T913" s="10" t="s">
        <v>7832</v>
      </c>
      <c r="U913" s="10" t="s">
        <v>87</v>
      </c>
      <c r="V913" s="10" t="s">
        <v>87</v>
      </c>
    </row>
    <row r="914" spans="1:22" s="10" customFormat="1" x14ac:dyDescent="0.25">
      <c r="A914" s="10" t="s">
        <v>7870</v>
      </c>
      <c r="B914" s="10" t="s">
        <v>7824</v>
      </c>
      <c r="C914" s="11" t="s">
        <v>346</v>
      </c>
      <c r="D914" s="10" t="s">
        <v>7871</v>
      </c>
      <c r="E914" s="8" t="s">
        <v>7872</v>
      </c>
      <c r="F914" s="8" t="s">
        <v>7873</v>
      </c>
      <c r="G914" s="10" t="s">
        <v>4</v>
      </c>
      <c r="H914" s="8" t="s">
        <v>7874</v>
      </c>
      <c r="I914" s="10" t="s">
        <v>4412</v>
      </c>
      <c r="J914" s="8" t="s">
        <v>7829</v>
      </c>
      <c r="K914" s="8" t="s">
        <v>1873</v>
      </c>
      <c r="L914" s="8" t="s">
        <v>87</v>
      </c>
      <c r="M914" s="10" t="s">
        <v>1456</v>
      </c>
      <c r="N914" s="8" t="s">
        <v>87</v>
      </c>
      <c r="O914" s="10" t="s">
        <v>22</v>
      </c>
      <c r="P914" s="8" t="s">
        <v>7875</v>
      </c>
      <c r="Q914" s="10" t="s">
        <v>1447</v>
      </c>
      <c r="R914" s="10" t="s">
        <v>1438</v>
      </c>
      <c r="S914" s="8" t="s">
        <v>7876</v>
      </c>
      <c r="T914" s="10" t="s">
        <v>7832</v>
      </c>
      <c r="U914" s="10" t="s">
        <v>87</v>
      </c>
      <c r="V914" s="10" t="s">
        <v>87</v>
      </c>
    </row>
    <row r="915" spans="1:22" s="10" customFormat="1" x14ac:dyDescent="0.25">
      <c r="A915" s="10" t="s">
        <v>7877</v>
      </c>
      <c r="B915" s="10" t="s">
        <v>7824</v>
      </c>
      <c r="C915" s="11" t="s">
        <v>346</v>
      </c>
      <c r="D915" s="10" t="s">
        <v>7878</v>
      </c>
      <c r="E915" s="8" t="s">
        <v>7879</v>
      </c>
      <c r="F915" s="8" t="s">
        <v>7880</v>
      </c>
      <c r="G915" s="10" t="s">
        <v>4</v>
      </c>
      <c r="H915" s="8" t="s">
        <v>7881</v>
      </c>
      <c r="I915" s="10" t="s">
        <v>5301</v>
      </c>
      <c r="J915" s="8" t="s">
        <v>7829</v>
      </c>
      <c r="K915" s="8" t="s">
        <v>1873</v>
      </c>
      <c r="L915" s="8" t="s">
        <v>2367</v>
      </c>
      <c r="M915" s="10" t="s">
        <v>1456</v>
      </c>
      <c r="N915" s="8" t="s">
        <v>87</v>
      </c>
      <c r="O915" s="10" t="s">
        <v>22</v>
      </c>
      <c r="P915" s="8" t="s">
        <v>7882</v>
      </c>
      <c r="Q915" s="10" t="s">
        <v>1447</v>
      </c>
      <c r="R915" s="10" t="s">
        <v>1438</v>
      </c>
      <c r="S915" s="8" t="s">
        <v>7883</v>
      </c>
      <c r="T915" s="10" t="s">
        <v>7832</v>
      </c>
      <c r="U915" s="10" t="s">
        <v>87</v>
      </c>
      <c r="V915" s="10" t="s">
        <v>87</v>
      </c>
    </row>
    <row r="916" spans="1:22" s="10" customFormat="1" x14ac:dyDescent="0.25">
      <c r="A916" s="10" t="s">
        <v>7884</v>
      </c>
      <c r="B916" s="10" t="s">
        <v>7824</v>
      </c>
      <c r="C916" s="11" t="s">
        <v>346</v>
      </c>
      <c r="D916" s="10" t="s">
        <v>7885</v>
      </c>
      <c r="E916" s="8" t="s">
        <v>7886</v>
      </c>
      <c r="F916" s="8" t="s">
        <v>7887</v>
      </c>
      <c r="G916" s="10" t="s">
        <v>4</v>
      </c>
      <c r="H916" s="8" t="s">
        <v>7888</v>
      </c>
      <c r="I916" s="10" t="s">
        <v>5255</v>
      </c>
      <c r="J916" s="8" t="s">
        <v>7829</v>
      </c>
      <c r="K916" s="8" t="s">
        <v>1873</v>
      </c>
      <c r="L916" s="8" t="s">
        <v>87</v>
      </c>
      <c r="M916" s="10" t="s">
        <v>1456</v>
      </c>
      <c r="N916" s="8" t="s">
        <v>87</v>
      </c>
      <c r="O916" s="10" t="s">
        <v>22</v>
      </c>
      <c r="P916" s="8" t="s">
        <v>7889</v>
      </c>
      <c r="Q916" s="10" t="s">
        <v>1447</v>
      </c>
      <c r="R916" s="10" t="s">
        <v>1438</v>
      </c>
      <c r="S916" s="8" t="s">
        <v>7890</v>
      </c>
      <c r="T916" s="10" t="s">
        <v>7832</v>
      </c>
      <c r="U916" s="10" t="s">
        <v>87</v>
      </c>
      <c r="V916" s="10" t="s">
        <v>87</v>
      </c>
    </row>
    <row r="917" spans="1:22" s="10" customFormat="1" x14ac:dyDescent="0.25">
      <c r="A917" s="10" t="s">
        <v>7891</v>
      </c>
      <c r="B917" s="10" t="s">
        <v>7824</v>
      </c>
      <c r="C917" s="11" t="s">
        <v>346</v>
      </c>
      <c r="D917" s="10" t="s">
        <v>7892</v>
      </c>
      <c r="E917" s="8" t="s">
        <v>7893</v>
      </c>
      <c r="F917" s="8" t="s">
        <v>7894</v>
      </c>
      <c r="G917" s="10" t="s">
        <v>4</v>
      </c>
      <c r="H917" s="8" t="s">
        <v>5278</v>
      </c>
      <c r="I917" s="10" t="s">
        <v>5271</v>
      </c>
      <c r="J917" s="8" t="s">
        <v>7829</v>
      </c>
      <c r="K917" s="8" t="s">
        <v>1873</v>
      </c>
      <c r="L917" s="8" t="s">
        <v>87</v>
      </c>
      <c r="M917" s="10" t="s">
        <v>1456</v>
      </c>
      <c r="N917" s="8" t="s">
        <v>87</v>
      </c>
      <c r="O917" s="10" t="s">
        <v>22</v>
      </c>
      <c r="P917" s="8" t="s">
        <v>7895</v>
      </c>
      <c r="Q917" s="10" t="s">
        <v>1447</v>
      </c>
      <c r="R917" s="10" t="s">
        <v>1438</v>
      </c>
      <c r="S917" s="8" t="s">
        <v>7896</v>
      </c>
      <c r="T917" s="10" t="s">
        <v>7832</v>
      </c>
      <c r="U917" s="10" t="s">
        <v>87</v>
      </c>
      <c r="V917" s="10" t="s">
        <v>87</v>
      </c>
    </row>
    <row r="918" spans="1:22" s="10" customFormat="1" x14ac:dyDescent="0.25">
      <c r="A918" s="10" t="s">
        <v>7897</v>
      </c>
      <c r="B918" s="10" t="s">
        <v>7824</v>
      </c>
      <c r="C918" s="11" t="s">
        <v>346</v>
      </c>
      <c r="D918" s="10" t="s">
        <v>7898</v>
      </c>
      <c r="E918" s="8" t="s">
        <v>7899</v>
      </c>
      <c r="F918" s="8" t="s">
        <v>7900</v>
      </c>
      <c r="G918" s="10" t="s">
        <v>4</v>
      </c>
      <c r="H918" s="8" t="s">
        <v>7901</v>
      </c>
      <c r="I918" s="10" t="s">
        <v>5301</v>
      </c>
      <c r="J918" s="8" t="s">
        <v>7829</v>
      </c>
      <c r="K918" s="8" t="s">
        <v>1873</v>
      </c>
      <c r="L918" s="8" t="s">
        <v>87</v>
      </c>
      <c r="M918" s="10" t="s">
        <v>1456</v>
      </c>
      <c r="N918" s="8" t="s">
        <v>87</v>
      </c>
      <c r="O918" s="10" t="s">
        <v>22</v>
      </c>
      <c r="P918" s="8" t="s">
        <v>7902</v>
      </c>
      <c r="Q918" s="10" t="s">
        <v>1447</v>
      </c>
      <c r="R918" s="10" t="s">
        <v>1438</v>
      </c>
      <c r="S918" s="8" t="s">
        <v>7903</v>
      </c>
      <c r="T918" s="10" t="s">
        <v>7832</v>
      </c>
      <c r="U918" s="10" t="s">
        <v>87</v>
      </c>
      <c r="V918" s="10" t="s">
        <v>87</v>
      </c>
    </row>
    <row r="919" spans="1:22" s="10" customFormat="1" x14ac:dyDescent="0.25">
      <c r="A919" s="10" t="s">
        <v>7904</v>
      </c>
      <c r="B919" s="10" t="s">
        <v>7824</v>
      </c>
      <c r="C919" s="10" t="s">
        <v>215</v>
      </c>
      <c r="D919" s="10" t="s">
        <v>7905</v>
      </c>
      <c r="E919" s="8" t="s">
        <v>7906</v>
      </c>
      <c r="F919" s="8" t="s">
        <v>7907</v>
      </c>
      <c r="G919" s="10" t="s">
        <v>4</v>
      </c>
      <c r="H919" s="8" t="s">
        <v>7908</v>
      </c>
      <c r="I919" s="10" t="s">
        <v>5330</v>
      </c>
      <c r="J919" s="8" t="s">
        <v>7829</v>
      </c>
      <c r="K919" s="8" t="s">
        <v>1873</v>
      </c>
      <c r="L919" s="8" t="s">
        <v>87</v>
      </c>
      <c r="M919" s="10" t="s">
        <v>1456</v>
      </c>
      <c r="N919" s="8" t="s">
        <v>87</v>
      </c>
      <c r="O919" s="10" t="s">
        <v>22</v>
      </c>
      <c r="P919" s="8" t="s">
        <v>7909</v>
      </c>
      <c r="Q919" s="10" t="s">
        <v>1447</v>
      </c>
      <c r="R919" s="10" t="s">
        <v>1438</v>
      </c>
      <c r="S919" s="8" t="s">
        <v>5332</v>
      </c>
      <c r="T919" s="10" t="s">
        <v>7832</v>
      </c>
      <c r="U919" s="10" t="s">
        <v>87</v>
      </c>
      <c r="V919" s="10" t="s">
        <v>87</v>
      </c>
    </row>
    <row r="920" spans="1:22" s="10" customFormat="1" x14ac:dyDescent="0.25">
      <c r="A920" s="10" t="s">
        <v>7910</v>
      </c>
      <c r="B920" s="10" t="s">
        <v>7824</v>
      </c>
      <c r="C920" s="11" t="s">
        <v>346</v>
      </c>
      <c r="D920" s="10" t="s">
        <v>7911</v>
      </c>
      <c r="E920" s="8" t="s">
        <v>7912</v>
      </c>
      <c r="F920" s="8" t="s">
        <v>7913</v>
      </c>
      <c r="G920" s="10" t="s">
        <v>4</v>
      </c>
      <c r="H920" s="8" t="s">
        <v>7914</v>
      </c>
      <c r="I920" s="10" t="s">
        <v>938</v>
      </c>
      <c r="J920" s="8" t="s">
        <v>7829</v>
      </c>
      <c r="K920" s="8" t="s">
        <v>1873</v>
      </c>
      <c r="L920" s="8" t="s">
        <v>87</v>
      </c>
      <c r="M920" s="10" t="s">
        <v>1456</v>
      </c>
      <c r="N920" s="8" t="s">
        <v>87</v>
      </c>
      <c r="O920" s="10" t="s">
        <v>22</v>
      </c>
      <c r="P920" s="8" t="s">
        <v>7915</v>
      </c>
      <c r="Q920" s="10" t="s">
        <v>1447</v>
      </c>
      <c r="R920" s="10" t="s">
        <v>1438</v>
      </c>
      <c r="S920" s="8" t="s">
        <v>5740</v>
      </c>
      <c r="T920" s="10" t="s">
        <v>7832</v>
      </c>
      <c r="U920" s="10" t="s">
        <v>87</v>
      </c>
      <c r="V920" s="10" t="s">
        <v>87</v>
      </c>
    </row>
    <row r="921" spans="1:22" s="10" customFormat="1" x14ac:dyDescent="0.25">
      <c r="A921" s="10" t="s">
        <v>7916</v>
      </c>
      <c r="B921" s="10" t="s">
        <v>7824</v>
      </c>
      <c r="C921" s="11" t="s">
        <v>346</v>
      </c>
      <c r="D921" s="10" t="s">
        <v>7917</v>
      </c>
      <c r="E921" s="8" t="s">
        <v>7918</v>
      </c>
      <c r="F921" s="8" t="s">
        <v>7919</v>
      </c>
      <c r="G921" s="10" t="s">
        <v>4</v>
      </c>
      <c r="H921" s="8" t="s">
        <v>7920</v>
      </c>
      <c r="I921" s="10" t="s">
        <v>5761</v>
      </c>
      <c r="J921" s="8" t="s">
        <v>7829</v>
      </c>
      <c r="K921" s="8" t="s">
        <v>1873</v>
      </c>
      <c r="L921" s="8" t="s">
        <v>87</v>
      </c>
      <c r="M921" s="10" t="s">
        <v>1456</v>
      </c>
      <c r="N921" s="8" t="s">
        <v>87</v>
      </c>
      <c r="O921" s="10" t="s">
        <v>22</v>
      </c>
      <c r="P921" s="8" t="s">
        <v>7921</v>
      </c>
      <c r="Q921" s="10" t="s">
        <v>1447</v>
      </c>
      <c r="R921" s="10" t="s">
        <v>1438</v>
      </c>
      <c r="S921" s="8" t="s">
        <v>7922</v>
      </c>
      <c r="T921" s="10" t="s">
        <v>7832</v>
      </c>
      <c r="U921" s="10" t="s">
        <v>87</v>
      </c>
      <c r="V921" s="10" t="s">
        <v>87</v>
      </c>
    </row>
    <row r="922" spans="1:22" s="10" customFormat="1" x14ac:dyDescent="0.25">
      <c r="A922" s="10" t="s">
        <v>7923</v>
      </c>
      <c r="B922" s="10" t="s">
        <v>7824</v>
      </c>
      <c r="C922" s="11" t="s">
        <v>346</v>
      </c>
      <c r="D922" s="10" t="s">
        <v>7924</v>
      </c>
      <c r="E922" s="8" t="s">
        <v>7925</v>
      </c>
      <c r="F922" s="8" t="s">
        <v>7926</v>
      </c>
      <c r="G922" s="10" t="s">
        <v>4</v>
      </c>
      <c r="H922" s="8" t="s">
        <v>7927</v>
      </c>
      <c r="I922" s="10" t="s">
        <v>5790</v>
      </c>
      <c r="J922" s="8" t="s">
        <v>7829</v>
      </c>
      <c r="K922" s="8" t="s">
        <v>1873</v>
      </c>
      <c r="L922" s="8" t="s">
        <v>87</v>
      </c>
      <c r="M922" s="10" t="s">
        <v>1456</v>
      </c>
      <c r="N922" s="8" t="s">
        <v>87</v>
      </c>
      <c r="O922" s="10" t="s">
        <v>22</v>
      </c>
      <c r="P922" s="8" t="s">
        <v>7928</v>
      </c>
      <c r="Q922" s="10" t="s">
        <v>1447</v>
      </c>
      <c r="R922" s="10" t="s">
        <v>1438</v>
      </c>
      <c r="S922" s="8" t="s">
        <v>5807</v>
      </c>
      <c r="T922" s="10" t="s">
        <v>7832</v>
      </c>
      <c r="U922" s="10" t="s">
        <v>87</v>
      </c>
      <c r="V922" s="10" t="s">
        <v>87</v>
      </c>
    </row>
    <row r="923" spans="1:22" s="10" customFormat="1" x14ac:dyDescent="0.25">
      <c r="A923" s="10" t="s">
        <v>7929</v>
      </c>
      <c r="B923" s="10" t="s">
        <v>7824</v>
      </c>
      <c r="C923" s="10" t="s">
        <v>215</v>
      </c>
      <c r="D923" s="10" t="s">
        <v>7930</v>
      </c>
      <c r="E923" s="8" t="s">
        <v>7931</v>
      </c>
      <c r="F923" s="8" t="s">
        <v>7932</v>
      </c>
      <c r="G923" s="10" t="s">
        <v>4</v>
      </c>
      <c r="H923" s="8" t="s">
        <v>7933</v>
      </c>
      <c r="I923" s="10" t="s">
        <v>5753</v>
      </c>
      <c r="J923" s="8" t="s">
        <v>7829</v>
      </c>
      <c r="K923" s="8" t="s">
        <v>1873</v>
      </c>
      <c r="L923" s="8" t="s">
        <v>2367</v>
      </c>
      <c r="M923" s="10" t="s">
        <v>1456</v>
      </c>
      <c r="N923" s="8" t="s">
        <v>87</v>
      </c>
      <c r="O923" s="10" t="s">
        <v>22</v>
      </c>
      <c r="P923" s="8" t="s">
        <v>7934</v>
      </c>
      <c r="Q923" s="10" t="s">
        <v>1447</v>
      </c>
      <c r="R923" s="10" t="s">
        <v>1438</v>
      </c>
      <c r="S923" s="8" t="s">
        <v>5813</v>
      </c>
      <c r="T923" s="10" t="s">
        <v>7832</v>
      </c>
      <c r="U923" s="10" t="s">
        <v>87</v>
      </c>
      <c r="V923" s="10" t="s">
        <v>87</v>
      </c>
    </row>
    <row r="924" spans="1:22" s="10" customFormat="1" x14ac:dyDescent="0.25">
      <c r="A924" s="10" t="s">
        <v>7935</v>
      </c>
      <c r="B924" s="10" t="s">
        <v>7824</v>
      </c>
      <c r="C924" s="11" t="s">
        <v>346</v>
      </c>
      <c r="D924" s="10" t="s">
        <v>7936</v>
      </c>
      <c r="E924" s="8" t="s">
        <v>7937</v>
      </c>
      <c r="F924" s="8" t="s">
        <v>7938</v>
      </c>
      <c r="G924" s="10" t="s">
        <v>4</v>
      </c>
      <c r="H924" s="8" t="s">
        <v>6547</v>
      </c>
      <c r="I924" s="10" t="s">
        <v>6548</v>
      </c>
      <c r="J924" s="8" t="s">
        <v>7829</v>
      </c>
      <c r="K924" s="8" t="s">
        <v>1873</v>
      </c>
      <c r="L924" s="8" t="s">
        <v>87</v>
      </c>
      <c r="M924" s="10" t="s">
        <v>1456</v>
      </c>
      <c r="N924" s="8" t="s">
        <v>87</v>
      </c>
      <c r="O924" s="10" t="s">
        <v>22</v>
      </c>
      <c r="P924" s="8" t="s">
        <v>7939</v>
      </c>
      <c r="Q924" s="10" t="s">
        <v>1447</v>
      </c>
      <c r="R924" s="10" t="s">
        <v>1438</v>
      </c>
      <c r="S924" s="8" t="s">
        <v>7940</v>
      </c>
      <c r="T924" s="10" t="s">
        <v>7832</v>
      </c>
      <c r="U924" s="10" t="s">
        <v>87</v>
      </c>
      <c r="V924" s="10" t="s">
        <v>87</v>
      </c>
    </row>
    <row r="925" spans="1:22" s="10" customFormat="1" x14ac:dyDescent="0.25">
      <c r="A925" s="10" t="s">
        <v>7941</v>
      </c>
      <c r="B925" s="10" t="s">
        <v>7824</v>
      </c>
      <c r="C925" s="11" t="s">
        <v>346</v>
      </c>
      <c r="D925" s="10" t="s">
        <v>7942</v>
      </c>
      <c r="E925" s="8" t="s">
        <v>7943</v>
      </c>
      <c r="F925" s="8" t="s">
        <v>7944</v>
      </c>
      <c r="G925" s="10" t="s">
        <v>4</v>
      </c>
      <c r="H925" s="8" t="s">
        <v>7945</v>
      </c>
      <c r="I925" s="10" t="s">
        <v>5574</v>
      </c>
      <c r="J925" s="8" t="s">
        <v>7829</v>
      </c>
      <c r="K925" s="8" t="s">
        <v>1873</v>
      </c>
      <c r="L925" s="8" t="s">
        <v>87</v>
      </c>
      <c r="M925" s="10" t="s">
        <v>1456</v>
      </c>
      <c r="N925" s="8" t="s">
        <v>87</v>
      </c>
      <c r="O925" s="10" t="s">
        <v>22</v>
      </c>
      <c r="P925" s="8" t="s">
        <v>7946</v>
      </c>
      <c r="Q925" s="10" t="s">
        <v>1447</v>
      </c>
      <c r="R925" s="10" t="s">
        <v>1438</v>
      </c>
      <c r="S925" s="8" t="s">
        <v>7947</v>
      </c>
      <c r="T925" s="10" t="s">
        <v>7832</v>
      </c>
      <c r="U925" s="10" t="s">
        <v>87</v>
      </c>
      <c r="V925" s="10" t="s">
        <v>87</v>
      </c>
    </row>
    <row r="926" spans="1:22" s="10" customFormat="1" x14ac:dyDescent="0.25">
      <c r="A926" s="10" t="s">
        <v>7948</v>
      </c>
      <c r="B926" s="10" t="s">
        <v>7824</v>
      </c>
      <c r="C926" s="11" t="s">
        <v>346</v>
      </c>
      <c r="D926" s="10" t="s">
        <v>7949</v>
      </c>
      <c r="E926" s="8" t="s">
        <v>7950</v>
      </c>
      <c r="F926" s="8" t="s">
        <v>7951</v>
      </c>
      <c r="G926" s="10" t="s">
        <v>4</v>
      </c>
      <c r="H926" s="8" t="s">
        <v>7952</v>
      </c>
      <c r="I926" s="10" t="s">
        <v>7953</v>
      </c>
      <c r="J926" s="8" t="s">
        <v>7829</v>
      </c>
      <c r="K926" s="8" t="s">
        <v>1873</v>
      </c>
      <c r="L926" s="8" t="s">
        <v>87</v>
      </c>
      <c r="M926" s="10" t="s">
        <v>1456</v>
      </c>
      <c r="N926" s="8" t="s">
        <v>87</v>
      </c>
      <c r="O926" s="10" t="s">
        <v>22</v>
      </c>
      <c r="P926" s="8" t="s">
        <v>7954</v>
      </c>
      <c r="Q926" s="10" t="s">
        <v>1447</v>
      </c>
      <c r="R926" s="10" t="s">
        <v>1438</v>
      </c>
      <c r="S926" s="8" t="s">
        <v>7955</v>
      </c>
      <c r="T926" s="10" t="s">
        <v>7832</v>
      </c>
      <c r="U926" s="10" t="s">
        <v>87</v>
      </c>
      <c r="V926" s="10" t="s">
        <v>87</v>
      </c>
    </row>
    <row r="927" spans="1:22" s="10" customFormat="1" x14ac:dyDescent="0.25">
      <c r="A927" s="10" t="s">
        <v>7956</v>
      </c>
      <c r="B927" s="10" t="s">
        <v>7824</v>
      </c>
      <c r="C927" s="11" t="s">
        <v>346</v>
      </c>
      <c r="D927" s="10" t="s">
        <v>7957</v>
      </c>
      <c r="E927" s="8" t="s">
        <v>7958</v>
      </c>
      <c r="F927" s="8" t="s">
        <v>7959</v>
      </c>
      <c r="G927" s="10" t="s">
        <v>4</v>
      </c>
      <c r="H927" s="8" t="s">
        <v>7960</v>
      </c>
      <c r="I927" s="10" t="s">
        <v>7953</v>
      </c>
      <c r="J927" s="8" t="s">
        <v>7829</v>
      </c>
      <c r="K927" s="8" t="s">
        <v>1873</v>
      </c>
      <c r="L927" s="8" t="s">
        <v>87</v>
      </c>
      <c r="M927" s="10" t="s">
        <v>1456</v>
      </c>
      <c r="N927" s="8" t="s">
        <v>87</v>
      </c>
      <c r="O927" s="10" t="s">
        <v>22</v>
      </c>
      <c r="P927" s="8" t="s">
        <v>7961</v>
      </c>
      <c r="Q927" s="10" t="s">
        <v>1447</v>
      </c>
      <c r="R927" s="10" t="s">
        <v>1438</v>
      </c>
      <c r="S927" s="8" t="s">
        <v>7962</v>
      </c>
      <c r="T927" s="10" t="s">
        <v>7832</v>
      </c>
      <c r="U927" s="10" t="s">
        <v>87</v>
      </c>
      <c r="V927" s="10" t="s">
        <v>87</v>
      </c>
    </row>
    <row r="928" spans="1:22" s="10" customFormat="1" x14ac:dyDescent="0.25">
      <c r="A928" s="10" t="s">
        <v>7963</v>
      </c>
      <c r="B928" s="10" t="s">
        <v>7824</v>
      </c>
      <c r="C928" s="10" t="s">
        <v>215</v>
      </c>
      <c r="D928" s="10" t="s">
        <v>7964</v>
      </c>
      <c r="E928" s="8" t="s">
        <v>7965</v>
      </c>
      <c r="F928" s="8" t="s">
        <v>7966</v>
      </c>
      <c r="G928" s="10" t="s">
        <v>4</v>
      </c>
      <c r="H928" s="8" t="s">
        <v>6978</v>
      </c>
      <c r="I928" s="10" t="s">
        <v>7967</v>
      </c>
      <c r="J928" s="8" t="s">
        <v>7829</v>
      </c>
      <c r="K928" s="8" t="s">
        <v>1873</v>
      </c>
      <c r="L928" s="8" t="s">
        <v>87</v>
      </c>
      <c r="M928" s="10" t="s">
        <v>1456</v>
      </c>
      <c r="N928" s="8" t="s">
        <v>87</v>
      </c>
      <c r="O928" s="10" t="s">
        <v>22</v>
      </c>
      <c r="P928" s="8" t="s">
        <v>7968</v>
      </c>
      <c r="Q928" s="10" t="s">
        <v>1447</v>
      </c>
      <c r="R928" s="10" t="s">
        <v>1438</v>
      </c>
      <c r="S928" s="8" t="s">
        <v>7969</v>
      </c>
      <c r="T928" s="10" t="s">
        <v>7832</v>
      </c>
      <c r="U928" s="10" t="s">
        <v>87</v>
      </c>
      <c r="V928" s="10" t="s">
        <v>87</v>
      </c>
    </row>
    <row r="929" spans="1:22" s="10" customFormat="1" x14ac:dyDescent="0.25">
      <c r="A929" s="10" t="s">
        <v>7970</v>
      </c>
      <c r="B929" s="10" t="s">
        <v>7824</v>
      </c>
      <c r="C929" s="11" t="s">
        <v>346</v>
      </c>
      <c r="D929" s="10" t="s">
        <v>7971</v>
      </c>
      <c r="E929" s="8" t="s">
        <v>7972</v>
      </c>
      <c r="F929" s="8" t="s">
        <v>7973</v>
      </c>
      <c r="G929" s="10" t="s">
        <v>4</v>
      </c>
      <c r="H929" s="8" t="s">
        <v>7974</v>
      </c>
      <c r="I929" s="10" t="s">
        <v>2918</v>
      </c>
      <c r="J929" s="8" t="s">
        <v>7829</v>
      </c>
      <c r="K929" s="8" t="s">
        <v>1873</v>
      </c>
      <c r="L929" s="8" t="s">
        <v>87</v>
      </c>
      <c r="M929" s="10" t="s">
        <v>1456</v>
      </c>
      <c r="N929" s="8" t="s">
        <v>87</v>
      </c>
      <c r="O929" s="10" t="s">
        <v>22</v>
      </c>
      <c r="P929" s="8" t="s">
        <v>7975</v>
      </c>
      <c r="Q929" s="10" t="s">
        <v>1447</v>
      </c>
      <c r="R929" s="10" t="s">
        <v>1438</v>
      </c>
      <c r="S929" s="8" t="s">
        <v>7976</v>
      </c>
      <c r="T929" s="10" t="s">
        <v>7832</v>
      </c>
      <c r="U929" s="10" t="s">
        <v>87</v>
      </c>
      <c r="V929" s="10" t="s">
        <v>87</v>
      </c>
    </row>
    <row r="930" spans="1:22" s="10" customFormat="1" x14ac:dyDescent="0.25">
      <c r="A930" s="10" t="s">
        <v>7977</v>
      </c>
      <c r="B930" s="10" t="s">
        <v>7824</v>
      </c>
      <c r="C930" s="11" t="s">
        <v>346</v>
      </c>
      <c r="D930" s="10" t="s">
        <v>7978</v>
      </c>
      <c r="E930" s="8" t="s">
        <v>7979</v>
      </c>
      <c r="F930" s="8" t="s">
        <v>7980</v>
      </c>
      <c r="G930" s="10" t="s">
        <v>4</v>
      </c>
      <c r="H930" s="8" t="s">
        <v>7981</v>
      </c>
      <c r="I930" s="10" t="s">
        <v>2884</v>
      </c>
      <c r="J930" s="8" t="s">
        <v>7829</v>
      </c>
      <c r="K930" s="8" t="s">
        <v>1873</v>
      </c>
      <c r="L930" s="8" t="s">
        <v>87</v>
      </c>
      <c r="M930" s="10" t="s">
        <v>1456</v>
      </c>
      <c r="N930" s="8" t="s">
        <v>87</v>
      </c>
      <c r="O930" s="10" t="s">
        <v>22</v>
      </c>
      <c r="P930" s="8" t="s">
        <v>7982</v>
      </c>
      <c r="Q930" s="10" t="s">
        <v>1447</v>
      </c>
      <c r="R930" s="10" t="s">
        <v>1438</v>
      </c>
      <c r="S930" s="8" t="s">
        <v>7983</v>
      </c>
      <c r="T930" s="10" t="s">
        <v>7832</v>
      </c>
      <c r="U930" s="10" t="s">
        <v>87</v>
      </c>
      <c r="V930" s="10" t="s">
        <v>87</v>
      </c>
    </row>
    <row r="931" spans="1:22" s="10" customFormat="1" x14ac:dyDescent="0.25">
      <c r="A931" s="10" t="s">
        <v>7984</v>
      </c>
      <c r="B931" s="10" t="s">
        <v>7824</v>
      </c>
      <c r="C931" s="11" t="s">
        <v>346</v>
      </c>
      <c r="D931" s="10" t="s">
        <v>7985</v>
      </c>
      <c r="E931" s="8" t="s">
        <v>7986</v>
      </c>
      <c r="F931" s="8" t="s">
        <v>7987</v>
      </c>
      <c r="G931" s="10" t="s">
        <v>4</v>
      </c>
      <c r="H931" s="8" t="s">
        <v>4773</v>
      </c>
      <c r="I931" s="10" t="s">
        <v>7988</v>
      </c>
      <c r="J931" s="8" t="s">
        <v>7829</v>
      </c>
      <c r="K931" s="8" t="s">
        <v>1873</v>
      </c>
      <c r="L931" s="8" t="s">
        <v>87</v>
      </c>
      <c r="M931" s="10" t="s">
        <v>1456</v>
      </c>
      <c r="N931" s="8" t="s">
        <v>87</v>
      </c>
      <c r="O931" s="10" t="s">
        <v>22</v>
      </c>
      <c r="P931" s="8" t="s">
        <v>7989</v>
      </c>
      <c r="Q931" s="10" t="s">
        <v>1447</v>
      </c>
      <c r="R931" s="10" t="s">
        <v>1438</v>
      </c>
      <c r="S931" s="8" t="s">
        <v>7990</v>
      </c>
      <c r="T931" s="10" t="s">
        <v>7832</v>
      </c>
      <c r="U931" s="10" t="s">
        <v>87</v>
      </c>
      <c r="V931" s="10" t="s">
        <v>87</v>
      </c>
    </row>
    <row r="932" spans="1:22" s="10" customFormat="1" x14ac:dyDescent="0.25">
      <c r="A932" s="10" t="s">
        <v>7991</v>
      </c>
      <c r="B932" s="10" t="s">
        <v>7824</v>
      </c>
      <c r="C932" s="11" t="s">
        <v>346</v>
      </c>
      <c r="D932" s="10" t="s">
        <v>7992</v>
      </c>
      <c r="E932" s="8" t="s">
        <v>7993</v>
      </c>
      <c r="F932" s="8" t="s">
        <v>7994</v>
      </c>
      <c r="G932" s="10" t="s">
        <v>4</v>
      </c>
      <c r="H932" s="8" t="s">
        <v>7995</v>
      </c>
      <c r="I932" s="10" t="s">
        <v>2918</v>
      </c>
      <c r="J932" s="8" t="s">
        <v>7829</v>
      </c>
      <c r="K932" s="8" t="s">
        <v>1873</v>
      </c>
      <c r="L932" s="8" t="s">
        <v>87</v>
      </c>
      <c r="M932" s="10" t="s">
        <v>1456</v>
      </c>
      <c r="N932" s="8" t="s">
        <v>87</v>
      </c>
      <c r="O932" s="10" t="s">
        <v>22</v>
      </c>
      <c r="P932" s="8" t="s">
        <v>7996</v>
      </c>
      <c r="Q932" s="10" t="s">
        <v>1447</v>
      </c>
      <c r="R932" s="10" t="s">
        <v>1438</v>
      </c>
      <c r="S932" s="8" t="s">
        <v>7997</v>
      </c>
      <c r="T932" s="10" t="s">
        <v>7832</v>
      </c>
      <c r="U932" s="10" t="s">
        <v>87</v>
      </c>
      <c r="V932" s="10" t="s">
        <v>87</v>
      </c>
    </row>
    <row r="933" spans="1:22" s="10" customFormat="1" x14ac:dyDescent="0.25">
      <c r="A933" s="10" t="s">
        <v>7998</v>
      </c>
      <c r="B933" s="10" t="s">
        <v>7824</v>
      </c>
      <c r="C933" s="10" t="s">
        <v>215</v>
      </c>
      <c r="D933" s="10" t="s">
        <v>7999</v>
      </c>
      <c r="E933" s="8" t="s">
        <v>8000</v>
      </c>
      <c r="F933" s="8" t="s">
        <v>8001</v>
      </c>
      <c r="G933" s="10" t="s">
        <v>4</v>
      </c>
      <c r="H933" s="8" t="s">
        <v>6440</v>
      </c>
      <c r="I933" s="10" t="s">
        <v>6441</v>
      </c>
      <c r="J933" s="8" t="s">
        <v>7829</v>
      </c>
      <c r="K933" s="8" t="s">
        <v>1873</v>
      </c>
      <c r="L933" s="8" t="s">
        <v>87</v>
      </c>
      <c r="M933" s="10" t="s">
        <v>1456</v>
      </c>
      <c r="N933" s="8" t="s">
        <v>87</v>
      </c>
      <c r="O933" s="10" t="s">
        <v>22</v>
      </c>
      <c r="P933" s="8" t="s">
        <v>8002</v>
      </c>
      <c r="Q933" s="10" t="s">
        <v>1447</v>
      </c>
      <c r="R933" s="10" t="s">
        <v>1438</v>
      </c>
      <c r="S933" s="8" t="s">
        <v>8003</v>
      </c>
      <c r="T933" s="10" t="s">
        <v>7832</v>
      </c>
      <c r="U933" s="10" t="s">
        <v>87</v>
      </c>
      <c r="V933" s="10" t="s">
        <v>87</v>
      </c>
    </row>
    <row r="934" spans="1:22" s="10" customFormat="1" x14ac:dyDescent="0.25">
      <c r="A934" s="10" t="s">
        <v>8004</v>
      </c>
      <c r="B934" s="10" t="s">
        <v>7824</v>
      </c>
      <c r="C934" s="10" t="s">
        <v>215</v>
      </c>
      <c r="D934" s="10" t="s">
        <v>8005</v>
      </c>
      <c r="E934" s="8" t="s">
        <v>8006</v>
      </c>
      <c r="F934" s="8" t="s">
        <v>8007</v>
      </c>
      <c r="G934" s="10" t="s">
        <v>4</v>
      </c>
      <c r="H934" s="8" t="s">
        <v>6239</v>
      </c>
      <c r="I934" s="10" t="s">
        <v>6255</v>
      </c>
      <c r="J934" s="8" t="s">
        <v>7829</v>
      </c>
      <c r="K934" s="8" t="s">
        <v>8008</v>
      </c>
      <c r="L934" s="8" t="s">
        <v>87</v>
      </c>
      <c r="M934" s="10" t="s">
        <v>1436</v>
      </c>
      <c r="N934" s="8" t="s">
        <v>87</v>
      </c>
      <c r="O934" s="10" t="s">
        <v>22</v>
      </c>
      <c r="P934" s="8" t="s">
        <v>8009</v>
      </c>
      <c r="Q934" s="10" t="s">
        <v>1447</v>
      </c>
      <c r="R934" s="10" t="s">
        <v>1438</v>
      </c>
      <c r="S934" s="8" t="s">
        <v>8010</v>
      </c>
      <c r="T934" s="10" t="s">
        <v>7832</v>
      </c>
      <c r="U934" s="10" t="s">
        <v>87</v>
      </c>
      <c r="V934" s="10" t="s">
        <v>87</v>
      </c>
    </row>
    <row r="935" spans="1:22" s="10" customFormat="1" x14ac:dyDescent="0.25">
      <c r="A935" s="10" t="s">
        <v>8011</v>
      </c>
      <c r="B935" s="10" t="s">
        <v>7824</v>
      </c>
      <c r="C935" s="10" t="s">
        <v>215</v>
      </c>
      <c r="D935" s="10" t="s">
        <v>8012</v>
      </c>
      <c r="E935" s="8" t="s">
        <v>8013</v>
      </c>
      <c r="F935" s="8" t="s">
        <v>8014</v>
      </c>
      <c r="G935" s="10" t="s">
        <v>4</v>
      </c>
      <c r="H935" s="8" t="s">
        <v>4724</v>
      </c>
      <c r="I935" s="10" t="s">
        <v>8015</v>
      </c>
      <c r="J935" s="8" t="s">
        <v>7829</v>
      </c>
      <c r="K935" s="8" t="s">
        <v>1873</v>
      </c>
      <c r="L935" s="8" t="s">
        <v>87</v>
      </c>
      <c r="M935" s="10" t="s">
        <v>1456</v>
      </c>
      <c r="N935" s="8" t="s">
        <v>87</v>
      </c>
      <c r="O935" s="10" t="s">
        <v>22</v>
      </c>
      <c r="P935" s="8" t="s">
        <v>8016</v>
      </c>
      <c r="Q935" s="10" t="s">
        <v>1447</v>
      </c>
      <c r="R935" s="10" t="s">
        <v>1438</v>
      </c>
      <c r="S935" s="8" t="s">
        <v>8017</v>
      </c>
      <c r="T935" s="10" t="s">
        <v>7832</v>
      </c>
      <c r="U935" s="10" t="s">
        <v>87</v>
      </c>
      <c r="V935" s="10" t="s">
        <v>87</v>
      </c>
    </row>
    <row r="936" spans="1:22" s="10" customFormat="1" x14ac:dyDescent="0.25">
      <c r="A936" s="10" t="s">
        <v>8018</v>
      </c>
      <c r="B936" s="10" t="s">
        <v>7824</v>
      </c>
      <c r="C936" s="11" t="s">
        <v>346</v>
      </c>
      <c r="D936" s="10" t="s">
        <v>8019</v>
      </c>
      <c r="E936" s="8" t="s">
        <v>8020</v>
      </c>
      <c r="F936" s="8" t="s">
        <v>8021</v>
      </c>
      <c r="G936" s="10" t="s">
        <v>4</v>
      </c>
      <c r="H936" s="8" t="s">
        <v>4925</v>
      </c>
      <c r="I936" s="10" t="s">
        <v>1881</v>
      </c>
      <c r="J936" s="8" t="s">
        <v>7829</v>
      </c>
      <c r="K936" s="8" t="s">
        <v>1873</v>
      </c>
      <c r="L936" s="8" t="s">
        <v>87</v>
      </c>
      <c r="M936" s="10" t="s">
        <v>1456</v>
      </c>
      <c r="N936" s="8" t="s">
        <v>87</v>
      </c>
      <c r="O936" s="10" t="s">
        <v>22</v>
      </c>
      <c r="P936" s="8" t="s">
        <v>8022</v>
      </c>
      <c r="Q936" s="10" t="s">
        <v>1447</v>
      </c>
      <c r="R936" s="10" t="s">
        <v>1438</v>
      </c>
      <c r="S936" s="8" t="s">
        <v>8023</v>
      </c>
      <c r="T936" s="10" t="s">
        <v>7832</v>
      </c>
      <c r="U936" s="10" t="s">
        <v>87</v>
      </c>
      <c r="V936" s="10" t="s">
        <v>87</v>
      </c>
    </row>
    <row r="937" spans="1:22" s="10" customFormat="1" x14ac:dyDescent="0.25">
      <c r="A937" s="10" t="s">
        <v>8024</v>
      </c>
      <c r="B937" s="10" t="s">
        <v>7824</v>
      </c>
      <c r="C937" s="11" t="s">
        <v>346</v>
      </c>
      <c r="D937" s="10" t="s">
        <v>8025</v>
      </c>
      <c r="E937" s="8" t="s">
        <v>8026</v>
      </c>
      <c r="F937" s="8" t="s">
        <v>8027</v>
      </c>
      <c r="G937" s="10" t="s">
        <v>4</v>
      </c>
      <c r="H937" s="8" t="s">
        <v>8028</v>
      </c>
      <c r="I937" s="10" t="s">
        <v>1889</v>
      </c>
      <c r="J937" s="8" t="s">
        <v>7829</v>
      </c>
      <c r="K937" s="8" t="s">
        <v>1873</v>
      </c>
      <c r="L937" s="8" t="s">
        <v>87</v>
      </c>
      <c r="M937" s="10" t="s">
        <v>1456</v>
      </c>
      <c r="N937" s="8" t="s">
        <v>87</v>
      </c>
      <c r="O937" s="10" t="s">
        <v>22</v>
      </c>
      <c r="P937" s="8" t="s">
        <v>8029</v>
      </c>
      <c r="Q937" s="10" t="s">
        <v>1447</v>
      </c>
      <c r="R937" s="10" t="s">
        <v>1438</v>
      </c>
      <c r="S937" s="8" t="s">
        <v>8030</v>
      </c>
      <c r="T937" s="10" t="s">
        <v>7832</v>
      </c>
      <c r="U937" s="10" t="s">
        <v>87</v>
      </c>
      <c r="V937" s="10" t="s">
        <v>87</v>
      </c>
    </row>
    <row r="938" spans="1:22" s="10" customFormat="1" x14ac:dyDescent="0.25">
      <c r="A938" s="10" t="s">
        <v>8031</v>
      </c>
      <c r="B938" s="10" t="s">
        <v>7824</v>
      </c>
      <c r="C938" s="11" t="s">
        <v>346</v>
      </c>
      <c r="D938" s="10" t="s">
        <v>8032</v>
      </c>
      <c r="E938" s="8" t="s">
        <v>8033</v>
      </c>
      <c r="F938" s="8" t="s">
        <v>8034</v>
      </c>
      <c r="G938" s="10" t="s">
        <v>4</v>
      </c>
      <c r="H938" s="8" t="s">
        <v>8035</v>
      </c>
      <c r="I938" s="10" t="s">
        <v>3018</v>
      </c>
      <c r="J938" s="8" t="s">
        <v>7829</v>
      </c>
      <c r="K938" s="8" t="s">
        <v>1873</v>
      </c>
      <c r="L938" s="8" t="s">
        <v>87</v>
      </c>
      <c r="M938" s="10" t="s">
        <v>1456</v>
      </c>
      <c r="N938" s="8" t="s">
        <v>87</v>
      </c>
      <c r="O938" s="10" t="s">
        <v>22</v>
      </c>
      <c r="P938" s="8" t="s">
        <v>8036</v>
      </c>
      <c r="Q938" s="10" t="s">
        <v>1447</v>
      </c>
      <c r="R938" s="10" t="s">
        <v>1438</v>
      </c>
      <c r="S938" s="8" t="s">
        <v>8037</v>
      </c>
      <c r="T938" s="10" t="s">
        <v>7832</v>
      </c>
      <c r="U938" s="10" t="s">
        <v>87</v>
      </c>
      <c r="V938" s="10" t="s">
        <v>87</v>
      </c>
    </row>
    <row r="939" spans="1:22" s="10" customFormat="1" x14ac:dyDescent="0.25">
      <c r="A939" s="10" t="s">
        <v>8038</v>
      </c>
      <c r="B939" s="10" t="s">
        <v>7824</v>
      </c>
      <c r="C939" s="11" t="s">
        <v>346</v>
      </c>
      <c r="D939" s="10" t="s">
        <v>8039</v>
      </c>
      <c r="E939" s="8" t="s">
        <v>8040</v>
      </c>
      <c r="F939" s="8" t="s">
        <v>8041</v>
      </c>
      <c r="G939" s="10" t="s">
        <v>4</v>
      </c>
      <c r="H939" s="8" t="s">
        <v>5039</v>
      </c>
      <c r="I939" s="10" t="s">
        <v>1628</v>
      </c>
      <c r="J939" s="8" t="s">
        <v>7829</v>
      </c>
      <c r="K939" s="8" t="s">
        <v>1873</v>
      </c>
      <c r="L939" s="8" t="s">
        <v>87</v>
      </c>
      <c r="M939" s="10" t="s">
        <v>1456</v>
      </c>
      <c r="N939" s="8" t="s">
        <v>87</v>
      </c>
      <c r="O939" s="10" t="s">
        <v>22</v>
      </c>
      <c r="P939" s="8" t="s">
        <v>8042</v>
      </c>
      <c r="Q939" s="10" t="s">
        <v>1447</v>
      </c>
      <c r="R939" s="10" t="s">
        <v>1438</v>
      </c>
      <c r="S939" s="8" t="s">
        <v>8043</v>
      </c>
      <c r="T939" s="10" t="s">
        <v>7832</v>
      </c>
      <c r="U939" s="10" t="s">
        <v>87</v>
      </c>
      <c r="V939" s="10" t="s">
        <v>87</v>
      </c>
    </row>
    <row r="940" spans="1:22" s="10" customFormat="1" x14ac:dyDescent="0.25">
      <c r="A940" s="10" t="s">
        <v>8044</v>
      </c>
      <c r="B940" s="10" t="s">
        <v>7824</v>
      </c>
      <c r="C940" s="11" t="s">
        <v>346</v>
      </c>
      <c r="D940" s="10" t="s">
        <v>8045</v>
      </c>
      <c r="E940" s="8" t="s">
        <v>8046</v>
      </c>
      <c r="F940" s="8" t="s">
        <v>8047</v>
      </c>
      <c r="G940" s="10" t="s">
        <v>4</v>
      </c>
      <c r="H940" s="8" t="s">
        <v>8048</v>
      </c>
      <c r="I940" s="10" t="s">
        <v>5150</v>
      </c>
      <c r="J940" s="8" t="s">
        <v>7829</v>
      </c>
      <c r="K940" s="8" t="s">
        <v>1873</v>
      </c>
      <c r="L940" s="8" t="s">
        <v>87</v>
      </c>
      <c r="M940" s="10" t="s">
        <v>1456</v>
      </c>
      <c r="N940" s="8" t="s">
        <v>87</v>
      </c>
      <c r="O940" s="10" t="s">
        <v>22</v>
      </c>
      <c r="P940" s="8" t="s">
        <v>8049</v>
      </c>
      <c r="Q940" s="10" t="s">
        <v>1447</v>
      </c>
      <c r="R940" s="10" t="s">
        <v>1438</v>
      </c>
      <c r="S940" s="8" t="s">
        <v>8050</v>
      </c>
      <c r="T940" s="10" t="s">
        <v>7832</v>
      </c>
      <c r="U940" s="10" t="s">
        <v>87</v>
      </c>
      <c r="V940" s="10" t="s">
        <v>87</v>
      </c>
    </row>
    <row r="941" spans="1:22" s="10" customFormat="1" x14ac:dyDescent="0.25">
      <c r="A941" s="10" t="s">
        <v>8051</v>
      </c>
      <c r="B941" s="10" t="s">
        <v>7824</v>
      </c>
      <c r="C941" s="10" t="s">
        <v>215</v>
      </c>
      <c r="D941" s="10" t="s">
        <v>8052</v>
      </c>
      <c r="E941" s="8" t="s">
        <v>8053</v>
      </c>
      <c r="F941" s="8" t="s">
        <v>8054</v>
      </c>
      <c r="G941" s="10" t="s">
        <v>4</v>
      </c>
      <c r="H941" s="8" t="s">
        <v>8055</v>
      </c>
      <c r="I941" s="10" t="s">
        <v>1999</v>
      </c>
      <c r="J941" s="8" t="s">
        <v>7829</v>
      </c>
      <c r="K941" s="8" t="s">
        <v>1873</v>
      </c>
      <c r="L941" s="8" t="s">
        <v>87</v>
      </c>
      <c r="M941" s="10" t="s">
        <v>1456</v>
      </c>
      <c r="N941" s="8" t="s">
        <v>87</v>
      </c>
      <c r="O941" s="10" t="s">
        <v>22</v>
      </c>
      <c r="P941" s="8" t="s">
        <v>8056</v>
      </c>
      <c r="Q941" s="10" t="s">
        <v>1447</v>
      </c>
      <c r="R941" s="10" t="s">
        <v>1438</v>
      </c>
      <c r="S941" s="8" t="s">
        <v>8057</v>
      </c>
      <c r="T941" s="10" t="s">
        <v>7832</v>
      </c>
      <c r="U941" s="10" t="s">
        <v>87</v>
      </c>
      <c r="V941" s="10" t="s">
        <v>87</v>
      </c>
    </row>
    <row r="942" spans="1:22" s="10" customFormat="1" x14ac:dyDescent="0.25">
      <c r="A942" s="10" t="s">
        <v>8058</v>
      </c>
      <c r="B942" s="10" t="s">
        <v>7824</v>
      </c>
      <c r="C942" s="10" t="s">
        <v>215</v>
      </c>
      <c r="D942" s="10" t="s">
        <v>8059</v>
      </c>
      <c r="E942" s="8" t="s">
        <v>8060</v>
      </c>
      <c r="F942" s="8" t="s">
        <v>8061</v>
      </c>
      <c r="G942" s="10" t="s">
        <v>4</v>
      </c>
      <c r="H942" s="8" t="s">
        <v>3590</v>
      </c>
      <c r="I942" s="10" t="s">
        <v>8062</v>
      </c>
      <c r="J942" s="8" t="s">
        <v>7829</v>
      </c>
      <c r="K942" s="8" t="s">
        <v>1873</v>
      </c>
      <c r="L942" s="8" t="s">
        <v>87</v>
      </c>
      <c r="M942" s="10" t="s">
        <v>1456</v>
      </c>
      <c r="N942" s="8" t="s">
        <v>87</v>
      </c>
      <c r="O942" s="10" t="s">
        <v>22</v>
      </c>
      <c r="P942" s="8" t="s">
        <v>8063</v>
      </c>
      <c r="Q942" s="10" t="s">
        <v>1447</v>
      </c>
      <c r="R942" s="10" t="s">
        <v>1438</v>
      </c>
      <c r="S942" s="8" t="s">
        <v>8064</v>
      </c>
      <c r="T942" s="10" t="s">
        <v>7832</v>
      </c>
      <c r="U942" s="10" t="s">
        <v>87</v>
      </c>
      <c r="V942" s="10" t="s">
        <v>87</v>
      </c>
    </row>
    <row r="943" spans="1:22" s="10" customFormat="1" x14ac:dyDescent="0.25">
      <c r="A943" s="10" t="s">
        <v>8065</v>
      </c>
      <c r="B943" s="10" t="s">
        <v>7824</v>
      </c>
      <c r="C943" s="11" t="s">
        <v>346</v>
      </c>
      <c r="D943" s="10" t="s">
        <v>8066</v>
      </c>
      <c r="E943" s="8" t="s">
        <v>8067</v>
      </c>
      <c r="F943" s="8" t="s">
        <v>8068</v>
      </c>
      <c r="G943" s="10" t="s">
        <v>4</v>
      </c>
      <c r="H943" s="8" t="s">
        <v>4845</v>
      </c>
      <c r="I943" s="10" t="s">
        <v>4846</v>
      </c>
      <c r="J943" s="8" t="s">
        <v>7829</v>
      </c>
      <c r="K943" s="8" t="s">
        <v>1873</v>
      </c>
      <c r="L943" s="8" t="s">
        <v>87</v>
      </c>
      <c r="M943" s="10" t="s">
        <v>1456</v>
      </c>
      <c r="N943" s="8" t="s">
        <v>87</v>
      </c>
      <c r="O943" s="10" t="s">
        <v>22</v>
      </c>
      <c r="P943" s="8" t="s">
        <v>8069</v>
      </c>
      <c r="Q943" s="10" t="s">
        <v>1447</v>
      </c>
      <c r="R943" s="10" t="s">
        <v>1438</v>
      </c>
      <c r="S943" s="8" t="s">
        <v>8070</v>
      </c>
      <c r="T943" s="10" t="s">
        <v>7832</v>
      </c>
      <c r="U943" s="10" t="s">
        <v>87</v>
      </c>
      <c r="V943" s="10" t="s">
        <v>87</v>
      </c>
    </row>
    <row r="944" spans="1:22" s="10" customFormat="1" x14ac:dyDescent="0.25">
      <c r="A944" s="10" t="s">
        <v>8071</v>
      </c>
      <c r="B944" s="10" t="s">
        <v>7824</v>
      </c>
      <c r="C944" s="11" t="s">
        <v>346</v>
      </c>
      <c r="D944" s="10" t="s">
        <v>8072</v>
      </c>
      <c r="E944" s="8" t="s">
        <v>8073</v>
      </c>
      <c r="F944" s="8" t="s">
        <v>8074</v>
      </c>
      <c r="G944" s="10" t="s">
        <v>4</v>
      </c>
      <c r="H944" s="8" t="s">
        <v>8075</v>
      </c>
      <c r="I944" s="10" t="s">
        <v>4790</v>
      </c>
      <c r="J944" s="8" t="s">
        <v>7829</v>
      </c>
      <c r="K944" s="8" t="s">
        <v>1873</v>
      </c>
      <c r="L944" s="8" t="s">
        <v>87</v>
      </c>
      <c r="M944" s="10" t="s">
        <v>1456</v>
      </c>
      <c r="N944" s="8" t="s">
        <v>87</v>
      </c>
      <c r="O944" s="10" t="s">
        <v>22</v>
      </c>
      <c r="P944" s="8" t="s">
        <v>8076</v>
      </c>
      <c r="Q944" s="10" t="s">
        <v>1447</v>
      </c>
      <c r="R944" s="10" t="s">
        <v>1438</v>
      </c>
      <c r="S944" s="8" t="s">
        <v>8077</v>
      </c>
      <c r="T944" s="10" t="s">
        <v>7832</v>
      </c>
      <c r="U944" s="10" t="s">
        <v>87</v>
      </c>
      <c r="V944" s="10" t="s">
        <v>87</v>
      </c>
    </row>
    <row r="945" spans="1:22" s="10" customFormat="1" x14ac:dyDescent="0.25">
      <c r="A945" s="10" t="s">
        <v>8078</v>
      </c>
      <c r="B945" s="10" t="s">
        <v>7824</v>
      </c>
      <c r="C945" s="11" t="s">
        <v>346</v>
      </c>
      <c r="D945" s="10" t="s">
        <v>8079</v>
      </c>
      <c r="E945" s="8" t="s">
        <v>8080</v>
      </c>
      <c r="F945" s="8" t="s">
        <v>8081</v>
      </c>
      <c r="G945" s="10" t="s">
        <v>4</v>
      </c>
      <c r="H945" s="8" t="s">
        <v>8082</v>
      </c>
      <c r="I945" s="10" t="s">
        <v>1504</v>
      </c>
      <c r="J945" s="8" t="s">
        <v>7829</v>
      </c>
      <c r="K945" s="8" t="s">
        <v>8083</v>
      </c>
      <c r="L945" s="8" t="s">
        <v>87</v>
      </c>
      <c r="M945" s="10" t="s">
        <v>1456</v>
      </c>
      <c r="N945" s="8" t="s">
        <v>87</v>
      </c>
      <c r="O945" s="10" t="s">
        <v>22</v>
      </c>
      <c r="P945" s="8" t="s">
        <v>8084</v>
      </c>
      <c r="Q945" s="10" t="s">
        <v>1447</v>
      </c>
      <c r="R945" s="10" t="s">
        <v>1438</v>
      </c>
      <c r="S945" s="8" t="s">
        <v>8085</v>
      </c>
      <c r="T945" s="10" t="s">
        <v>7832</v>
      </c>
      <c r="U945" s="10" t="s">
        <v>87</v>
      </c>
      <c r="V945" s="10" t="s">
        <v>87</v>
      </c>
    </row>
    <row r="946" spans="1:22" s="10" customFormat="1" x14ac:dyDescent="0.25">
      <c r="A946" s="10" t="s">
        <v>8086</v>
      </c>
      <c r="B946" s="10" t="s">
        <v>7824</v>
      </c>
      <c r="C946" s="10" t="s">
        <v>215</v>
      </c>
      <c r="D946" s="10" t="s">
        <v>8087</v>
      </c>
      <c r="E946" s="8" t="s">
        <v>8088</v>
      </c>
      <c r="F946" s="8" t="s">
        <v>8089</v>
      </c>
      <c r="G946" s="10" t="s">
        <v>4</v>
      </c>
      <c r="H946" s="8" t="s">
        <v>8090</v>
      </c>
      <c r="I946" s="10" t="s">
        <v>993</v>
      </c>
      <c r="J946" s="8" t="s">
        <v>7829</v>
      </c>
      <c r="K946" s="8" t="s">
        <v>1873</v>
      </c>
      <c r="L946" s="8" t="s">
        <v>87</v>
      </c>
      <c r="M946" s="10" t="s">
        <v>1456</v>
      </c>
      <c r="N946" s="8" t="s">
        <v>87</v>
      </c>
      <c r="O946" s="10" t="s">
        <v>22</v>
      </c>
      <c r="P946" s="8" t="s">
        <v>8091</v>
      </c>
      <c r="Q946" s="10" t="s">
        <v>1447</v>
      </c>
      <c r="R946" s="10" t="s">
        <v>1438</v>
      </c>
      <c r="S946" s="8" t="s">
        <v>8092</v>
      </c>
      <c r="T946" s="10" t="s">
        <v>7832</v>
      </c>
      <c r="U946" s="10" t="s">
        <v>87</v>
      </c>
      <c r="V946" s="10" t="s">
        <v>87</v>
      </c>
    </row>
    <row r="947" spans="1:22" s="10" customFormat="1" x14ac:dyDescent="0.25">
      <c r="A947" s="10" t="s">
        <v>8093</v>
      </c>
      <c r="B947" s="10" t="s">
        <v>7824</v>
      </c>
      <c r="C947" s="11" t="s">
        <v>346</v>
      </c>
      <c r="D947" s="10" t="s">
        <v>8094</v>
      </c>
      <c r="E947" s="8" t="s">
        <v>8095</v>
      </c>
      <c r="F947" s="8" t="s">
        <v>8096</v>
      </c>
      <c r="G947" s="10" t="s">
        <v>4</v>
      </c>
      <c r="H947" s="8" t="s">
        <v>8097</v>
      </c>
      <c r="I947" s="10" t="s">
        <v>2703</v>
      </c>
      <c r="J947" s="8" t="s">
        <v>7829</v>
      </c>
      <c r="K947" s="8" t="s">
        <v>1873</v>
      </c>
      <c r="L947" s="8" t="s">
        <v>2367</v>
      </c>
      <c r="M947" s="10" t="s">
        <v>1456</v>
      </c>
      <c r="N947" s="8" t="s">
        <v>87</v>
      </c>
      <c r="O947" s="10" t="s">
        <v>22</v>
      </c>
      <c r="P947" s="8" t="s">
        <v>8098</v>
      </c>
      <c r="Q947" s="10" t="s">
        <v>1447</v>
      </c>
      <c r="R947" s="10" t="s">
        <v>1438</v>
      </c>
      <c r="S947" s="8" t="s">
        <v>8099</v>
      </c>
      <c r="T947" s="10" t="s">
        <v>7832</v>
      </c>
      <c r="U947" s="10" t="s">
        <v>87</v>
      </c>
      <c r="V947" s="10" t="s">
        <v>87</v>
      </c>
    </row>
    <row r="948" spans="1:22" s="10" customFormat="1" x14ac:dyDescent="0.25">
      <c r="A948" s="10" t="s">
        <v>8100</v>
      </c>
      <c r="B948" s="10" t="s">
        <v>7824</v>
      </c>
      <c r="C948" s="10" t="s">
        <v>215</v>
      </c>
      <c r="D948" s="10" t="s">
        <v>8101</v>
      </c>
      <c r="E948" s="8" t="s">
        <v>8102</v>
      </c>
      <c r="F948" s="8" t="s">
        <v>8103</v>
      </c>
      <c r="G948" s="10" t="s">
        <v>4</v>
      </c>
      <c r="H948" s="8" t="s">
        <v>7575</v>
      </c>
      <c r="I948" s="10" t="s">
        <v>8104</v>
      </c>
      <c r="J948" s="8" t="s">
        <v>7829</v>
      </c>
      <c r="K948" s="8" t="s">
        <v>1873</v>
      </c>
      <c r="L948" s="8" t="s">
        <v>87</v>
      </c>
      <c r="M948" s="10" t="s">
        <v>1456</v>
      </c>
      <c r="N948" s="8" t="s">
        <v>87</v>
      </c>
      <c r="O948" s="10" t="s">
        <v>22</v>
      </c>
      <c r="P948" s="8" t="s">
        <v>8105</v>
      </c>
      <c r="Q948" s="10" t="s">
        <v>1447</v>
      </c>
      <c r="R948" s="10" t="s">
        <v>1438</v>
      </c>
      <c r="S948" s="8" t="s">
        <v>8106</v>
      </c>
      <c r="T948" s="10" t="s">
        <v>7832</v>
      </c>
      <c r="U948" s="10" t="s">
        <v>87</v>
      </c>
      <c r="V948" s="10" t="s">
        <v>87</v>
      </c>
    </row>
    <row r="949" spans="1:22" s="10" customFormat="1" x14ac:dyDescent="0.25">
      <c r="A949" s="10" t="s">
        <v>8107</v>
      </c>
      <c r="B949" s="10" t="s">
        <v>7824</v>
      </c>
      <c r="C949" s="11" t="s">
        <v>346</v>
      </c>
      <c r="D949" s="10" t="s">
        <v>8108</v>
      </c>
      <c r="E949" s="8" t="s">
        <v>8109</v>
      </c>
      <c r="F949" s="8" t="s">
        <v>8110</v>
      </c>
      <c r="G949" s="10" t="s">
        <v>4</v>
      </c>
      <c r="H949" s="8" t="s">
        <v>8111</v>
      </c>
      <c r="I949" s="10" t="s">
        <v>1241</v>
      </c>
      <c r="J949" s="8" t="s">
        <v>7829</v>
      </c>
      <c r="K949" s="8" t="s">
        <v>1873</v>
      </c>
      <c r="L949" s="8" t="s">
        <v>87</v>
      </c>
      <c r="M949" s="10" t="s">
        <v>1456</v>
      </c>
      <c r="N949" s="8" t="s">
        <v>87</v>
      </c>
      <c r="O949" s="10" t="s">
        <v>22</v>
      </c>
      <c r="P949" s="8" t="s">
        <v>8112</v>
      </c>
      <c r="Q949" s="10" t="s">
        <v>1447</v>
      </c>
      <c r="R949" s="10" t="s">
        <v>1438</v>
      </c>
      <c r="S949" s="8" t="s">
        <v>8113</v>
      </c>
      <c r="T949" s="10" t="s">
        <v>7832</v>
      </c>
      <c r="U949" s="10" t="s">
        <v>87</v>
      </c>
      <c r="V949" s="10" t="s">
        <v>87</v>
      </c>
    </row>
    <row r="950" spans="1:22" s="10" customFormat="1" x14ac:dyDescent="0.25">
      <c r="A950" s="10" t="s">
        <v>8114</v>
      </c>
      <c r="B950" s="10" t="s">
        <v>7824</v>
      </c>
      <c r="C950" s="11" t="s">
        <v>346</v>
      </c>
      <c r="D950" s="10" t="s">
        <v>8115</v>
      </c>
      <c r="E950" s="8" t="s">
        <v>8116</v>
      </c>
      <c r="F950" s="8" t="s">
        <v>8117</v>
      </c>
      <c r="G950" s="10" t="s">
        <v>4</v>
      </c>
      <c r="H950" s="8" t="s">
        <v>6706</v>
      </c>
      <c r="I950" s="10" t="s">
        <v>6699</v>
      </c>
      <c r="J950" s="8" t="s">
        <v>7829</v>
      </c>
      <c r="K950" s="8" t="s">
        <v>1873</v>
      </c>
      <c r="L950" s="8" t="s">
        <v>87</v>
      </c>
      <c r="M950" s="10" t="s">
        <v>1456</v>
      </c>
      <c r="N950" s="8" t="s">
        <v>87</v>
      </c>
      <c r="O950" s="10" t="s">
        <v>22</v>
      </c>
      <c r="P950" s="8" t="s">
        <v>8118</v>
      </c>
      <c r="Q950" s="10" t="s">
        <v>1447</v>
      </c>
      <c r="R950" s="10" t="s">
        <v>1438</v>
      </c>
      <c r="S950" s="8" t="s">
        <v>8119</v>
      </c>
      <c r="T950" s="10" t="s">
        <v>7832</v>
      </c>
      <c r="U950" s="10" t="s">
        <v>87</v>
      </c>
      <c r="V950" s="10" t="s">
        <v>87</v>
      </c>
    </row>
    <row r="951" spans="1:22" s="10" customFormat="1" x14ac:dyDescent="0.25">
      <c r="A951" s="10" t="s">
        <v>8120</v>
      </c>
      <c r="B951" s="10" t="s">
        <v>7824</v>
      </c>
      <c r="C951" s="10" t="s">
        <v>215</v>
      </c>
      <c r="D951" s="10" t="s">
        <v>8121</v>
      </c>
      <c r="E951" s="8" t="s">
        <v>8122</v>
      </c>
      <c r="F951" s="8" t="s">
        <v>8123</v>
      </c>
      <c r="G951" s="10" t="s">
        <v>4</v>
      </c>
      <c r="H951" s="8" t="s">
        <v>7332</v>
      </c>
      <c r="I951" s="10" t="s">
        <v>7280</v>
      </c>
      <c r="J951" s="8" t="s">
        <v>7829</v>
      </c>
      <c r="K951" s="8" t="s">
        <v>1873</v>
      </c>
      <c r="L951" s="8" t="s">
        <v>87</v>
      </c>
      <c r="M951" s="10" t="s">
        <v>1456</v>
      </c>
      <c r="N951" s="8" t="s">
        <v>87</v>
      </c>
      <c r="O951" s="10" t="s">
        <v>22</v>
      </c>
      <c r="P951" s="8" t="s">
        <v>8124</v>
      </c>
      <c r="Q951" s="10" t="s">
        <v>1447</v>
      </c>
      <c r="R951" s="10" t="s">
        <v>1438</v>
      </c>
      <c r="S951" s="8" t="s">
        <v>8125</v>
      </c>
      <c r="T951" s="10" t="s">
        <v>7832</v>
      </c>
      <c r="U951" s="10" t="s">
        <v>87</v>
      </c>
      <c r="V951" s="10" t="s">
        <v>87</v>
      </c>
    </row>
    <row r="952" spans="1:22" s="10" customFormat="1" x14ac:dyDescent="0.25">
      <c r="A952" s="10" t="s">
        <v>8126</v>
      </c>
      <c r="B952" s="10" t="s">
        <v>7824</v>
      </c>
      <c r="C952" s="11" t="s">
        <v>346</v>
      </c>
      <c r="D952" s="10" t="s">
        <v>8127</v>
      </c>
      <c r="E952" s="8" t="s">
        <v>8128</v>
      </c>
      <c r="F952" s="8" t="s">
        <v>8129</v>
      </c>
      <c r="G952" s="10" t="s">
        <v>4</v>
      </c>
      <c r="H952" s="8" t="s">
        <v>8130</v>
      </c>
      <c r="I952" s="10" t="s">
        <v>8131</v>
      </c>
      <c r="J952" s="8" t="s">
        <v>7829</v>
      </c>
      <c r="K952" s="8" t="s">
        <v>1873</v>
      </c>
      <c r="L952" s="8" t="s">
        <v>87</v>
      </c>
      <c r="M952" s="10" t="s">
        <v>1456</v>
      </c>
      <c r="N952" s="8" t="s">
        <v>87</v>
      </c>
      <c r="O952" s="10" t="s">
        <v>22</v>
      </c>
      <c r="P952" s="8" t="s">
        <v>8132</v>
      </c>
      <c r="Q952" s="10" t="s">
        <v>1447</v>
      </c>
      <c r="R952" s="10" t="s">
        <v>1438</v>
      </c>
      <c r="S952" s="8" t="s">
        <v>8133</v>
      </c>
      <c r="T952" s="10" t="s">
        <v>7832</v>
      </c>
      <c r="U952" s="10" t="s">
        <v>87</v>
      </c>
      <c r="V952" s="10" t="s">
        <v>87</v>
      </c>
    </row>
    <row r="953" spans="1:22" s="10" customFormat="1" x14ac:dyDescent="0.25">
      <c r="A953" s="10" t="s">
        <v>8134</v>
      </c>
      <c r="B953" s="10" t="s">
        <v>7824</v>
      </c>
      <c r="C953" s="11" t="s">
        <v>346</v>
      </c>
      <c r="D953" s="10" t="s">
        <v>8135</v>
      </c>
      <c r="E953" s="8" t="s">
        <v>8136</v>
      </c>
      <c r="F953" s="8" t="s">
        <v>8137</v>
      </c>
      <c r="G953" s="10" t="s">
        <v>4</v>
      </c>
      <c r="H953" s="8" t="s">
        <v>1653</v>
      </c>
      <c r="I953" s="10" t="s">
        <v>8138</v>
      </c>
      <c r="J953" s="8" t="s">
        <v>7829</v>
      </c>
      <c r="K953" s="8" t="s">
        <v>1873</v>
      </c>
      <c r="L953" s="8" t="s">
        <v>87</v>
      </c>
      <c r="M953" s="10" t="s">
        <v>1456</v>
      </c>
      <c r="N953" s="8" t="s">
        <v>87</v>
      </c>
      <c r="O953" s="10" t="s">
        <v>22</v>
      </c>
      <c r="P953" s="8" t="s">
        <v>8139</v>
      </c>
      <c r="Q953" s="10" t="s">
        <v>1447</v>
      </c>
      <c r="R953" s="10" t="s">
        <v>1438</v>
      </c>
      <c r="S953" s="8" t="s">
        <v>8140</v>
      </c>
      <c r="T953" s="10" t="s">
        <v>7832</v>
      </c>
      <c r="U953" s="10" t="s">
        <v>87</v>
      </c>
      <c r="V953" s="10" t="s">
        <v>87</v>
      </c>
    </row>
    <row r="954" spans="1:22" s="10" customFormat="1" x14ac:dyDescent="0.25">
      <c r="A954" s="10" t="s">
        <v>8141</v>
      </c>
      <c r="B954" s="10" t="s">
        <v>7824</v>
      </c>
      <c r="C954" s="11" t="s">
        <v>346</v>
      </c>
      <c r="D954" s="10" t="s">
        <v>8142</v>
      </c>
      <c r="E954" s="8" t="s">
        <v>8143</v>
      </c>
      <c r="F954" s="8" t="s">
        <v>8144</v>
      </c>
      <c r="G954" s="10" t="s">
        <v>4</v>
      </c>
      <c r="H954" s="8" t="s">
        <v>8145</v>
      </c>
      <c r="I954" s="10" t="s">
        <v>8146</v>
      </c>
      <c r="J954" s="8" t="s">
        <v>7829</v>
      </c>
      <c r="K954" s="8" t="s">
        <v>1873</v>
      </c>
      <c r="L954" s="8" t="s">
        <v>87</v>
      </c>
      <c r="M954" s="10" t="s">
        <v>1456</v>
      </c>
      <c r="N954" s="8" t="s">
        <v>87</v>
      </c>
      <c r="O954" s="10" t="s">
        <v>22</v>
      </c>
      <c r="P954" s="8" t="s">
        <v>8147</v>
      </c>
      <c r="Q954" s="10" t="s">
        <v>1447</v>
      </c>
      <c r="R954" s="10" t="s">
        <v>1438</v>
      </c>
      <c r="S954" s="8" t="s">
        <v>8148</v>
      </c>
      <c r="T954" s="10" t="s">
        <v>7832</v>
      </c>
      <c r="U954" s="10" t="s">
        <v>87</v>
      </c>
      <c r="V954" s="10" t="s">
        <v>87</v>
      </c>
    </row>
    <row r="955" spans="1:22" s="10" customFormat="1" x14ac:dyDescent="0.25">
      <c r="A955" s="10" t="s">
        <v>8149</v>
      </c>
      <c r="B955" s="10" t="s">
        <v>8150</v>
      </c>
      <c r="C955" s="11" t="s">
        <v>346</v>
      </c>
      <c r="D955" s="10" t="s">
        <v>8151</v>
      </c>
      <c r="E955" s="8" t="s">
        <v>8152</v>
      </c>
      <c r="F955" s="8" t="s">
        <v>8153</v>
      </c>
      <c r="G955" s="10" t="s">
        <v>4</v>
      </c>
      <c r="H955" s="8" t="s">
        <v>8154</v>
      </c>
      <c r="I955" s="10" t="s">
        <v>8155</v>
      </c>
      <c r="J955" s="8" t="s">
        <v>8156</v>
      </c>
      <c r="K955" s="8" t="s">
        <v>1873</v>
      </c>
      <c r="L955" s="8" t="s">
        <v>87</v>
      </c>
      <c r="M955" s="10" t="s">
        <v>1456</v>
      </c>
      <c r="N955" s="8" t="s">
        <v>87</v>
      </c>
      <c r="O955" s="10" t="s">
        <v>22</v>
      </c>
      <c r="P955" s="8" t="s">
        <v>8157</v>
      </c>
      <c r="Q955" s="10" t="s">
        <v>825</v>
      </c>
      <c r="R955" s="10" t="s">
        <v>1657</v>
      </c>
      <c r="S955" s="8" t="s">
        <v>8158</v>
      </c>
      <c r="T955" s="10" t="s">
        <v>8159</v>
      </c>
      <c r="U955" s="10" t="s">
        <v>87</v>
      </c>
      <c r="V955" s="10" t="s">
        <v>87</v>
      </c>
    </row>
    <row r="956" spans="1:22" s="10" customFormat="1" x14ac:dyDescent="0.25">
      <c r="A956" s="10" t="s">
        <v>8160</v>
      </c>
      <c r="B956" s="10" t="s">
        <v>8150</v>
      </c>
      <c r="C956" s="11" t="s">
        <v>346</v>
      </c>
      <c r="D956" s="10" t="s">
        <v>8161</v>
      </c>
      <c r="E956" s="8" t="s">
        <v>8162</v>
      </c>
      <c r="F956" s="8" t="s">
        <v>8163</v>
      </c>
      <c r="G956" s="10" t="s">
        <v>4</v>
      </c>
      <c r="H956" s="8" t="s">
        <v>8154</v>
      </c>
      <c r="I956" s="10" t="s">
        <v>2918</v>
      </c>
      <c r="J956" s="8" t="s">
        <v>8156</v>
      </c>
      <c r="K956" s="8" t="s">
        <v>1873</v>
      </c>
      <c r="L956" s="8" t="s">
        <v>87</v>
      </c>
      <c r="M956" s="10" t="s">
        <v>1456</v>
      </c>
      <c r="N956" s="8" t="s">
        <v>87</v>
      </c>
      <c r="O956" s="10" t="s">
        <v>22</v>
      </c>
      <c r="P956" s="8" t="s">
        <v>8164</v>
      </c>
      <c r="Q956" s="10" t="s">
        <v>825</v>
      </c>
      <c r="R956" s="10" t="s">
        <v>1657</v>
      </c>
      <c r="S956" s="8" t="s">
        <v>8165</v>
      </c>
      <c r="T956" s="10" t="s">
        <v>8159</v>
      </c>
      <c r="U956" s="10" t="s">
        <v>87</v>
      </c>
      <c r="V956" s="10" t="s">
        <v>87</v>
      </c>
    </row>
    <row r="957" spans="1:22" s="10" customFormat="1" x14ac:dyDescent="0.25">
      <c r="A957" s="10" t="s">
        <v>8166</v>
      </c>
      <c r="B957" s="10" t="s">
        <v>8150</v>
      </c>
      <c r="C957" s="11" t="s">
        <v>346</v>
      </c>
      <c r="D957" s="10" t="s">
        <v>8167</v>
      </c>
      <c r="E957" s="8" t="s">
        <v>8168</v>
      </c>
      <c r="F957" s="8" t="s">
        <v>8169</v>
      </c>
      <c r="G957" s="10" t="s">
        <v>4</v>
      </c>
      <c r="H957" s="8" t="s">
        <v>8154</v>
      </c>
      <c r="I957" s="10" t="s">
        <v>479</v>
      </c>
      <c r="J957" s="8" t="s">
        <v>8156</v>
      </c>
      <c r="K957" s="8" t="s">
        <v>1873</v>
      </c>
      <c r="L957" s="8" t="s">
        <v>87</v>
      </c>
      <c r="M957" s="10" t="s">
        <v>1456</v>
      </c>
      <c r="N957" s="8" t="s">
        <v>87</v>
      </c>
      <c r="O957" s="10" t="s">
        <v>22</v>
      </c>
      <c r="P957" s="8" t="s">
        <v>8170</v>
      </c>
      <c r="Q957" s="10" t="s">
        <v>825</v>
      </c>
      <c r="R957" s="10" t="s">
        <v>1657</v>
      </c>
      <c r="S957" s="8" t="s">
        <v>8171</v>
      </c>
      <c r="T957" s="10" t="s">
        <v>8159</v>
      </c>
      <c r="U957" s="10" t="s">
        <v>87</v>
      </c>
      <c r="V957" s="10" t="s">
        <v>87</v>
      </c>
    </row>
    <row r="958" spans="1:22" s="10" customFormat="1" x14ac:dyDescent="0.25">
      <c r="A958" s="10" t="s">
        <v>8172</v>
      </c>
      <c r="B958" s="10" t="s">
        <v>8150</v>
      </c>
      <c r="C958" s="11" t="s">
        <v>346</v>
      </c>
      <c r="D958" s="10" t="s">
        <v>8173</v>
      </c>
      <c r="E958" s="8" t="s">
        <v>8174</v>
      </c>
      <c r="F958" s="8" t="s">
        <v>8175</v>
      </c>
      <c r="G958" s="10" t="s">
        <v>4</v>
      </c>
      <c r="H958" s="8" t="s">
        <v>8154</v>
      </c>
      <c r="I958" s="10" t="s">
        <v>4565</v>
      </c>
      <c r="J958" s="8" t="s">
        <v>8156</v>
      </c>
      <c r="K958" s="8" t="s">
        <v>1873</v>
      </c>
      <c r="L958" s="8" t="s">
        <v>87</v>
      </c>
      <c r="M958" s="10" t="s">
        <v>1456</v>
      </c>
      <c r="N958" s="8" t="s">
        <v>87</v>
      </c>
      <c r="O958" s="10" t="s">
        <v>22</v>
      </c>
      <c r="P958" s="8" t="s">
        <v>8176</v>
      </c>
      <c r="Q958" s="10" t="s">
        <v>825</v>
      </c>
      <c r="R958" s="10" t="s">
        <v>1657</v>
      </c>
      <c r="S958" s="8" t="s">
        <v>8177</v>
      </c>
      <c r="T958" s="10" t="s">
        <v>8159</v>
      </c>
      <c r="U958" s="10" t="s">
        <v>87</v>
      </c>
      <c r="V958" s="10" t="s">
        <v>87</v>
      </c>
    </row>
    <row r="959" spans="1:22" s="10" customFormat="1" x14ac:dyDescent="0.25">
      <c r="A959" s="10" t="s">
        <v>8178</v>
      </c>
      <c r="B959" s="10" t="s">
        <v>8150</v>
      </c>
      <c r="C959" s="11" t="s">
        <v>346</v>
      </c>
      <c r="D959" s="10" t="s">
        <v>8179</v>
      </c>
      <c r="E959" s="8" t="s">
        <v>8180</v>
      </c>
      <c r="F959" s="8" t="s">
        <v>8181</v>
      </c>
      <c r="G959" s="10" t="s">
        <v>4</v>
      </c>
      <c r="H959" s="8" t="s">
        <v>8154</v>
      </c>
      <c r="I959" s="10" t="s">
        <v>1556</v>
      </c>
      <c r="J959" s="8" t="s">
        <v>8156</v>
      </c>
      <c r="K959" s="8" t="s">
        <v>1873</v>
      </c>
      <c r="L959" s="8" t="s">
        <v>87</v>
      </c>
      <c r="M959" s="10" t="s">
        <v>1456</v>
      </c>
      <c r="N959" s="8" t="s">
        <v>87</v>
      </c>
      <c r="O959" s="10" t="s">
        <v>22</v>
      </c>
      <c r="P959" s="8" t="s">
        <v>8182</v>
      </c>
      <c r="Q959" s="10" t="s">
        <v>825</v>
      </c>
      <c r="R959" s="10" t="s">
        <v>1657</v>
      </c>
      <c r="S959" s="8" t="s">
        <v>8183</v>
      </c>
      <c r="T959" s="10" t="s">
        <v>8159</v>
      </c>
      <c r="U959" s="10" t="s">
        <v>87</v>
      </c>
      <c r="V959" s="10" t="s">
        <v>87</v>
      </c>
    </row>
    <row r="960" spans="1:22" s="10" customFormat="1" x14ac:dyDescent="0.25">
      <c r="A960" s="10" t="s">
        <v>8184</v>
      </c>
      <c r="B960" s="10" t="s">
        <v>8150</v>
      </c>
      <c r="C960" s="11" t="s">
        <v>346</v>
      </c>
      <c r="D960" s="10" t="s">
        <v>8185</v>
      </c>
      <c r="E960" s="8" t="s">
        <v>8186</v>
      </c>
      <c r="F960" s="8" t="s">
        <v>8187</v>
      </c>
      <c r="G960" s="10" t="s">
        <v>4</v>
      </c>
      <c r="H960" s="8" t="s">
        <v>8154</v>
      </c>
      <c r="I960" s="10" t="s">
        <v>5574</v>
      </c>
      <c r="J960" s="8" t="s">
        <v>8156</v>
      </c>
      <c r="K960" s="8" t="s">
        <v>1873</v>
      </c>
      <c r="L960" s="8" t="s">
        <v>87</v>
      </c>
      <c r="M960" s="10" t="s">
        <v>1456</v>
      </c>
      <c r="N960" s="8" t="s">
        <v>87</v>
      </c>
      <c r="O960" s="10" t="s">
        <v>22</v>
      </c>
      <c r="P960" s="8" t="s">
        <v>8188</v>
      </c>
      <c r="Q960" s="10" t="s">
        <v>825</v>
      </c>
      <c r="R960" s="10" t="s">
        <v>1657</v>
      </c>
      <c r="S960" s="8" t="s">
        <v>8189</v>
      </c>
      <c r="T960" s="10" t="s">
        <v>8159</v>
      </c>
      <c r="U960" s="10" t="s">
        <v>87</v>
      </c>
      <c r="V960" s="10" t="s">
        <v>87</v>
      </c>
    </row>
    <row r="961" spans="1:22" s="10" customFormat="1" x14ac:dyDescent="0.25">
      <c r="A961" s="10" t="s">
        <v>8190</v>
      </c>
      <c r="B961" s="10" t="s">
        <v>8150</v>
      </c>
      <c r="C961" s="11" t="s">
        <v>346</v>
      </c>
      <c r="D961" s="10" t="s">
        <v>8191</v>
      </c>
      <c r="E961" s="8" t="s">
        <v>8192</v>
      </c>
      <c r="F961" s="8" t="s">
        <v>8193</v>
      </c>
      <c r="G961" s="10" t="s">
        <v>4</v>
      </c>
      <c r="H961" s="8" t="s">
        <v>8154</v>
      </c>
      <c r="I961" s="10" t="s">
        <v>8194</v>
      </c>
      <c r="J961" s="8" t="s">
        <v>8156</v>
      </c>
      <c r="K961" s="8" t="s">
        <v>1873</v>
      </c>
      <c r="L961" s="8" t="s">
        <v>87</v>
      </c>
      <c r="M961" s="10" t="s">
        <v>1456</v>
      </c>
      <c r="N961" s="8" t="s">
        <v>87</v>
      </c>
      <c r="O961" s="10" t="s">
        <v>22</v>
      </c>
      <c r="P961" s="8" t="s">
        <v>8195</v>
      </c>
      <c r="Q961" s="10" t="s">
        <v>825</v>
      </c>
      <c r="R961" s="10" t="s">
        <v>1657</v>
      </c>
      <c r="S961" s="8" t="s">
        <v>8196</v>
      </c>
      <c r="T961" s="10" t="s">
        <v>8159</v>
      </c>
      <c r="U961" s="10" t="s">
        <v>87</v>
      </c>
      <c r="V961" s="10" t="s">
        <v>87</v>
      </c>
    </row>
    <row r="962" spans="1:22" s="10" customFormat="1" x14ac:dyDescent="0.25">
      <c r="A962" s="10" t="s">
        <v>8197</v>
      </c>
      <c r="B962" s="10" t="s">
        <v>8150</v>
      </c>
      <c r="C962" s="11" t="s">
        <v>346</v>
      </c>
      <c r="D962" s="10" t="s">
        <v>8198</v>
      </c>
      <c r="E962" s="8" t="s">
        <v>8199</v>
      </c>
      <c r="F962" s="8" t="s">
        <v>8200</v>
      </c>
      <c r="G962" s="10" t="s">
        <v>4</v>
      </c>
      <c r="H962" s="8" t="s">
        <v>8154</v>
      </c>
      <c r="I962" s="10" t="s">
        <v>5301</v>
      </c>
      <c r="J962" s="8" t="s">
        <v>8156</v>
      </c>
      <c r="K962" s="8" t="s">
        <v>1873</v>
      </c>
      <c r="L962" s="8" t="s">
        <v>87</v>
      </c>
      <c r="M962" s="10" t="s">
        <v>1456</v>
      </c>
      <c r="N962" s="8" t="s">
        <v>87</v>
      </c>
      <c r="O962" s="10" t="s">
        <v>22</v>
      </c>
      <c r="P962" s="8" t="s">
        <v>8201</v>
      </c>
      <c r="Q962" s="10" t="s">
        <v>825</v>
      </c>
      <c r="R962" s="10" t="s">
        <v>1657</v>
      </c>
      <c r="S962" s="8" t="s">
        <v>8202</v>
      </c>
      <c r="T962" s="10" t="s">
        <v>8159</v>
      </c>
      <c r="U962" s="10" t="s">
        <v>87</v>
      </c>
      <c r="V962" s="10" t="s">
        <v>87</v>
      </c>
    </row>
    <row r="963" spans="1:22" s="10" customFormat="1" x14ac:dyDescent="0.25">
      <c r="A963" s="10" t="s">
        <v>8203</v>
      </c>
      <c r="B963" s="10" t="s">
        <v>8150</v>
      </c>
      <c r="C963" s="11" t="s">
        <v>346</v>
      </c>
      <c r="D963" s="10" t="s">
        <v>8204</v>
      </c>
      <c r="E963" s="8" t="s">
        <v>8205</v>
      </c>
      <c r="F963" s="8" t="s">
        <v>8206</v>
      </c>
      <c r="G963" s="10" t="s">
        <v>4</v>
      </c>
      <c r="H963" s="8" t="s">
        <v>8154</v>
      </c>
      <c r="I963" s="10" t="s">
        <v>938</v>
      </c>
      <c r="J963" s="8" t="s">
        <v>8156</v>
      </c>
      <c r="K963" s="8" t="s">
        <v>1873</v>
      </c>
      <c r="L963" s="8" t="s">
        <v>87</v>
      </c>
      <c r="M963" s="10" t="s">
        <v>1456</v>
      </c>
      <c r="N963" s="8" t="s">
        <v>87</v>
      </c>
      <c r="O963" s="10" t="s">
        <v>22</v>
      </c>
      <c r="P963" s="8" t="s">
        <v>8207</v>
      </c>
      <c r="Q963" s="10" t="s">
        <v>825</v>
      </c>
      <c r="R963" s="10" t="s">
        <v>1657</v>
      </c>
      <c r="S963" s="8" t="s">
        <v>8208</v>
      </c>
      <c r="T963" s="10" t="s">
        <v>8159</v>
      </c>
      <c r="U963" s="10" t="s">
        <v>87</v>
      </c>
      <c r="V963" s="10" t="s">
        <v>87</v>
      </c>
    </row>
    <row r="964" spans="1:22" s="10" customFormat="1" x14ac:dyDescent="0.25">
      <c r="A964" s="10" t="s">
        <v>8209</v>
      </c>
      <c r="B964" s="10" t="s">
        <v>8150</v>
      </c>
      <c r="C964" s="11" t="s">
        <v>346</v>
      </c>
      <c r="D964" s="10" t="s">
        <v>8210</v>
      </c>
      <c r="E964" s="8" t="s">
        <v>8211</v>
      </c>
      <c r="F964" s="8" t="s">
        <v>8212</v>
      </c>
      <c r="G964" s="10" t="s">
        <v>4</v>
      </c>
      <c r="H964" s="8" t="s">
        <v>8154</v>
      </c>
      <c r="I964" s="10" t="s">
        <v>5761</v>
      </c>
      <c r="J964" s="8" t="s">
        <v>8156</v>
      </c>
      <c r="K964" s="8" t="s">
        <v>1873</v>
      </c>
      <c r="L964" s="8" t="s">
        <v>87</v>
      </c>
      <c r="M964" s="10" t="s">
        <v>1456</v>
      </c>
      <c r="N964" s="8" t="s">
        <v>87</v>
      </c>
      <c r="O964" s="10" t="s">
        <v>22</v>
      </c>
      <c r="P964" s="8" t="s">
        <v>8213</v>
      </c>
      <c r="Q964" s="10" t="s">
        <v>825</v>
      </c>
      <c r="R964" s="10" t="s">
        <v>1657</v>
      </c>
      <c r="S964" s="8" t="s">
        <v>8214</v>
      </c>
      <c r="T964" s="10" t="s">
        <v>8159</v>
      </c>
      <c r="U964" s="10" t="s">
        <v>87</v>
      </c>
      <c r="V964" s="10" t="s">
        <v>87</v>
      </c>
    </row>
    <row r="965" spans="1:22" s="10" customFormat="1" x14ac:dyDescent="0.25">
      <c r="A965" s="10" t="s">
        <v>8215</v>
      </c>
      <c r="B965" s="10" t="s">
        <v>8150</v>
      </c>
      <c r="C965" s="11" t="s">
        <v>346</v>
      </c>
      <c r="D965" s="10" t="s">
        <v>8216</v>
      </c>
      <c r="E965" s="8" t="s">
        <v>8217</v>
      </c>
      <c r="F965" s="8" t="s">
        <v>8218</v>
      </c>
      <c r="G965" s="10" t="s">
        <v>4</v>
      </c>
      <c r="H965" s="8" t="s">
        <v>8154</v>
      </c>
      <c r="I965" s="10" t="s">
        <v>1504</v>
      </c>
      <c r="J965" s="8" t="s">
        <v>8156</v>
      </c>
      <c r="K965" s="8" t="s">
        <v>1873</v>
      </c>
      <c r="L965" s="8" t="s">
        <v>87</v>
      </c>
      <c r="M965" s="10" t="s">
        <v>1456</v>
      </c>
      <c r="N965" s="8" t="s">
        <v>87</v>
      </c>
      <c r="O965" s="10" t="s">
        <v>22</v>
      </c>
      <c r="P965" s="8" t="s">
        <v>8219</v>
      </c>
      <c r="Q965" s="10" t="s">
        <v>825</v>
      </c>
      <c r="R965" s="10" t="s">
        <v>1657</v>
      </c>
      <c r="S965" s="8" t="s">
        <v>8220</v>
      </c>
      <c r="T965" s="10" t="s">
        <v>8159</v>
      </c>
      <c r="U965" s="10" t="s">
        <v>87</v>
      </c>
      <c r="V965" s="10" t="s">
        <v>87</v>
      </c>
    </row>
    <row r="966" spans="1:22" s="10" customFormat="1" x14ac:dyDescent="0.25">
      <c r="A966" s="10" t="s">
        <v>8221</v>
      </c>
      <c r="B966" s="10" t="s">
        <v>8150</v>
      </c>
      <c r="C966" s="11" t="s">
        <v>346</v>
      </c>
      <c r="D966" s="10" t="s">
        <v>8222</v>
      </c>
      <c r="E966" s="8" t="s">
        <v>8223</v>
      </c>
      <c r="F966" s="8" t="s">
        <v>8224</v>
      </c>
      <c r="G966" s="10" t="s">
        <v>4</v>
      </c>
      <c r="H966" s="8" t="s">
        <v>8154</v>
      </c>
      <c r="I966" s="10" t="s">
        <v>7851</v>
      </c>
      <c r="J966" s="8" t="s">
        <v>8156</v>
      </c>
      <c r="K966" s="8" t="s">
        <v>1873</v>
      </c>
      <c r="L966" s="8" t="s">
        <v>87</v>
      </c>
      <c r="M966" s="10" t="s">
        <v>1456</v>
      </c>
      <c r="N966" s="8" t="s">
        <v>87</v>
      </c>
      <c r="O966" s="10" t="s">
        <v>22</v>
      </c>
      <c r="P966" s="8" t="s">
        <v>8225</v>
      </c>
      <c r="Q966" s="10" t="s">
        <v>825</v>
      </c>
      <c r="R966" s="10" t="s">
        <v>1657</v>
      </c>
      <c r="S966" s="8" t="s">
        <v>8226</v>
      </c>
      <c r="T966" s="10" t="s">
        <v>8159</v>
      </c>
      <c r="U966" s="10" t="s">
        <v>87</v>
      </c>
      <c r="V966" s="10" t="s">
        <v>87</v>
      </c>
    </row>
    <row r="967" spans="1:22" s="10" customFormat="1" x14ac:dyDescent="0.25">
      <c r="A967" s="10" t="s">
        <v>8227</v>
      </c>
      <c r="B967" s="10" t="s">
        <v>8150</v>
      </c>
      <c r="C967" s="11" t="s">
        <v>346</v>
      </c>
      <c r="D967" s="10" t="s">
        <v>8228</v>
      </c>
      <c r="E967" s="8" t="s">
        <v>8229</v>
      </c>
      <c r="F967" s="8" t="s">
        <v>8230</v>
      </c>
      <c r="G967" s="10" t="s">
        <v>4</v>
      </c>
      <c r="H967" s="8" t="s">
        <v>8154</v>
      </c>
      <c r="I967" s="10" t="s">
        <v>8231</v>
      </c>
      <c r="J967" s="8" t="s">
        <v>8156</v>
      </c>
      <c r="K967" s="8" t="s">
        <v>1873</v>
      </c>
      <c r="L967" s="8" t="s">
        <v>87</v>
      </c>
      <c r="M967" s="10" t="s">
        <v>1456</v>
      </c>
      <c r="N967" s="8" t="s">
        <v>87</v>
      </c>
      <c r="O967" s="10" t="s">
        <v>22</v>
      </c>
      <c r="P967" s="8" t="s">
        <v>8232</v>
      </c>
      <c r="Q967" s="10" t="s">
        <v>825</v>
      </c>
      <c r="R967" s="10" t="s">
        <v>1657</v>
      </c>
      <c r="S967" s="8" t="s">
        <v>8233</v>
      </c>
      <c r="T967" s="10" t="s">
        <v>8159</v>
      </c>
      <c r="U967" s="10" t="s">
        <v>87</v>
      </c>
      <c r="V967" s="10" t="s">
        <v>87</v>
      </c>
    </row>
    <row r="968" spans="1:22" s="10" customFormat="1" x14ac:dyDescent="0.25">
      <c r="A968" s="10" t="s">
        <v>8234</v>
      </c>
      <c r="B968" s="10" t="s">
        <v>8150</v>
      </c>
      <c r="C968" s="11" t="s">
        <v>346</v>
      </c>
      <c r="D968" s="10" t="s">
        <v>8235</v>
      </c>
      <c r="E968" s="8" t="s">
        <v>8236</v>
      </c>
      <c r="F968" s="8" t="s">
        <v>8237</v>
      </c>
      <c r="G968" s="10" t="s">
        <v>4</v>
      </c>
      <c r="H968" s="8" t="s">
        <v>8154</v>
      </c>
      <c r="I968" s="10" t="s">
        <v>8238</v>
      </c>
      <c r="J968" s="8" t="s">
        <v>8156</v>
      </c>
      <c r="K968" s="8" t="s">
        <v>1873</v>
      </c>
      <c r="L968" s="8" t="s">
        <v>87</v>
      </c>
      <c r="M968" s="10" t="s">
        <v>1456</v>
      </c>
      <c r="N968" s="8" t="s">
        <v>87</v>
      </c>
      <c r="O968" s="10" t="s">
        <v>22</v>
      </c>
      <c r="P968" s="8" t="s">
        <v>8239</v>
      </c>
      <c r="Q968" s="10" t="s">
        <v>825</v>
      </c>
      <c r="R968" s="10" t="s">
        <v>1657</v>
      </c>
      <c r="S968" s="8" t="s">
        <v>8240</v>
      </c>
      <c r="T968" s="10" t="s">
        <v>8159</v>
      </c>
      <c r="U968" s="10" t="s">
        <v>87</v>
      </c>
      <c r="V968" s="10" t="s">
        <v>87</v>
      </c>
    </row>
    <row r="969" spans="1:22" s="10" customFormat="1" x14ac:dyDescent="0.25">
      <c r="A969" s="10" t="s">
        <v>8241</v>
      </c>
      <c r="B969" s="10" t="s">
        <v>8150</v>
      </c>
      <c r="C969" s="11" t="s">
        <v>346</v>
      </c>
      <c r="D969" s="10" t="s">
        <v>8242</v>
      </c>
      <c r="E969" s="8" t="s">
        <v>8243</v>
      </c>
      <c r="F969" s="8" t="s">
        <v>8244</v>
      </c>
      <c r="G969" s="10" t="s">
        <v>4</v>
      </c>
      <c r="H969" s="8" t="s">
        <v>8154</v>
      </c>
      <c r="I969" s="10" t="s">
        <v>357</v>
      </c>
      <c r="J969" s="8" t="s">
        <v>8156</v>
      </c>
      <c r="K969" s="8" t="s">
        <v>1873</v>
      </c>
      <c r="L969" s="8" t="s">
        <v>87</v>
      </c>
      <c r="M969" s="10" t="s">
        <v>1456</v>
      </c>
      <c r="N969" s="8" t="s">
        <v>87</v>
      </c>
      <c r="O969" s="10" t="s">
        <v>22</v>
      </c>
      <c r="P969" s="8" t="s">
        <v>8245</v>
      </c>
      <c r="Q969" s="10" t="s">
        <v>825</v>
      </c>
      <c r="R969" s="10" t="s">
        <v>1657</v>
      </c>
      <c r="S969" s="8" t="s">
        <v>8246</v>
      </c>
      <c r="T969" s="10" t="s">
        <v>8159</v>
      </c>
      <c r="U969" s="10" t="s">
        <v>87</v>
      </c>
      <c r="V969" s="10" t="s">
        <v>87</v>
      </c>
    </row>
    <row r="970" spans="1:22" s="10" customFormat="1" x14ac:dyDescent="0.25">
      <c r="A970" s="10" t="s">
        <v>8247</v>
      </c>
      <c r="B970" s="10" t="s">
        <v>8150</v>
      </c>
      <c r="C970" s="11" t="s">
        <v>346</v>
      </c>
      <c r="D970" s="10" t="s">
        <v>8248</v>
      </c>
      <c r="E970" s="8" t="s">
        <v>8249</v>
      </c>
      <c r="F970" s="8" t="s">
        <v>8250</v>
      </c>
      <c r="G970" s="10" t="s">
        <v>4</v>
      </c>
      <c r="H970" s="8" t="s">
        <v>8154</v>
      </c>
      <c r="I970" s="10" t="s">
        <v>8251</v>
      </c>
      <c r="J970" s="8" t="s">
        <v>8156</v>
      </c>
      <c r="K970" s="8" t="s">
        <v>1873</v>
      </c>
      <c r="L970" s="8" t="s">
        <v>87</v>
      </c>
      <c r="M970" s="10" t="s">
        <v>1456</v>
      </c>
      <c r="N970" s="8" t="s">
        <v>87</v>
      </c>
      <c r="O970" s="10" t="s">
        <v>22</v>
      </c>
      <c r="P970" s="8" t="s">
        <v>8252</v>
      </c>
      <c r="Q970" s="10" t="s">
        <v>825</v>
      </c>
      <c r="R970" s="10" t="s">
        <v>1657</v>
      </c>
      <c r="S970" s="8" t="s">
        <v>8253</v>
      </c>
      <c r="T970" s="10" t="s">
        <v>8159</v>
      </c>
      <c r="U970" s="10" t="s">
        <v>87</v>
      </c>
      <c r="V970" s="10" t="s">
        <v>87</v>
      </c>
    </row>
    <row r="971" spans="1:22" s="10" customFormat="1" x14ac:dyDescent="0.25">
      <c r="A971" s="10" t="s">
        <v>8254</v>
      </c>
      <c r="B971" s="10" t="s">
        <v>8150</v>
      </c>
      <c r="C971" s="11" t="s">
        <v>346</v>
      </c>
      <c r="D971" s="10" t="s">
        <v>8255</v>
      </c>
      <c r="E971" s="8" t="s">
        <v>8256</v>
      </c>
      <c r="F971" s="8" t="s">
        <v>8257</v>
      </c>
      <c r="G971" s="10" t="s">
        <v>4</v>
      </c>
      <c r="H971" s="8" t="s">
        <v>8154</v>
      </c>
      <c r="I971" s="10" t="s">
        <v>4412</v>
      </c>
      <c r="J971" s="8" t="s">
        <v>8156</v>
      </c>
      <c r="K971" s="8" t="s">
        <v>1873</v>
      </c>
      <c r="L971" s="8" t="s">
        <v>87</v>
      </c>
      <c r="M971" s="10" t="s">
        <v>1456</v>
      </c>
      <c r="N971" s="8" t="s">
        <v>87</v>
      </c>
      <c r="O971" s="10" t="s">
        <v>22</v>
      </c>
      <c r="P971" s="8" t="s">
        <v>8258</v>
      </c>
      <c r="Q971" s="10" t="s">
        <v>825</v>
      </c>
      <c r="R971" s="10" t="s">
        <v>1657</v>
      </c>
      <c r="S971" s="8" t="s">
        <v>8259</v>
      </c>
      <c r="T971" s="10" t="s">
        <v>8159</v>
      </c>
      <c r="U971" s="10" t="s">
        <v>87</v>
      </c>
      <c r="V971" s="10" t="s">
        <v>87</v>
      </c>
    </row>
    <row r="972" spans="1:22" s="10" customFormat="1" x14ac:dyDescent="0.25">
      <c r="A972" s="10" t="s">
        <v>8260</v>
      </c>
      <c r="B972" s="10" t="s">
        <v>8150</v>
      </c>
      <c r="C972" s="11" t="s">
        <v>346</v>
      </c>
      <c r="D972" s="10" t="s">
        <v>8261</v>
      </c>
      <c r="E972" s="8" t="s">
        <v>8262</v>
      </c>
      <c r="F972" s="8" t="s">
        <v>8263</v>
      </c>
      <c r="G972" s="10" t="s">
        <v>4</v>
      </c>
      <c r="H972" s="8" t="s">
        <v>8154</v>
      </c>
      <c r="I972" s="10" t="s">
        <v>4005</v>
      </c>
      <c r="J972" s="8" t="s">
        <v>8156</v>
      </c>
      <c r="K972" s="8" t="s">
        <v>1873</v>
      </c>
      <c r="L972" s="8" t="s">
        <v>87</v>
      </c>
      <c r="M972" s="10" t="s">
        <v>1456</v>
      </c>
      <c r="N972" s="8" t="s">
        <v>87</v>
      </c>
      <c r="O972" s="10" t="s">
        <v>22</v>
      </c>
      <c r="P972" s="8" t="s">
        <v>8264</v>
      </c>
      <c r="Q972" s="10" t="s">
        <v>825</v>
      </c>
      <c r="R972" s="10" t="s">
        <v>1657</v>
      </c>
      <c r="S972" s="8" t="s">
        <v>8265</v>
      </c>
      <c r="T972" s="10" t="s">
        <v>8159</v>
      </c>
      <c r="U972" s="10" t="s">
        <v>87</v>
      </c>
      <c r="V972" s="10" t="s">
        <v>87</v>
      </c>
    </row>
    <row r="973" spans="1:22" s="10" customFormat="1" x14ac:dyDescent="0.25">
      <c r="A973" s="10" t="s">
        <v>8266</v>
      </c>
      <c r="B973" s="10" t="s">
        <v>8150</v>
      </c>
      <c r="C973" s="11" t="s">
        <v>346</v>
      </c>
      <c r="D973" s="10" t="s">
        <v>8267</v>
      </c>
      <c r="E973" s="8" t="s">
        <v>8268</v>
      </c>
      <c r="F973" s="8" t="s">
        <v>8269</v>
      </c>
      <c r="G973" s="10" t="s">
        <v>4</v>
      </c>
      <c r="H973" s="8" t="s">
        <v>8154</v>
      </c>
      <c r="I973" s="10" t="s">
        <v>1628</v>
      </c>
      <c r="J973" s="8" t="s">
        <v>8156</v>
      </c>
      <c r="K973" s="8" t="s">
        <v>1873</v>
      </c>
      <c r="L973" s="8" t="s">
        <v>87</v>
      </c>
      <c r="M973" s="10" t="s">
        <v>1456</v>
      </c>
      <c r="N973" s="8" t="s">
        <v>87</v>
      </c>
      <c r="O973" s="10" t="s">
        <v>22</v>
      </c>
      <c r="P973" s="8" t="s">
        <v>8270</v>
      </c>
      <c r="Q973" s="10" t="s">
        <v>825</v>
      </c>
      <c r="R973" s="10" t="s">
        <v>1657</v>
      </c>
      <c r="S973" s="8" t="s">
        <v>8271</v>
      </c>
      <c r="T973" s="10" t="s">
        <v>8159</v>
      </c>
      <c r="U973" s="10" t="s">
        <v>87</v>
      </c>
      <c r="V973" s="10" t="s">
        <v>87</v>
      </c>
    </row>
    <row r="974" spans="1:22" s="10" customFormat="1" x14ac:dyDescent="0.25">
      <c r="A974" s="10" t="s">
        <v>8272</v>
      </c>
      <c r="B974" s="10" t="s">
        <v>8150</v>
      </c>
      <c r="C974" s="11" t="s">
        <v>346</v>
      </c>
      <c r="D974" s="10" t="s">
        <v>8273</v>
      </c>
      <c r="E974" s="8" t="s">
        <v>8274</v>
      </c>
      <c r="F974" s="8" t="s">
        <v>8275</v>
      </c>
      <c r="G974" s="10" t="s">
        <v>4</v>
      </c>
      <c r="H974" s="8" t="s">
        <v>8154</v>
      </c>
      <c r="I974" s="10" t="s">
        <v>4586</v>
      </c>
      <c r="J974" s="8" t="s">
        <v>8156</v>
      </c>
      <c r="K974" s="8" t="s">
        <v>1873</v>
      </c>
      <c r="L974" s="8" t="s">
        <v>87</v>
      </c>
      <c r="M974" s="10" t="s">
        <v>1456</v>
      </c>
      <c r="N974" s="8" t="s">
        <v>87</v>
      </c>
      <c r="O974" s="10" t="s">
        <v>22</v>
      </c>
      <c r="P974" s="8" t="s">
        <v>8276</v>
      </c>
      <c r="Q974" s="10" t="s">
        <v>825</v>
      </c>
      <c r="R974" s="10" t="s">
        <v>1657</v>
      </c>
      <c r="S974" s="8" t="s">
        <v>8277</v>
      </c>
      <c r="T974" s="10" t="s">
        <v>8159</v>
      </c>
      <c r="U974" s="10" t="s">
        <v>87</v>
      </c>
      <c r="V974" s="10" t="s">
        <v>87</v>
      </c>
    </row>
    <row r="975" spans="1:22" s="10" customFormat="1" x14ac:dyDescent="0.25">
      <c r="A975" s="10" t="s">
        <v>8278</v>
      </c>
      <c r="B975" s="10" t="s">
        <v>8150</v>
      </c>
      <c r="C975" s="11" t="s">
        <v>346</v>
      </c>
      <c r="D975" s="10" t="s">
        <v>8279</v>
      </c>
      <c r="E975" s="8" t="s">
        <v>8280</v>
      </c>
      <c r="F975" s="8" t="s">
        <v>8281</v>
      </c>
      <c r="G975" s="10" t="s">
        <v>4</v>
      </c>
      <c r="H975" s="8" t="s">
        <v>8282</v>
      </c>
      <c r="I975" s="10" t="s">
        <v>8155</v>
      </c>
      <c r="J975" s="8" t="s">
        <v>8156</v>
      </c>
      <c r="K975" s="8" t="s">
        <v>8283</v>
      </c>
      <c r="L975" s="8" t="s">
        <v>87</v>
      </c>
      <c r="M975" s="10" t="s">
        <v>1456</v>
      </c>
      <c r="N975" s="8" t="s">
        <v>87</v>
      </c>
      <c r="O975" s="10" t="s">
        <v>22</v>
      </c>
      <c r="P975" s="8" t="s">
        <v>8284</v>
      </c>
      <c r="Q975" s="10" t="s">
        <v>825</v>
      </c>
      <c r="R975" s="10" t="s">
        <v>1657</v>
      </c>
      <c r="S975" s="8" t="s">
        <v>8285</v>
      </c>
      <c r="T975" s="10" t="s">
        <v>8159</v>
      </c>
      <c r="U975" s="10" t="s">
        <v>87</v>
      </c>
      <c r="V975" s="10" t="s">
        <v>87</v>
      </c>
    </row>
    <row r="976" spans="1:22" s="10" customFormat="1" x14ac:dyDescent="0.25">
      <c r="A976" s="10" t="s">
        <v>8286</v>
      </c>
      <c r="B976" s="10" t="s">
        <v>8150</v>
      </c>
      <c r="C976" s="11" t="s">
        <v>346</v>
      </c>
      <c r="D976" s="10" t="s">
        <v>8287</v>
      </c>
      <c r="E976" s="8" t="s">
        <v>8288</v>
      </c>
      <c r="F976" s="8" t="s">
        <v>8289</v>
      </c>
      <c r="G976" s="10" t="s">
        <v>4</v>
      </c>
      <c r="H976" s="8" t="s">
        <v>8290</v>
      </c>
      <c r="I976" s="10" t="s">
        <v>2918</v>
      </c>
      <c r="J976" s="8" t="s">
        <v>8156</v>
      </c>
      <c r="K976" s="8" t="s">
        <v>8291</v>
      </c>
      <c r="L976" s="8" t="s">
        <v>87</v>
      </c>
      <c r="M976" s="10" t="s">
        <v>1456</v>
      </c>
      <c r="N976" s="8" t="s">
        <v>87</v>
      </c>
      <c r="O976" s="10" t="s">
        <v>22</v>
      </c>
      <c r="P976" s="8" t="s">
        <v>8292</v>
      </c>
      <c r="Q976" s="10" t="s">
        <v>825</v>
      </c>
      <c r="R976" s="10" t="s">
        <v>1657</v>
      </c>
      <c r="S976" s="8" t="s">
        <v>8293</v>
      </c>
      <c r="T976" s="10" t="s">
        <v>8159</v>
      </c>
      <c r="U976" s="10" t="s">
        <v>87</v>
      </c>
      <c r="V976" s="10" t="s">
        <v>87</v>
      </c>
    </row>
    <row r="977" spans="1:22" s="10" customFormat="1" x14ac:dyDescent="0.25">
      <c r="A977" s="10" t="s">
        <v>8294</v>
      </c>
      <c r="B977" s="10" t="s">
        <v>8150</v>
      </c>
      <c r="C977" s="11" t="s">
        <v>346</v>
      </c>
      <c r="D977" s="10" t="s">
        <v>8295</v>
      </c>
      <c r="E977" s="8" t="s">
        <v>8296</v>
      </c>
      <c r="F977" s="8" t="s">
        <v>8297</v>
      </c>
      <c r="G977" s="10" t="s">
        <v>3</v>
      </c>
      <c r="H977" s="8" t="s">
        <v>8298</v>
      </c>
      <c r="I977" s="10" t="s">
        <v>4586</v>
      </c>
      <c r="J977" s="8" t="s">
        <v>8156</v>
      </c>
      <c r="K977" s="8" t="s">
        <v>1435</v>
      </c>
      <c r="L977" s="8" t="s">
        <v>87</v>
      </c>
      <c r="M977" s="10" t="s">
        <v>1436</v>
      </c>
      <c r="N977" s="8" t="s">
        <v>87</v>
      </c>
      <c r="O977" s="10" t="s">
        <v>22</v>
      </c>
      <c r="P977" s="8" t="s">
        <v>8299</v>
      </c>
      <c r="Q977" s="10" t="s">
        <v>825</v>
      </c>
      <c r="R977" s="10" t="s">
        <v>1657</v>
      </c>
      <c r="S977" s="8" t="s">
        <v>8300</v>
      </c>
      <c r="T977" s="10" t="s">
        <v>8159</v>
      </c>
      <c r="U977" s="10" t="s">
        <v>87</v>
      </c>
      <c r="V977" s="10" t="s">
        <v>87</v>
      </c>
    </row>
    <row r="978" spans="1:22" s="10" customFormat="1" x14ac:dyDescent="0.25">
      <c r="A978" s="10" t="s">
        <v>8301</v>
      </c>
      <c r="B978" s="10" t="s">
        <v>8150</v>
      </c>
      <c r="C978" s="11" t="s">
        <v>346</v>
      </c>
      <c r="D978" s="10" t="s">
        <v>8302</v>
      </c>
      <c r="E978" s="8" t="s">
        <v>8303</v>
      </c>
      <c r="F978" s="8" t="s">
        <v>8304</v>
      </c>
      <c r="G978" s="10" t="s">
        <v>4</v>
      </c>
      <c r="H978" s="8" t="s">
        <v>8305</v>
      </c>
      <c r="I978" s="10" t="s">
        <v>8155</v>
      </c>
      <c r="J978" s="8" t="s">
        <v>8156</v>
      </c>
      <c r="K978" s="8" t="s">
        <v>1873</v>
      </c>
      <c r="L978" s="8" t="s">
        <v>87</v>
      </c>
      <c r="M978" s="10" t="s">
        <v>1456</v>
      </c>
      <c r="N978" s="8" t="s">
        <v>87</v>
      </c>
      <c r="O978" s="10" t="s">
        <v>22</v>
      </c>
      <c r="P978" s="8" t="s">
        <v>8306</v>
      </c>
      <c r="Q978" s="10" t="s">
        <v>825</v>
      </c>
      <c r="R978" s="10" t="s">
        <v>1438</v>
      </c>
      <c r="S978" s="8" t="s">
        <v>8307</v>
      </c>
      <c r="T978" s="10" t="s">
        <v>8159</v>
      </c>
      <c r="U978" s="10" t="s">
        <v>87</v>
      </c>
      <c r="V978" s="10" t="s">
        <v>87</v>
      </c>
    </row>
    <row r="979" spans="1:22" s="10" customFormat="1" x14ac:dyDescent="0.25">
      <c r="A979" s="10" t="s">
        <v>8308</v>
      </c>
      <c r="B979" s="10" t="s">
        <v>8150</v>
      </c>
      <c r="C979" s="11" t="s">
        <v>346</v>
      </c>
      <c r="D979" s="10" t="s">
        <v>8309</v>
      </c>
      <c r="E979" s="8" t="s">
        <v>8310</v>
      </c>
      <c r="F979" s="8" t="s">
        <v>8311</v>
      </c>
      <c r="G979" s="10" t="s">
        <v>3</v>
      </c>
      <c r="H979" s="8" t="s">
        <v>8312</v>
      </c>
      <c r="I979" s="10" t="s">
        <v>357</v>
      </c>
      <c r="J979" s="8" t="s">
        <v>8156</v>
      </c>
      <c r="K979" s="8" t="s">
        <v>1435</v>
      </c>
      <c r="L979" s="8" t="s">
        <v>87</v>
      </c>
      <c r="M979" s="10" t="s">
        <v>1436</v>
      </c>
      <c r="N979" s="8" t="s">
        <v>87</v>
      </c>
      <c r="O979" s="10" t="s">
        <v>22</v>
      </c>
      <c r="P979" s="8" t="s">
        <v>8313</v>
      </c>
      <c r="Q979" s="10" t="s">
        <v>825</v>
      </c>
      <c r="R979" s="10" t="s">
        <v>8314</v>
      </c>
      <c r="S979" s="8" t="s">
        <v>8315</v>
      </c>
      <c r="T979" s="10" t="s">
        <v>8159</v>
      </c>
      <c r="U979" s="10" t="s">
        <v>87</v>
      </c>
      <c r="V979" s="10" t="s">
        <v>87</v>
      </c>
    </row>
    <row r="980" spans="1:22" s="10" customFormat="1" x14ac:dyDescent="0.25">
      <c r="A980" s="10" t="s">
        <v>8316</v>
      </c>
      <c r="B980" s="10" t="s">
        <v>8150</v>
      </c>
      <c r="C980" s="11" t="s">
        <v>346</v>
      </c>
      <c r="D980" s="10" t="s">
        <v>8317</v>
      </c>
      <c r="E980" s="8" t="s">
        <v>8318</v>
      </c>
      <c r="F980" s="8" t="s">
        <v>8319</v>
      </c>
      <c r="G980" s="10" t="s">
        <v>3</v>
      </c>
      <c r="H980" s="8" t="s">
        <v>8312</v>
      </c>
      <c r="I980" s="10" t="s">
        <v>8251</v>
      </c>
      <c r="J980" s="8" t="s">
        <v>8156</v>
      </c>
      <c r="K980" s="8" t="s">
        <v>1435</v>
      </c>
      <c r="L980" s="8" t="s">
        <v>87</v>
      </c>
      <c r="M980" s="10" t="s">
        <v>1436</v>
      </c>
      <c r="N980" s="8" t="s">
        <v>87</v>
      </c>
      <c r="O980" s="10" t="s">
        <v>22</v>
      </c>
      <c r="P980" s="8" t="s">
        <v>8320</v>
      </c>
      <c r="Q980" s="10" t="s">
        <v>825</v>
      </c>
      <c r="R980" s="10" t="s">
        <v>8314</v>
      </c>
      <c r="S980" s="8" t="s">
        <v>8321</v>
      </c>
      <c r="T980" s="10" t="s">
        <v>8159</v>
      </c>
      <c r="U980" s="10" t="s">
        <v>87</v>
      </c>
      <c r="V980" s="10" t="s">
        <v>87</v>
      </c>
    </row>
    <row r="981" spans="1:22" s="10" customFormat="1" x14ac:dyDescent="0.25">
      <c r="A981" s="10" t="s">
        <v>8322</v>
      </c>
      <c r="B981" s="10" t="s">
        <v>8150</v>
      </c>
      <c r="C981" s="11" t="s">
        <v>346</v>
      </c>
      <c r="D981" s="10" t="s">
        <v>8323</v>
      </c>
      <c r="E981" s="8" t="s">
        <v>8324</v>
      </c>
      <c r="F981" s="8" t="s">
        <v>8325</v>
      </c>
      <c r="G981" s="10" t="s">
        <v>4</v>
      </c>
      <c r="H981" s="8" t="s">
        <v>8326</v>
      </c>
      <c r="I981" s="10" t="s">
        <v>8327</v>
      </c>
      <c r="J981" s="8" t="s">
        <v>8156</v>
      </c>
      <c r="K981" s="8" t="s">
        <v>1873</v>
      </c>
      <c r="L981" s="8" t="s">
        <v>87</v>
      </c>
      <c r="M981" s="10" t="s">
        <v>1456</v>
      </c>
      <c r="N981" s="8" t="s">
        <v>87</v>
      </c>
      <c r="O981" s="10" t="s">
        <v>22</v>
      </c>
      <c r="P981" s="8" t="s">
        <v>8328</v>
      </c>
      <c r="Q981" s="10" t="s">
        <v>825</v>
      </c>
      <c r="R981" s="10" t="s">
        <v>1657</v>
      </c>
      <c r="S981" s="8" t="s">
        <v>8329</v>
      </c>
      <c r="T981" s="10" t="s">
        <v>8159</v>
      </c>
      <c r="U981" s="10" t="s">
        <v>87</v>
      </c>
      <c r="V981" s="10" t="s">
        <v>87</v>
      </c>
    </row>
    <row r="982" spans="1:22" s="10" customFormat="1" x14ac:dyDescent="0.25">
      <c r="A982" s="10" t="s">
        <v>8330</v>
      </c>
      <c r="B982" s="10" t="s">
        <v>8150</v>
      </c>
      <c r="C982" s="11" t="s">
        <v>346</v>
      </c>
      <c r="D982" s="10" t="s">
        <v>8331</v>
      </c>
      <c r="E982" s="8" t="s">
        <v>8332</v>
      </c>
      <c r="F982" s="8" t="s">
        <v>8333</v>
      </c>
      <c r="G982" s="10" t="s">
        <v>4</v>
      </c>
      <c r="H982" s="8" t="s">
        <v>8334</v>
      </c>
      <c r="I982" s="10" t="s">
        <v>8146</v>
      </c>
      <c r="J982" s="8" t="s">
        <v>8156</v>
      </c>
      <c r="K982" s="8" t="s">
        <v>1873</v>
      </c>
      <c r="L982" s="8" t="s">
        <v>87</v>
      </c>
      <c r="M982" s="10" t="s">
        <v>1456</v>
      </c>
      <c r="N982" s="8" t="s">
        <v>87</v>
      </c>
      <c r="O982" s="10" t="s">
        <v>22</v>
      </c>
      <c r="P982" s="8" t="s">
        <v>8335</v>
      </c>
      <c r="Q982" s="10" t="s">
        <v>825</v>
      </c>
      <c r="R982" s="10" t="s">
        <v>1657</v>
      </c>
      <c r="S982" s="8" t="s">
        <v>8336</v>
      </c>
      <c r="T982" s="10" t="s">
        <v>8159</v>
      </c>
      <c r="U982" s="10" t="s">
        <v>87</v>
      </c>
      <c r="V982" s="10" t="s">
        <v>87</v>
      </c>
    </row>
    <row r="983" spans="1:22" s="10" customFormat="1" x14ac:dyDescent="0.25">
      <c r="A983" s="10" t="s">
        <v>8337</v>
      </c>
      <c r="B983" s="10" t="s">
        <v>8150</v>
      </c>
      <c r="C983" s="11" t="s">
        <v>346</v>
      </c>
      <c r="D983" s="10" t="s">
        <v>8338</v>
      </c>
      <c r="E983" s="8" t="s">
        <v>8339</v>
      </c>
      <c r="F983" s="8" t="s">
        <v>8340</v>
      </c>
      <c r="G983" s="10" t="s">
        <v>3</v>
      </c>
      <c r="H983" s="8" t="s">
        <v>8341</v>
      </c>
      <c r="I983" s="10" t="s">
        <v>8342</v>
      </c>
      <c r="J983" s="8" t="s">
        <v>8156</v>
      </c>
      <c r="K983" s="8" t="s">
        <v>1435</v>
      </c>
      <c r="L983" s="8" t="s">
        <v>2367</v>
      </c>
      <c r="M983" s="10" t="s">
        <v>1436</v>
      </c>
      <c r="N983" s="8" t="s">
        <v>87</v>
      </c>
      <c r="O983" s="10" t="s">
        <v>22</v>
      </c>
      <c r="P983" s="8" t="s">
        <v>8343</v>
      </c>
      <c r="Q983" s="10" t="s">
        <v>825</v>
      </c>
      <c r="R983" s="10" t="s">
        <v>2841</v>
      </c>
      <c r="S983" s="8" t="s">
        <v>8344</v>
      </c>
      <c r="T983" s="10" t="s">
        <v>8159</v>
      </c>
      <c r="U983" s="10" t="s">
        <v>87</v>
      </c>
      <c r="V983" s="10" t="s">
        <v>87</v>
      </c>
    </row>
    <row r="984" spans="1:22" s="10" customFormat="1" x14ac:dyDescent="0.25">
      <c r="A984" s="10" t="s">
        <v>8345</v>
      </c>
      <c r="B984" s="10" t="s">
        <v>8150</v>
      </c>
      <c r="C984" s="11" t="s">
        <v>346</v>
      </c>
      <c r="D984" s="10" t="s">
        <v>8346</v>
      </c>
      <c r="E984" s="8" t="s">
        <v>8347</v>
      </c>
      <c r="F984" s="8" t="s">
        <v>8340</v>
      </c>
      <c r="G984" s="10" t="s">
        <v>4</v>
      </c>
      <c r="H984" s="8" t="s">
        <v>8348</v>
      </c>
      <c r="I984" s="10" t="s">
        <v>8342</v>
      </c>
      <c r="J984" s="8" t="s">
        <v>8156</v>
      </c>
      <c r="K984" s="8" t="s">
        <v>8349</v>
      </c>
      <c r="L984" s="8" t="s">
        <v>8350</v>
      </c>
      <c r="M984" s="10" t="s">
        <v>1456</v>
      </c>
      <c r="N984" s="8" t="s">
        <v>87</v>
      </c>
      <c r="O984" s="10" t="s">
        <v>22</v>
      </c>
      <c r="P984" s="8" t="s">
        <v>8351</v>
      </c>
      <c r="Q984" s="10" t="s">
        <v>825</v>
      </c>
      <c r="R984" s="10" t="s">
        <v>1668</v>
      </c>
      <c r="S984" s="8" t="s">
        <v>8344</v>
      </c>
      <c r="T984" s="10" t="s">
        <v>8159</v>
      </c>
      <c r="U984" s="10" t="s">
        <v>87</v>
      </c>
      <c r="V984" s="10" t="s">
        <v>87</v>
      </c>
    </row>
    <row r="985" spans="1:22" s="10" customFormat="1" x14ac:dyDescent="0.25">
      <c r="A985" s="10" t="s">
        <v>8352</v>
      </c>
      <c r="B985" s="10" t="s">
        <v>8150</v>
      </c>
      <c r="C985" s="11" t="s">
        <v>346</v>
      </c>
      <c r="D985" s="10" t="s">
        <v>8353</v>
      </c>
      <c r="E985" s="8" t="s">
        <v>8354</v>
      </c>
      <c r="F985" s="8" t="s">
        <v>8340</v>
      </c>
      <c r="G985" s="10" t="s">
        <v>4</v>
      </c>
      <c r="H985" s="8" t="s">
        <v>8355</v>
      </c>
      <c r="I985" s="10" t="s">
        <v>8342</v>
      </c>
      <c r="J985" s="8" t="s">
        <v>8156</v>
      </c>
      <c r="K985" s="8" t="s">
        <v>8356</v>
      </c>
      <c r="L985" s="8" t="s">
        <v>2367</v>
      </c>
      <c r="M985" s="10" t="s">
        <v>1456</v>
      </c>
      <c r="N985" s="8" t="s">
        <v>87</v>
      </c>
      <c r="O985" s="10" t="s">
        <v>22</v>
      </c>
      <c r="P985" s="8" t="s">
        <v>8357</v>
      </c>
      <c r="Q985" s="10" t="s">
        <v>825</v>
      </c>
      <c r="R985" s="10" t="s">
        <v>2188</v>
      </c>
      <c r="S985" s="8" t="s">
        <v>8344</v>
      </c>
      <c r="T985" s="10" t="s">
        <v>8159</v>
      </c>
      <c r="U985" s="10" t="s">
        <v>87</v>
      </c>
      <c r="V985" s="10" t="s">
        <v>87</v>
      </c>
    </row>
    <row r="986" spans="1:22" s="10" customFormat="1" x14ac:dyDescent="0.25">
      <c r="A986" s="10" t="s">
        <v>8358</v>
      </c>
      <c r="B986" s="10" t="s">
        <v>8150</v>
      </c>
      <c r="C986" s="11" t="s">
        <v>346</v>
      </c>
      <c r="D986" s="10" t="s">
        <v>8359</v>
      </c>
      <c r="E986" s="8" t="s">
        <v>8360</v>
      </c>
      <c r="F986" s="8" t="s">
        <v>8340</v>
      </c>
      <c r="G986" s="10" t="s">
        <v>3</v>
      </c>
      <c r="H986" s="8" t="s">
        <v>8361</v>
      </c>
      <c r="I986" s="10" t="s">
        <v>8342</v>
      </c>
      <c r="J986" s="8" t="s">
        <v>8156</v>
      </c>
      <c r="K986" s="8" t="s">
        <v>1435</v>
      </c>
      <c r="L986" s="8" t="s">
        <v>2367</v>
      </c>
      <c r="M986" s="10" t="s">
        <v>1436</v>
      </c>
      <c r="N986" s="8" t="s">
        <v>87</v>
      </c>
      <c r="O986" s="10" t="s">
        <v>22</v>
      </c>
      <c r="P986" s="8" t="s">
        <v>8362</v>
      </c>
      <c r="Q986" s="10" t="s">
        <v>825</v>
      </c>
      <c r="R986" s="10" t="s">
        <v>8363</v>
      </c>
      <c r="S986" s="8" t="s">
        <v>8344</v>
      </c>
      <c r="T986" s="10" t="s">
        <v>8159</v>
      </c>
      <c r="U986" s="10" t="s">
        <v>87</v>
      </c>
      <c r="V986" s="10" t="s">
        <v>87</v>
      </c>
    </row>
    <row r="987" spans="1:22" s="10" customFormat="1" x14ac:dyDescent="0.25">
      <c r="A987" s="10" t="s">
        <v>8364</v>
      </c>
      <c r="B987" s="10" t="s">
        <v>8150</v>
      </c>
      <c r="C987" s="11" t="s">
        <v>346</v>
      </c>
      <c r="D987" s="10" t="s">
        <v>8365</v>
      </c>
      <c r="E987" s="8" t="s">
        <v>8366</v>
      </c>
      <c r="F987" s="8" t="s">
        <v>8340</v>
      </c>
      <c r="G987" s="10" t="s">
        <v>4</v>
      </c>
      <c r="H987" s="8" t="s">
        <v>8367</v>
      </c>
      <c r="I987" s="10" t="s">
        <v>8342</v>
      </c>
      <c r="J987" s="8" t="s">
        <v>8156</v>
      </c>
      <c r="K987" s="8" t="s">
        <v>8368</v>
      </c>
      <c r="L987" s="8" t="s">
        <v>2367</v>
      </c>
      <c r="M987" s="10" t="s">
        <v>1456</v>
      </c>
      <c r="N987" s="8" t="s">
        <v>87</v>
      </c>
      <c r="O987" s="10" t="s">
        <v>22</v>
      </c>
      <c r="P987" s="8" t="s">
        <v>8369</v>
      </c>
      <c r="Q987" s="10" t="s">
        <v>825</v>
      </c>
      <c r="R987" s="10" t="s">
        <v>7127</v>
      </c>
      <c r="S987" s="8" t="s">
        <v>8344</v>
      </c>
      <c r="T987" s="10" t="s">
        <v>8159</v>
      </c>
      <c r="U987" s="10" t="s">
        <v>87</v>
      </c>
      <c r="V987" s="10" t="s">
        <v>87</v>
      </c>
    </row>
    <row r="988" spans="1:22" s="10" customFormat="1" x14ac:dyDescent="0.25">
      <c r="A988" s="10" t="s">
        <v>8370</v>
      </c>
      <c r="B988" s="10" t="s">
        <v>8150</v>
      </c>
      <c r="C988" s="11" t="s">
        <v>346</v>
      </c>
      <c r="D988" s="10" t="s">
        <v>8371</v>
      </c>
      <c r="E988" s="8" t="s">
        <v>8372</v>
      </c>
      <c r="F988" s="8" t="s">
        <v>8340</v>
      </c>
      <c r="G988" s="10" t="s">
        <v>4</v>
      </c>
      <c r="H988" s="8" t="s">
        <v>8373</v>
      </c>
      <c r="I988" s="10" t="s">
        <v>8342</v>
      </c>
      <c r="J988" s="8" t="s">
        <v>8156</v>
      </c>
      <c r="K988" s="8" t="s">
        <v>8374</v>
      </c>
      <c r="L988" s="8" t="s">
        <v>2367</v>
      </c>
      <c r="M988" s="10" t="s">
        <v>1456</v>
      </c>
      <c r="N988" s="8" t="s">
        <v>87</v>
      </c>
      <c r="O988" s="10" t="s">
        <v>22</v>
      </c>
      <c r="P988" s="8" t="s">
        <v>8375</v>
      </c>
      <c r="Q988" s="10" t="s">
        <v>825</v>
      </c>
      <c r="R988" s="10" t="s">
        <v>8376</v>
      </c>
      <c r="S988" s="8" t="s">
        <v>8344</v>
      </c>
      <c r="T988" s="10" t="s">
        <v>8159</v>
      </c>
      <c r="U988" s="10" t="s">
        <v>87</v>
      </c>
      <c r="V988" s="10" t="s">
        <v>87</v>
      </c>
    </row>
    <row r="989" spans="1:22" s="10" customFormat="1" x14ac:dyDescent="0.25">
      <c r="A989" s="10" t="s">
        <v>8377</v>
      </c>
      <c r="B989" s="10" t="s">
        <v>8150</v>
      </c>
      <c r="C989" s="11" t="s">
        <v>346</v>
      </c>
      <c r="D989" s="10" t="s">
        <v>8378</v>
      </c>
      <c r="E989" s="8" t="s">
        <v>8379</v>
      </c>
      <c r="F989" s="8" t="s">
        <v>8340</v>
      </c>
      <c r="G989" s="10" t="s">
        <v>4</v>
      </c>
      <c r="H989" s="8" t="s">
        <v>8380</v>
      </c>
      <c r="I989" s="10" t="s">
        <v>8342</v>
      </c>
      <c r="J989" s="8" t="s">
        <v>8156</v>
      </c>
      <c r="K989" s="8" t="s">
        <v>8381</v>
      </c>
      <c r="L989" s="8" t="s">
        <v>2367</v>
      </c>
      <c r="M989" s="10" t="s">
        <v>1456</v>
      </c>
      <c r="N989" s="8" t="s">
        <v>87</v>
      </c>
      <c r="O989" s="10" t="s">
        <v>22</v>
      </c>
      <c r="P989" s="8" t="s">
        <v>8382</v>
      </c>
      <c r="Q989" s="10" t="s">
        <v>825</v>
      </c>
      <c r="R989" s="10" t="s">
        <v>8383</v>
      </c>
      <c r="S989" s="8" t="s">
        <v>8344</v>
      </c>
      <c r="T989" s="10" t="s">
        <v>8159</v>
      </c>
      <c r="U989" s="10" t="s">
        <v>87</v>
      </c>
      <c r="V989" s="10" t="s">
        <v>87</v>
      </c>
    </row>
    <row r="990" spans="1:22" s="10" customFormat="1" x14ac:dyDescent="0.25">
      <c r="A990" s="10" t="s">
        <v>8384</v>
      </c>
      <c r="B990" s="10" t="s">
        <v>8150</v>
      </c>
      <c r="C990" s="11" t="s">
        <v>346</v>
      </c>
      <c r="D990" s="10" t="s">
        <v>8385</v>
      </c>
      <c r="E990" s="8" t="s">
        <v>8386</v>
      </c>
      <c r="F990" s="8" t="s">
        <v>8340</v>
      </c>
      <c r="G990" s="10" t="s">
        <v>3</v>
      </c>
      <c r="H990" s="8" t="s">
        <v>8387</v>
      </c>
      <c r="I990" s="10" t="s">
        <v>8342</v>
      </c>
      <c r="J990" s="8" t="s">
        <v>8156</v>
      </c>
      <c r="K990" s="8" t="s">
        <v>1435</v>
      </c>
      <c r="L990" s="8" t="s">
        <v>2367</v>
      </c>
      <c r="M990" s="10" t="s">
        <v>1436</v>
      </c>
      <c r="N990" s="8" t="s">
        <v>87</v>
      </c>
      <c r="O990" s="10" t="s">
        <v>22</v>
      </c>
      <c r="P990" s="8" t="s">
        <v>8388</v>
      </c>
      <c r="Q990" s="10" t="s">
        <v>825</v>
      </c>
      <c r="R990" s="10" t="s">
        <v>5029</v>
      </c>
      <c r="S990" s="8" t="s">
        <v>8344</v>
      </c>
      <c r="T990" s="10" t="s">
        <v>8159</v>
      </c>
      <c r="U990" s="10" t="s">
        <v>87</v>
      </c>
      <c r="V990" s="10" t="s">
        <v>87</v>
      </c>
    </row>
    <row r="991" spans="1:22" s="10" customFormat="1" x14ac:dyDescent="0.25">
      <c r="A991" s="10" t="s">
        <v>8389</v>
      </c>
      <c r="B991" s="10" t="s">
        <v>8150</v>
      </c>
      <c r="C991" s="11" t="s">
        <v>346</v>
      </c>
      <c r="D991" s="10" t="s">
        <v>8390</v>
      </c>
      <c r="E991" s="8" t="s">
        <v>8391</v>
      </c>
      <c r="F991" s="8" t="s">
        <v>8340</v>
      </c>
      <c r="G991" s="10" t="s">
        <v>3</v>
      </c>
      <c r="H991" s="8" t="s">
        <v>8392</v>
      </c>
      <c r="I991" s="10" t="s">
        <v>8342</v>
      </c>
      <c r="J991" s="8" t="s">
        <v>8156</v>
      </c>
      <c r="K991" s="8" t="s">
        <v>1435</v>
      </c>
      <c r="L991" s="8" t="s">
        <v>2367</v>
      </c>
      <c r="M991" s="10" t="s">
        <v>1436</v>
      </c>
      <c r="N991" s="8" t="s">
        <v>87</v>
      </c>
      <c r="O991" s="10" t="s">
        <v>22</v>
      </c>
      <c r="P991" s="8" t="s">
        <v>8393</v>
      </c>
      <c r="Q991" s="10" t="s">
        <v>825</v>
      </c>
      <c r="R991" s="10" t="s">
        <v>8394</v>
      </c>
      <c r="S991" s="8" t="s">
        <v>8344</v>
      </c>
      <c r="T991" s="10" t="s">
        <v>8159</v>
      </c>
      <c r="U991" s="10" t="s">
        <v>87</v>
      </c>
      <c r="V991" s="10" t="s">
        <v>87</v>
      </c>
    </row>
    <row r="992" spans="1:22" s="10" customFormat="1" x14ac:dyDescent="0.25">
      <c r="A992" s="10" t="s">
        <v>8395</v>
      </c>
      <c r="B992" s="10" t="s">
        <v>8150</v>
      </c>
      <c r="C992" s="11" t="s">
        <v>346</v>
      </c>
      <c r="D992" s="10" t="s">
        <v>8396</v>
      </c>
      <c r="E992" s="8" t="s">
        <v>8397</v>
      </c>
      <c r="F992" s="8" t="s">
        <v>8340</v>
      </c>
      <c r="G992" s="10" t="s">
        <v>3</v>
      </c>
      <c r="H992" s="8" t="s">
        <v>8398</v>
      </c>
      <c r="I992" s="10" t="s">
        <v>8342</v>
      </c>
      <c r="J992" s="8" t="s">
        <v>8156</v>
      </c>
      <c r="K992" s="8" t="s">
        <v>1435</v>
      </c>
      <c r="L992" s="8" t="s">
        <v>2367</v>
      </c>
      <c r="M992" s="10" t="s">
        <v>1436</v>
      </c>
      <c r="N992" s="8" t="s">
        <v>87</v>
      </c>
      <c r="O992" s="10" t="s">
        <v>22</v>
      </c>
      <c r="P992" s="8" t="s">
        <v>8399</v>
      </c>
      <c r="Q992" s="10" t="s">
        <v>825</v>
      </c>
      <c r="R992" s="10" t="s">
        <v>7570</v>
      </c>
      <c r="S992" s="8" t="s">
        <v>8344</v>
      </c>
      <c r="T992" s="10" t="s">
        <v>8159</v>
      </c>
      <c r="U992" s="10" t="s">
        <v>87</v>
      </c>
      <c r="V992" s="10" t="s">
        <v>87</v>
      </c>
    </row>
    <row r="993" spans="1:22" s="10" customFormat="1" x14ac:dyDescent="0.25">
      <c r="A993" s="10" t="s">
        <v>8400</v>
      </c>
      <c r="B993" s="10" t="s">
        <v>8150</v>
      </c>
      <c r="C993" s="11" t="s">
        <v>346</v>
      </c>
      <c r="D993" s="10" t="s">
        <v>8401</v>
      </c>
      <c r="E993" s="8" t="s">
        <v>8402</v>
      </c>
      <c r="F993" s="8" t="s">
        <v>8340</v>
      </c>
      <c r="G993" s="10" t="s">
        <v>3</v>
      </c>
      <c r="H993" s="8" t="s">
        <v>8403</v>
      </c>
      <c r="I993" s="10" t="s">
        <v>8342</v>
      </c>
      <c r="J993" s="8" t="s">
        <v>8156</v>
      </c>
      <c r="K993" s="8" t="s">
        <v>1435</v>
      </c>
      <c r="L993" s="8" t="s">
        <v>2367</v>
      </c>
      <c r="M993" s="10" t="s">
        <v>1436</v>
      </c>
      <c r="N993" s="8" t="s">
        <v>87</v>
      </c>
      <c r="O993" s="10" t="s">
        <v>22</v>
      </c>
      <c r="P993" s="8" t="s">
        <v>8404</v>
      </c>
      <c r="Q993" s="10" t="s">
        <v>825</v>
      </c>
      <c r="R993" s="10" t="s">
        <v>8405</v>
      </c>
      <c r="S993" s="8" t="s">
        <v>8344</v>
      </c>
      <c r="T993" s="10" t="s">
        <v>8159</v>
      </c>
      <c r="U993" s="10" t="s">
        <v>87</v>
      </c>
      <c r="V993" s="10" t="s">
        <v>87</v>
      </c>
    </row>
    <row r="994" spans="1:22" s="10" customFormat="1" x14ac:dyDescent="0.25">
      <c r="A994" s="10" t="s">
        <v>8406</v>
      </c>
      <c r="B994" s="10" t="s">
        <v>8150</v>
      </c>
      <c r="C994" s="11" t="s">
        <v>346</v>
      </c>
      <c r="D994" s="10" t="s">
        <v>8407</v>
      </c>
      <c r="E994" s="8" t="s">
        <v>8408</v>
      </c>
      <c r="F994" s="8" t="s">
        <v>8340</v>
      </c>
      <c r="G994" s="10" t="s">
        <v>4</v>
      </c>
      <c r="H994" s="8" t="s">
        <v>8409</v>
      </c>
      <c r="I994" s="10" t="s">
        <v>8342</v>
      </c>
      <c r="J994" s="8" t="s">
        <v>8156</v>
      </c>
      <c r="K994" s="8" t="s">
        <v>8410</v>
      </c>
      <c r="L994" s="8" t="s">
        <v>2367</v>
      </c>
      <c r="M994" s="10" t="s">
        <v>1456</v>
      </c>
      <c r="N994" s="8" t="s">
        <v>87</v>
      </c>
      <c r="O994" s="10" t="s">
        <v>22</v>
      </c>
      <c r="P994" s="8" t="s">
        <v>8411</v>
      </c>
      <c r="Q994" s="10" t="s">
        <v>825</v>
      </c>
      <c r="R994" s="10" t="s">
        <v>8412</v>
      </c>
      <c r="S994" s="8" t="s">
        <v>8344</v>
      </c>
      <c r="T994" s="10" t="s">
        <v>8159</v>
      </c>
      <c r="U994" s="10" t="s">
        <v>87</v>
      </c>
      <c r="V994" s="10" t="s">
        <v>87</v>
      </c>
    </row>
    <row r="995" spans="1:22" s="10" customFormat="1" x14ac:dyDescent="0.25">
      <c r="A995" s="10" t="s">
        <v>8413</v>
      </c>
      <c r="B995" s="10" t="s">
        <v>8150</v>
      </c>
      <c r="C995" s="11" t="s">
        <v>346</v>
      </c>
      <c r="D995" s="10" t="s">
        <v>8414</v>
      </c>
      <c r="E995" s="8" t="s">
        <v>8415</v>
      </c>
      <c r="F995" s="8" t="s">
        <v>8340</v>
      </c>
      <c r="G995" s="10" t="s">
        <v>4</v>
      </c>
      <c r="H995" s="8" t="s">
        <v>8416</v>
      </c>
      <c r="I995" s="10" t="s">
        <v>8342</v>
      </c>
      <c r="J995" s="8" t="s">
        <v>8156</v>
      </c>
      <c r="K995" s="8" t="s">
        <v>8417</v>
      </c>
      <c r="L995" s="8" t="s">
        <v>2367</v>
      </c>
      <c r="M995" s="10" t="s">
        <v>1456</v>
      </c>
      <c r="N995" s="8" t="s">
        <v>87</v>
      </c>
      <c r="O995" s="10" t="s">
        <v>22</v>
      </c>
      <c r="P995" s="8" t="s">
        <v>8418</v>
      </c>
      <c r="Q995" s="10" t="s">
        <v>825</v>
      </c>
      <c r="R995" s="10" t="s">
        <v>8419</v>
      </c>
      <c r="S995" s="8" t="s">
        <v>8344</v>
      </c>
      <c r="T995" s="10" t="s">
        <v>8159</v>
      </c>
      <c r="U995" s="10" t="s">
        <v>87</v>
      </c>
      <c r="V995" s="10" t="s">
        <v>87</v>
      </c>
    </row>
    <row r="996" spans="1:22" s="10" customFormat="1" x14ac:dyDescent="0.25">
      <c r="A996" s="10" t="s">
        <v>8420</v>
      </c>
      <c r="B996" s="10" t="s">
        <v>8150</v>
      </c>
      <c r="C996" s="11" t="s">
        <v>346</v>
      </c>
      <c r="D996" s="10" t="s">
        <v>8421</v>
      </c>
      <c r="E996" s="8" t="s">
        <v>8422</v>
      </c>
      <c r="F996" s="8" t="s">
        <v>8340</v>
      </c>
      <c r="G996" s="10" t="s">
        <v>3</v>
      </c>
      <c r="H996" s="8" t="s">
        <v>8423</v>
      </c>
      <c r="I996" s="10" t="s">
        <v>8342</v>
      </c>
      <c r="J996" s="8" t="s">
        <v>8156</v>
      </c>
      <c r="K996" s="8" t="s">
        <v>1435</v>
      </c>
      <c r="L996" s="8" t="s">
        <v>2367</v>
      </c>
      <c r="M996" s="10" t="s">
        <v>1436</v>
      </c>
      <c r="N996" s="8" t="s">
        <v>87</v>
      </c>
      <c r="O996" s="10" t="s">
        <v>22</v>
      </c>
      <c r="P996" s="8" t="s">
        <v>8424</v>
      </c>
      <c r="Q996" s="10" t="s">
        <v>825</v>
      </c>
      <c r="R996" s="10" t="s">
        <v>7350</v>
      </c>
      <c r="S996" s="8" t="s">
        <v>8344</v>
      </c>
      <c r="T996" s="10" t="s">
        <v>8159</v>
      </c>
      <c r="U996" s="10" t="s">
        <v>87</v>
      </c>
      <c r="V996" s="10" t="s">
        <v>87</v>
      </c>
    </row>
    <row r="997" spans="1:22" s="10" customFormat="1" x14ac:dyDescent="0.25">
      <c r="A997" s="10" t="s">
        <v>8425</v>
      </c>
      <c r="B997" s="10" t="s">
        <v>8150</v>
      </c>
      <c r="C997" s="11" t="s">
        <v>346</v>
      </c>
      <c r="D997" s="10" t="s">
        <v>8426</v>
      </c>
      <c r="E997" s="8" t="s">
        <v>8427</v>
      </c>
      <c r="F997" s="8" t="s">
        <v>8428</v>
      </c>
      <c r="G997" s="10" t="s">
        <v>3</v>
      </c>
      <c r="H997" s="8" t="s">
        <v>8429</v>
      </c>
      <c r="I997" s="10" t="s">
        <v>8342</v>
      </c>
      <c r="J997" s="8" t="s">
        <v>8156</v>
      </c>
      <c r="K997" s="8" t="s">
        <v>1435</v>
      </c>
      <c r="L997" s="8" t="s">
        <v>8430</v>
      </c>
      <c r="M997" s="10" t="s">
        <v>1436</v>
      </c>
      <c r="N997" s="8" t="s">
        <v>87</v>
      </c>
      <c r="O997" s="10" t="s">
        <v>22</v>
      </c>
      <c r="P997" s="8" t="s">
        <v>8431</v>
      </c>
      <c r="Q997" s="10" t="s">
        <v>825</v>
      </c>
      <c r="R997" s="10" t="s">
        <v>1438</v>
      </c>
      <c r="S997" s="8" t="s">
        <v>8432</v>
      </c>
      <c r="T997" s="10" t="s">
        <v>8159</v>
      </c>
      <c r="U997" s="10" t="s">
        <v>87</v>
      </c>
      <c r="V997" s="10" t="s">
        <v>87</v>
      </c>
    </row>
    <row r="998" spans="1:22" s="10" customFormat="1" x14ac:dyDescent="0.25">
      <c r="A998" s="10" t="s">
        <v>8433</v>
      </c>
      <c r="B998" s="10" t="s">
        <v>8150</v>
      </c>
      <c r="C998" s="11" t="s">
        <v>346</v>
      </c>
      <c r="D998" s="10" t="s">
        <v>8434</v>
      </c>
      <c r="E998" s="8" t="s">
        <v>8435</v>
      </c>
      <c r="F998" s="8" t="s">
        <v>8436</v>
      </c>
      <c r="G998" s="10" t="s">
        <v>3</v>
      </c>
      <c r="H998" s="8" t="s">
        <v>8341</v>
      </c>
      <c r="I998" s="10" t="s">
        <v>8437</v>
      </c>
      <c r="J998" s="8" t="s">
        <v>8156</v>
      </c>
      <c r="K998" s="8" t="s">
        <v>1435</v>
      </c>
      <c r="L998" s="8" t="s">
        <v>2367</v>
      </c>
      <c r="M998" s="10" t="s">
        <v>1436</v>
      </c>
      <c r="N998" s="8" t="s">
        <v>87</v>
      </c>
      <c r="O998" s="10" t="s">
        <v>22</v>
      </c>
      <c r="P998" s="8" t="s">
        <v>8438</v>
      </c>
      <c r="Q998" s="10" t="s">
        <v>825</v>
      </c>
      <c r="R998" s="10" t="s">
        <v>2841</v>
      </c>
      <c r="S998" s="8" t="s">
        <v>8439</v>
      </c>
      <c r="T998" s="10" t="s">
        <v>8159</v>
      </c>
      <c r="U998" s="10" t="s">
        <v>87</v>
      </c>
      <c r="V998" s="10" t="s">
        <v>87</v>
      </c>
    </row>
    <row r="999" spans="1:22" s="10" customFormat="1" x14ac:dyDescent="0.25">
      <c r="A999" s="10" t="s">
        <v>8440</v>
      </c>
      <c r="B999" s="10" t="s">
        <v>8150</v>
      </c>
      <c r="C999" s="11" t="s">
        <v>346</v>
      </c>
      <c r="D999" s="10" t="s">
        <v>8441</v>
      </c>
      <c r="E999" s="8" t="s">
        <v>8442</v>
      </c>
      <c r="F999" s="8" t="s">
        <v>8443</v>
      </c>
      <c r="G999" s="10" t="s">
        <v>4</v>
      </c>
      <c r="H999" s="8" t="s">
        <v>8341</v>
      </c>
      <c r="I999" s="10" t="s">
        <v>8444</v>
      </c>
      <c r="J999" s="8" t="s">
        <v>8156</v>
      </c>
      <c r="K999" s="8" t="s">
        <v>1873</v>
      </c>
      <c r="L999" s="8" t="s">
        <v>87</v>
      </c>
      <c r="M999" s="10" t="s">
        <v>1456</v>
      </c>
      <c r="N999" s="8" t="s">
        <v>87</v>
      </c>
      <c r="O999" s="10" t="s">
        <v>22</v>
      </c>
      <c r="P999" s="8" t="s">
        <v>8445</v>
      </c>
      <c r="Q999" s="10" t="s">
        <v>825</v>
      </c>
      <c r="R999" s="10" t="s">
        <v>2841</v>
      </c>
      <c r="S999" s="8" t="s">
        <v>8446</v>
      </c>
      <c r="T999" s="10" t="s">
        <v>8159</v>
      </c>
      <c r="U999" s="10" t="s">
        <v>87</v>
      </c>
      <c r="V999" s="10" t="s">
        <v>87</v>
      </c>
    </row>
    <row r="1000" spans="1:22" s="10" customFormat="1" x14ac:dyDescent="0.25">
      <c r="A1000" s="10" t="s">
        <v>8447</v>
      </c>
      <c r="B1000" s="10" t="s">
        <v>8150</v>
      </c>
      <c r="C1000" s="11" t="s">
        <v>346</v>
      </c>
      <c r="D1000" s="10" t="s">
        <v>8448</v>
      </c>
      <c r="E1000" s="8" t="s">
        <v>8449</v>
      </c>
      <c r="F1000" s="8" t="s">
        <v>8450</v>
      </c>
      <c r="G1000" s="10" t="s">
        <v>3</v>
      </c>
      <c r="H1000" s="8" t="s">
        <v>8341</v>
      </c>
      <c r="I1000" s="10" t="s">
        <v>8451</v>
      </c>
      <c r="J1000" s="8" t="s">
        <v>8156</v>
      </c>
      <c r="K1000" s="8" t="s">
        <v>1435</v>
      </c>
      <c r="L1000" s="8" t="s">
        <v>2367</v>
      </c>
      <c r="M1000" s="10" t="s">
        <v>1436</v>
      </c>
      <c r="N1000" s="8" t="s">
        <v>87</v>
      </c>
      <c r="O1000" s="10" t="s">
        <v>22</v>
      </c>
      <c r="P1000" s="8" t="s">
        <v>8452</v>
      </c>
      <c r="Q1000" s="10" t="s">
        <v>825</v>
      </c>
      <c r="R1000" s="10" t="s">
        <v>2841</v>
      </c>
      <c r="S1000" s="8" t="s">
        <v>8453</v>
      </c>
      <c r="T1000" s="10" t="s">
        <v>8159</v>
      </c>
      <c r="U1000" s="10" t="s">
        <v>87</v>
      </c>
      <c r="V1000" s="10" t="s">
        <v>87</v>
      </c>
    </row>
    <row r="1001" spans="1:22" s="10" customFormat="1" x14ac:dyDescent="0.25">
      <c r="A1001" s="10" t="s">
        <v>8454</v>
      </c>
      <c r="B1001" s="10" t="s">
        <v>8150</v>
      </c>
      <c r="C1001" s="11" t="s">
        <v>346</v>
      </c>
      <c r="D1001" s="10" t="s">
        <v>8455</v>
      </c>
      <c r="E1001" s="8" t="s">
        <v>8456</v>
      </c>
      <c r="F1001" s="8" t="s">
        <v>8457</v>
      </c>
      <c r="G1001" s="10" t="s">
        <v>4</v>
      </c>
      <c r="H1001" s="8" t="s">
        <v>8458</v>
      </c>
      <c r="I1001" s="10" t="s">
        <v>8459</v>
      </c>
      <c r="J1001" s="8" t="s">
        <v>8156</v>
      </c>
      <c r="K1001" s="8" t="s">
        <v>1873</v>
      </c>
      <c r="L1001" s="8" t="s">
        <v>87</v>
      </c>
      <c r="M1001" s="10" t="s">
        <v>1456</v>
      </c>
      <c r="N1001" s="8" t="s">
        <v>87</v>
      </c>
      <c r="O1001" s="10" t="s">
        <v>22</v>
      </c>
      <c r="P1001" s="8" t="s">
        <v>8460</v>
      </c>
      <c r="Q1001" s="10" t="s">
        <v>825</v>
      </c>
      <c r="R1001" s="10" t="s">
        <v>1657</v>
      </c>
      <c r="S1001" s="8" t="s">
        <v>8461</v>
      </c>
      <c r="T1001" s="10" t="s">
        <v>8159</v>
      </c>
      <c r="U1001" s="10" t="s">
        <v>87</v>
      </c>
      <c r="V1001" s="10" t="s">
        <v>87</v>
      </c>
    </row>
    <row r="1002" spans="1:22" s="10" customFormat="1" x14ac:dyDescent="0.25">
      <c r="A1002" s="10" t="s">
        <v>8462</v>
      </c>
      <c r="B1002" s="10" t="s">
        <v>8150</v>
      </c>
      <c r="C1002" s="10" t="s">
        <v>215</v>
      </c>
      <c r="D1002" s="10" t="s">
        <v>8463</v>
      </c>
      <c r="E1002" s="8" t="s">
        <v>8464</v>
      </c>
      <c r="F1002" s="8" t="s">
        <v>8465</v>
      </c>
      <c r="G1002" s="10" t="s">
        <v>4</v>
      </c>
      <c r="H1002" s="8" t="s">
        <v>8466</v>
      </c>
      <c r="I1002" s="10" t="s">
        <v>8467</v>
      </c>
      <c r="J1002" s="8" t="s">
        <v>8156</v>
      </c>
      <c r="K1002" s="8" t="s">
        <v>8468</v>
      </c>
      <c r="L1002" s="8" t="s">
        <v>8469</v>
      </c>
      <c r="M1002" s="10" t="s">
        <v>1456</v>
      </c>
      <c r="N1002" s="8" t="s">
        <v>87</v>
      </c>
      <c r="O1002" s="10" t="s">
        <v>22</v>
      </c>
      <c r="P1002" s="8" t="s">
        <v>8470</v>
      </c>
      <c r="Q1002" s="10" t="s">
        <v>825</v>
      </c>
      <c r="R1002" s="10" t="s">
        <v>1668</v>
      </c>
      <c r="S1002" s="8" t="s">
        <v>8471</v>
      </c>
      <c r="T1002" s="10" t="s">
        <v>8159</v>
      </c>
      <c r="U1002" s="10" t="s">
        <v>87</v>
      </c>
      <c r="V1002" s="10" t="s">
        <v>87</v>
      </c>
    </row>
    <row r="1003" spans="1:22" s="10" customFormat="1" x14ac:dyDescent="0.25">
      <c r="A1003" s="10" t="s">
        <v>8472</v>
      </c>
      <c r="B1003" s="10" t="s">
        <v>8473</v>
      </c>
      <c r="C1003" s="11" t="s">
        <v>346</v>
      </c>
      <c r="D1003" s="10" t="s">
        <v>8474</v>
      </c>
      <c r="E1003" s="8" t="s">
        <v>8475</v>
      </c>
      <c r="F1003" s="8" t="s">
        <v>8476</v>
      </c>
      <c r="G1003" s="10" t="s">
        <v>4</v>
      </c>
      <c r="H1003" s="8" t="s">
        <v>8477</v>
      </c>
      <c r="I1003" s="10" t="s">
        <v>8478</v>
      </c>
      <c r="J1003" s="8" t="s">
        <v>8479</v>
      </c>
      <c r="K1003" s="8" t="s">
        <v>1873</v>
      </c>
      <c r="L1003" s="8" t="s">
        <v>87</v>
      </c>
      <c r="M1003" s="10" t="s">
        <v>1456</v>
      </c>
      <c r="N1003" s="8" t="s">
        <v>87</v>
      </c>
      <c r="O1003" s="10" t="s">
        <v>22</v>
      </c>
      <c r="P1003" s="8" t="s">
        <v>8480</v>
      </c>
      <c r="Q1003" s="10" t="s">
        <v>1447</v>
      </c>
      <c r="R1003" s="10" t="s">
        <v>1438</v>
      </c>
      <c r="S1003" s="8" t="s">
        <v>8481</v>
      </c>
      <c r="T1003" s="10" t="s">
        <v>8482</v>
      </c>
      <c r="U1003" s="10" t="s">
        <v>87</v>
      </c>
      <c r="V1003" s="10" t="s">
        <v>87</v>
      </c>
    </row>
    <row r="1004" spans="1:22" s="10" customFormat="1" x14ac:dyDescent="0.25">
      <c r="A1004" s="10" t="s">
        <v>8483</v>
      </c>
      <c r="B1004" s="10" t="s">
        <v>8473</v>
      </c>
      <c r="C1004" s="11" t="s">
        <v>346</v>
      </c>
      <c r="D1004" s="10" t="s">
        <v>8484</v>
      </c>
      <c r="E1004" s="8" t="s">
        <v>8485</v>
      </c>
      <c r="F1004" s="8" t="s">
        <v>8486</v>
      </c>
      <c r="G1004" s="10" t="s">
        <v>4</v>
      </c>
      <c r="H1004" s="8" t="s">
        <v>8487</v>
      </c>
      <c r="I1004" s="10" t="s">
        <v>8478</v>
      </c>
      <c r="J1004" s="8" t="s">
        <v>8479</v>
      </c>
      <c r="K1004" s="8" t="s">
        <v>1873</v>
      </c>
      <c r="L1004" s="8" t="s">
        <v>87</v>
      </c>
      <c r="M1004" s="10" t="s">
        <v>1456</v>
      </c>
      <c r="N1004" s="8" t="s">
        <v>87</v>
      </c>
      <c r="O1004" s="10" t="s">
        <v>22</v>
      </c>
      <c r="P1004" s="8" t="s">
        <v>8488</v>
      </c>
      <c r="Q1004" s="10" t="s">
        <v>1447</v>
      </c>
      <c r="R1004" s="10" t="s">
        <v>1438</v>
      </c>
      <c r="S1004" s="8" t="s">
        <v>8489</v>
      </c>
      <c r="T1004" s="10" t="s">
        <v>8482</v>
      </c>
      <c r="U1004" s="10" t="s">
        <v>87</v>
      </c>
      <c r="V1004" s="10" t="s">
        <v>87</v>
      </c>
    </row>
    <row r="1005" spans="1:22" s="10" customFormat="1" x14ac:dyDescent="0.25">
      <c r="A1005" s="10" t="s">
        <v>8490</v>
      </c>
      <c r="B1005" s="10" t="s">
        <v>8473</v>
      </c>
      <c r="C1005" s="11" t="s">
        <v>346</v>
      </c>
      <c r="D1005" s="10" t="s">
        <v>8491</v>
      </c>
      <c r="E1005" s="8" t="s">
        <v>8492</v>
      </c>
      <c r="F1005" s="8" t="s">
        <v>8493</v>
      </c>
      <c r="G1005" s="10" t="s">
        <v>4</v>
      </c>
      <c r="H1005" s="8" t="s">
        <v>8494</v>
      </c>
      <c r="I1005" s="10" t="s">
        <v>8478</v>
      </c>
      <c r="J1005" s="8" t="s">
        <v>8479</v>
      </c>
      <c r="K1005" s="8" t="s">
        <v>1873</v>
      </c>
      <c r="L1005" s="8" t="s">
        <v>87</v>
      </c>
      <c r="M1005" s="10" t="s">
        <v>1456</v>
      </c>
      <c r="N1005" s="8" t="s">
        <v>87</v>
      </c>
      <c r="O1005" s="10" t="s">
        <v>22</v>
      </c>
      <c r="P1005" s="8" t="s">
        <v>8495</v>
      </c>
      <c r="Q1005" s="10" t="s">
        <v>1447</v>
      </c>
      <c r="R1005" s="10" t="s">
        <v>1438</v>
      </c>
      <c r="S1005" s="8" t="s">
        <v>8496</v>
      </c>
      <c r="T1005" s="10" t="s">
        <v>8482</v>
      </c>
      <c r="U1005" s="10" t="s">
        <v>87</v>
      </c>
      <c r="V1005" s="10" t="s">
        <v>87</v>
      </c>
    </row>
    <row r="1006" spans="1:22" s="10" customFormat="1" x14ac:dyDescent="0.25">
      <c r="A1006" s="10" t="s">
        <v>8497</v>
      </c>
      <c r="B1006" s="10" t="s">
        <v>8473</v>
      </c>
      <c r="C1006" s="11" t="s">
        <v>346</v>
      </c>
      <c r="D1006" s="10" t="s">
        <v>8498</v>
      </c>
      <c r="E1006" s="8" t="s">
        <v>8499</v>
      </c>
      <c r="F1006" s="8" t="s">
        <v>8500</v>
      </c>
      <c r="G1006" s="10" t="s">
        <v>4</v>
      </c>
      <c r="H1006" s="8" t="s">
        <v>8501</v>
      </c>
      <c r="I1006" s="10" t="s">
        <v>8478</v>
      </c>
      <c r="J1006" s="8" t="s">
        <v>8479</v>
      </c>
      <c r="K1006" s="8" t="s">
        <v>1873</v>
      </c>
      <c r="L1006" s="8" t="s">
        <v>87</v>
      </c>
      <c r="M1006" s="10" t="s">
        <v>1456</v>
      </c>
      <c r="N1006" s="8" t="s">
        <v>87</v>
      </c>
      <c r="O1006" s="10" t="s">
        <v>22</v>
      </c>
      <c r="P1006" s="8" t="s">
        <v>8502</v>
      </c>
      <c r="Q1006" s="10" t="s">
        <v>1447</v>
      </c>
      <c r="R1006" s="10" t="s">
        <v>1438</v>
      </c>
      <c r="S1006" s="8" t="s">
        <v>8503</v>
      </c>
      <c r="T1006" s="10" t="s">
        <v>8482</v>
      </c>
      <c r="U1006" s="10" t="s">
        <v>87</v>
      </c>
      <c r="V1006" s="10" t="s">
        <v>87</v>
      </c>
    </row>
    <row r="1007" spans="1:22" s="10" customFormat="1" x14ac:dyDescent="0.25">
      <c r="A1007" s="10" t="s">
        <v>8504</v>
      </c>
      <c r="B1007" s="10" t="s">
        <v>8473</v>
      </c>
      <c r="C1007" s="11" t="s">
        <v>346</v>
      </c>
      <c r="D1007" s="10" t="s">
        <v>8505</v>
      </c>
      <c r="E1007" s="8" t="s">
        <v>8506</v>
      </c>
      <c r="F1007" s="8" t="s">
        <v>8507</v>
      </c>
      <c r="G1007" s="10" t="s">
        <v>4</v>
      </c>
      <c r="H1007" s="8" t="s">
        <v>8508</v>
      </c>
      <c r="I1007" s="10" t="s">
        <v>8478</v>
      </c>
      <c r="J1007" s="8" t="s">
        <v>8479</v>
      </c>
      <c r="K1007" s="8" t="s">
        <v>1873</v>
      </c>
      <c r="L1007" s="8" t="s">
        <v>87</v>
      </c>
      <c r="M1007" s="10" t="s">
        <v>1456</v>
      </c>
      <c r="N1007" s="8" t="s">
        <v>87</v>
      </c>
      <c r="O1007" s="10" t="s">
        <v>22</v>
      </c>
      <c r="P1007" s="8" t="s">
        <v>8509</v>
      </c>
      <c r="Q1007" s="10" t="s">
        <v>1447</v>
      </c>
      <c r="R1007" s="10" t="s">
        <v>1438</v>
      </c>
      <c r="S1007" s="8" t="s">
        <v>8510</v>
      </c>
      <c r="T1007" s="10" t="s">
        <v>8482</v>
      </c>
      <c r="U1007" s="10" t="s">
        <v>87</v>
      </c>
      <c r="V1007" s="10" t="s">
        <v>87</v>
      </c>
    </row>
    <row r="1008" spans="1:22" s="10" customFormat="1" x14ac:dyDescent="0.25">
      <c r="A1008" s="10" t="s">
        <v>8511</v>
      </c>
      <c r="B1008" s="10" t="s">
        <v>8473</v>
      </c>
      <c r="C1008" s="11" t="s">
        <v>346</v>
      </c>
      <c r="D1008" s="10" t="s">
        <v>8512</v>
      </c>
      <c r="E1008" s="8" t="s">
        <v>8513</v>
      </c>
      <c r="F1008" s="8" t="s">
        <v>8514</v>
      </c>
      <c r="G1008" s="10" t="s">
        <v>3</v>
      </c>
      <c r="H1008" s="8" t="s">
        <v>8515</v>
      </c>
      <c r="I1008" s="10" t="s">
        <v>8478</v>
      </c>
      <c r="J1008" s="8" t="s">
        <v>8479</v>
      </c>
      <c r="K1008" s="8" t="s">
        <v>1435</v>
      </c>
      <c r="L1008" s="8" t="s">
        <v>87</v>
      </c>
      <c r="M1008" s="10" t="s">
        <v>1436</v>
      </c>
      <c r="N1008" s="8" t="s">
        <v>87</v>
      </c>
      <c r="O1008" s="10" t="s">
        <v>22</v>
      </c>
      <c r="P1008" s="8" t="s">
        <v>8516</v>
      </c>
      <c r="Q1008" s="10" t="s">
        <v>1447</v>
      </c>
      <c r="R1008" s="10" t="s">
        <v>1438</v>
      </c>
      <c r="S1008" s="8" t="s">
        <v>8517</v>
      </c>
      <c r="T1008" s="10" t="s">
        <v>8482</v>
      </c>
      <c r="U1008" s="10" t="s">
        <v>87</v>
      </c>
      <c r="V1008" s="10" t="s">
        <v>87</v>
      </c>
    </row>
    <row r="1009" spans="1:22" s="10" customFormat="1" x14ac:dyDescent="0.25">
      <c r="A1009" s="10" t="s">
        <v>8518</v>
      </c>
      <c r="B1009" s="10" t="s">
        <v>8473</v>
      </c>
      <c r="C1009" s="11" t="s">
        <v>346</v>
      </c>
      <c r="D1009" s="10" t="s">
        <v>8519</v>
      </c>
      <c r="E1009" s="8" t="s">
        <v>8520</v>
      </c>
      <c r="F1009" s="8" t="s">
        <v>8521</v>
      </c>
      <c r="G1009" s="10" t="s">
        <v>3</v>
      </c>
      <c r="H1009" s="8" t="s">
        <v>8522</v>
      </c>
      <c r="I1009" s="10" t="s">
        <v>8478</v>
      </c>
      <c r="J1009" s="8" t="s">
        <v>8479</v>
      </c>
      <c r="K1009" s="8" t="s">
        <v>1435</v>
      </c>
      <c r="L1009" s="8" t="s">
        <v>2548</v>
      </c>
      <c r="M1009" s="10" t="s">
        <v>1436</v>
      </c>
      <c r="N1009" s="8" t="s">
        <v>87</v>
      </c>
      <c r="O1009" s="10" t="s">
        <v>22</v>
      </c>
      <c r="P1009" s="8" t="s">
        <v>8523</v>
      </c>
      <c r="Q1009" s="10" t="s">
        <v>1447</v>
      </c>
      <c r="R1009" s="10" t="s">
        <v>1438</v>
      </c>
      <c r="S1009" s="8" t="s">
        <v>8517</v>
      </c>
      <c r="T1009" s="10" t="s">
        <v>8482</v>
      </c>
      <c r="U1009" s="10" t="s">
        <v>87</v>
      </c>
      <c r="V1009" s="10" t="s">
        <v>87</v>
      </c>
    </row>
    <row r="1010" spans="1:22" s="10" customFormat="1" x14ac:dyDescent="0.25">
      <c r="A1010" s="10" t="s">
        <v>8524</v>
      </c>
      <c r="B1010" s="10" t="s">
        <v>8473</v>
      </c>
      <c r="C1010" s="11" t="s">
        <v>346</v>
      </c>
      <c r="D1010" s="10" t="s">
        <v>8525</v>
      </c>
      <c r="E1010" s="8" t="s">
        <v>8526</v>
      </c>
      <c r="F1010" s="8" t="s">
        <v>8527</v>
      </c>
      <c r="G1010" s="10" t="s">
        <v>4</v>
      </c>
      <c r="H1010" s="8" t="s">
        <v>8528</v>
      </c>
      <c r="I1010" s="10" t="s">
        <v>8478</v>
      </c>
      <c r="J1010" s="8" t="s">
        <v>8479</v>
      </c>
      <c r="K1010" s="8" t="s">
        <v>1873</v>
      </c>
      <c r="L1010" s="8" t="s">
        <v>87</v>
      </c>
      <c r="M1010" s="10" t="s">
        <v>1456</v>
      </c>
      <c r="N1010" s="8" t="s">
        <v>87</v>
      </c>
      <c r="O1010" s="10" t="s">
        <v>22</v>
      </c>
      <c r="P1010" s="8" t="s">
        <v>8529</v>
      </c>
      <c r="Q1010" s="10" t="s">
        <v>1447</v>
      </c>
      <c r="R1010" s="10" t="s">
        <v>1438</v>
      </c>
      <c r="S1010" s="8" t="s">
        <v>8530</v>
      </c>
      <c r="T1010" s="10" t="s">
        <v>8482</v>
      </c>
      <c r="U1010" s="10" t="s">
        <v>87</v>
      </c>
      <c r="V1010" s="10" t="s">
        <v>87</v>
      </c>
    </row>
    <row r="1011" spans="1:22" s="10" customFormat="1" x14ac:dyDescent="0.25">
      <c r="A1011" s="10" t="s">
        <v>8531</v>
      </c>
      <c r="B1011" s="10" t="s">
        <v>8473</v>
      </c>
      <c r="C1011" s="11" t="s">
        <v>346</v>
      </c>
      <c r="D1011" s="10" t="s">
        <v>8532</v>
      </c>
      <c r="E1011" s="8" t="s">
        <v>8533</v>
      </c>
      <c r="F1011" s="8" t="s">
        <v>8534</v>
      </c>
      <c r="G1011" s="10" t="s">
        <v>4</v>
      </c>
      <c r="H1011" s="8" t="s">
        <v>8535</v>
      </c>
      <c r="I1011" s="10" t="s">
        <v>8478</v>
      </c>
      <c r="J1011" s="8" t="s">
        <v>8479</v>
      </c>
      <c r="K1011" s="8" t="s">
        <v>1873</v>
      </c>
      <c r="L1011" s="8" t="s">
        <v>87</v>
      </c>
      <c r="M1011" s="10" t="s">
        <v>1456</v>
      </c>
      <c r="N1011" s="8" t="s">
        <v>87</v>
      </c>
      <c r="O1011" s="10" t="s">
        <v>22</v>
      </c>
      <c r="P1011" s="8" t="s">
        <v>8536</v>
      </c>
      <c r="Q1011" s="10" t="s">
        <v>1447</v>
      </c>
      <c r="R1011" s="10" t="s">
        <v>1438</v>
      </c>
      <c r="S1011" s="8" t="s">
        <v>8537</v>
      </c>
      <c r="T1011" s="10" t="s">
        <v>8482</v>
      </c>
      <c r="U1011" s="10" t="s">
        <v>87</v>
      </c>
      <c r="V1011" s="10" t="s">
        <v>87</v>
      </c>
    </row>
    <row r="1012" spans="1:22" s="10" customFormat="1" x14ac:dyDescent="0.25">
      <c r="A1012" s="10" t="s">
        <v>8538</v>
      </c>
      <c r="B1012" s="10" t="s">
        <v>8473</v>
      </c>
      <c r="C1012" s="11" t="s">
        <v>346</v>
      </c>
      <c r="D1012" s="10" t="s">
        <v>8539</v>
      </c>
      <c r="E1012" s="8" t="s">
        <v>8540</v>
      </c>
      <c r="F1012" s="8" t="s">
        <v>8541</v>
      </c>
      <c r="G1012" s="10" t="s">
        <v>4</v>
      </c>
      <c r="H1012" s="8" t="s">
        <v>8542</v>
      </c>
      <c r="I1012" s="10" t="s">
        <v>8478</v>
      </c>
      <c r="J1012" s="8" t="s">
        <v>8479</v>
      </c>
      <c r="K1012" s="8" t="s">
        <v>1873</v>
      </c>
      <c r="L1012" s="8" t="s">
        <v>87</v>
      </c>
      <c r="M1012" s="10" t="s">
        <v>1456</v>
      </c>
      <c r="N1012" s="8" t="s">
        <v>87</v>
      </c>
      <c r="O1012" s="10" t="s">
        <v>22</v>
      </c>
      <c r="P1012" s="8" t="s">
        <v>8543</v>
      </c>
      <c r="Q1012" s="10" t="s">
        <v>1447</v>
      </c>
      <c r="R1012" s="10" t="s">
        <v>1438</v>
      </c>
      <c r="S1012" s="8" t="s">
        <v>8544</v>
      </c>
      <c r="T1012" s="10" t="s">
        <v>8482</v>
      </c>
      <c r="U1012" s="10" t="s">
        <v>87</v>
      </c>
      <c r="V1012" s="10" t="s">
        <v>87</v>
      </c>
    </row>
    <row r="1013" spans="1:22" s="10" customFormat="1" x14ac:dyDescent="0.25">
      <c r="A1013" s="10" t="s">
        <v>8545</v>
      </c>
      <c r="B1013" s="10" t="s">
        <v>8473</v>
      </c>
      <c r="C1013" s="11" t="s">
        <v>346</v>
      </c>
      <c r="D1013" s="10" t="s">
        <v>8546</v>
      </c>
      <c r="E1013" s="8" t="s">
        <v>8547</v>
      </c>
      <c r="F1013" s="8" t="s">
        <v>8548</v>
      </c>
      <c r="G1013" s="10" t="s">
        <v>4</v>
      </c>
      <c r="H1013" s="8" t="s">
        <v>8549</v>
      </c>
      <c r="I1013" s="10" t="s">
        <v>8478</v>
      </c>
      <c r="J1013" s="8" t="s">
        <v>8479</v>
      </c>
      <c r="K1013" s="8" t="s">
        <v>1873</v>
      </c>
      <c r="L1013" s="8" t="s">
        <v>87</v>
      </c>
      <c r="M1013" s="10" t="s">
        <v>1456</v>
      </c>
      <c r="N1013" s="8" t="s">
        <v>87</v>
      </c>
      <c r="O1013" s="10" t="s">
        <v>22</v>
      </c>
      <c r="P1013" s="8" t="s">
        <v>8550</v>
      </c>
      <c r="Q1013" s="10" t="s">
        <v>1447</v>
      </c>
      <c r="R1013" s="10" t="s">
        <v>1438</v>
      </c>
      <c r="S1013" s="8" t="s">
        <v>8551</v>
      </c>
      <c r="T1013" s="10" t="s">
        <v>8482</v>
      </c>
      <c r="U1013" s="10" t="s">
        <v>87</v>
      </c>
      <c r="V1013" s="10" t="s">
        <v>87</v>
      </c>
    </row>
    <row r="1014" spans="1:22" s="10" customFormat="1" x14ac:dyDescent="0.25">
      <c r="A1014" s="10" t="s">
        <v>8552</v>
      </c>
      <c r="B1014" s="10" t="s">
        <v>8473</v>
      </c>
      <c r="C1014" s="11" t="s">
        <v>346</v>
      </c>
      <c r="D1014" s="10" t="s">
        <v>8553</v>
      </c>
      <c r="E1014" s="8" t="s">
        <v>8554</v>
      </c>
      <c r="F1014" s="8" t="s">
        <v>8555</v>
      </c>
      <c r="G1014" s="10" t="s">
        <v>4</v>
      </c>
      <c r="H1014" s="8" t="s">
        <v>8556</v>
      </c>
      <c r="I1014" s="10" t="s">
        <v>8478</v>
      </c>
      <c r="J1014" s="8" t="s">
        <v>8479</v>
      </c>
      <c r="K1014" s="8" t="s">
        <v>1873</v>
      </c>
      <c r="L1014" s="8" t="s">
        <v>87</v>
      </c>
      <c r="M1014" s="10" t="s">
        <v>1456</v>
      </c>
      <c r="N1014" s="8" t="s">
        <v>87</v>
      </c>
      <c r="O1014" s="10" t="s">
        <v>22</v>
      </c>
      <c r="P1014" s="8" t="s">
        <v>8557</v>
      </c>
      <c r="Q1014" s="10" t="s">
        <v>1447</v>
      </c>
      <c r="R1014" s="10" t="s">
        <v>1438</v>
      </c>
      <c r="S1014" s="8" t="s">
        <v>8558</v>
      </c>
      <c r="T1014" s="10" t="s">
        <v>8482</v>
      </c>
      <c r="U1014" s="10" t="s">
        <v>87</v>
      </c>
      <c r="V1014" s="10" t="s">
        <v>87</v>
      </c>
    </row>
    <row r="1015" spans="1:22" s="10" customFormat="1" x14ac:dyDescent="0.25">
      <c r="A1015" s="10" t="s">
        <v>8559</v>
      </c>
      <c r="B1015" s="10" t="s">
        <v>8473</v>
      </c>
      <c r="C1015" s="11" t="s">
        <v>346</v>
      </c>
      <c r="D1015" s="10" t="s">
        <v>8560</v>
      </c>
      <c r="E1015" s="8" t="s">
        <v>8561</v>
      </c>
      <c r="F1015" s="8" t="s">
        <v>8562</v>
      </c>
      <c r="G1015" s="10" t="s">
        <v>4</v>
      </c>
      <c r="H1015" s="8" t="s">
        <v>8563</v>
      </c>
      <c r="I1015" s="10" t="s">
        <v>8478</v>
      </c>
      <c r="J1015" s="8" t="s">
        <v>8479</v>
      </c>
      <c r="K1015" s="8" t="s">
        <v>1873</v>
      </c>
      <c r="L1015" s="8" t="s">
        <v>87</v>
      </c>
      <c r="M1015" s="10" t="s">
        <v>1456</v>
      </c>
      <c r="N1015" s="8" t="s">
        <v>87</v>
      </c>
      <c r="O1015" s="10" t="s">
        <v>22</v>
      </c>
      <c r="P1015" s="8" t="s">
        <v>8564</v>
      </c>
      <c r="Q1015" s="10" t="s">
        <v>1447</v>
      </c>
      <c r="R1015" s="10" t="s">
        <v>1438</v>
      </c>
      <c r="S1015" s="8" t="s">
        <v>8565</v>
      </c>
      <c r="T1015" s="10" t="s">
        <v>8482</v>
      </c>
      <c r="U1015" s="10" t="s">
        <v>87</v>
      </c>
      <c r="V1015" s="10" t="s">
        <v>87</v>
      </c>
    </row>
    <row r="1016" spans="1:22" s="10" customFormat="1" x14ac:dyDescent="0.25">
      <c r="A1016" s="10" t="s">
        <v>8566</v>
      </c>
      <c r="B1016" s="10" t="s">
        <v>8473</v>
      </c>
      <c r="C1016" s="11" t="s">
        <v>346</v>
      </c>
      <c r="D1016" s="10" t="s">
        <v>8567</v>
      </c>
      <c r="E1016" s="8" t="s">
        <v>8568</v>
      </c>
      <c r="F1016" s="8" t="s">
        <v>8569</v>
      </c>
      <c r="G1016" s="10" t="s">
        <v>4</v>
      </c>
      <c r="H1016" s="8" t="s">
        <v>8570</v>
      </c>
      <c r="I1016" s="10" t="s">
        <v>8478</v>
      </c>
      <c r="J1016" s="8" t="s">
        <v>8479</v>
      </c>
      <c r="K1016" s="8" t="s">
        <v>1873</v>
      </c>
      <c r="L1016" s="8" t="s">
        <v>87</v>
      </c>
      <c r="M1016" s="10" t="s">
        <v>1456</v>
      </c>
      <c r="N1016" s="8" t="s">
        <v>87</v>
      </c>
      <c r="O1016" s="10" t="s">
        <v>22</v>
      </c>
      <c r="P1016" s="8" t="s">
        <v>8571</v>
      </c>
      <c r="Q1016" s="10" t="s">
        <v>1447</v>
      </c>
      <c r="R1016" s="10" t="s">
        <v>1438</v>
      </c>
      <c r="S1016" s="8" t="s">
        <v>8572</v>
      </c>
      <c r="T1016" s="10" t="s">
        <v>8482</v>
      </c>
      <c r="U1016" s="10" t="s">
        <v>87</v>
      </c>
      <c r="V1016" s="10" t="s">
        <v>87</v>
      </c>
    </row>
    <row r="1017" spans="1:22" s="10" customFormat="1" x14ac:dyDescent="0.25">
      <c r="A1017" s="10" t="s">
        <v>8573</v>
      </c>
      <c r="B1017" s="10" t="s">
        <v>8473</v>
      </c>
      <c r="C1017" s="11" t="s">
        <v>346</v>
      </c>
      <c r="D1017" s="10" t="s">
        <v>8574</v>
      </c>
      <c r="E1017" s="8" t="s">
        <v>8575</v>
      </c>
      <c r="F1017" s="8" t="s">
        <v>8576</v>
      </c>
      <c r="G1017" s="10" t="s">
        <v>4</v>
      </c>
      <c r="H1017" s="8" t="s">
        <v>8577</v>
      </c>
      <c r="I1017" s="10" t="s">
        <v>8478</v>
      </c>
      <c r="J1017" s="8" t="s">
        <v>8479</v>
      </c>
      <c r="K1017" s="8" t="s">
        <v>1873</v>
      </c>
      <c r="L1017" s="8" t="s">
        <v>87</v>
      </c>
      <c r="M1017" s="10" t="s">
        <v>1456</v>
      </c>
      <c r="N1017" s="8" t="s">
        <v>87</v>
      </c>
      <c r="O1017" s="10" t="s">
        <v>22</v>
      </c>
      <c r="P1017" s="8" t="s">
        <v>8578</v>
      </c>
      <c r="Q1017" s="10" t="s">
        <v>1447</v>
      </c>
      <c r="R1017" s="10" t="s">
        <v>1438</v>
      </c>
      <c r="S1017" s="8" t="s">
        <v>8579</v>
      </c>
      <c r="T1017" s="10" t="s">
        <v>8482</v>
      </c>
      <c r="U1017" s="10" t="s">
        <v>87</v>
      </c>
      <c r="V1017" s="10" t="s">
        <v>87</v>
      </c>
    </row>
    <row r="1018" spans="1:22" s="10" customFormat="1" x14ac:dyDescent="0.25">
      <c r="A1018" s="10" t="s">
        <v>8580</v>
      </c>
      <c r="B1018" s="10" t="s">
        <v>8473</v>
      </c>
      <c r="C1018" s="11" t="s">
        <v>346</v>
      </c>
      <c r="D1018" s="10" t="s">
        <v>8581</v>
      </c>
      <c r="E1018" s="8" t="s">
        <v>8582</v>
      </c>
      <c r="F1018" s="8" t="s">
        <v>8583</v>
      </c>
      <c r="G1018" s="10" t="s">
        <v>4</v>
      </c>
      <c r="H1018" s="8" t="s">
        <v>8584</v>
      </c>
      <c r="I1018" s="10" t="s">
        <v>8478</v>
      </c>
      <c r="J1018" s="8" t="s">
        <v>8479</v>
      </c>
      <c r="K1018" s="8" t="s">
        <v>1873</v>
      </c>
      <c r="L1018" s="8" t="s">
        <v>87</v>
      </c>
      <c r="M1018" s="10" t="s">
        <v>1456</v>
      </c>
      <c r="N1018" s="8" t="s">
        <v>87</v>
      </c>
      <c r="O1018" s="10" t="s">
        <v>22</v>
      </c>
      <c r="P1018" s="8" t="s">
        <v>8585</v>
      </c>
      <c r="Q1018" s="10" t="s">
        <v>1447</v>
      </c>
      <c r="R1018" s="10" t="s">
        <v>1438</v>
      </c>
      <c r="S1018" s="8" t="s">
        <v>8586</v>
      </c>
      <c r="T1018" s="10" t="s">
        <v>8482</v>
      </c>
      <c r="U1018" s="10" t="s">
        <v>87</v>
      </c>
      <c r="V1018" s="10" t="s">
        <v>87</v>
      </c>
    </row>
    <row r="1019" spans="1:22" s="10" customFormat="1" x14ac:dyDescent="0.25">
      <c r="A1019" s="10" t="s">
        <v>8587</v>
      </c>
      <c r="B1019" s="10" t="s">
        <v>8473</v>
      </c>
      <c r="C1019" s="11" t="s">
        <v>346</v>
      </c>
      <c r="D1019" s="10" t="s">
        <v>8588</v>
      </c>
      <c r="E1019" s="8" t="s">
        <v>8589</v>
      </c>
      <c r="F1019" s="8" t="s">
        <v>8590</v>
      </c>
      <c r="G1019" s="10" t="s">
        <v>4</v>
      </c>
      <c r="H1019" s="8" t="s">
        <v>8591</v>
      </c>
      <c r="I1019" s="10" t="s">
        <v>8478</v>
      </c>
      <c r="J1019" s="8" t="s">
        <v>8479</v>
      </c>
      <c r="K1019" s="8" t="s">
        <v>1873</v>
      </c>
      <c r="L1019" s="8" t="s">
        <v>87</v>
      </c>
      <c r="M1019" s="10" t="s">
        <v>1456</v>
      </c>
      <c r="N1019" s="8" t="s">
        <v>87</v>
      </c>
      <c r="O1019" s="10" t="s">
        <v>22</v>
      </c>
      <c r="P1019" s="8" t="s">
        <v>8592</v>
      </c>
      <c r="Q1019" s="10" t="s">
        <v>1447</v>
      </c>
      <c r="R1019" s="10" t="s">
        <v>1438</v>
      </c>
      <c r="S1019" s="8" t="s">
        <v>8593</v>
      </c>
      <c r="T1019" s="10" t="s">
        <v>8482</v>
      </c>
      <c r="U1019" s="10" t="s">
        <v>87</v>
      </c>
      <c r="V1019" s="10" t="s">
        <v>87</v>
      </c>
    </row>
    <row r="1020" spans="1:22" s="10" customFormat="1" x14ac:dyDescent="0.25">
      <c r="A1020" s="10" t="s">
        <v>8594</v>
      </c>
      <c r="B1020" s="10" t="s">
        <v>8473</v>
      </c>
      <c r="C1020" s="11" t="s">
        <v>346</v>
      </c>
      <c r="D1020" s="10" t="s">
        <v>8595</v>
      </c>
      <c r="E1020" s="8" t="s">
        <v>8596</v>
      </c>
      <c r="F1020" s="8" t="s">
        <v>8597</v>
      </c>
      <c r="G1020" s="10" t="s">
        <v>4</v>
      </c>
      <c r="H1020" s="8" t="s">
        <v>8598</v>
      </c>
      <c r="I1020" s="10" t="s">
        <v>8478</v>
      </c>
      <c r="J1020" s="8" t="s">
        <v>8479</v>
      </c>
      <c r="K1020" s="8" t="s">
        <v>1873</v>
      </c>
      <c r="L1020" s="8" t="s">
        <v>87</v>
      </c>
      <c r="M1020" s="10" t="s">
        <v>1456</v>
      </c>
      <c r="N1020" s="8" t="s">
        <v>87</v>
      </c>
      <c r="O1020" s="10" t="s">
        <v>22</v>
      </c>
      <c r="P1020" s="8" t="s">
        <v>8599</v>
      </c>
      <c r="Q1020" s="10" t="s">
        <v>1447</v>
      </c>
      <c r="R1020" s="10" t="s">
        <v>1438</v>
      </c>
      <c r="S1020" s="8" t="s">
        <v>8600</v>
      </c>
      <c r="T1020" s="10" t="s">
        <v>8482</v>
      </c>
      <c r="U1020" s="10" t="s">
        <v>87</v>
      </c>
      <c r="V1020" s="10" t="s">
        <v>87</v>
      </c>
    </row>
    <row r="1021" spans="1:22" s="10" customFormat="1" x14ac:dyDescent="0.25">
      <c r="A1021" s="10" t="s">
        <v>8601</v>
      </c>
      <c r="B1021" s="10" t="s">
        <v>8473</v>
      </c>
      <c r="C1021" s="11" t="s">
        <v>346</v>
      </c>
      <c r="D1021" s="10" t="s">
        <v>8602</v>
      </c>
      <c r="E1021" s="8" t="s">
        <v>8603</v>
      </c>
      <c r="F1021" s="8" t="s">
        <v>8604</v>
      </c>
      <c r="G1021" s="10" t="s">
        <v>4</v>
      </c>
      <c r="H1021" s="8" t="s">
        <v>8605</v>
      </c>
      <c r="I1021" s="10" t="s">
        <v>8478</v>
      </c>
      <c r="J1021" s="8" t="s">
        <v>8479</v>
      </c>
      <c r="K1021" s="8" t="s">
        <v>1873</v>
      </c>
      <c r="L1021" s="8" t="s">
        <v>87</v>
      </c>
      <c r="M1021" s="10" t="s">
        <v>1456</v>
      </c>
      <c r="N1021" s="8" t="s">
        <v>87</v>
      </c>
      <c r="O1021" s="10" t="s">
        <v>22</v>
      </c>
      <c r="P1021" s="8" t="s">
        <v>8606</v>
      </c>
      <c r="Q1021" s="10" t="s">
        <v>1447</v>
      </c>
      <c r="R1021" s="10" t="s">
        <v>1438</v>
      </c>
      <c r="S1021" s="8" t="s">
        <v>8607</v>
      </c>
      <c r="T1021" s="10" t="s">
        <v>8482</v>
      </c>
      <c r="U1021" s="10" t="s">
        <v>87</v>
      </c>
      <c r="V1021" s="10" t="s">
        <v>87</v>
      </c>
    </row>
    <row r="1022" spans="1:22" s="10" customFormat="1" x14ac:dyDescent="0.25">
      <c r="A1022" s="10" t="s">
        <v>8608</v>
      </c>
      <c r="B1022" s="10" t="s">
        <v>8473</v>
      </c>
      <c r="C1022" s="11" t="s">
        <v>346</v>
      </c>
      <c r="D1022" s="10" t="s">
        <v>8609</v>
      </c>
      <c r="E1022" s="8" t="s">
        <v>8610</v>
      </c>
      <c r="F1022" s="8" t="s">
        <v>8611</v>
      </c>
      <c r="G1022" s="10" t="s">
        <v>4</v>
      </c>
      <c r="H1022" s="8" t="s">
        <v>8612</v>
      </c>
      <c r="I1022" s="10" t="s">
        <v>8478</v>
      </c>
      <c r="J1022" s="8" t="s">
        <v>8479</v>
      </c>
      <c r="K1022" s="8" t="s">
        <v>1873</v>
      </c>
      <c r="L1022" s="8" t="s">
        <v>87</v>
      </c>
      <c r="M1022" s="10" t="s">
        <v>1456</v>
      </c>
      <c r="N1022" s="8" t="s">
        <v>87</v>
      </c>
      <c r="O1022" s="10" t="s">
        <v>22</v>
      </c>
      <c r="P1022" s="8" t="s">
        <v>8613</v>
      </c>
      <c r="Q1022" s="10" t="s">
        <v>1447</v>
      </c>
      <c r="R1022" s="10" t="s">
        <v>1438</v>
      </c>
      <c r="S1022" s="8" t="s">
        <v>8614</v>
      </c>
      <c r="T1022" s="10" t="s">
        <v>8482</v>
      </c>
      <c r="U1022" s="10" t="s">
        <v>87</v>
      </c>
      <c r="V1022" s="10" t="s">
        <v>87</v>
      </c>
    </row>
    <row r="1023" spans="1:22" s="10" customFormat="1" x14ac:dyDescent="0.25">
      <c r="A1023" s="10" t="s">
        <v>8615</v>
      </c>
      <c r="B1023" s="10" t="s">
        <v>8473</v>
      </c>
      <c r="C1023" s="11" t="s">
        <v>346</v>
      </c>
      <c r="D1023" s="10" t="s">
        <v>8616</v>
      </c>
      <c r="E1023" s="8" t="s">
        <v>8617</v>
      </c>
      <c r="F1023" s="8" t="s">
        <v>8618</v>
      </c>
      <c r="G1023" s="10" t="s">
        <v>4</v>
      </c>
      <c r="H1023" s="8" t="s">
        <v>8619</v>
      </c>
      <c r="I1023" s="10" t="s">
        <v>8478</v>
      </c>
      <c r="J1023" s="8" t="s">
        <v>8479</v>
      </c>
      <c r="K1023" s="8" t="s">
        <v>1873</v>
      </c>
      <c r="L1023" s="8" t="s">
        <v>87</v>
      </c>
      <c r="M1023" s="10" t="s">
        <v>1456</v>
      </c>
      <c r="N1023" s="8" t="s">
        <v>87</v>
      </c>
      <c r="O1023" s="10" t="s">
        <v>22</v>
      </c>
      <c r="P1023" s="8" t="s">
        <v>8620</v>
      </c>
      <c r="Q1023" s="10" t="s">
        <v>1447</v>
      </c>
      <c r="R1023" s="10" t="s">
        <v>1438</v>
      </c>
      <c r="S1023" s="8" t="s">
        <v>8621</v>
      </c>
      <c r="T1023" s="10" t="s">
        <v>8482</v>
      </c>
      <c r="U1023" s="10" t="s">
        <v>87</v>
      </c>
      <c r="V1023" s="10" t="s">
        <v>87</v>
      </c>
    </row>
    <row r="1024" spans="1:22" s="10" customFormat="1" x14ac:dyDescent="0.25">
      <c r="A1024" s="10" t="s">
        <v>8622</v>
      </c>
      <c r="B1024" s="10" t="s">
        <v>8473</v>
      </c>
      <c r="C1024" s="11" t="s">
        <v>346</v>
      </c>
      <c r="D1024" s="10" t="s">
        <v>8623</v>
      </c>
      <c r="E1024" s="8" t="s">
        <v>8624</v>
      </c>
      <c r="F1024" s="8" t="s">
        <v>8625</v>
      </c>
      <c r="G1024" s="10" t="s">
        <v>4</v>
      </c>
      <c r="H1024" s="8" t="s">
        <v>8626</v>
      </c>
      <c r="I1024" s="10" t="s">
        <v>8478</v>
      </c>
      <c r="J1024" s="8" t="s">
        <v>8479</v>
      </c>
      <c r="K1024" s="8" t="s">
        <v>1873</v>
      </c>
      <c r="L1024" s="8" t="s">
        <v>87</v>
      </c>
      <c r="M1024" s="10" t="s">
        <v>1456</v>
      </c>
      <c r="N1024" s="8" t="s">
        <v>87</v>
      </c>
      <c r="O1024" s="10" t="s">
        <v>22</v>
      </c>
      <c r="P1024" s="8" t="s">
        <v>8627</v>
      </c>
      <c r="Q1024" s="10" t="s">
        <v>1447</v>
      </c>
      <c r="R1024" s="10" t="s">
        <v>1438</v>
      </c>
      <c r="S1024" s="8" t="s">
        <v>8628</v>
      </c>
      <c r="T1024" s="10" t="s">
        <v>8482</v>
      </c>
      <c r="U1024" s="10" t="s">
        <v>87</v>
      </c>
      <c r="V1024" s="10" t="s">
        <v>87</v>
      </c>
    </row>
    <row r="1025" spans="1:22" s="10" customFormat="1" x14ac:dyDescent="0.25">
      <c r="A1025" s="10" t="s">
        <v>8629</v>
      </c>
      <c r="B1025" s="10" t="s">
        <v>8473</v>
      </c>
      <c r="C1025" s="11" t="s">
        <v>346</v>
      </c>
      <c r="D1025" s="10" t="s">
        <v>8630</v>
      </c>
      <c r="E1025" s="8" t="s">
        <v>8631</v>
      </c>
      <c r="F1025" s="8" t="s">
        <v>8632</v>
      </c>
      <c r="G1025" s="10" t="s">
        <v>4</v>
      </c>
      <c r="H1025" s="8" t="s">
        <v>8633</v>
      </c>
      <c r="I1025" s="10" t="s">
        <v>8478</v>
      </c>
      <c r="J1025" s="8" t="s">
        <v>8479</v>
      </c>
      <c r="K1025" s="8" t="s">
        <v>1873</v>
      </c>
      <c r="L1025" s="8" t="s">
        <v>87</v>
      </c>
      <c r="M1025" s="10" t="s">
        <v>1456</v>
      </c>
      <c r="N1025" s="8" t="s">
        <v>87</v>
      </c>
      <c r="O1025" s="10" t="s">
        <v>22</v>
      </c>
      <c r="P1025" s="8" t="s">
        <v>8634</v>
      </c>
      <c r="Q1025" s="10" t="s">
        <v>1447</v>
      </c>
      <c r="R1025" s="10" t="s">
        <v>1438</v>
      </c>
      <c r="S1025" s="8" t="s">
        <v>8635</v>
      </c>
      <c r="T1025" s="10" t="s">
        <v>8482</v>
      </c>
      <c r="U1025" s="10" t="s">
        <v>87</v>
      </c>
      <c r="V1025" s="10" t="s">
        <v>87</v>
      </c>
    </row>
    <row r="1026" spans="1:22" s="10" customFormat="1" x14ac:dyDescent="0.25">
      <c r="A1026" s="10" t="s">
        <v>8636</v>
      </c>
      <c r="B1026" s="10" t="s">
        <v>8473</v>
      </c>
      <c r="C1026" s="11" t="s">
        <v>346</v>
      </c>
      <c r="D1026" s="10" t="s">
        <v>8637</v>
      </c>
      <c r="E1026" s="8" t="s">
        <v>8638</v>
      </c>
      <c r="F1026" s="8" t="s">
        <v>8639</v>
      </c>
      <c r="G1026" s="10" t="s">
        <v>4</v>
      </c>
      <c r="H1026" s="8" t="s">
        <v>8640</v>
      </c>
      <c r="I1026" s="10" t="s">
        <v>8478</v>
      </c>
      <c r="J1026" s="8" t="s">
        <v>8479</v>
      </c>
      <c r="K1026" s="8" t="s">
        <v>1873</v>
      </c>
      <c r="L1026" s="8" t="s">
        <v>87</v>
      </c>
      <c r="M1026" s="10" t="s">
        <v>1456</v>
      </c>
      <c r="N1026" s="8" t="s">
        <v>87</v>
      </c>
      <c r="O1026" s="10" t="s">
        <v>22</v>
      </c>
      <c r="P1026" s="8" t="s">
        <v>8641</v>
      </c>
      <c r="Q1026" s="10" t="s">
        <v>1447</v>
      </c>
      <c r="R1026" s="10" t="s">
        <v>1438</v>
      </c>
      <c r="S1026" s="8" t="s">
        <v>8642</v>
      </c>
      <c r="T1026" s="10" t="s">
        <v>8482</v>
      </c>
      <c r="U1026" s="10" t="s">
        <v>87</v>
      </c>
      <c r="V1026" s="10" t="s">
        <v>87</v>
      </c>
    </row>
    <row r="1027" spans="1:22" s="10" customFormat="1" x14ac:dyDescent="0.25">
      <c r="A1027" s="10" t="s">
        <v>8643</v>
      </c>
      <c r="B1027" s="10" t="s">
        <v>8473</v>
      </c>
      <c r="C1027" s="11" t="s">
        <v>346</v>
      </c>
      <c r="D1027" s="10" t="s">
        <v>8644</v>
      </c>
      <c r="E1027" s="8" t="s">
        <v>8645</v>
      </c>
      <c r="F1027" s="8" t="s">
        <v>8646</v>
      </c>
      <c r="G1027" s="10" t="s">
        <v>4</v>
      </c>
      <c r="H1027" s="8" t="s">
        <v>8647</v>
      </c>
      <c r="I1027" s="10" t="s">
        <v>8478</v>
      </c>
      <c r="J1027" s="8" t="s">
        <v>8479</v>
      </c>
      <c r="K1027" s="8" t="s">
        <v>1873</v>
      </c>
      <c r="L1027" s="8" t="s">
        <v>87</v>
      </c>
      <c r="M1027" s="10" t="s">
        <v>1456</v>
      </c>
      <c r="N1027" s="8" t="s">
        <v>87</v>
      </c>
      <c r="O1027" s="10" t="s">
        <v>22</v>
      </c>
      <c r="P1027" s="8" t="s">
        <v>8648</v>
      </c>
      <c r="Q1027" s="10" t="s">
        <v>1447</v>
      </c>
      <c r="R1027" s="10" t="s">
        <v>1438</v>
      </c>
      <c r="S1027" s="8" t="s">
        <v>8649</v>
      </c>
      <c r="T1027" s="10" t="s">
        <v>8482</v>
      </c>
      <c r="U1027" s="10" t="s">
        <v>87</v>
      </c>
      <c r="V1027" s="10" t="s">
        <v>87</v>
      </c>
    </row>
    <row r="1028" spans="1:22" s="10" customFormat="1" x14ac:dyDescent="0.25">
      <c r="A1028" s="10" t="s">
        <v>8650</v>
      </c>
      <c r="B1028" s="10" t="s">
        <v>8473</v>
      </c>
      <c r="C1028" s="11" t="s">
        <v>346</v>
      </c>
      <c r="D1028" s="10" t="s">
        <v>8651</v>
      </c>
      <c r="E1028" s="8" t="s">
        <v>8652</v>
      </c>
      <c r="F1028" s="8" t="s">
        <v>8653</v>
      </c>
      <c r="G1028" s="10" t="s">
        <v>4</v>
      </c>
      <c r="H1028" s="8" t="s">
        <v>8654</v>
      </c>
      <c r="I1028" s="10" t="s">
        <v>8478</v>
      </c>
      <c r="J1028" s="8" t="s">
        <v>8479</v>
      </c>
      <c r="K1028" s="8" t="s">
        <v>1873</v>
      </c>
      <c r="L1028" s="8" t="s">
        <v>87</v>
      </c>
      <c r="M1028" s="10" t="s">
        <v>1456</v>
      </c>
      <c r="N1028" s="8" t="s">
        <v>87</v>
      </c>
      <c r="O1028" s="10" t="s">
        <v>22</v>
      </c>
      <c r="P1028" s="8" t="s">
        <v>8655</v>
      </c>
      <c r="Q1028" s="10" t="s">
        <v>1447</v>
      </c>
      <c r="R1028" s="10" t="s">
        <v>1438</v>
      </c>
      <c r="S1028" s="8" t="s">
        <v>8656</v>
      </c>
      <c r="T1028" s="10" t="s">
        <v>8482</v>
      </c>
      <c r="U1028" s="10" t="s">
        <v>87</v>
      </c>
      <c r="V1028" s="10" t="s">
        <v>87</v>
      </c>
    </row>
    <row r="1029" spans="1:22" s="10" customFormat="1" x14ac:dyDescent="0.25">
      <c r="A1029" s="10" t="s">
        <v>8657</v>
      </c>
      <c r="B1029" s="10" t="s">
        <v>8473</v>
      </c>
      <c r="C1029" s="11" t="s">
        <v>346</v>
      </c>
      <c r="D1029" s="10" t="s">
        <v>8658</v>
      </c>
      <c r="E1029" s="8" t="s">
        <v>8659</v>
      </c>
      <c r="F1029" s="8" t="s">
        <v>8660</v>
      </c>
      <c r="G1029" s="10" t="s">
        <v>4</v>
      </c>
      <c r="H1029" s="8" t="s">
        <v>8661</v>
      </c>
      <c r="I1029" s="10" t="s">
        <v>8478</v>
      </c>
      <c r="J1029" s="8" t="s">
        <v>8479</v>
      </c>
      <c r="K1029" s="8" t="s">
        <v>1873</v>
      </c>
      <c r="L1029" s="8" t="s">
        <v>87</v>
      </c>
      <c r="M1029" s="10" t="s">
        <v>1456</v>
      </c>
      <c r="N1029" s="8" t="s">
        <v>87</v>
      </c>
      <c r="O1029" s="10" t="s">
        <v>22</v>
      </c>
      <c r="P1029" s="8" t="s">
        <v>8662</v>
      </c>
      <c r="Q1029" s="10" t="s">
        <v>1447</v>
      </c>
      <c r="R1029" s="10" t="s">
        <v>1438</v>
      </c>
      <c r="S1029" s="8" t="s">
        <v>8663</v>
      </c>
      <c r="T1029" s="10" t="s">
        <v>8482</v>
      </c>
      <c r="U1029" s="10" t="s">
        <v>87</v>
      </c>
      <c r="V1029" s="10" t="s">
        <v>87</v>
      </c>
    </row>
    <row r="1030" spans="1:22" s="10" customFormat="1" x14ac:dyDescent="0.25">
      <c r="A1030" s="10" t="s">
        <v>8664</v>
      </c>
      <c r="B1030" s="10" t="s">
        <v>8473</v>
      </c>
      <c r="C1030" s="11" t="s">
        <v>346</v>
      </c>
      <c r="D1030" s="10" t="s">
        <v>8665</v>
      </c>
      <c r="E1030" s="8" t="s">
        <v>8666</v>
      </c>
      <c r="F1030" s="8" t="s">
        <v>8667</v>
      </c>
      <c r="G1030" s="10" t="s">
        <v>4</v>
      </c>
      <c r="H1030" s="8" t="s">
        <v>8668</v>
      </c>
      <c r="I1030" s="10" t="s">
        <v>8478</v>
      </c>
      <c r="J1030" s="8" t="s">
        <v>8479</v>
      </c>
      <c r="K1030" s="8" t="s">
        <v>1873</v>
      </c>
      <c r="L1030" s="8" t="s">
        <v>87</v>
      </c>
      <c r="M1030" s="10" t="s">
        <v>1456</v>
      </c>
      <c r="N1030" s="8" t="s">
        <v>87</v>
      </c>
      <c r="O1030" s="10" t="s">
        <v>22</v>
      </c>
      <c r="P1030" s="8" t="s">
        <v>8669</v>
      </c>
      <c r="Q1030" s="10" t="s">
        <v>1447</v>
      </c>
      <c r="R1030" s="10" t="s">
        <v>1438</v>
      </c>
      <c r="S1030" s="8" t="s">
        <v>8670</v>
      </c>
      <c r="T1030" s="10" t="s">
        <v>8482</v>
      </c>
      <c r="U1030" s="10" t="s">
        <v>87</v>
      </c>
      <c r="V1030" s="10" t="s">
        <v>87</v>
      </c>
    </row>
    <row r="1031" spans="1:22" s="10" customFormat="1" x14ac:dyDescent="0.25">
      <c r="A1031" s="10" t="s">
        <v>8671</v>
      </c>
      <c r="B1031" s="10" t="s">
        <v>8473</v>
      </c>
      <c r="C1031" s="11" t="s">
        <v>346</v>
      </c>
      <c r="D1031" s="10" t="s">
        <v>8672</v>
      </c>
      <c r="E1031" s="8" t="s">
        <v>8673</v>
      </c>
      <c r="F1031" s="8" t="s">
        <v>8674</v>
      </c>
      <c r="G1031" s="10" t="s">
        <v>4</v>
      </c>
      <c r="H1031" s="8" t="s">
        <v>8675</v>
      </c>
      <c r="I1031" s="10" t="s">
        <v>8478</v>
      </c>
      <c r="J1031" s="8" t="s">
        <v>8479</v>
      </c>
      <c r="K1031" s="8" t="s">
        <v>1873</v>
      </c>
      <c r="L1031" s="8" t="s">
        <v>87</v>
      </c>
      <c r="M1031" s="10" t="s">
        <v>1456</v>
      </c>
      <c r="N1031" s="8" t="s">
        <v>87</v>
      </c>
      <c r="O1031" s="10" t="s">
        <v>22</v>
      </c>
      <c r="P1031" s="8" t="s">
        <v>8676</v>
      </c>
      <c r="Q1031" s="10" t="s">
        <v>1447</v>
      </c>
      <c r="R1031" s="10" t="s">
        <v>1438</v>
      </c>
      <c r="S1031" s="8" t="s">
        <v>8677</v>
      </c>
      <c r="T1031" s="10" t="s">
        <v>8482</v>
      </c>
      <c r="U1031" s="10" t="s">
        <v>87</v>
      </c>
      <c r="V1031" s="10" t="s">
        <v>87</v>
      </c>
    </row>
    <row r="1032" spans="1:22" s="10" customFormat="1" x14ac:dyDescent="0.25">
      <c r="A1032" s="10" t="s">
        <v>8678</v>
      </c>
      <c r="B1032" s="10" t="s">
        <v>8473</v>
      </c>
      <c r="C1032" s="11" t="s">
        <v>346</v>
      </c>
      <c r="D1032" s="10" t="s">
        <v>8679</v>
      </c>
      <c r="E1032" s="8" t="s">
        <v>8680</v>
      </c>
      <c r="F1032" s="8" t="s">
        <v>8681</v>
      </c>
      <c r="G1032" s="10" t="s">
        <v>4</v>
      </c>
      <c r="H1032" s="8" t="s">
        <v>8682</v>
      </c>
      <c r="I1032" s="10" t="s">
        <v>8478</v>
      </c>
      <c r="J1032" s="8" t="s">
        <v>8479</v>
      </c>
      <c r="K1032" s="8" t="s">
        <v>1873</v>
      </c>
      <c r="L1032" s="8" t="s">
        <v>87</v>
      </c>
      <c r="M1032" s="10" t="s">
        <v>1456</v>
      </c>
      <c r="N1032" s="8" t="s">
        <v>87</v>
      </c>
      <c r="O1032" s="10" t="s">
        <v>22</v>
      </c>
      <c r="P1032" s="8" t="s">
        <v>8683</v>
      </c>
      <c r="Q1032" s="10" t="s">
        <v>1447</v>
      </c>
      <c r="R1032" s="10" t="s">
        <v>1438</v>
      </c>
      <c r="S1032" s="8" t="s">
        <v>8684</v>
      </c>
      <c r="T1032" s="10" t="s">
        <v>8482</v>
      </c>
      <c r="U1032" s="10" t="s">
        <v>87</v>
      </c>
      <c r="V1032" s="10" t="s">
        <v>87</v>
      </c>
    </row>
    <row r="1033" spans="1:22" s="10" customFormat="1" x14ac:dyDescent="0.25">
      <c r="A1033" s="10" t="s">
        <v>8685</v>
      </c>
      <c r="B1033" s="10" t="s">
        <v>8473</v>
      </c>
      <c r="C1033" s="11" t="s">
        <v>346</v>
      </c>
      <c r="D1033" s="10" t="s">
        <v>8686</v>
      </c>
      <c r="E1033" s="8" t="s">
        <v>8687</v>
      </c>
      <c r="F1033" s="8" t="s">
        <v>8688</v>
      </c>
      <c r="G1033" s="10" t="s">
        <v>4</v>
      </c>
      <c r="H1033" s="8" t="s">
        <v>8689</v>
      </c>
      <c r="I1033" s="10" t="s">
        <v>8478</v>
      </c>
      <c r="J1033" s="8" t="s">
        <v>8479</v>
      </c>
      <c r="K1033" s="8" t="s">
        <v>1873</v>
      </c>
      <c r="L1033" s="8" t="s">
        <v>87</v>
      </c>
      <c r="M1033" s="10" t="s">
        <v>1456</v>
      </c>
      <c r="N1033" s="8" t="s">
        <v>87</v>
      </c>
      <c r="O1033" s="10" t="s">
        <v>22</v>
      </c>
      <c r="P1033" s="8" t="s">
        <v>8690</v>
      </c>
      <c r="Q1033" s="10" t="s">
        <v>1447</v>
      </c>
      <c r="R1033" s="10" t="s">
        <v>1438</v>
      </c>
      <c r="S1033" s="8" t="s">
        <v>8691</v>
      </c>
      <c r="T1033" s="10" t="s">
        <v>8482</v>
      </c>
      <c r="U1033" s="10" t="s">
        <v>87</v>
      </c>
      <c r="V1033" s="10" t="s">
        <v>87</v>
      </c>
    </row>
    <row r="1034" spans="1:22" s="10" customFormat="1" x14ac:dyDescent="0.25">
      <c r="A1034" s="10" t="s">
        <v>8692</v>
      </c>
      <c r="B1034" s="10" t="s">
        <v>8473</v>
      </c>
      <c r="C1034" s="11" t="s">
        <v>346</v>
      </c>
      <c r="D1034" s="10" t="s">
        <v>8693</v>
      </c>
      <c r="E1034" s="8" t="s">
        <v>8694</v>
      </c>
      <c r="F1034" s="8" t="s">
        <v>8695</v>
      </c>
      <c r="G1034" s="10" t="s">
        <v>4</v>
      </c>
      <c r="H1034" s="8" t="s">
        <v>8696</v>
      </c>
      <c r="I1034" s="10" t="s">
        <v>8478</v>
      </c>
      <c r="J1034" s="8" t="s">
        <v>8479</v>
      </c>
      <c r="K1034" s="8" t="s">
        <v>1873</v>
      </c>
      <c r="L1034" s="8" t="s">
        <v>87</v>
      </c>
      <c r="M1034" s="10" t="s">
        <v>1456</v>
      </c>
      <c r="N1034" s="8" t="s">
        <v>87</v>
      </c>
      <c r="O1034" s="10" t="s">
        <v>22</v>
      </c>
      <c r="P1034" s="8" t="s">
        <v>8697</v>
      </c>
      <c r="Q1034" s="10" t="s">
        <v>1447</v>
      </c>
      <c r="R1034" s="10" t="s">
        <v>1438</v>
      </c>
      <c r="S1034" s="8" t="s">
        <v>8698</v>
      </c>
      <c r="T1034" s="10" t="s">
        <v>8482</v>
      </c>
      <c r="U1034" s="10" t="s">
        <v>87</v>
      </c>
      <c r="V1034" s="10" t="s">
        <v>87</v>
      </c>
    </row>
    <row r="1035" spans="1:22" s="10" customFormat="1" x14ac:dyDescent="0.25">
      <c r="A1035" s="10" t="s">
        <v>8699</v>
      </c>
      <c r="B1035" s="10" t="s">
        <v>8473</v>
      </c>
      <c r="C1035" s="11" t="s">
        <v>346</v>
      </c>
      <c r="D1035" s="10" t="s">
        <v>8700</v>
      </c>
      <c r="E1035" s="8" t="s">
        <v>8701</v>
      </c>
      <c r="F1035" s="8" t="s">
        <v>8702</v>
      </c>
      <c r="G1035" s="10" t="s">
        <v>4</v>
      </c>
      <c r="H1035" s="8" t="s">
        <v>8703</v>
      </c>
      <c r="I1035" s="10" t="s">
        <v>8478</v>
      </c>
      <c r="J1035" s="8" t="s">
        <v>8479</v>
      </c>
      <c r="K1035" s="8" t="s">
        <v>1873</v>
      </c>
      <c r="L1035" s="8" t="s">
        <v>87</v>
      </c>
      <c r="M1035" s="10" t="s">
        <v>1456</v>
      </c>
      <c r="N1035" s="8" t="s">
        <v>87</v>
      </c>
      <c r="O1035" s="10" t="s">
        <v>22</v>
      </c>
      <c r="P1035" s="8" t="s">
        <v>8704</v>
      </c>
      <c r="Q1035" s="10" t="s">
        <v>1447</v>
      </c>
      <c r="R1035" s="10" t="s">
        <v>1438</v>
      </c>
      <c r="S1035" s="8" t="s">
        <v>8705</v>
      </c>
      <c r="T1035" s="10" t="s">
        <v>8482</v>
      </c>
      <c r="U1035" s="10" t="s">
        <v>87</v>
      </c>
      <c r="V1035" s="10" t="s">
        <v>87</v>
      </c>
    </row>
    <row r="1036" spans="1:22" s="10" customFormat="1" x14ac:dyDescent="0.25">
      <c r="A1036" s="10" t="s">
        <v>8706</v>
      </c>
      <c r="B1036" s="10" t="s">
        <v>8473</v>
      </c>
      <c r="C1036" s="11" t="s">
        <v>346</v>
      </c>
      <c r="D1036" s="10" t="s">
        <v>8707</v>
      </c>
      <c r="E1036" s="8" t="s">
        <v>8708</v>
      </c>
      <c r="F1036" s="8" t="s">
        <v>8709</v>
      </c>
      <c r="G1036" s="10" t="s">
        <v>4</v>
      </c>
      <c r="H1036" s="8" t="s">
        <v>8710</v>
      </c>
      <c r="I1036" s="10" t="s">
        <v>8478</v>
      </c>
      <c r="J1036" s="8" t="s">
        <v>8479</v>
      </c>
      <c r="K1036" s="8" t="s">
        <v>1873</v>
      </c>
      <c r="L1036" s="8" t="s">
        <v>87</v>
      </c>
      <c r="M1036" s="10" t="s">
        <v>1456</v>
      </c>
      <c r="N1036" s="8" t="s">
        <v>87</v>
      </c>
      <c r="O1036" s="10" t="s">
        <v>22</v>
      </c>
      <c r="P1036" s="8" t="s">
        <v>8711</v>
      </c>
      <c r="Q1036" s="10" t="s">
        <v>1447</v>
      </c>
      <c r="R1036" s="10" t="s">
        <v>1438</v>
      </c>
      <c r="S1036" s="8" t="s">
        <v>8712</v>
      </c>
      <c r="T1036" s="10" t="s">
        <v>8482</v>
      </c>
      <c r="U1036" s="10" t="s">
        <v>87</v>
      </c>
      <c r="V1036" s="10" t="s">
        <v>87</v>
      </c>
    </row>
    <row r="1037" spans="1:22" s="10" customFormat="1" x14ac:dyDescent="0.25">
      <c r="A1037" s="10" t="s">
        <v>8713</v>
      </c>
      <c r="B1037" s="10" t="s">
        <v>8473</v>
      </c>
      <c r="C1037" s="11" t="s">
        <v>346</v>
      </c>
      <c r="D1037" s="10" t="s">
        <v>8714</v>
      </c>
      <c r="E1037" s="8" t="s">
        <v>8715</v>
      </c>
      <c r="F1037" s="8" t="s">
        <v>8716</v>
      </c>
      <c r="G1037" s="10" t="s">
        <v>4</v>
      </c>
      <c r="H1037" s="8" t="s">
        <v>8717</v>
      </c>
      <c r="I1037" s="10" t="s">
        <v>8478</v>
      </c>
      <c r="J1037" s="8" t="s">
        <v>8479</v>
      </c>
      <c r="K1037" s="8" t="s">
        <v>1873</v>
      </c>
      <c r="L1037" s="8" t="s">
        <v>87</v>
      </c>
      <c r="M1037" s="10" t="s">
        <v>1456</v>
      </c>
      <c r="N1037" s="8" t="s">
        <v>87</v>
      </c>
      <c r="O1037" s="10" t="s">
        <v>22</v>
      </c>
      <c r="P1037" s="8" t="s">
        <v>8718</v>
      </c>
      <c r="Q1037" s="10" t="s">
        <v>1447</v>
      </c>
      <c r="R1037" s="10" t="s">
        <v>1438</v>
      </c>
      <c r="S1037" s="8" t="s">
        <v>8719</v>
      </c>
      <c r="T1037" s="10" t="s">
        <v>8482</v>
      </c>
      <c r="U1037" s="10" t="s">
        <v>87</v>
      </c>
      <c r="V1037" s="10" t="s">
        <v>87</v>
      </c>
    </row>
    <row r="1038" spans="1:22" s="10" customFormat="1" x14ac:dyDescent="0.25">
      <c r="A1038" s="10" t="s">
        <v>8720</v>
      </c>
      <c r="B1038" s="10" t="s">
        <v>8473</v>
      </c>
      <c r="C1038" s="11" t="s">
        <v>346</v>
      </c>
      <c r="D1038" s="10" t="s">
        <v>8721</v>
      </c>
      <c r="E1038" s="8" t="s">
        <v>8722</v>
      </c>
      <c r="F1038" s="8" t="s">
        <v>8723</v>
      </c>
      <c r="G1038" s="10" t="s">
        <v>4</v>
      </c>
      <c r="H1038" s="8" t="s">
        <v>8724</v>
      </c>
      <c r="I1038" s="10" t="s">
        <v>8478</v>
      </c>
      <c r="J1038" s="8" t="s">
        <v>8479</v>
      </c>
      <c r="K1038" s="8" t="s">
        <v>1873</v>
      </c>
      <c r="L1038" s="8" t="s">
        <v>87</v>
      </c>
      <c r="M1038" s="10" t="s">
        <v>1456</v>
      </c>
      <c r="N1038" s="8" t="s">
        <v>87</v>
      </c>
      <c r="O1038" s="10" t="s">
        <v>22</v>
      </c>
      <c r="P1038" s="8" t="s">
        <v>8725</v>
      </c>
      <c r="Q1038" s="10" t="s">
        <v>1447</v>
      </c>
      <c r="R1038" s="10" t="s">
        <v>1438</v>
      </c>
      <c r="S1038" s="8" t="s">
        <v>8726</v>
      </c>
      <c r="T1038" s="10" t="s">
        <v>8482</v>
      </c>
      <c r="U1038" s="10" t="s">
        <v>87</v>
      </c>
      <c r="V1038" s="10" t="s">
        <v>87</v>
      </c>
    </row>
    <row r="1039" spans="1:22" s="10" customFormat="1" x14ac:dyDescent="0.25">
      <c r="A1039" s="10" t="s">
        <v>8727</v>
      </c>
      <c r="B1039" s="10" t="s">
        <v>8473</v>
      </c>
      <c r="C1039" s="11" t="s">
        <v>346</v>
      </c>
      <c r="D1039" s="10" t="s">
        <v>8728</v>
      </c>
      <c r="E1039" s="8" t="s">
        <v>8729</v>
      </c>
      <c r="F1039" s="8" t="s">
        <v>8730</v>
      </c>
      <c r="G1039" s="10" t="s">
        <v>4</v>
      </c>
      <c r="H1039" s="8" t="s">
        <v>8731</v>
      </c>
      <c r="I1039" s="10" t="s">
        <v>8478</v>
      </c>
      <c r="J1039" s="8" t="s">
        <v>8479</v>
      </c>
      <c r="K1039" s="8" t="s">
        <v>1873</v>
      </c>
      <c r="L1039" s="8" t="s">
        <v>87</v>
      </c>
      <c r="M1039" s="10" t="s">
        <v>1456</v>
      </c>
      <c r="N1039" s="8" t="s">
        <v>87</v>
      </c>
      <c r="O1039" s="10" t="s">
        <v>22</v>
      </c>
      <c r="P1039" s="8" t="s">
        <v>8732</v>
      </c>
      <c r="Q1039" s="10" t="s">
        <v>1447</v>
      </c>
      <c r="R1039" s="10" t="s">
        <v>1438</v>
      </c>
      <c r="S1039" s="8" t="s">
        <v>8733</v>
      </c>
      <c r="T1039" s="10" t="s">
        <v>8482</v>
      </c>
      <c r="U1039" s="10" t="s">
        <v>87</v>
      </c>
      <c r="V1039" s="10" t="s">
        <v>87</v>
      </c>
    </row>
    <row r="1040" spans="1:22" s="10" customFormat="1" x14ac:dyDescent="0.25">
      <c r="A1040" s="10" t="s">
        <v>8734</v>
      </c>
      <c r="B1040" s="10" t="s">
        <v>8473</v>
      </c>
      <c r="C1040" s="11" t="s">
        <v>346</v>
      </c>
      <c r="D1040" s="10" t="s">
        <v>8735</v>
      </c>
      <c r="E1040" s="8" t="s">
        <v>8736</v>
      </c>
      <c r="F1040" s="8" t="s">
        <v>8737</v>
      </c>
      <c r="G1040" s="10" t="s">
        <v>4</v>
      </c>
      <c r="H1040" s="8" t="s">
        <v>8738</v>
      </c>
      <c r="I1040" s="10" t="s">
        <v>8478</v>
      </c>
      <c r="J1040" s="8" t="s">
        <v>8479</v>
      </c>
      <c r="K1040" s="8" t="s">
        <v>1873</v>
      </c>
      <c r="L1040" s="8" t="s">
        <v>87</v>
      </c>
      <c r="M1040" s="10" t="s">
        <v>1456</v>
      </c>
      <c r="N1040" s="8" t="s">
        <v>87</v>
      </c>
      <c r="O1040" s="10" t="s">
        <v>22</v>
      </c>
      <c r="P1040" s="8" t="s">
        <v>8739</v>
      </c>
      <c r="Q1040" s="10" t="s">
        <v>1447</v>
      </c>
      <c r="R1040" s="10" t="s">
        <v>1438</v>
      </c>
      <c r="S1040" s="8" t="s">
        <v>8740</v>
      </c>
      <c r="T1040" s="10" t="s">
        <v>8482</v>
      </c>
      <c r="U1040" s="10" t="s">
        <v>87</v>
      </c>
      <c r="V1040" s="10" t="s">
        <v>87</v>
      </c>
    </row>
    <row r="1041" spans="1:22" s="10" customFormat="1" x14ac:dyDescent="0.25">
      <c r="A1041" s="10" t="s">
        <v>8741</v>
      </c>
      <c r="B1041" s="10" t="s">
        <v>8473</v>
      </c>
      <c r="C1041" s="11" t="s">
        <v>346</v>
      </c>
      <c r="D1041" s="10" t="s">
        <v>8742</v>
      </c>
      <c r="E1041" s="8" t="s">
        <v>8743</v>
      </c>
      <c r="F1041" s="8" t="s">
        <v>8744</v>
      </c>
      <c r="G1041" s="10" t="s">
        <v>4</v>
      </c>
      <c r="H1041" s="8" t="s">
        <v>8745</v>
      </c>
      <c r="I1041" s="10" t="s">
        <v>8478</v>
      </c>
      <c r="J1041" s="8" t="s">
        <v>8479</v>
      </c>
      <c r="K1041" s="8" t="s">
        <v>1873</v>
      </c>
      <c r="L1041" s="8" t="s">
        <v>87</v>
      </c>
      <c r="M1041" s="10" t="s">
        <v>1456</v>
      </c>
      <c r="N1041" s="8" t="s">
        <v>87</v>
      </c>
      <c r="O1041" s="10" t="s">
        <v>22</v>
      </c>
      <c r="P1041" s="8" t="s">
        <v>8746</v>
      </c>
      <c r="Q1041" s="10" t="s">
        <v>1447</v>
      </c>
      <c r="R1041" s="10" t="s">
        <v>1438</v>
      </c>
      <c r="S1041" s="8" t="s">
        <v>8747</v>
      </c>
      <c r="T1041" s="10" t="s">
        <v>8482</v>
      </c>
      <c r="U1041" s="10" t="s">
        <v>87</v>
      </c>
      <c r="V1041" s="10" t="s">
        <v>87</v>
      </c>
    </row>
    <row r="1042" spans="1:22" s="10" customFormat="1" x14ac:dyDescent="0.25">
      <c r="A1042" s="10" t="s">
        <v>8748</v>
      </c>
      <c r="B1042" s="10" t="s">
        <v>8473</v>
      </c>
      <c r="C1042" s="11" t="s">
        <v>346</v>
      </c>
      <c r="D1042" s="10" t="s">
        <v>8749</v>
      </c>
      <c r="E1042" s="8" t="s">
        <v>8750</v>
      </c>
      <c r="F1042" s="8" t="s">
        <v>8751</v>
      </c>
      <c r="G1042" s="10" t="s">
        <v>4</v>
      </c>
      <c r="H1042" s="8" t="s">
        <v>8752</v>
      </c>
      <c r="I1042" s="10" t="s">
        <v>8478</v>
      </c>
      <c r="J1042" s="8" t="s">
        <v>8479</v>
      </c>
      <c r="K1042" s="8" t="s">
        <v>1873</v>
      </c>
      <c r="L1042" s="8" t="s">
        <v>87</v>
      </c>
      <c r="M1042" s="10" t="s">
        <v>1456</v>
      </c>
      <c r="N1042" s="8" t="s">
        <v>87</v>
      </c>
      <c r="O1042" s="10" t="s">
        <v>22</v>
      </c>
      <c r="P1042" s="8" t="s">
        <v>8753</v>
      </c>
      <c r="Q1042" s="10" t="s">
        <v>1447</v>
      </c>
      <c r="R1042" s="10" t="s">
        <v>1438</v>
      </c>
      <c r="S1042" s="8" t="s">
        <v>8754</v>
      </c>
      <c r="T1042" s="10" t="s">
        <v>8482</v>
      </c>
      <c r="U1042" s="10" t="s">
        <v>87</v>
      </c>
      <c r="V1042" s="10" t="s">
        <v>87</v>
      </c>
    </row>
    <row r="1043" spans="1:22" s="10" customFormat="1" x14ac:dyDescent="0.25">
      <c r="A1043" s="10" t="s">
        <v>8755</v>
      </c>
      <c r="B1043" s="10" t="s">
        <v>8473</v>
      </c>
      <c r="C1043" s="11" t="s">
        <v>346</v>
      </c>
      <c r="D1043" s="10" t="s">
        <v>8756</v>
      </c>
      <c r="E1043" s="8" t="s">
        <v>8757</v>
      </c>
      <c r="F1043" s="8" t="s">
        <v>8758</v>
      </c>
      <c r="G1043" s="10" t="s">
        <v>4</v>
      </c>
      <c r="H1043" s="8" t="s">
        <v>8759</v>
      </c>
      <c r="I1043" s="10" t="s">
        <v>8478</v>
      </c>
      <c r="J1043" s="8" t="s">
        <v>8479</v>
      </c>
      <c r="K1043" s="8" t="s">
        <v>8760</v>
      </c>
      <c r="L1043" s="8" t="s">
        <v>8761</v>
      </c>
      <c r="M1043" s="10" t="s">
        <v>1456</v>
      </c>
      <c r="N1043" s="8" t="s">
        <v>87</v>
      </c>
      <c r="O1043" s="10" t="s">
        <v>22</v>
      </c>
      <c r="P1043" s="8" t="s">
        <v>8762</v>
      </c>
      <c r="Q1043" s="10" t="s">
        <v>1447</v>
      </c>
      <c r="R1043" s="10" t="s">
        <v>1438</v>
      </c>
      <c r="S1043" s="8" t="s">
        <v>8763</v>
      </c>
      <c r="T1043" s="10" t="s">
        <v>8482</v>
      </c>
      <c r="U1043" s="10" t="s">
        <v>87</v>
      </c>
      <c r="V1043" s="10" t="s">
        <v>87</v>
      </c>
    </row>
    <row r="1044" spans="1:22" s="10" customFormat="1" x14ac:dyDescent="0.25">
      <c r="A1044" s="10" t="s">
        <v>8764</v>
      </c>
      <c r="B1044" s="10" t="s">
        <v>8473</v>
      </c>
      <c r="C1044" s="11" t="s">
        <v>346</v>
      </c>
      <c r="D1044" s="10" t="s">
        <v>8765</v>
      </c>
      <c r="E1044" s="8" t="s">
        <v>8766</v>
      </c>
      <c r="F1044" s="8" t="s">
        <v>8767</v>
      </c>
      <c r="G1044" s="10" t="s">
        <v>4</v>
      </c>
      <c r="H1044" s="8" t="s">
        <v>8768</v>
      </c>
      <c r="I1044" s="10" t="s">
        <v>8478</v>
      </c>
      <c r="J1044" s="8" t="s">
        <v>8479</v>
      </c>
      <c r="K1044" s="8" t="s">
        <v>1873</v>
      </c>
      <c r="L1044" s="8" t="s">
        <v>7282</v>
      </c>
      <c r="M1044" s="10" t="s">
        <v>1456</v>
      </c>
      <c r="N1044" s="8" t="s">
        <v>87</v>
      </c>
      <c r="O1044" s="10" t="s">
        <v>22</v>
      </c>
      <c r="P1044" s="8" t="s">
        <v>8769</v>
      </c>
      <c r="Q1044" s="10" t="s">
        <v>1447</v>
      </c>
      <c r="R1044" s="10" t="s">
        <v>1438</v>
      </c>
      <c r="S1044" s="8" t="s">
        <v>8770</v>
      </c>
      <c r="T1044" s="10" t="s">
        <v>8482</v>
      </c>
      <c r="U1044" s="10" t="s">
        <v>87</v>
      </c>
      <c r="V1044" s="10" t="s">
        <v>87</v>
      </c>
    </row>
    <row r="1045" spans="1:22" s="10" customFormat="1" x14ac:dyDescent="0.25">
      <c r="A1045" s="10" t="s">
        <v>8771</v>
      </c>
      <c r="B1045" s="10" t="s">
        <v>8473</v>
      </c>
      <c r="C1045" s="11" t="s">
        <v>346</v>
      </c>
      <c r="D1045" s="10" t="s">
        <v>8772</v>
      </c>
      <c r="E1045" s="8" t="s">
        <v>8773</v>
      </c>
      <c r="F1045" s="8" t="s">
        <v>8774</v>
      </c>
      <c r="G1045" s="10" t="s">
        <v>4</v>
      </c>
      <c r="H1045" s="8" t="s">
        <v>8775</v>
      </c>
      <c r="I1045" s="10" t="s">
        <v>8478</v>
      </c>
      <c r="J1045" s="8" t="s">
        <v>8479</v>
      </c>
      <c r="K1045" s="8" t="s">
        <v>1873</v>
      </c>
      <c r="L1045" s="8" t="s">
        <v>87</v>
      </c>
      <c r="M1045" s="10" t="s">
        <v>1456</v>
      </c>
      <c r="N1045" s="8" t="s">
        <v>87</v>
      </c>
      <c r="O1045" s="10" t="s">
        <v>22</v>
      </c>
      <c r="P1045" s="8" t="s">
        <v>8776</v>
      </c>
      <c r="Q1045" s="10" t="s">
        <v>1447</v>
      </c>
      <c r="R1045" s="10" t="s">
        <v>1438</v>
      </c>
      <c r="S1045" s="8" t="s">
        <v>8777</v>
      </c>
      <c r="T1045" s="10" t="s">
        <v>8482</v>
      </c>
      <c r="U1045" s="10" t="s">
        <v>87</v>
      </c>
      <c r="V1045" s="10" t="s">
        <v>87</v>
      </c>
    </row>
    <row r="1046" spans="1:22" s="10" customFormat="1" x14ac:dyDescent="0.25">
      <c r="A1046" s="10" t="s">
        <v>8778</v>
      </c>
      <c r="B1046" s="10" t="s">
        <v>8473</v>
      </c>
      <c r="C1046" s="11" t="s">
        <v>346</v>
      </c>
      <c r="D1046" s="10" t="s">
        <v>8779</v>
      </c>
      <c r="E1046" s="8" t="s">
        <v>8780</v>
      </c>
      <c r="F1046" s="8" t="s">
        <v>8781</v>
      </c>
      <c r="G1046" s="10" t="s">
        <v>4</v>
      </c>
      <c r="H1046" s="8" t="s">
        <v>8782</v>
      </c>
      <c r="I1046" s="10" t="s">
        <v>8478</v>
      </c>
      <c r="J1046" s="8" t="s">
        <v>8479</v>
      </c>
      <c r="K1046" s="8" t="s">
        <v>1873</v>
      </c>
      <c r="L1046" s="8" t="s">
        <v>87</v>
      </c>
      <c r="M1046" s="10" t="s">
        <v>1456</v>
      </c>
      <c r="N1046" s="8" t="s">
        <v>87</v>
      </c>
      <c r="O1046" s="10" t="s">
        <v>22</v>
      </c>
      <c r="P1046" s="8" t="s">
        <v>8783</v>
      </c>
      <c r="Q1046" s="10" t="s">
        <v>1447</v>
      </c>
      <c r="R1046" s="10" t="s">
        <v>1438</v>
      </c>
      <c r="S1046" s="8" t="s">
        <v>8784</v>
      </c>
      <c r="T1046" s="10" t="s">
        <v>8482</v>
      </c>
      <c r="U1046" s="10" t="s">
        <v>87</v>
      </c>
      <c r="V1046" s="10" t="s">
        <v>87</v>
      </c>
    </row>
    <row r="1047" spans="1:22" s="10" customFormat="1" x14ac:dyDescent="0.25">
      <c r="A1047" s="10" t="s">
        <v>8785</v>
      </c>
      <c r="B1047" s="10" t="s">
        <v>8473</v>
      </c>
      <c r="C1047" s="11" t="s">
        <v>346</v>
      </c>
      <c r="D1047" s="10" t="s">
        <v>8786</v>
      </c>
      <c r="E1047" s="8" t="s">
        <v>8787</v>
      </c>
      <c r="F1047" s="8" t="s">
        <v>8788</v>
      </c>
      <c r="G1047" s="10" t="s">
        <v>4</v>
      </c>
      <c r="H1047" s="8" t="s">
        <v>8789</v>
      </c>
      <c r="I1047" s="10" t="s">
        <v>8478</v>
      </c>
      <c r="J1047" s="8" t="s">
        <v>8479</v>
      </c>
      <c r="K1047" s="8" t="s">
        <v>1873</v>
      </c>
      <c r="L1047" s="8" t="s">
        <v>2696</v>
      </c>
      <c r="M1047" s="10" t="s">
        <v>1456</v>
      </c>
      <c r="N1047" s="8" t="s">
        <v>87</v>
      </c>
      <c r="O1047" s="10" t="s">
        <v>22</v>
      </c>
      <c r="P1047" s="8" t="s">
        <v>8790</v>
      </c>
      <c r="Q1047" s="10" t="s">
        <v>1447</v>
      </c>
      <c r="R1047" s="10" t="s">
        <v>1438</v>
      </c>
      <c r="S1047" s="8" t="s">
        <v>8791</v>
      </c>
      <c r="T1047" s="10" t="s">
        <v>8482</v>
      </c>
      <c r="U1047" s="10" t="s">
        <v>87</v>
      </c>
      <c r="V1047" s="10" t="s">
        <v>87</v>
      </c>
    </row>
    <row r="1048" spans="1:22" s="10" customFormat="1" x14ac:dyDescent="0.25">
      <c r="A1048" s="10" t="s">
        <v>8792</v>
      </c>
      <c r="B1048" s="10" t="s">
        <v>8473</v>
      </c>
      <c r="C1048" s="11" t="s">
        <v>346</v>
      </c>
      <c r="D1048" s="10" t="s">
        <v>8793</v>
      </c>
      <c r="E1048" s="8" t="s">
        <v>8794</v>
      </c>
      <c r="F1048" s="8" t="s">
        <v>8795</v>
      </c>
      <c r="G1048" s="10" t="s">
        <v>4</v>
      </c>
      <c r="H1048" s="8" t="s">
        <v>8796</v>
      </c>
      <c r="I1048" s="10" t="s">
        <v>8478</v>
      </c>
      <c r="J1048" s="8" t="s">
        <v>8479</v>
      </c>
      <c r="K1048" s="8" t="s">
        <v>1873</v>
      </c>
      <c r="L1048" s="8" t="s">
        <v>87</v>
      </c>
      <c r="M1048" s="10" t="s">
        <v>1456</v>
      </c>
      <c r="N1048" s="8" t="s">
        <v>87</v>
      </c>
      <c r="O1048" s="10" t="s">
        <v>22</v>
      </c>
      <c r="P1048" s="8" t="s">
        <v>8797</v>
      </c>
      <c r="Q1048" s="10" t="s">
        <v>1447</v>
      </c>
      <c r="R1048" s="10" t="s">
        <v>1438</v>
      </c>
      <c r="S1048" s="8" t="s">
        <v>8798</v>
      </c>
      <c r="T1048" s="10" t="s">
        <v>8482</v>
      </c>
      <c r="U1048" s="10" t="s">
        <v>87</v>
      </c>
      <c r="V1048" s="10" t="s">
        <v>87</v>
      </c>
    </row>
    <row r="1049" spans="1:22" s="10" customFormat="1" x14ac:dyDescent="0.25">
      <c r="A1049" s="10" t="s">
        <v>8799</v>
      </c>
      <c r="B1049" s="10" t="s">
        <v>8473</v>
      </c>
      <c r="C1049" s="11" t="s">
        <v>346</v>
      </c>
      <c r="D1049" s="10" t="s">
        <v>8800</v>
      </c>
      <c r="E1049" s="8" t="s">
        <v>8801</v>
      </c>
      <c r="F1049" s="8" t="s">
        <v>8802</v>
      </c>
      <c r="G1049" s="10" t="s">
        <v>4</v>
      </c>
      <c r="H1049" s="8" t="s">
        <v>8803</v>
      </c>
      <c r="I1049" s="10" t="s">
        <v>8478</v>
      </c>
      <c r="J1049" s="8" t="s">
        <v>8479</v>
      </c>
      <c r="K1049" s="8" t="s">
        <v>1873</v>
      </c>
      <c r="L1049" s="8" t="s">
        <v>87</v>
      </c>
      <c r="M1049" s="10" t="s">
        <v>1456</v>
      </c>
      <c r="N1049" s="8" t="s">
        <v>87</v>
      </c>
      <c r="O1049" s="10" t="s">
        <v>22</v>
      </c>
      <c r="P1049" s="8" t="s">
        <v>8804</v>
      </c>
      <c r="Q1049" s="10" t="s">
        <v>1447</v>
      </c>
      <c r="R1049" s="10" t="s">
        <v>1438</v>
      </c>
      <c r="S1049" s="8" t="s">
        <v>8805</v>
      </c>
      <c r="T1049" s="10" t="s">
        <v>8482</v>
      </c>
      <c r="U1049" s="10" t="s">
        <v>87</v>
      </c>
      <c r="V1049" s="10" t="s">
        <v>87</v>
      </c>
    </row>
    <row r="1050" spans="1:22" s="10" customFormat="1" x14ac:dyDescent="0.25">
      <c r="A1050" s="10" t="s">
        <v>8806</v>
      </c>
      <c r="B1050" s="10" t="s">
        <v>8473</v>
      </c>
      <c r="C1050" s="11" t="s">
        <v>346</v>
      </c>
      <c r="D1050" s="10" t="s">
        <v>8807</v>
      </c>
      <c r="E1050" s="8" t="s">
        <v>8808</v>
      </c>
      <c r="F1050" s="8" t="s">
        <v>8809</v>
      </c>
      <c r="G1050" s="10" t="s">
        <v>3</v>
      </c>
      <c r="H1050" s="8" t="s">
        <v>8810</v>
      </c>
      <c r="I1050" s="10" t="s">
        <v>8478</v>
      </c>
      <c r="J1050" s="8" t="s">
        <v>8479</v>
      </c>
      <c r="K1050" s="8" t="s">
        <v>1435</v>
      </c>
      <c r="L1050" s="8" t="s">
        <v>87</v>
      </c>
      <c r="M1050" s="10" t="s">
        <v>1436</v>
      </c>
      <c r="N1050" s="8" t="s">
        <v>87</v>
      </c>
      <c r="O1050" s="10" t="s">
        <v>22</v>
      </c>
      <c r="P1050" s="8" t="s">
        <v>8811</v>
      </c>
      <c r="Q1050" s="10" t="s">
        <v>1447</v>
      </c>
      <c r="R1050" s="10" t="s">
        <v>1438</v>
      </c>
      <c r="S1050" s="8" t="s">
        <v>8517</v>
      </c>
      <c r="T1050" s="10" t="s">
        <v>8482</v>
      </c>
      <c r="U1050" s="10" t="s">
        <v>87</v>
      </c>
      <c r="V1050" s="10" t="s">
        <v>87</v>
      </c>
    </row>
    <row r="1051" spans="1:22" s="10" customFormat="1" x14ac:dyDescent="0.25">
      <c r="A1051" s="10" t="s">
        <v>8812</v>
      </c>
      <c r="B1051" s="10" t="s">
        <v>8473</v>
      </c>
      <c r="C1051" s="11" t="s">
        <v>346</v>
      </c>
      <c r="D1051" s="10" t="s">
        <v>8813</v>
      </c>
      <c r="E1051" s="8" t="s">
        <v>8814</v>
      </c>
      <c r="F1051" s="8" t="s">
        <v>8815</v>
      </c>
      <c r="G1051" s="10" t="s">
        <v>4</v>
      </c>
      <c r="H1051" s="8" t="s">
        <v>8816</v>
      </c>
      <c r="I1051" s="10" t="s">
        <v>8478</v>
      </c>
      <c r="J1051" s="8" t="s">
        <v>8479</v>
      </c>
      <c r="K1051" s="8" t="s">
        <v>8817</v>
      </c>
      <c r="L1051" s="8" t="s">
        <v>87</v>
      </c>
      <c r="M1051" s="10" t="s">
        <v>1456</v>
      </c>
      <c r="N1051" s="8" t="s">
        <v>87</v>
      </c>
      <c r="O1051" s="10" t="s">
        <v>22</v>
      </c>
      <c r="P1051" s="8" t="s">
        <v>8818</v>
      </c>
      <c r="Q1051" s="10" t="s">
        <v>1447</v>
      </c>
      <c r="R1051" s="10" t="s">
        <v>1438</v>
      </c>
      <c r="S1051" s="8" t="s">
        <v>8819</v>
      </c>
      <c r="T1051" s="10" t="s">
        <v>8482</v>
      </c>
      <c r="U1051" s="10" t="s">
        <v>87</v>
      </c>
      <c r="V1051" s="10" t="s">
        <v>87</v>
      </c>
    </row>
    <row r="1052" spans="1:22" s="10" customFormat="1" x14ac:dyDescent="0.25">
      <c r="A1052" s="10" t="s">
        <v>8820</v>
      </c>
      <c r="B1052" s="10" t="s">
        <v>8473</v>
      </c>
      <c r="C1052" s="11" t="s">
        <v>346</v>
      </c>
      <c r="D1052" s="10" t="s">
        <v>8821</v>
      </c>
      <c r="E1052" s="8" t="s">
        <v>8822</v>
      </c>
      <c r="F1052" s="8" t="s">
        <v>8823</v>
      </c>
      <c r="G1052" s="10" t="s">
        <v>3</v>
      </c>
      <c r="H1052" s="8" t="s">
        <v>8824</v>
      </c>
      <c r="I1052" s="10" t="s">
        <v>8478</v>
      </c>
      <c r="J1052" s="8" t="s">
        <v>8479</v>
      </c>
      <c r="K1052" s="8" t="s">
        <v>1435</v>
      </c>
      <c r="L1052" s="8" t="s">
        <v>87</v>
      </c>
      <c r="M1052" s="10" t="s">
        <v>1436</v>
      </c>
      <c r="N1052" s="8" t="s">
        <v>87</v>
      </c>
      <c r="O1052" s="10" t="s">
        <v>22</v>
      </c>
      <c r="P1052" s="8" t="s">
        <v>8825</v>
      </c>
      <c r="Q1052" s="10" t="s">
        <v>1447</v>
      </c>
      <c r="R1052" s="10" t="s">
        <v>1438</v>
      </c>
      <c r="S1052" s="8" t="s">
        <v>8517</v>
      </c>
      <c r="T1052" s="10" t="s">
        <v>8482</v>
      </c>
      <c r="U1052" s="10" t="s">
        <v>87</v>
      </c>
      <c r="V1052" s="10" t="s">
        <v>87</v>
      </c>
    </row>
    <row r="1053" spans="1:22" s="10" customFormat="1" x14ac:dyDescent="0.25">
      <c r="A1053" s="10" t="s">
        <v>8826</v>
      </c>
      <c r="B1053" s="10" t="s">
        <v>8473</v>
      </c>
      <c r="C1053" s="11" t="s">
        <v>346</v>
      </c>
      <c r="D1053" s="10" t="s">
        <v>8827</v>
      </c>
      <c r="E1053" s="8" t="s">
        <v>8828</v>
      </c>
      <c r="F1053" s="8" t="s">
        <v>8829</v>
      </c>
      <c r="G1053" s="10" t="s">
        <v>4</v>
      </c>
      <c r="H1053" s="8" t="s">
        <v>8830</v>
      </c>
      <c r="I1053" s="10" t="s">
        <v>357</v>
      </c>
      <c r="J1053" s="8" t="s">
        <v>8479</v>
      </c>
      <c r="K1053" s="8" t="s">
        <v>1873</v>
      </c>
      <c r="L1053" s="8" t="s">
        <v>87</v>
      </c>
      <c r="M1053" s="10" t="s">
        <v>1456</v>
      </c>
      <c r="N1053" s="8" t="s">
        <v>87</v>
      </c>
      <c r="O1053" s="10" t="s">
        <v>22</v>
      </c>
      <c r="P1053" s="8" t="s">
        <v>8831</v>
      </c>
      <c r="Q1053" s="10" t="s">
        <v>1447</v>
      </c>
      <c r="R1053" s="10" t="s">
        <v>1438</v>
      </c>
      <c r="S1053" s="8" t="s">
        <v>8832</v>
      </c>
      <c r="T1053" s="10" t="s">
        <v>8482</v>
      </c>
      <c r="U1053" s="10" t="s">
        <v>87</v>
      </c>
      <c r="V1053" s="10" t="s">
        <v>87</v>
      </c>
    </row>
    <row r="1054" spans="1:22" s="10" customFormat="1" x14ac:dyDescent="0.25">
      <c r="A1054" s="10" t="s">
        <v>8833</v>
      </c>
      <c r="B1054" s="10" t="s">
        <v>8473</v>
      </c>
      <c r="C1054" s="11" t="s">
        <v>346</v>
      </c>
      <c r="D1054" s="10" t="s">
        <v>8834</v>
      </c>
      <c r="E1054" s="8" t="s">
        <v>8835</v>
      </c>
      <c r="F1054" s="8" t="s">
        <v>8836</v>
      </c>
      <c r="G1054" s="10" t="s">
        <v>3</v>
      </c>
      <c r="H1054" s="8" t="s">
        <v>8837</v>
      </c>
      <c r="I1054" s="10" t="s">
        <v>357</v>
      </c>
      <c r="J1054" s="8" t="s">
        <v>8479</v>
      </c>
      <c r="K1054" s="8" t="s">
        <v>1435</v>
      </c>
      <c r="L1054" s="8" t="s">
        <v>87</v>
      </c>
      <c r="M1054" s="10" t="s">
        <v>1436</v>
      </c>
      <c r="N1054" s="8" t="s">
        <v>87</v>
      </c>
      <c r="O1054" s="10" t="s">
        <v>22</v>
      </c>
      <c r="P1054" s="8" t="s">
        <v>8838</v>
      </c>
      <c r="Q1054" s="10" t="s">
        <v>1447</v>
      </c>
      <c r="R1054" s="10" t="s">
        <v>1438</v>
      </c>
      <c r="S1054" s="8" t="s">
        <v>8839</v>
      </c>
      <c r="T1054" s="10" t="s">
        <v>8482</v>
      </c>
      <c r="U1054" s="10" t="s">
        <v>87</v>
      </c>
      <c r="V1054" s="10" t="s">
        <v>87</v>
      </c>
    </row>
    <row r="1055" spans="1:22" s="10" customFormat="1" x14ac:dyDescent="0.25">
      <c r="A1055" s="10" t="s">
        <v>8840</v>
      </c>
      <c r="B1055" s="10" t="s">
        <v>8473</v>
      </c>
      <c r="C1055" s="11" t="s">
        <v>346</v>
      </c>
      <c r="D1055" s="10" t="s">
        <v>8841</v>
      </c>
      <c r="E1055" s="8" t="s">
        <v>8842</v>
      </c>
      <c r="F1055" s="8" t="s">
        <v>8843</v>
      </c>
      <c r="G1055" s="10" t="s">
        <v>3</v>
      </c>
      <c r="H1055" s="8" t="s">
        <v>8844</v>
      </c>
      <c r="I1055" s="10" t="s">
        <v>357</v>
      </c>
      <c r="J1055" s="8" t="s">
        <v>8479</v>
      </c>
      <c r="K1055" s="8" t="s">
        <v>1435</v>
      </c>
      <c r="L1055" s="8" t="s">
        <v>87</v>
      </c>
      <c r="M1055" s="10" t="s">
        <v>1436</v>
      </c>
      <c r="N1055" s="8" t="s">
        <v>87</v>
      </c>
      <c r="O1055" s="10" t="s">
        <v>22</v>
      </c>
      <c r="P1055" s="8" t="s">
        <v>8845</v>
      </c>
      <c r="Q1055" s="10" t="s">
        <v>1447</v>
      </c>
      <c r="R1055" s="10" t="s">
        <v>1438</v>
      </c>
      <c r="S1055" s="8" t="s">
        <v>8846</v>
      </c>
      <c r="T1055" s="10" t="s">
        <v>8482</v>
      </c>
      <c r="U1055" s="10" t="s">
        <v>87</v>
      </c>
      <c r="V1055" s="10" t="s">
        <v>87</v>
      </c>
    </row>
    <row r="1056" spans="1:22" s="10" customFormat="1" x14ac:dyDescent="0.25">
      <c r="A1056" s="10" t="s">
        <v>8847</v>
      </c>
      <c r="B1056" s="10" t="s">
        <v>8473</v>
      </c>
      <c r="C1056" s="11" t="s">
        <v>346</v>
      </c>
      <c r="D1056" s="10" t="s">
        <v>8848</v>
      </c>
      <c r="E1056" s="8" t="s">
        <v>8849</v>
      </c>
      <c r="F1056" s="8" t="s">
        <v>8850</v>
      </c>
      <c r="G1056" s="10" t="s">
        <v>4</v>
      </c>
      <c r="H1056" s="8" t="s">
        <v>8844</v>
      </c>
      <c r="I1056" s="10" t="s">
        <v>357</v>
      </c>
      <c r="J1056" s="8" t="s">
        <v>8479</v>
      </c>
      <c r="K1056" s="8" t="s">
        <v>1873</v>
      </c>
      <c r="L1056" s="8" t="s">
        <v>87</v>
      </c>
      <c r="M1056" s="10" t="s">
        <v>1456</v>
      </c>
      <c r="N1056" s="8" t="s">
        <v>87</v>
      </c>
      <c r="O1056" s="10" t="s">
        <v>22</v>
      </c>
      <c r="P1056" s="8" t="s">
        <v>8851</v>
      </c>
      <c r="Q1056" s="10" t="s">
        <v>1447</v>
      </c>
      <c r="R1056" s="10" t="s">
        <v>1438</v>
      </c>
      <c r="S1056" s="8" t="s">
        <v>8852</v>
      </c>
      <c r="T1056" s="10" t="s">
        <v>8482</v>
      </c>
      <c r="U1056" s="10" t="s">
        <v>87</v>
      </c>
      <c r="V1056" s="10" t="s">
        <v>87</v>
      </c>
    </row>
    <row r="1057" spans="1:22" s="10" customFormat="1" x14ac:dyDescent="0.25">
      <c r="A1057" s="10" t="s">
        <v>8853</v>
      </c>
      <c r="B1057" s="10" t="s">
        <v>8473</v>
      </c>
      <c r="C1057" s="11" t="s">
        <v>346</v>
      </c>
      <c r="D1057" s="10" t="s">
        <v>8854</v>
      </c>
      <c r="E1057" s="8" t="s">
        <v>8855</v>
      </c>
      <c r="F1057" s="8" t="s">
        <v>8856</v>
      </c>
      <c r="G1057" s="10" t="s">
        <v>4</v>
      </c>
      <c r="H1057" s="8" t="s">
        <v>8857</v>
      </c>
      <c r="I1057" s="10" t="s">
        <v>8858</v>
      </c>
      <c r="J1057" s="8" t="s">
        <v>8479</v>
      </c>
      <c r="K1057" s="8" t="s">
        <v>1873</v>
      </c>
      <c r="L1057" s="8" t="s">
        <v>87</v>
      </c>
      <c r="M1057" s="10" t="s">
        <v>1456</v>
      </c>
      <c r="N1057" s="8" t="s">
        <v>87</v>
      </c>
      <c r="O1057" s="10" t="s">
        <v>22</v>
      </c>
      <c r="P1057" s="8" t="s">
        <v>8859</v>
      </c>
      <c r="Q1057" s="10" t="s">
        <v>1447</v>
      </c>
      <c r="R1057" s="10" t="s">
        <v>1438</v>
      </c>
      <c r="S1057" s="8" t="s">
        <v>8860</v>
      </c>
      <c r="T1057" s="10" t="s">
        <v>8482</v>
      </c>
      <c r="U1057" s="10" t="s">
        <v>87</v>
      </c>
      <c r="V1057" s="10" t="s">
        <v>87</v>
      </c>
    </row>
  </sheetData>
  <autoFilter ref="A1:V1057"/>
  <conditionalFormatting sqref="G2:G1057">
    <cfRule type="cellIs" dxfId="14" priority="1" operator="equal">
      <formula>"PASS"</formula>
    </cfRule>
    <cfRule type="cellIs" dxfId="15" priority="2" operator="equal">
      <formula>"FAIL"</formula>
    </cfRule>
    <cfRule type="cellIs" dxfId="16" priority="3" operator="equal">
      <formula>"BLOCKED"</formula>
    </cfRule>
  </conditionalFormatting>
  <conditionalFormatting sqref="A2:V1057">
    <cfRule type="expression" dxfId="17" priority="10">
      <formula>$G2="FAIL"</formula>
    </cfRule>
  </conditionalFormatting>
  <dataValidations count="8">
    <dataValidation type="list" allowBlank="1" showErrorMessage="1" errorStyle="warning" errorTitle="Not a valid value" error="Choose one of: P1, P2, P3" sqref="C10:C1057">
      <formula1>"P1,P2,P3"</formula1>
    </dataValidation>
    <dataValidation type="list" allowBlank="1" showErrorMessage="1" errorStyle="warning" errorTitle="Not a valid value" error="Choose one of: P1, P2, P3" sqref="C2:C1057">
      <formula1>"P1,P2,P3"</formula1>
    </dataValidation>
    <dataValidation type="list" allowBlank="1" showErrorMessage="1" errorStyle="warning" errorTitle="Not a valid value" error="Choose one of: PASS, FAIL, BLOCKED, N/A" sqref="G10:G1057">
      <formula1>"PASS,FAIL,BLOCKED,N/A"</formula1>
    </dataValidation>
    <dataValidation type="list" allowBlank="1" showErrorMessage="1" errorStyle="warning" errorTitle="Not a valid value" error="Choose one of: PASS, FAIL, BLOCKED, N/A" sqref="G2:G1057">
      <formula1>"PASS,FAIL,BLOCKED,N/A"</formula1>
    </dataValidation>
    <dataValidation type="list" allowBlank="1" showErrorMessage="1" errorStyle="warning" errorTitle="Not a valid value" error="Choose one of: Y, N" sqref="M10:M1057">
      <formula1>"Y,N"</formula1>
    </dataValidation>
    <dataValidation type="list" allowBlank="1" showErrorMessage="1" errorStyle="warning" errorTitle="Not a valid value" error="Choose one of: Y, N" sqref="M2:M1057">
      <formula1>"Y,N"</formula1>
    </dataValidation>
    <dataValidation type="list" allowBlank="1" showErrorMessage="1" errorStyle="warning" errorTitle="Not a valid value" error="Choose one of: Positive, Negative, Boundary, RBAC, Cross-Module" sqref="Q10:Q1057">
      <formula1>"Positive,Negative,Boundary,RBAC,Cross-Module"</formula1>
    </dataValidation>
    <dataValidation type="list" allowBlank="1" showErrorMessage="1" errorStyle="warning" errorTitle="Not a valid value" error="Choose one of: Positive, Negative, Boundary, RBAC, Cross-Module" sqref="Q2:Q1057">
      <formula1>"Positive,Negative,Boundary,RBAC,Cross-Module"</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1"/>
  <sheetViews>
    <sheetView workbookViewId="0">
      <pane xSplit="1" ySplit="1" topLeftCell="B2" activePane="bottomRight" state="frozen"/>
      <selection pane="bottomRight"/>
    </sheetView>
  </sheetViews>
  <sheetFormatPr defaultRowHeight="18" outlineLevelRow="0" outlineLevelCol="0" x14ac:dyDescent="55" customHeight="1"/>
  <cols>
    <col min="1" max="1" width="16" customWidth="1"/>
    <col min="2" max="2" width="20" customWidth="1"/>
    <col min="4" max="4" width="46" customWidth="1"/>
    <col min="5" max="5" width="68" customWidth="1"/>
    <col min="6" max="6" width="52" customWidth="1"/>
    <col min="7" max="7" width="15" customWidth="1"/>
    <col min="8" max="8" width="30" customWidth="1"/>
    <col min="9" max="9" width="22" customWidth="1"/>
    <col min="10" max="10" width="30" customWidth="1"/>
    <col min="11" max="12" width="46" customWidth="1"/>
    <col min="13" max="13" width="13" customWidth="1"/>
    <col min="14" max="14" width="36" customWidth="1"/>
    <col min="15" max="15" width="16" customWidth="1"/>
    <col min="16" max="16" width="68" customWidth="1"/>
    <col min="17" max="17" width="12" customWidth="1"/>
    <col min="18" max="18" width="20" customWidth="1"/>
    <col min="19" max="19" width="40" customWidth="1"/>
    <col min="20" max="20" width="48" customWidth="1"/>
    <col min="21" max="21" width="14" customWidth="1"/>
    <col min="22" max="22" width="18" customWidth="1"/>
  </cols>
  <sheetData>
    <row r="1" ht="34" customHeight="1" spans="1:22" x14ac:dyDescent="0.25">
      <c r="A1" s="1" t="s">
        <v>192</v>
      </c>
      <c r="B1" s="1" t="s">
        <v>193</v>
      </c>
      <c r="C1" s="1" t="s">
        <v>194</v>
      </c>
      <c r="D1" s="1" t="s">
        <v>195</v>
      </c>
      <c r="E1" s="1" t="s">
        <v>196</v>
      </c>
      <c r="F1" s="1" t="s">
        <v>197</v>
      </c>
      <c r="G1" s="1" t="s">
        <v>198</v>
      </c>
      <c r="H1" s="1" t="s">
        <v>199</v>
      </c>
      <c r="I1" s="1" t="s">
        <v>200</v>
      </c>
      <c r="J1" s="1" t="s">
        <v>201</v>
      </c>
      <c r="K1" s="1" t="s">
        <v>202</v>
      </c>
      <c r="L1" s="1" t="s">
        <v>203</v>
      </c>
      <c r="M1" s="1" t="s">
        <v>204</v>
      </c>
      <c r="N1" s="1" t="s">
        <v>205</v>
      </c>
      <c r="O1" s="1" t="s">
        <v>19</v>
      </c>
      <c r="P1" s="1" t="s">
        <v>206</v>
      </c>
      <c r="Q1" s="1" t="s">
        <v>207</v>
      </c>
      <c r="R1" s="1" t="s">
        <v>208</v>
      </c>
      <c r="S1" s="1" t="s">
        <v>209</v>
      </c>
      <c r="T1" s="1" t="s">
        <v>210</v>
      </c>
      <c r="U1" s="1" t="s">
        <v>211</v>
      </c>
      <c r="V1" s="1" t="s">
        <v>212</v>
      </c>
    </row>
    <row r="2" spans="1:22" s="10" customFormat="1" x14ac:dyDescent="0.25">
      <c r="A2" s="10" t="s">
        <v>8861</v>
      </c>
      <c r="B2" s="10" t="s">
        <v>8862</v>
      </c>
      <c r="C2" s="10" t="s">
        <v>215</v>
      </c>
      <c r="D2" s="10" t="s">
        <v>8863</v>
      </c>
      <c r="E2" s="8" t="s">
        <v>8864</v>
      </c>
      <c r="F2" s="8" t="s">
        <v>8865</v>
      </c>
      <c r="G2" s="10" t="s">
        <v>3</v>
      </c>
      <c r="H2" s="8" t="s">
        <v>220</v>
      </c>
      <c r="I2" s="10" t="s">
        <v>87</v>
      </c>
      <c r="J2" s="8" t="s">
        <v>8866</v>
      </c>
      <c r="K2" s="8" t="s">
        <v>1435</v>
      </c>
      <c r="L2" s="8" t="s">
        <v>87</v>
      </c>
      <c r="M2" s="10" t="s">
        <v>1436</v>
      </c>
      <c r="N2" s="8" t="s">
        <v>87</v>
      </c>
      <c r="O2" s="10" t="s">
        <v>23</v>
      </c>
      <c r="P2" s="8" t="s">
        <v>8867</v>
      </c>
      <c r="Q2" s="10" t="s">
        <v>223</v>
      </c>
      <c r="R2" s="10" t="s">
        <v>1438</v>
      </c>
      <c r="S2" s="8" t="s">
        <v>220</v>
      </c>
      <c r="T2" s="10" t="s">
        <v>8868</v>
      </c>
      <c r="U2" s="10" t="s">
        <v>87</v>
      </c>
      <c r="V2" s="10" t="s">
        <v>87</v>
      </c>
    </row>
    <row r="3" spans="1:22" s="10" customFormat="1" x14ac:dyDescent="0.25">
      <c r="A3" s="10" t="s">
        <v>8869</v>
      </c>
      <c r="B3" s="10" t="s">
        <v>8862</v>
      </c>
      <c r="C3" s="10" t="s">
        <v>215</v>
      </c>
      <c r="D3" s="10" t="s">
        <v>8870</v>
      </c>
      <c r="E3" s="8" t="s">
        <v>8871</v>
      </c>
      <c r="F3" s="8" t="s">
        <v>8872</v>
      </c>
      <c r="G3" s="10" t="s">
        <v>3</v>
      </c>
      <c r="H3" s="8" t="s">
        <v>220</v>
      </c>
      <c r="I3" s="10" t="s">
        <v>87</v>
      </c>
      <c r="J3" s="8" t="s">
        <v>220</v>
      </c>
      <c r="K3" s="8" t="s">
        <v>1435</v>
      </c>
      <c r="L3" s="8" t="s">
        <v>87</v>
      </c>
      <c r="M3" s="10" t="s">
        <v>1436</v>
      </c>
      <c r="N3" s="8" t="s">
        <v>87</v>
      </c>
      <c r="O3" s="10" t="s">
        <v>23</v>
      </c>
      <c r="P3" s="8" t="s">
        <v>8873</v>
      </c>
      <c r="Q3" s="10" t="s">
        <v>223</v>
      </c>
      <c r="R3" s="10" t="s">
        <v>1438</v>
      </c>
      <c r="S3" s="8" t="s">
        <v>220</v>
      </c>
      <c r="T3" s="10" t="s">
        <v>8868</v>
      </c>
      <c r="U3" s="10" t="s">
        <v>87</v>
      </c>
      <c r="V3" s="10" t="s">
        <v>87</v>
      </c>
    </row>
    <row r="4" spans="1:22" s="10" customFormat="1" x14ac:dyDescent="0.25">
      <c r="A4" s="10" t="s">
        <v>8874</v>
      </c>
      <c r="B4" s="10" t="s">
        <v>8862</v>
      </c>
      <c r="C4" s="11" t="s">
        <v>346</v>
      </c>
      <c r="D4" s="10" t="s">
        <v>8875</v>
      </c>
      <c r="E4" s="8" t="s">
        <v>8876</v>
      </c>
      <c r="F4" s="8" t="s">
        <v>8877</v>
      </c>
      <c r="G4" s="10" t="s">
        <v>3</v>
      </c>
      <c r="H4" s="8" t="s">
        <v>8878</v>
      </c>
      <c r="I4" s="10" t="s">
        <v>4043</v>
      </c>
      <c r="J4" s="8" t="s">
        <v>8879</v>
      </c>
      <c r="K4" s="8" t="s">
        <v>1435</v>
      </c>
      <c r="L4" s="8" t="s">
        <v>87</v>
      </c>
      <c r="M4" s="10" t="s">
        <v>1436</v>
      </c>
      <c r="N4" s="8" t="s">
        <v>87</v>
      </c>
      <c r="O4" s="10" t="s">
        <v>23</v>
      </c>
      <c r="P4" s="8" t="s">
        <v>8880</v>
      </c>
      <c r="Q4" s="10" t="s">
        <v>223</v>
      </c>
      <c r="R4" s="10" t="s">
        <v>1438</v>
      </c>
      <c r="S4" s="8" t="s">
        <v>8881</v>
      </c>
      <c r="T4" s="10" t="s">
        <v>8868</v>
      </c>
      <c r="U4" s="10" t="s">
        <v>87</v>
      </c>
      <c r="V4" s="10" t="s">
        <v>87</v>
      </c>
    </row>
    <row r="5" spans="1:22" s="10" customFormat="1" x14ac:dyDescent="0.25">
      <c r="A5" s="10" t="s">
        <v>8882</v>
      </c>
      <c r="B5" s="10" t="s">
        <v>8862</v>
      </c>
      <c r="C5" s="10" t="s">
        <v>215</v>
      </c>
      <c r="D5" s="10" t="s">
        <v>8883</v>
      </c>
      <c r="E5" s="8" t="s">
        <v>8884</v>
      </c>
      <c r="F5" s="8" t="s">
        <v>8885</v>
      </c>
      <c r="G5" s="10" t="s">
        <v>3</v>
      </c>
      <c r="H5" s="8" t="s">
        <v>8886</v>
      </c>
      <c r="I5" s="10" t="s">
        <v>87</v>
      </c>
      <c r="J5" s="8" t="s">
        <v>8887</v>
      </c>
      <c r="K5" s="8" t="s">
        <v>1435</v>
      </c>
      <c r="L5" s="8" t="s">
        <v>87</v>
      </c>
      <c r="M5" s="10" t="s">
        <v>1436</v>
      </c>
      <c r="N5" s="8" t="s">
        <v>87</v>
      </c>
      <c r="O5" s="10" t="s">
        <v>23</v>
      </c>
      <c r="P5" s="8" t="s">
        <v>8888</v>
      </c>
      <c r="Q5" s="10" t="s">
        <v>223</v>
      </c>
      <c r="R5" s="10" t="s">
        <v>1438</v>
      </c>
      <c r="S5" s="8" t="s">
        <v>8889</v>
      </c>
      <c r="T5" s="10" t="s">
        <v>8868</v>
      </c>
      <c r="U5" s="10" t="s">
        <v>87</v>
      </c>
      <c r="V5" s="10" t="s">
        <v>87</v>
      </c>
    </row>
    <row r="6" spans="1:22" s="10" customFormat="1" x14ac:dyDescent="0.25">
      <c r="A6" s="10" t="s">
        <v>8890</v>
      </c>
      <c r="B6" s="10" t="s">
        <v>8862</v>
      </c>
      <c r="C6" s="11" t="s">
        <v>346</v>
      </c>
      <c r="D6" s="10" t="s">
        <v>8891</v>
      </c>
      <c r="E6" s="8" t="s">
        <v>8892</v>
      </c>
      <c r="F6" s="8" t="s">
        <v>8893</v>
      </c>
      <c r="G6" s="10" t="s">
        <v>3</v>
      </c>
      <c r="H6" s="8" t="s">
        <v>8894</v>
      </c>
      <c r="I6" s="10" t="s">
        <v>87</v>
      </c>
      <c r="J6" s="8" t="s">
        <v>220</v>
      </c>
      <c r="K6" s="8" t="s">
        <v>1435</v>
      </c>
      <c r="L6" s="8" t="s">
        <v>87</v>
      </c>
      <c r="M6" s="10" t="s">
        <v>1436</v>
      </c>
      <c r="N6" s="8" t="s">
        <v>87</v>
      </c>
      <c r="O6" s="10" t="s">
        <v>23</v>
      </c>
      <c r="P6" s="8" t="s">
        <v>8895</v>
      </c>
      <c r="Q6" s="10" t="s">
        <v>246</v>
      </c>
      <c r="R6" s="10" t="s">
        <v>1438</v>
      </c>
      <c r="S6" s="8" t="s">
        <v>8896</v>
      </c>
      <c r="T6" s="10" t="s">
        <v>8868</v>
      </c>
      <c r="U6" s="10" t="s">
        <v>87</v>
      </c>
      <c r="V6" s="10" t="s">
        <v>87</v>
      </c>
    </row>
    <row r="7" spans="1:22" s="10" customFormat="1" x14ac:dyDescent="0.25">
      <c r="A7" s="10" t="s">
        <v>8897</v>
      </c>
      <c r="B7" s="10" t="s">
        <v>8862</v>
      </c>
      <c r="C7" s="10" t="s">
        <v>215</v>
      </c>
      <c r="D7" s="10" t="s">
        <v>8898</v>
      </c>
      <c r="E7" s="8" t="s">
        <v>8899</v>
      </c>
      <c r="F7" s="8" t="s">
        <v>8900</v>
      </c>
      <c r="G7" s="10" t="s">
        <v>3</v>
      </c>
      <c r="H7" s="8" t="s">
        <v>220</v>
      </c>
      <c r="I7" s="10" t="s">
        <v>87</v>
      </c>
      <c r="J7" s="8" t="s">
        <v>8901</v>
      </c>
      <c r="K7" s="8" t="s">
        <v>1435</v>
      </c>
      <c r="L7" s="8" t="s">
        <v>87</v>
      </c>
      <c r="M7" s="10" t="s">
        <v>1436</v>
      </c>
      <c r="N7" s="8" t="s">
        <v>87</v>
      </c>
      <c r="O7" s="10" t="s">
        <v>23</v>
      </c>
      <c r="P7" s="8" t="s">
        <v>8902</v>
      </c>
      <c r="Q7" s="10" t="s">
        <v>223</v>
      </c>
      <c r="R7" s="10" t="s">
        <v>1438</v>
      </c>
      <c r="S7" s="8" t="s">
        <v>220</v>
      </c>
      <c r="T7" s="10" t="s">
        <v>8868</v>
      </c>
      <c r="U7" s="10" t="s">
        <v>87</v>
      </c>
      <c r="V7" s="10" t="s">
        <v>87</v>
      </c>
    </row>
    <row r="8" spans="1:22" s="10" customFormat="1" x14ac:dyDescent="0.25">
      <c r="A8" s="10" t="s">
        <v>8903</v>
      </c>
      <c r="B8" s="10" t="s">
        <v>8862</v>
      </c>
      <c r="C8" s="11" t="s">
        <v>346</v>
      </c>
      <c r="D8" s="10" t="s">
        <v>8904</v>
      </c>
      <c r="E8" s="8" t="s">
        <v>8905</v>
      </c>
      <c r="F8" s="8" t="s">
        <v>8906</v>
      </c>
      <c r="G8" s="10" t="s">
        <v>3</v>
      </c>
      <c r="H8" s="8" t="s">
        <v>8907</v>
      </c>
      <c r="I8" s="10" t="s">
        <v>87</v>
      </c>
      <c r="J8" s="8" t="s">
        <v>220</v>
      </c>
      <c r="K8" s="8" t="s">
        <v>1435</v>
      </c>
      <c r="L8" s="8" t="s">
        <v>87</v>
      </c>
      <c r="M8" s="10" t="s">
        <v>1436</v>
      </c>
      <c r="N8" s="8" t="s">
        <v>87</v>
      </c>
      <c r="O8" s="10" t="s">
        <v>23</v>
      </c>
      <c r="P8" s="8" t="s">
        <v>8908</v>
      </c>
      <c r="Q8" s="10" t="s">
        <v>239</v>
      </c>
      <c r="R8" s="10" t="s">
        <v>1438</v>
      </c>
      <c r="S8" s="8" t="s">
        <v>8909</v>
      </c>
      <c r="T8" s="10" t="s">
        <v>8868</v>
      </c>
      <c r="U8" s="10" t="s">
        <v>87</v>
      </c>
      <c r="V8" s="10" t="s">
        <v>87</v>
      </c>
    </row>
    <row r="9" spans="1:22" s="10" customFormat="1" x14ac:dyDescent="0.25">
      <c r="A9" s="10" t="s">
        <v>8910</v>
      </c>
      <c r="B9" s="10" t="s">
        <v>8862</v>
      </c>
      <c r="C9" s="11" t="s">
        <v>346</v>
      </c>
      <c r="D9" s="10" t="s">
        <v>8911</v>
      </c>
      <c r="E9" s="8" t="s">
        <v>8912</v>
      </c>
      <c r="F9" s="8" t="s">
        <v>8913</v>
      </c>
      <c r="G9" s="10" t="s">
        <v>3</v>
      </c>
      <c r="H9" s="8" t="s">
        <v>220</v>
      </c>
      <c r="I9" s="10" t="s">
        <v>87</v>
      </c>
      <c r="J9" s="8" t="s">
        <v>220</v>
      </c>
      <c r="K9" s="8" t="s">
        <v>1435</v>
      </c>
      <c r="L9" s="8" t="s">
        <v>87</v>
      </c>
      <c r="M9" s="10" t="s">
        <v>1436</v>
      </c>
      <c r="N9" s="8" t="s">
        <v>87</v>
      </c>
      <c r="O9" s="10" t="s">
        <v>23</v>
      </c>
      <c r="P9" s="8" t="s">
        <v>8914</v>
      </c>
      <c r="Q9" s="10" t="s">
        <v>239</v>
      </c>
      <c r="R9" s="10" t="s">
        <v>1438</v>
      </c>
      <c r="S9" s="8" t="s">
        <v>8915</v>
      </c>
      <c r="T9" s="10" t="s">
        <v>8868</v>
      </c>
      <c r="U9" s="10" t="s">
        <v>87</v>
      </c>
      <c r="V9" s="10" t="s">
        <v>87</v>
      </c>
    </row>
    <row r="10" spans="1:22" s="10" customFormat="1" x14ac:dyDescent="0.25">
      <c r="A10" s="10" t="s">
        <v>8916</v>
      </c>
      <c r="B10" s="10" t="s">
        <v>8862</v>
      </c>
      <c r="C10" s="10" t="s">
        <v>215</v>
      </c>
      <c r="D10" s="10" t="s">
        <v>8917</v>
      </c>
      <c r="E10" s="8" t="s">
        <v>8918</v>
      </c>
      <c r="F10" s="8" t="s">
        <v>8919</v>
      </c>
      <c r="G10" s="10" t="s">
        <v>3</v>
      </c>
      <c r="H10" s="8" t="s">
        <v>8920</v>
      </c>
      <c r="I10" s="10" t="s">
        <v>87</v>
      </c>
      <c r="J10" s="8" t="s">
        <v>220</v>
      </c>
      <c r="K10" s="8" t="s">
        <v>1435</v>
      </c>
      <c r="L10" s="8" t="s">
        <v>87</v>
      </c>
      <c r="M10" s="10" t="s">
        <v>1436</v>
      </c>
      <c r="N10" s="8" t="s">
        <v>87</v>
      </c>
      <c r="O10" s="10" t="s">
        <v>23</v>
      </c>
      <c r="P10" s="8" t="s">
        <v>8921</v>
      </c>
      <c r="Q10" s="10" t="s">
        <v>246</v>
      </c>
      <c r="R10" s="10" t="s">
        <v>1438</v>
      </c>
      <c r="S10" s="8" t="s">
        <v>8922</v>
      </c>
      <c r="T10" s="10" t="s">
        <v>8868</v>
      </c>
      <c r="U10" s="10" t="s">
        <v>87</v>
      </c>
      <c r="V10" s="10" t="s">
        <v>87</v>
      </c>
    </row>
    <row r="11" spans="1:22" s="10" customFormat="1" x14ac:dyDescent="0.25">
      <c r="A11" s="10" t="s">
        <v>8923</v>
      </c>
      <c r="B11" s="10" t="s">
        <v>8862</v>
      </c>
      <c r="C11" s="10" t="s">
        <v>215</v>
      </c>
      <c r="D11" s="10" t="s">
        <v>8924</v>
      </c>
      <c r="E11" s="8" t="s">
        <v>8925</v>
      </c>
      <c r="F11" s="8" t="s">
        <v>8926</v>
      </c>
      <c r="G11" s="10" t="s">
        <v>3</v>
      </c>
      <c r="H11" s="8" t="s">
        <v>8927</v>
      </c>
      <c r="I11" s="10" t="s">
        <v>87</v>
      </c>
      <c r="J11" s="8" t="s">
        <v>220</v>
      </c>
      <c r="K11" s="8" t="s">
        <v>1435</v>
      </c>
      <c r="L11" s="8" t="s">
        <v>87</v>
      </c>
      <c r="M11" s="10" t="s">
        <v>1436</v>
      </c>
      <c r="N11" s="8" t="s">
        <v>87</v>
      </c>
      <c r="O11" s="10" t="s">
        <v>23</v>
      </c>
      <c r="P11" s="8" t="s">
        <v>8928</v>
      </c>
      <c r="Q11" s="10" t="s">
        <v>239</v>
      </c>
      <c r="R11" s="10" t="s">
        <v>1438</v>
      </c>
      <c r="S11" s="8" t="s">
        <v>220</v>
      </c>
      <c r="T11" s="10" t="s">
        <v>8868</v>
      </c>
      <c r="U11" s="10" t="s">
        <v>87</v>
      </c>
      <c r="V11" s="10" t="s">
        <v>87</v>
      </c>
    </row>
    <row r="12" spans="1:22" s="10" customFormat="1" x14ac:dyDescent="0.25">
      <c r="A12" s="10" t="s">
        <v>8929</v>
      </c>
      <c r="B12" s="10" t="s">
        <v>8862</v>
      </c>
      <c r="C12" s="10" t="s">
        <v>215</v>
      </c>
      <c r="D12" s="10" t="s">
        <v>8930</v>
      </c>
      <c r="E12" s="8" t="s">
        <v>8931</v>
      </c>
      <c r="F12" s="8" t="s">
        <v>8932</v>
      </c>
      <c r="G12" s="10" t="s">
        <v>3</v>
      </c>
      <c r="H12" s="8" t="s">
        <v>8933</v>
      </c>
      <c r="I12" s="10" t="s">
        <v>87</v>
      </c>
      <c r="J12" s="8" t="s">
        <v>220</v>
      </c>
      <c r="K12" s="8" t="s">
        <v>1435</v>
      </c>
      <c r="L12" s="8" t="s">
        <v>87</v>
      </c>
      <c r="M12" s="10" t="s">
        <v>1436</v>
      </c>
      <c r="N12" s="8" t="s">
        <v>87</v>
      </c>
      <c r="O12" s="10" t="s">
        <v>23</v>
      </c>
      <c r="P12" s="8" t="s">
        <v>8934</v>
      </c>
      <c r="Q12" s="10" t="s">
        <v>246</v>
      </c>
      <c r="R12" s="10" t="s">
        <v>1438</v>
      </c>
      <c r="S12" s="8" t="s">
        <v>220</v>
      </c>
      <c r="T12" s="10" t="s">
        <v>8868</v>
      </c>
      <c r="U12" s="10" t="s">
        <v>87</v>
      </c>
      <c r="V12" s="10" t="s">
        <v>87</v>
      </c>
    </row>
    <row r="13" spans="1:22" s="10" customFormat="1" x14ac:dyDescent="0.25">
      <c r="A13" s="10" t="s">
        <v>8935</v>
      </c>
      <c r="B13" s="10" t="s">
        <v>8862</v>
      </c>
      <c r="C13" s="10" t="s">
        <v>215</v>
      </c>
      <c r="D13" s="10" t="s">
        <v>8936</v>
      </c>
      <c r="E13" s="8" t="s">
        <v>8937</v>
      </c>
      <c r="F13" s="8" t="s">
        <v>8938</v>
      </c>
      <c r="G13" s="10" t="s">
        <v>3</v>
      </c>
      <c r="H13" s="8" t="s">
        <v>8939</v>
      </c>
      <c r="I13" s="10" t="s">
        <v>87</v>
      </c>
      <c r="J13" s="8" t="s">
        <v>220</v>
      </c>
      <c r="K13" s="8" t="s">
        <v>1435</v>
      </c>
      <c r="L13" s="8" t="s">
        <v>87</v>
      </c>
      <c r="M13" s="10" t="s">
        <v>1436</v>
      </c>
      <c r="N13" s="8" t="s">
        <v>87</v>
      </c>
      <c r="O13" s="10" t="s">
        <v>23</v>
      </c>
      <c r="P13" s="8" t="s">
        <v>8940</v>
      </c>
      <c r="Q13" s="10" t="s">
        <v>223</v>
      </c>
      <c r="R13" s="10" t="s">
        <v>1438</v>
      </c>
      <c r="S13" s="8" t="s">
        <v>8941</v>
      </c>
      <c r="T13" s="10" t="s">
        <v>8868</v>
      </c>
      <c r="U13" s="10" t="s">
        <v>87</v>
      </c>
      <c r="V13" s="10" t="s">
        <v>87</v>
      </c>
    </row>
    <row r="14" spans="1:22" s="10" customFormat="1" x14ac:dyDescent="0.25">
      <c r="A14" s="10" t="s">
        <v>8942</v>
      </c>
      <c r="B14" s="10" t="s">
        <v>8862</v>
      </c>
      <c r="C14" s="11" t="s">
        <v>346</v>
      </c>
      <c r="D14" s="10" t="s">
        <v>8943</v>
      </c>
      <c r="E14" s="8" t="s">
        <v>8944</v>
      </c>
      <c r="F14" s="8" t="s">
        <v>8945</v>
      </c>
      <c r="G14" s="10" t="s">
        <v>4</v>
      </c>
      <c r="H14" s="8" t="s">
        <v>8946</v>
      </c>
      <c r="I14" s="10" t="s">
        <v>87</v>
      </c>
      <c r="J14" s="8" t="s">
        <v>220</v>
      </c>
      <c r="K14" s="8" t="s">
        <v>8947</v>
      </c>
      <c r="L14" s="8" t="s">
        <v>8948</v>
      </c>
      <c r="M14" s="10" t="s">
        <v>1456</v>
      </c>
      <c r="N14" s="8" t="s">
        <v>87</v>
      </c>
      <c r="O14" s="10" t="s">
        <v>23</v>
      </c>
      <c r="P14" s="8" t="s">
        <v>8949</v>
      </c>
      <c r="Q14" s="10" t="s">
        <v>239</v>
      </c>
      <c r="R14" s="10" t="s">
        <v>1438</v>
      </c>
      <c r="S14" s="8" t="s">
        <v>220</v>
      </c>
      <c r="T14" s="10" t="s">
        <v>8868</v>
      </c>
      <c r="U14" s="10" t="s">
        <v>87</v>
      </c>
      <c r="V14" s="10" t="s">
        <v>87</v>
      </c>
    </row>
    <row r="15" spans="1:22" s="10" customFormat="1" x14ac:dyDescent="0.25">
      <c r="A15" s="10" t="s">
        <v>8950</v>
      </c>
      <c r="B15" s="10" t="s">
        <v>8862</v>
      </c>
      <c r="C15" s="10" t="s">
        <v>215</v>
      </c>
      <c r="D15" s="10" t="s">
        <v>8951</v>
      </c>
      <c r="E15" s="8" t="s">
        <v>8952</v>
      </c>
      <c r="F15" s="8" t="s">
        <v>8953</v>
      </c>
      <c r="G15" s="10" t="s">
        <v>4</v>
      </c>
      <c r="H15" s="8" t="s">
        <v>8954</v>
      </c>
      <c r="I15" s="10" t="s">
        <v>87</v>
      </c>
      <c r="J15" s="8" t="s">
        <v>220</v>
      </c>
      <c r="K15" s="8" t="s">
        <v>8955</v>
      </c>
      <c r="L15" s="8" t="s">
        <v>8956</v>
      </c>
      <c r="M15" s="10" t="s">
        <v>1456</v>
      </c>
      <c r="N15" s="8" t="s">
        <v>87</v>
      </c>
      <c r="O15" s="10" t="s">
        <v>23</v>
      </c>
      <c r="P15" s="8" t="s">
        <v>8957</v>
      </c>
      <c r="Q15" s="10" t="s">
        <v>246</v>
      </c>
      <c r="R15" s="10" t="s">
        <v>1438</v>
      </c>
      <c r="S15" s="8" t="s">
        <v>8958</v>
      </c>
      <c r="T15" s="10" t="s">
        <v>8868</v>
      </c>
      <c r="U15" s="10" t="s">
        <v>87</v>
      </c>
      <c r="V15" s="10" t="s">
        <v>87</v>
      </c>
    </row>
    <row r="16" spans="1:22" s="10" customFormat="1" x14ac:dyDescent="0.25">
      <c r="A16" s="10" t="s">
        <v>8959</v>
      </c>
      <c r="B16" s="10" t="s">
        <v>8862</v>
      </c>
      <c r="C16" s="10" t="s">
        <v>215</v>
      </c>
      <c r="D16" s="10" t="s">
        <v>8960</v>
      </c>
      <c r="E16" s="8" t="s">
        <v>8961</v>
      </c>
      <c r="F16" s="8" t="s">
        <v>8962</v>
      </c>
      <c r="G16" s="10" t="s">
        <v>3</v>
      </c>
      <c r="H16" s="8" t="s">
        <v>8963</v>
      </c>
      <c r="I16" s="10" t="s">
        <v>87</v>
      </c>
      <c r="J16" s="8" t="s">
        <v>220</v>
      </c>
      <c r="K16" s="8" t="s">
        <v>1435</v>
      </c>
      <c r="L16" s="8" t="s">
        <v>87</v>
      </c>
      <c r="M16" s="10" t="s">
        <v>1436</v>
      </c>
      <c r="N16" s="8" t="s">
        <v>87</v>
      </c>
      <c r="O16" s="10" t="s">
        <v>23</v>
      </c>
      <c r="P16" s="8" t="s">
        <v>8964</v>
      </c>
      <c r="Q16" s="10" t="s">
        <v>223</v>
      </c>
      <c r="R16" s="10" t="s">
        <v>1438</v>
      </c>
      <c r="S16" s="8" t="s">
        <v>8965</v>
      </c>
      <c r="T16" s="10" t="s">
        <v>8868</v>
      </c>
      <c r="U16" s="10" t="s">
        <v>87</v>
      </c>
      <c r="V16" s="10" t="s">
        <v>87</v>
      </c>
    </row>
    <row r="17" spans="1:22" s="10" customFormat="1" x14ac:dyDescent="0.25">
      <c r="A17" s="10" t="s">
        <v>8966</v>
      </c>
      <c r="B17" s="10" t="s">
        <v>8862</v>
      </c>
      <c r="C17" s="10" t="s">
        <v>384</v>
      </c>
      <c r="D17" s="10" t="s">
        <v>8967</v>
      </c>
      <c r="E17" s="8" t="s">
        <v>8968</v>
      </c>
      <c r="F17" s="8" t="s">
        <v>8969</v>
      </c>
      <c r="G17" s="10" t="s">
        <v>3</v>
      </c>
      <c r="H17" s="8" t="s">
        <v>8970</v>
      </c>
      <c r="I17" s="10" t="s">
        <v>993</v>
      </c>
      <c r="J17" s="8" t="s">
        <v>220</v>
      </c>
      <c r="K17" s="8" t="s">
        <v>1435</v>
      </c>
      <c r="L17" s="8" t="s">
        <v>87</v>
      </c>
      <c r="M17" s="10" t="s">
        <v>1436</v>
      </c>
      <c r="N17" s="8" t="s">
        <v>87</v>
      </c>
      <c r="O17" s="10" t="s">
        <v>23</v>
      </c>
      <c r="P17" s="8" t="s">
        <v>8971</v>
      </c>
      <c r="Q17" s="10" t="s">
        <v>223</v>
      </c>
      <c r="R17" s="10" t="s">
        <v>1438</v>
      </c>
      <c r="S17" s="8" t="s">
        <v>220</v>
      </c>
      <c r="T17" s="10" t="s">
        <v>8868</v>
      </c>
      <c r="U17" s="10" t="s">
        <v>87</v>
      </c>
      <c r="V17" s="10" t="s">
        <v>87</v>
      </c>
    </row>
    <row r="18" spans="1:22" s="10" customFormat="1" x14ac:dyDescent="0.25">
      <c r="A18" s="10" t="s">
        <v>8972</v>
      </c>
      <c r="B18" s="10" t="s">
        <v>8862</v>
      </c>
      <c r="C18" s="10" t="s">
        <v>215</v>
      </c>
      <c r="D18" s="10" t="s">
        <v>8973</v>
      </c>
      <c r="E18" s="8" t="s">
        <v>8974</v>
      </c>
      <c r="F18" s="8" t="s">
        <v>8975</v>
      </c>
      <c r="G18" s="10" t="s">
        <v>3</v>
      </c>
      <c r="H18" s="8" t="s">
        <v>8976</v>
      </c>
      <c r="I18" s="10" t="s">
        <v>87</v>
      </c>
      <c r="J18" s="8" t="s">
        <v>220</v>
      </c>
      <c r="K18" s="8" t="s">
        <v>1435</v>
      </c>
      <c r="L18" s="8" t="s">
        <v>87</v>
      </c>
      <c r="M18" s="10" t="s">
        <v>1436</v>
      </c>
      <c r="N18" s="8" t="s">
        <v>87</v>
      </c>
      <c r="O18" s="10" t="s">
        <v>23</v>
      </c>
      <c r="P18" s="8" t="s">
        <v>8977</v>
      </c>
      <c r="Q18" s="10" t="s">
        <v>223</v>
      </c>
      <c r="R18" s="10" t="s">
        <v>1438</v>
      </c>
      <c r="S18" s="8" t="s">
        <v>8978</v>
      </c>
      <c r="T18" s="10" t="s">
        <v>8868</v>
      </c>
      <c r="U18" s="10" t="s">
        <v>87</v>
      </c>
      <c r="V18" s="10" t="s">
        <v>87</v>
      </c>
    </row>
    <row r="19" spans="1:22" s="10" customFormat="1" x14ac:dyDescent="0.25">
      <c r="A19" s="10" t="s">
        <v>8979</v>
      </c>
      <c r="B19" s="10" t="s">
        <v>8862</v>
      </c>
      <c r="C19" s="11" t="s">
        <v>346</v>
      </c>
      <c r="D19" s="10" t="s">
        <v>8980</v>
      </c>
      <c r="E19" s="8" t="s">
        <v>8981</v>
      </c>
      <c r="F19" s="8" t="s">
        <v>8982</v>
      </c>
      <c r="G19" s="10" t="s">
        <v>3</v>
      </c>
      <c r="H19" s="8" t="s">
        <v>8886</v>
      </c>
      <c r="I19" s="10" t="s">
        <v>87</v>
      </c>
      <c r="J19" s="8" t="s">
        <v>220</v>
      </c>
      <c r="K19" s="8" t="s">
        <v>1435</v>
      </c>
      <c r="L19" s="8" t="s">
        <v>87</v>
      </c>
      <c r="M19" s="10" t="s">
        <v>1436</v>
      </c>
      <c r="N19" s="8" t="s">
        <v>87</v>
      </c>
      <c r="O19" s="10" t="s">
        <v>23</v>
      </c>
      <c r="P19" s="8" t="s">
        <v>8983</v>
      </c>
      <c r="Q19" s="10" t="s">
        <v>223</v>
      </c>
      <c r="R19" s="10" t="s">
        <v>1438</v>
      </c>
      <c r="S19" s="8" t="s">
        <v>8984</v>
      </c>
      <c r="T19" s="10" t="s">
        <v>8868</v>
      </c>
      <c r="U19" s="10" t="s">
        <v>87</v>
      </c>
      <c r="V19" s="10" t="s">
        <v>87</v>
      </c>
    </row>
    <row r="20" spans="1:22" s="10" customFormat="1" x14ac:dyDescent="0.25">
      <c r="A20" s="10" t="s">
        <v>8985</v>
      </c>
      <c r="B20" s="10" t="s">
        <v>8862</v>
      </c>
      <c r="C20" s="10" t="s">
        <v>215</v>
      </c>
      <c r="D20" s="10" t="s">
        <v>8986</v>
      </c>
      <c r="E20" s="8" t="s">
        <v>8987</v>
      </c>
      <c r="F20" s="8" t="s">
        <v>8988</v>
      </c>
      <c r="G20" s="10" t="s">
        <v>3</v>
      </c>
      <c r="H20" s="8" t="s">
        <v>8989</v>
      </c>
      <c r="I20" s="10" t="s">
        <v>87</v>
      </c>
      <c r="J20" s="8" t="s">
        <v>8990</v>
      </c>
      <c r="K20" s="8" t="s">
        <v>1435</v>
      </c>
      <c r="L20" s="8" t="s">
        <v>87</v>
      </c>
      <c r="M20" s="10" t="s">
        <v>1436</v>
      </c>
      <c r="N20" s="8" t="s">
        <v>87</v>
      </c>
      <c r="O20" s="10" t="s">
        <v>23</v>
      </c>
      <c r="P20" s="8" t="s">
        <v>8991</v>
      </c>
      <c r="Q20" s="10" t="s">
        <v>825</v>
      </c>
      <c r="R20" s="10" t="s">
        <v>2188</v>
      </c>
      <c r="S20" s="8" t="s">
        <v>8992</v>
      </c>
      <c r="T20" s="10" t="s">
        <v>8868</v>
      </c>
      <c r="U20" s="10" t="s">
        <v>87</v>
      </c>
      <c r="V20" s="10" t="s">
        <v>87</v>
      </c>
    </row>
    <row r="21" spans="1:22" s="10" customFormat="1" x14ac:dyDescent="0.25">
      <c r="A21" s="10" t="s">
        <v>8993</v>
      </c>
      <c r="B21" s="10" t="s">
        <v>8994</v>
      </c>
      <c r="C21" s="11" t="s">
        <v>346</v>
      </c>
      <c r="D21" s="10" t="s">
        <v>8995</v>
      </c>
      <c r="E21" s="8" t="s">
        <v>8996</v>
      </c>
      <c r="F21" s="8" t="s">
        <v>8997</v>
      </c>
      <c r="G21" s="10" t="s">
        <v>3</v>
      </c>
      <c r="H21" s="8" t="s">
        <v>8998</v>
      </c>
      <c r="I21" s="10" t="s">
        <v>87</v>
      </c>
      <c r="J21" s="8" t="s">
        <v>220</v>
      </c>
      <c r="K21" s="8" t="s">
        <v>1435</v>
      </c>
      <c r="L21" s="8" t="s">
        <v>87</v>
      </c>
      <c r="M21" s="10" t="s">
        <v>1436</v>
      </c>
      <c r="N21" s="8" t="s">
        <v>87</v>
      </c>
      <c r="O21" s="10" t="s">
        <v>24</v>
      </c>
      <c r="P21" s="8" t="s">
        <v>8999</v>
      </c>
      <c r="Q21" s="10" t="s">
        <v>239</v>
      </c>
      <c r="R21" s="10" t="s">
        <v>1438</v>
      </c>
      <c r="S21" s="8" t="s">
        <v>9000</v>
      </c>
      <c r="T21" s="10" t="s">
        <v>9001</v>
      </c>
      <c r="U21" s="10" t="s">
        <v>87</v>
      </c>
      <c r="V21" s="10" t="s">
        <v>87</v>
      </c>
    </row>
    <row r="22" spans="1:22" s="10" customFormat="1" x14ac:dyDescent="0.25">
      <c r="A22" s="10" t="s">
        <v>9002</v>
      </c>
      <c r="B22" s="10" t="s">
        <v>8994</v>
      </c>
      <c r="C22" s="10" t="s">
        <v>215</v>
      </c>
      <c r="D22" s="10" t="s">
        <v>9003</v>
      </c>
      <c r="E22" s="8" t="s">
        <v>9004</v>
      </c>
      <c r="F22" s="8" t="s">
        <v>9005</v>
      </c>
      <c r="G22" s="10" t="s">
        <v>3</v>
      </c>
      <c r="H22" s="8" t="s">
        <v>8998</v>
      </c>
      <c r="I22" s="10" t="s">
        <v>87</v>
      </c>
      <c r="J22" s="8" t="s">
        <v>220</v>
      </c>
      <c r="K22" s="8" t="s">
        <v>1435</v>
      </c>
      <c r="L22" s="8" t="s">
        <v>87</v>
      </c>
      <c r="M22" s="10" t="s">
        <v>1436</v>
      </c>
      <c r="N22" s="8" t="s">
        <v>87</v>
      </c>
      <c r="O22" s="10" t="s">
        <v>24</v>
      </c>
      <c r="P22" s="8" t="s">
        <v>9006</v>
      </c>
      <c r="Q22" s="10" t="s">
        <v>239</v>
      </c>
      <c r="R22" s="10" t="s">
        <v>1438</v>
      </c>
      <c r="S22" s="8" t="s">
        <v>9007</v>
      </c>
      <c r="T22" s="10" t="s">
        <v>9001</v>
      </c>
      <c r="U22" s="10" t="s">
        <v>87</v>
      </c>
      <c r="V22" s="10" t="s">
        <v>87</v>
      </c>
    </row>
    <row r="23" spans="1:22" s="10" customFormat="1" x14ac:dyDescent="0.25">
      <c r="A23" s="10" t="s">
        <v>9008</v>
      </c>
      <c r="B23" s="10" t="s">
        <v>8994</v>
      </c>
      <c r="C23" s="11" t="s">
        <v>346</v>
      </c>
      <c r="D23" s="10" t="s">
        <v>9009</v>
      </c>
      <c r="E23" s="8" t="s">
        <v>9010</v>
      </c>
      <c r="F23" s="8" t="s">
        <v>9011</v>
      </c>
      <c r="G23" s="10" t="s">
        <v>3</v>
      </c>
      <c r="H23" s="8" t="s">
        <v>9012</v>
      </c>
      <c r="I23" s="10" t="s">
        <v>87</v>
      </c>
      <c r="J23" s="8" t="s">
        <v>220</v>
      </c>
      <c r="K23" s="8" t="s">
        <v>1435</v>
      </c>
      <c r="L23" s="8" t="s">
        <v>87</v>
      </c>
      <c r="M23" s="10" t="s">
        <v>1436</v>
      </c>
      <c r="N23" s="8" t="s">
        <v>87</v>
      </c>
      <c r="O23" s="10" t="s">
        <v>24</v>
      </c>
      <c r="P23" s="8" t="s">
        <v>9013</v>
      </c>
      <c r="Q23" s="10" t="s">
        <v>239</v>
      </c>
      <c r="R23" s="10" t="s">
        <v>1438</v>
      </c>
      <c r="S23" s="8" t="s">
        <v>9014</v>
      </c>
      <c r="T23" s="10" t="s">
        <v>9001</v>
      </c>
      <c r="U23" s="10" t="s">
        <v>87</v>
      </c>
      <c r="V23" s="10" t="s">
        <v>87</v>
      </c>
    </row>
    <row r="24" spans="1:22" s="10" customFormat="1" x14ac:dyDescent="0.25">
      <c r="A24" s="10" t="s">
        <v>9015</v>
      </c>
      <c r="B24" s="10" t="s">
        <v>8994</v>
      </c>
      <c r="C24" s="10" t="s">
        <v>215</v>
      </c>
      <c r="D24" s="10" t="s">
        <v>9016</v>
      </c>
      <c r="E24" s="8" t="s">
        <v>9017</v>
      </c>
      <c r="F24" s="8" t="s">
        <v>9018</v>
      </c>
      <c r="G24" s="10" t="s">
        <v>3</v>
      </c>
      <c r="H24" s="8" t="s">
        <v>9019</v>
      </c>
      <c r="I24" s="10" t="s">
        <v>87</v>
      </c>
      <c r="J24" s="8" t="s">
        <v>220</v>
      </c>
      <c r="K24" s="8" t="s">
        <v>1435</v>
      </c>
      <c r="L24" s="8" t="s">
        <v>87</v>
      </c>
      <c r="M24" s="10" t="s">
        <v>1436</v>
      </c>
      <c r="N24" s="8" t="s">
        <v>87</v>
      </c>
      <c r="O24" s="10" t="s">
        <v>24</v>
      </c>
      <c r="P24" s="8" t="s">
        <v>9020</v>
      </c>
      <c r="Q24" s="10" t="s">
        <v>246</v>
      </c>
      <c r="R24" s="10" t="s">
        <v>1438</v>
      </c>
      <c r="S24" s="8" t="s">
        <v>9021</v>
      </c>
      <c r="T24" s="10" t="s">
        <v>9001</v>
      </c>
      <c r="U24" s="10" t="s">
        <v>87</v>
      </c>
      <c r="V24" s="10" t="s">
        <v>87</v>
      </c>
    </row>
    <row r="25" spans="1:22" s="10" customFormat="1" x14ac:dyDescent="0.25">
      <c r="A25" s="10" t="s">
        <v>9022</v>
      </c>
      <c r="B25" s="10" t="s">
        <v>8994</v>
      </c>
      <c r="C25" s="10" t="s">
        <v>215</v>
      </c>
      <c r="D25" s="10" t="s">
        <v>9023</v>
      </c>
      <c r="E25" s="8" t="s">
        <v>9024</v>
      </c>
      <c r="F25" s="8" t="s">
        <v>9025</v>
      </c>
      <c r="G25" s="10" t="s">
        <v>3</v>
      </c>
      <c r="H25" s="8" t="s">
        <v>9026</v>
      </c>
      <c r="I25" s="10" t="s">
        <v>87</v>
      </c>
      <c r="J25" s="8" t="s">
        <v>9027</v>
      </c>
      <c r="K25" s="8" t="s">
        <v>1435</v>
      </c>
      <c r="L25" s="8" t="s">
        <v>87</v>
      </c>
      <c r="M25" s="10" t="s">
        <v>1436</v>
      </c>
      <c r="N25" s="8" t="s">
        <v>87</v>
      </c>
      <c r="O25" s="10" t="s">
        <v>24</v>
      </c>
      <c r="P25" s="8" t="s">
        <v>9028</v>
      </c>
      <c r="Q25" s="10" t="s">
        <v>223</v>
      </c>
      <c r="R25" s="10" t="s">
        <v>1438</v>
      </c>
      <c r="S25" s="8" t="s">
        <v>9029</v>
      </c>
      <c r="T25" s="10" t="s">
        <v>9001</v>
      </c>
      <c r="U25" s="10" t="s">
        <v>87</v>
      </c>
      <c r="V25" s="10" t="s">
        <v>87</v>
      </c>
    </row>
    <row r="26" spans="1:22" s="10" customFormat="1" x14ac:dyDescent="0.25">
      <c r="A26" s="10" t="s">
        <v>9030</v>
      </c>
      <c r="B26" s="10" t="s">
        <v>9031</v>
      </c>
      <c r="C26" s="11" t="s">
        <v>346</v>
      </c>
      <c r="D26" s="10" t="s">
        <v>9032</v>
      </c>
      <c r="E26" s="8" t="s">
        <v>9033</v>
      </c>
      <c r="F26" s="8" t="s">
        <v>9034</v>
      </c>
      <c r="G26" s="10" t="s">
        <v>3</v>
      </c>
      <c r="H26" s="8" t="s">
        <v>9035</v>
      </c>
      <c r="I26" s="10" t="s">
        <v>539</v>
      </c>
      <c r="J26" s="8" t="s">
        <v>220</v>
      </c>
      <c r="K26" s="8" t="s">
        <v>1435</v>
      </c>
      <c r="L26" s="8" t="s">
        <v>87</v>
      </c>
      <c r="M26" s="10" t="s">
        <v>1436</v>
      </c>
      <c r="N26" s="8" t="s">
        <v>87</v>
      </c>
      <c r="O26" s="10" t="s">
        <v>25</v>
      </c>
      <c r="P26" s="8" t="s">
        <v>9036</v>
      </c>
      <c r="Q26" s="10" t="s">
        <v>223</v>
      </c>
      <c r="R26" s="10" t="s">
        <v>2188</v>
      </c>
      <c r="S26" s="8" t="s">
        <v>9037</v>
      </c>
      <c r="T26" s="10" t="s">
        <v>9038</v>
      </c>
      <c r="U26" s="10" t="s">
        <v>87</v>
      </c>
      <c r="V26" s="10" t="s">
        <v>87</v>
      </c>
    </row>
    <row r="27" spans="1:22" s="10" customFormat="1" x14ac:dyDescent="0.25">
      <c r="A27" s="10" t="s">
        <v>9039</v>
      </c>
      <c r="B27" s="10" t="s">
        <v>9031</v>
      </c>
      <c r="C27" s="10" t="s">
        <v>215</v>
      </c>
      <c r="D27" s="10" t="s">
        <v>9040</v>
      </c>
      <c r="E27" s="8" t="s">
        <v>9041</v>
      </c>
      <c r="F27" s="8" t="s">
        <v>9042</v>
      </c>
      <c r="G27" s="10" t="s">
        <v>3</v>
      </c>
      <c r="H27" s="8" t="s">
        <v>220</v>
      </c>
      <c r="I27" s="10" t="s">
        <v>87</v>
      </c>
      <c r="J27" s="8" t="s">
        <v>220</v>
      </c>
      <c r="K27" s="8" t="s">
        <v>1435</v>
      </c>
      <c r="L27" s="8" t="s">
        <v>87</v>
      </c>
      <c r="M27" s="10" t="s">
        <v>1436</v>
      </c>
      <c r="N27" s="8" t="s">
        <v>87</v>
      </c>
      <c r="O27" s="10" t="s">
        <v>25</v>
      </c>
      <c r="P27" s="8" t="s">
        <v>9043</v>
      </c>
      <c r="Q27" s="10" t="s">
        <v>223</v>
      </c>
      <c r="R27" s="10" t="s">
        <v>2188</v>
      </c>
      <c r="S27" s="8" t="s">
        <v>220</v>
      </c>
      <c r="T27" s="10" t="s">
        <v>9038</v>
      </c>
      <c r="U27" s="10" t="s">
        <v>87</v>
      </c>
      <c r="V27" s="10" t="s">
        <v>87</v>
      </c>
    </row>
    <row r="28" spans="1:22" s="10" customFormat="1" x14ac:dyDescent="0.25">
      <c r="A28" s="10" t="s">
        <v>9044</v>
      </c>
      <c r="B28" s="10" t="s">
        <v>9031</v>
      </c>
      <c r="C28" s="10" t="s">
        <v>215</v>
      </c>
      <c r="D28" s="10" t="s">
        <v>9045</v>
      </c>
      <c r="E28" s="8" t="s">
        <v>9046</v>
      </c>
      <c r="F28" s="8" t="s">
        <v>9047</v>
      </c>
      <c r="G28" s="10" t="s">
        <v>3</v>
      </c>
      <c r="H28" s="8" t="s">
        <v>220</v>
      </c>
      <c r="I28" s="10" t="s">
        <v>87</v>
      </c>
      <c r="J28" s="8" t="s">
        <v>220</v>
      </c>
      <c r="K28" s="8" t="s">
        <v>1435</v>
      </c>
      <c r="L28" s="8" t="s">
        <v>87</v>
      </c>
      <c r="M28" s="10" t="s">
        <v>1436</v>
      </c>
      <c r="N28" s="8" t="s">
        <v>87</v>
      </c>
      <c r="O28" s="10" t="s">
        <v>25</v>
      </c>
      <c r="P28" s="8" t="s">
        <v>9048</v>
      </c>
      <c r="Q28" s="10" t="s">
        <v>239</v>
      </c>
      <c r="R28" s="10" t="s">
        <v>2188</v>
      </c>
      <c r="S28" s="8" t="s">
        <v>220</v>
      </c>
      <c r="T28" s="10" t="s">
        <v>9038</v>
      </c>
      <c r="U28" s="10" t="s">
        <v>87</v>
      </c>
      <c r="V28" s="10" t="s">
        <v>87</v>
      </c>
    </row>
    <row r="29" spans="1:22" s="10" customFormat="1" x14ac:dyDescent="0.25">
      <c r="A29" s="10" t="s">
        <v>9049</v>
      </c>
      <c r="B29" s="10" t="s">
        <v>9031</v>
      </c>
      <c r="C29" s="11" t="s">
        <v>346</v>
      </c>
      <c r="D29" s="10" t="s">
        <v>9050</v>
      </c>
      <c r="E29" s="8" t="s">
        <v>9051</v>
      </c>
      <c r="F29" s="8" t="s">
        <v>9052</v>
      </c>
      <c r="G29" s="10" t="s">
        <v>3</v>
      </c>
      <c r="H29" s="8" t="s">
        <v>220</v>
      </c>
      <c r="I29" s="10" t="s">
        <v>87</v>
      </c>
      <c r="J29" s="8" t="s">
        <v>220</v>
      </c>
      <c r="K29" s="8" t="s">
        <v>1435</v>
      </c>
      <c r="L29" s="8" t="s">
        <v>87</v>
      </c>
      <c r="M29" s="10" t="s">
        <v>1436</v>
      </c>
      <c r="N29" s="8" t="s">
        <v>87</v>
      </c>
      <c r="O29" s="10" t="s">
        <v>25</v>
      </c>
      <c r="P29" s="8" t="s">
        <v>9053</v>
      </c>
      <c r="Q29" s="10" t="s">
        <v>239</v>
      </c>
      <c r="R29" s="10" t="s">
        <v>2188</v>
      </c>
      <c r="S29" s="8" t="s">
        <v>220</v>
      </c>
      <c r="T29" s="10" t="s">
        <v>9038</v>
      </c>
      <c r="U29" s="10" t="s">
        <v>87</v>
      </c>
      <c r="V29" s="10" t="s">
        <v>87</v>
      </c>
    </row>
    <row r="30" spans="1:22" s="10" customFormat="1" x14ac:dyDescent="0.25">
      <c r="A30" s="10" t="s">
        <v>9054</v>
      </c>
      <c r="B30" s="10" t="s">
        <v>9031</v>
      </c>
      <c r="C30" s="11" t="s">
        <v>346</v>
      </c>
      <c r="D30" s="10" t="s">
        <v>9055</v>
      </c>
      <c r="E30" s="8" t="s">
        <v>9056</v>
      </c>
      <c r="F30" s="8" t="s">
        <v>9057</v>
      </c>
      <c r="G30" s="10" t="s">
        <v>3</v>
      </c>
      <c r="H30" s="8" t="s">
        <v>9058</v>
      </c>
      <c r="I30" s="10" t="s">
        <v>9059</v>
      </c>
      <c r="J30" s="8" t="s">
        <v>220</v>
      </c>
      <c r="K30" s="8" t="s">
        <v>1435</v>
      </c>
      <c r="L30" s="8" t="s">
        <v>9060</v>
      </c>
      <c r="M30" s="10" t="s">
        <v>1436</v>
      </c>
      <c r="N30" s="8" t="s">
        <v>87</v>
      </c>
      <c r="O30" s="10" t="s">
        <v>25</v>
      </c>
      <c r="P30" s="8" t="s">
        <v>9061</v>
      </c>
      <c r="Q30" s="10" t="s">
        <v>223</v>
      </c>
      <c r="R30" s="10" t="s">
        <v>2188</v>
      </c>
      <c r="S30" s="8" t="s">
        <v>9062</v>
      </c>
      <c r="T30" s="10" t="s">
        <v>9038</v>
      </c>
      <c r="U30" s="10" t="s">
        <v>87</v>
      </c>
      <c r="V30" s="10" t="s">
        <v>87</v>
      </c>
    </row>
    <row r="31" spans="1:22" s="10" customFormat="1" x14ac:dyDescent="0.25">
      <c r="A31" s="10" t="s">
        <v>9063</v>
      </c>
      <c r="B31" s="10" t="s">
        <v>9031</v>
      </c>
      <c r="C31" s="11" t="s">
        <v>346</v>
      </c>
      <c r="D31" s="10" t="s">
        <v>9064</v>
      </c>
      <c r="E31" s="8" t="s">
        <v>9065</v>
      </c>
      <c r="F31" s="8" t="s">
        <v>9066</v>
      </c>
      <c r="G31" s="10" t="s">
        <v>4</v>
      </c>
      <c r="H31" s="8" t="s">
        <v>9058</v>
      </c>
      <c r="I31" s="10" t="s">
        <v>9059</v>
      </c>
      <c r="J31" s="8" t="s">
        <v>9067</v>
      </c>
      <c r="K31" s="8" t="s">
        <v>9068</v>
      </c>
      <c r="L31" s="8" t="s">
        <v>87</v>
      </c>
      <c r="M31" s="10" t="s">
        <v>1456</v>
      </c>
      <c r="N31" s="8" t="s">
        <v>87</v>
      </c>
      <c r="O31" s="10" t="s">
        <v>25</v>
      </c>
      <c r="P31" s="8" t="s">
        <v>9069</v>
      </c>
      <c r="Q31" s="10" t="s">
        <v>1447</v>
      </c>
      <c r="R31" s="10" t="s">
        <v>2188</v>
      </c>
      <c r="S31" s="8" t="s">
        <v>9070</v>
      </c>
      <c r="T31" s="10" t="s">
        <v>9038</v>
      </c>
      <c r="U31" s="10" t="s">
        <v>87</v>
      </c>
      <c r="V31" s="10" t="s">
        <v>87</v>
      </c>
    </row>
    <row r="32" spans="1:22" s="10" customFormat="1" x14ac:dyDescent="0.25">
      <c r="A32" s="10" t="s">
        <v>9071</v>
      </c>
      <c r="B32" s="10" t="s">
        <v>9031</v>
      </c>
      <c r="C32" s="11" t="s">
        <v>346</v>
      </c>
      <c r="D32" s="10" t="s">
        <v>9072</v>
      </c>
      <c r="E32" s="8" t="s">
        <v>9073</v>
      </c>
      <c r="F32" s="8" t="s">
        <v>9074</v>
      </c>
      <c r="G32" s="10" t="s">
        <v>4</v>
      </c>
      <c r="H32" s="8" t="s">
        <v>9075</v>
      </c>
      <c r="I32" s="10" t="s">
        <v>87</v>
      </c>
      <c r="J32" s="8" t="s">
        <v>220</v>
      </c>
      <c r="K32" s="8" t="s">
        <v>9076</v>
      </c>
      <c r="L32" s="8" t="s">
        <v>87</v>
      </c>
      <c r="M32" s="10" t="s">
        <v>1456</v>
      </c>
      <c r="N32" s="8" t="s">
        <v>87</v>
      </c>
      <c r="O32" s="10" t="s">
        <v>25</v>
      </c>
      <c r="P32" s="8" t="s">
        <v>9077</v>
      </c>
      <c r="Q32" s="10" t="s">
        <v>223</v>
      </c>
      <c r="R32" s="10" t="s">
        <v>2188</v>
      </c>
      <c r="S32" s="8" t="s">
        <v>220</v>
      </c>
      <c r="T32" s="10" t="s">
        <v>9038</v>
      </c>
      <c r="U32" s="10" t="s">
        <v>87</v>
      </c>
      <c r="V32" s="10" t="s">
        <v>87</v>
      </c>
    </row>
    <row r="33" spans="1:22" s="10" customFormat="1" x14ac:dyDescent="0.25">
      <c r="A33" s="10" t="s">
        <v>9078</v>
      </c>
      <c r="B33" s="10" t="s">
        <v>9031</v>
      </c>
      <c r="C33" s="11" t="s">
        <v>346</v>
      </c>
      <c r="D33" s="10" t="s">
        <v>9079</v>
      </c>
      <c r="E33" s="8" t="s">
        <v>9080</v>
      </c>
      <c r="F33" s="8" t="s">
        <v>9081</v>
      </c>
      <c r="G33" s="10" t="s">
        <v>4</v>
      </c>
      <c r="H33" s="8" t="s">
        <v>9082</v>
      </c>
      <c r="I33" s="10" t="s">
        <v>87</v>
      </c>
      <c r="J33" s="8" t="s">
        <v>220</v>
      </c>
      <c r="K33" s="8" t="s">
        <v>9076</v>
      </c>
      <c r="L33" s="8" t="s">
        <v>87</v>
      </c>
      <c r="M33" s="10" t="s">
        <v>1456</v>
      </c>
      <c r="N33" s="8" t="s">
        <v>87</v>
      </c>
      <c r="O33" s="10" t="s">
        <v>25</v>
      </c>
      <c r="P33" s="8" t="s">
        <v>9083</v>
      </c>
      <c r="Q33" s="10" t="s">
        <v>239</v>
      </c>
      <c r="R33" s="10" t="s">
        <v>2188</v>
      </c>
      <c r="S33" s="8" t="s">
        <v>9084</v>
      </c>
      <c r="T33" s="10" t="s">
        <v>9038</v>
      </c>
      <c r="U33" s="10" t="s">
        <v>87</v>
      </c>
      <c r="V33" s="10" t="s">
        <v>87</v>
      </c>
    </row>
    <row r="34" spans="1:22" s="10" customFormat="1" x14ac:dyDescent="0.25">
      <c r="A34" s="10" t="s">
        <v>9085</v>
      </c>
      <c r="B34" s="10" t="s">
        <v>9031</v>
      </c>
      <c r="C34" s="10" t="s">
        <v>215</v>
      </c>
      <c r="D34" s="10" t="s">
        <v>9086</v>
      </c>
      <c r="E34" s="8" t="s">
        <v>9087</v>
      </c>
      <c r="F34" s="8" t="s">
        <v>9088</v>
      </c>
      <c r="G34" s="10" t="s">
        <v>4</v>
      </c>
      <c r="H34" s="8" t="s">
        <v>220</v>
      </c>
      <c r="I34" s="10" t="s">
        <v>87</v>
      </c>
      <c r="J34" s="8" t="s">
        <v>220</v>
      </c>
      <c r="K34" s="8" t="s">
        <v>9089</v>
      </c>
      <c r="L34" s="8" t="s">
        <v>87</v>
      </c>
      <c r="M34" s="10" t="s">
        <v>1456</v>
      </c>
      <c r="N34" s="8" t="s">
        <v>87</v>
      </c>
      <c r="O34" s="10" t="s">
        <v>25</v>
      </c>
      <c r="P34" s="8" t="s">
        <v>9090</v>
      </c>
      <c r="Q34" s="10" t="s">
        <v>223</v>
      </c>
      <c r="R34" s="10" t="s">
        <v>2188</v>
      </c>
      <c r="S34" s="8" t="s">
        <v>9091</v>
      </c>
      <c r="T34" s="10" t="s">
        <v>9038</v>
      </c>
      <c r="U34" s="10" t="s">
        <v>87</v>
      </c>
      <c r="V34" s="10" t="s">
        <v>87</v>
      </c>
    </row>
    <row r="35" spans="1:22" s="10" customFormat="1" x14ac:dyDescent="0.25">
      <c r="A35" s="10" t="s">
        <v>9092</v>
      </c>
      <c r="B35" s="10" t="s">
        <v>9031</v>
      </c>
      <c r="C35" s="10" t="s">
        <v>215</v>
      </c>
      <c r="D35" s="10" t="s">
        <v>9093</v>
      </c>
      <c r="E35" s="8" t="s">
        <v>9094</v>
      </c>
      <c r="F35" s="8" t="s">
        <v>9095</v>
      </c>
      <c r="G35" s="10" t="s">
        <v>3</v>
      </c>
      <c r="H35" s="8" t="s">
        <v>9096</v>
      </c>
      <c r="I35" s="10" t="s">
        <v>9097</v>
      </c>
      <c r="J35" s="8" t="s">
        <v>220</v>
      </c>
      <c r="K35" s="8" t="s">
        <v>1435</v>
      </c>
      <c r="L35" s="8" t="s">
        <v>87</v>
      </c>
      <c r="M35" s="10" t="s">
        <v>1436</v>
      </c>
      <c r="N35" s="8" t="s">
        <v>87</v>
      </c>
      <c r="O35" s="10" t="s">
        <v>25</v>
      </c>
      <c r="P35" s="8" t="s">
        <v>9098</v>
      </c>
      <c r="Q35" s="10" t="s">
        <v>223</v>
      </c>
      <c r="R35" s="10" t="s">
        <v>2188</v>
      </c>
      <c r="S35" s="8" t="s">
        <v>9099</v>
      </c>
      <c r="T35" s="10" t="s">
        <v>9038</v>
      </c>
      <c r="U35" s="10" t="s">
        <v>87</v>
      </c>
      <c r="V35" s="10" t="s">
        <v>87</v>
      </c>
    </row>
    <row r="36" spans="1:22" s="10" customFormat="1" x14ac:dyDescent="0.25">
      <c r="A36" s="10" t="s">
        <v>9100</v>
      </c>
      <c r="B36" s="10" t="s">
        <v>9031</v>
      </c>
      <c r="C36" s="10" t="s">
        <v>215</v>
      </c>
      <c r="D36" s="10" t="s">
        <v>9101</v>
      </c>
      <c r="E36" s="8" t="s">
        <v>9102</v>
      </c>
      <c r="F36" s="8" t="s">
        <v>9103</v>
      </c>
      <c r="G36" s="10" t="s">
        <v>3</v>
      </c>
      <c r="H36" s="8" t="s">
        <v>9104</v>
      </c>
      <c r="I36" s="10" t="s">
        <v>9105</v>
      </c>
      <c r="J36" s="8" t="s">
        <v>220</v>
      </c>
      <c r="K36" s="8" t="s">
        <v>1435</v>
      </c>
      <c r="L36" s="8" t="s">
        <v>87</v>
      </c>
      <c r="M36" s="10" t="s">
        <v>1436</v>
      </c>
      <c r="N36" s="8" t="s">
        <v>87</v>
      </c>
      <c r="O36" s="10" t="s">
        <v>26</v>
      </c>
      <c r="P36" s="8" t="s">
        <v>9106</v>
      </c>
      <c r="Q36" s="10" t="s">
        <v>223</v>
      </c>
      <c r="R36" s="10" t="s">
        <v>1438</v>
      </c>
      <c r="S36" s="8" t="s">
        <v>9107</v>
      </c>
      <c r="T36" s="10" t="s">
        <v>9038</v>
      </c>
      <c r="U36" s="10" t="s">
        <v>87</v>
      </c>
      <c r="V36" s="10" t="s">
        <v>87</v>
      </c>
    </row>
    <row r="37" spans="1:22" s="10" customFormat="1" x14ac:dyDescent="0.25">
      <c r="A37" s="10" t="s">
        <v>9108</v>
      </c>
      <c r="B37" s="10" t="s">
        <v>9031</v>
      </c>
      <c r="C37" s="10" t="s">
        <v>215</v>
      </c>
      <c r="D37" s="10" t="s">
        <v>9109</v>
      </c>
      <c r="E37" s="8" t="s">
        <v>9110</v>
      </c>
      <c r="F37" s="8" t="s">
        <v>9111</v>
      </c>
      <c r="G37" s="10" t="s">
        <v>87</v>
      </c>
      <c r="H37" s="8" t="s">
        <v>220</v>
      </c>
      <c r="I37" s="10" t="s">
        <v>479</v>
      </c>
      <c r="J37" s="8" t="s">
        <v>9112</v>
      </c>
      <c r="K37" s="8" t="s">
        <v>87</v>
      </c>
      <c r="L37" s="8" t="s">
        <v>87</v>
      </c>
      <c r="M37" s="10" t="s">
        <v>87</v>
      </c>
      <c r="N37" s="8" t="s">
        <v>87</v>
      </c>
      <c r="O37" s="10" t="s">
        <v>26</v>
      </c>
      <c r="P37" s="8" t="s">
        <v>9113</v>
      </c>
      <c r="Q37" s="10" t="s">
        <v>239</v>
      </c>
      <c r="R37" s="10" t="s">
        <v>1438</v>
      </c>
      <c r="S37" s="8" t="s">
        <v>9114</v>
      </c>
      <c r="T37" s="10" t="s">
        <v>87</v>
      </c>
      <c r="U37" s="10" t="s">
        <v>87</v>
      </c>
      <c r="V37" s="10" t="s">
        <v>87</v>
      </c>
    </row>
    <row r="38" spans="1:22" s="10" customFormat="1" x14ac:dyDescent="0.25">
      <c r="A38" s="10" t="s">
        <v>9115</v>
      </c>
      <c r="B38" s="10" t="s">
        <v>9031</v>
      </c>
      <c r="C38" s="10" t="s">
        <v>215</v>
      </c>
      <c r="D38" s="10" t="s">
        <v>9116</v>
      </c>
      <c r="E38" s="8" t="s">
        <v>9117</v>
      </c>
      <c r="F38" s="8" t="s">
        <v>9118</v>
      </c>
      <c r="G38" s="10" t="s">
        <v>3</v>
      </c>
      <c r="H38" s="8" t="s">
        <v>9119</v>
      </c>
      <c r="I38" s="10" t="s">
        <v>87</v>
      </c>
      <c r="J38" s="8" t="s">
        <v>220</v>
      </c>
      <c r="K38" s="8" t="s">
        <v>1435</v>
      </c>
      <c r="L38" s="8" t="s">
        <v>87</v>
      </c>
      <c r="M38" s="10" t="s">
        <v>1436</v>
      </c>
      <c r="N38" s="8" t="s">
        <v>87</v>
      </c>
      <c r="O38" s="10" t="s">
        <v>26</v>
      </c>
      <c r="P38" s="8" t="s">
        <v>9120</v>
      </c>
      <c r="Q38" s="10" t="s">
        <v>246</v>
      </c>
      <c r="R38" s="10" t="s">
        <v>1438</v>
      </c>
      <c r="S38" s="8" t="s">
        <v>220</v>
      </c>
      <c r="T38" s="10" t="s">
        <v>9038</v>
      </c>
      <c r="U38" s="10" t="s">
        <v>87</v>
      </c>
      <c r="V38" s="10" t="s">
        <v>87</v>
      </c>
    </row>
    <row r="39" spans="1:22" s="10" customFormat="1" x14ac:dyDescent="0.25">
      <c r="A39" s="10" t="s">
        <v>9121</v>
      </c>
      <c r="B39" s="10" t="s">
        <v>9122</v>
      </c>
      <c r="C39" s="10" t="s">
        <v>215</v>
      </c>
      <c r="D39" s="10" t="s">
        <v>9123</v>
      </c>
      <c r="E39" s="8" t="s">
        <v>9124</v>
      </c>
      <c r="F39" s="8" t="s">
        <v>9125</v>
      </c>
      <c r="G39" s="10" t="s">
        <v>3</v>
      </c>
      <c r="H39" s="8" t="s">
        <v>9126</v>
      </c>
      <c r="I39" s="10" t="s">
        <v>7302</v>
      </c>
      <c r="J39" s="8" t="s">
        <v>9127</v>
      </c>
      <c r="K39" s="8" t="s">
        <v>1435</v>
      </c>
      <c r="L39" s="8" t="s">
        <v>87</v>
      </c>
      <c r="M39" s="10" t="s">
        <v>1436</v>
      </c>
      <c r="N39" s="8" t="s">
        <v>87</v>
      </c>
      <c r="O39" s="10" t="s">
        <v>27</v>
      </c>
      <c r="P39" s="8" t="s">
        <v>9128</v>
      </c>
      <c r="Q39" s="10" t="s">
        <v>223</v>
      </c>
      <c r="R39" s="10" t="s">
        <v>1438</v>
      </c>
      <c r="S39" s="8" t="s">
        <v>220</v>
      </c>
      <c r="T39" s="10" t="s">
        <v>9129</v>
      </c>
      <c r="U39" s="10" t="s">
        <v>87</v>
      </c>
      <c r="V39" s="10" t="s">
        <v>87</v>
      </c>
    </row>
    <row r="40" spans="1:22" s="10" customFormat="1" x14ac:dyDescent="0.25">
      <c r="A40" s="10" t="s">
        <v>9130</v>
      </c>
      <c r="B40" s="10" t="s">
        <v>9122</v>
      </c>
      <c r="C40" s="10" t="s">
        <v>215</v>
      </c>
      <c r="D40" s="10" t="s">
        <v>9131</v>
      </c>
      <c r="E40" s="8" t="s">
        <v>9132</v>
      </c>
      <c r="F40" s="8" t="s">
        <v>9133</v>
      </c>
      <c r="G40" s="10" t="s">
        <v>3</v>
      </c>
      <c r="H40" s="8" t="s">
        <v>9134</v>
      </c>
      <c r="I40" s="10" t="s">
        <v>7302</v>
      </c>
      <c r="J40" s="8" t="s">
        <v>220</v>
      </c>
      <c r="K40" s="8" t="s">
        <v>1435</v>
      </c>
      <c r="L40" s="8" t="s">
        <v>87</v>
      </c>
      <c r="M40" s="10" t="s">
        <v>1436</v>
      </c>
      <c r="N40" s="8" t="s">
        <v>87</v>
      </c>
      <c r="O40" s="10" t="s">
        <v>27</v>
      </c>
      <c r="P40" s="8" t="s">
        <v>9135</v>
      </c>
      <c r="Q40" s="10" t="s">
        <v>239</v>
      </c>
      <c r="R40" s="10" t="s">
        <v>1438</v>
      </c>
      <c r="S40" s="8" t="s">
        <v>220</v>
      </c>
      <c r="T40" s="10" t="s">
        <v>9129</v>
      </c>
      <c r="U40" s="10" t="s">
        <v>87</v>
      </c>
      <c r="V40" s="10" t="s">
        <v>87</v>
      </c>
    </row>
    <row r="41" spans="1:22" s="10" customFormat="1" x14ac:dyDescent="0.25">
      <c r="A41" s="10" t="s">
        <v>9136</v>
      </c>
      <c r="B41" s="10" t="s">
        <v>9122</v>
      </c>
      <c r="C41" s="11" t="s">
        <v>346</v>
      </c>
      <c r="D41" s="10" t="s">
        <v>9137</v>
      </c>
      <c r="E41" s="8" t="s">
        <v>9138</v>
      </c>
      <c r="F41" s="8" t="s">
        <v>9139</v>
      </c>
      <c r="G41" s="10" t="s">
        <v>3</v>
      </c>
      <c r="H41" s="8" t="s">
        <v>9140</v>
      </c>
      <c r="I41" s="10" t="s">
        <v>7302</v>
      </c>
      <c r="J41" s="8" t="s">
        <v>220</v>
      </c>
      <c r="K41" s="8" t="s">
        <v>1435</v>
      </c>
      <c r="L41" s="8" t="s">
        <v>87</v>
      </c>
      <c r="M41" s="10" t="s">
        <v>1436</v>
      </c>
      <c r="N41" s="8" t="s">
        <v>87</v>
      </c>
      <c r="O41" s="10" t="s">
        <v>27</v>
      </c>
      <c r="P41" s="8" t="s">
        <v>9141</v>
      </c>
      <c r="Q41" s="10" t="s">
        <v>223</v>
      </c>
      <c r="R41" s="10" t="s">
        <v>1438</v>
      </c>
      <c r="S41" s="8" t="s">
        <v>9142</v>
      </c>
      <c r="T41" s="10" t="s">
        <v>9129</v>
      </c>
      <c r="U41" s="10" t="s">
        <v>87</v>
      </c>
      <c r="V41" s="10" t="s">
        <v>87</v>
      </c>
    </row>
    <row r="42" spans="1:22" s="10" customFormat="1" x14ac:dyDescent="0.25">
      <c r="A42" s="10" t="s">
        <v>9143</v>
      </c>
      <c r="B42" s="10" t="s">
        <v>9122</v>
      </c>
      <c r="C42" s="10" t="s">
        <v>215</v>
      </c>
      <c r="D42" s="10" t="s">
        <v>9144</v>
      </c>
      <c r="E42" s="8" t="s">
        <v>9145</v>
      </c>
      <c r="F42" s="8" t="s">
        <v>9146</v>
      </c>
      <c r="G42" s="10" t="s">
        <v>3</v>
      </c>
      <c r="H42" s="8" t="s">
        <v>220</v>
      </c>
      <c r="I42" s="10" t="s">
        <v>7302</v>
      </c>
      <c r="J42" s="8" t="s">
        <v>220</v>
      </c>
      <c r="K42" s="8" t="s">
        <v>1435</v>
      </c>
      <c r="L42" s="8" t="s">
        <v>87</v>
      </c>
      <c r="M42" s="10" t="s">
        <v>1436</v>
      </c>
      <c r="N42" s="8" t="s">
        <v>87</v>
      </c>
      <c r="O42" s="10" t="s">
        <v>27</v>
      </c>
      <c r="P42" s="8" t="s">
        <v>9147</v>
      </c>
      <c r="Q42" s="10" t="s">
        <v>223</v>
      </c>
      <c r="R42" s="10" t="s">
        <v>1438</v>
      </c>
      <c r="S42" s="8" t="s">
        <v>220</v>
      </c>
      <c r="T42" s="10" t="s">
        <v>9129</v>
      </c>
      <c r="U42" s="10" t="s">
        <v>87</v>
      </c>
      <c r="V42" s="10" t="s">
        <v>87</v>
      </c>
    </row>
    <row r="43" spans="1:22" s="10" customFormat="1" x14ac:dyDescent="0.25">
      <c r="A43" s="10" t="s">
        <v>9148</v>
      </c>
      <c r="B43" s="10" t="s">
        <v>9122</v>
      </c>
      <c r="C43" s="11" t="s">
        <v>346</v>
      </c>
      <c r="D43" s="10" t="s">
        <v>9149</v>
      </c>
      <c r="E43" s="8" t="s">
        <v>9150</v>
      </c>
      <c r="F43" s="8" t="s">
        <v>9151</v>
      </c>
      <c r="G43" s="10" t="s">
        <v>4</v>
      </c>
      <c r="H43" s="8" t="s">
        <v>220</v>
      </c>
      <c r="I43" s="10" t="s">
        <v>7302</v>
      </c>
      <c r="J43" s="8" t="s">
        <v>220</v>
      </c>
      <c r="K43" s="8" t="s">
        <v>9152</v>
      </c>
      <c r="L43" s="8" t="s">
        <v>87</v>
      </c>
      <c r="M43" s="10" t="s">
        <v>1456</v>
      </c>
      <c r="N43" s="8" t="s">
        <v>87</v>
      </c>
      <c r="O43" s="10" t="s">
        <v>28</v>
      </c>
      <c r="P43" s="8" t="s">
        <v>9153</v>
      </c>
      <c r="Q43" s="10" t="s">
        <v>239</v>
      </c>
      <c r="R43" s="10" t="s">
        <v>1438</v>
      </c>
      <c r="S43" s="8" t="s">
        <v>9154</v>
      </c>
      <c r="T43" s="10" t="s">
        <v>87</v>
      </c>
      <c r="U43" s="10" t="s">
        <v>87</v>
      </c>
      <c r="V43" s="10" t="s">
        <v>87</v>
      </c>
    </row>
    <row r="44" spans="1:22" s="10" customFormat="1" x14ac:dyDescent="0.25">
      <c r="A44" s="10" t="s">
        <v>9155</v>
      </c>
      <c r="B44" s="10" t="s">
        <v>9122</v>
      </c>
      <c r="C44" s="11" t="s">
        <v>346</v>
      </c>
      <c r="D44" s="10" t="s">
        <v>9156</v>
      </c>
      <c r="E44" s="8" t="s">
        <v>9157</v>
      </c>
      <c r="F44" s="8" t="s">
        <v>9158</v>
      </c>
      <c r="G44" s="10" t="s">
        <v>4</v>
      </c>
      <c r="H44" s="8" t="s">
        <v>220</v>
      </c>
      <c r="I44" s="10" t="s">
        <v>7302</v>
      </c>
      <c r="J44" s="8" t="s">
        <v>220</v>
      </c>
      <c r="K44" s="8" t="s">
        <v>9152</v>
      </c>
      <c r="L44" s="8" t="s">
        <v>87</v>
      </c>
      <c r="M44" s="10" t="s">
        <v>1456</v>
      </c>
      <c r="N44" s="8" t="s">
        <v>87</v>
      </c>
      <c r="O44" s="10" t="s">
        <v>28</v>
      </c>
      <c r="P44" s="8" t="s">
        <v>9159</v>
      </c>
      <c r="Q44" s="10" t="s">
        <v>239</v>
      </c>
      <c r="R44" s="10" t="s">
        <v>1438</v>
      </c>
      <c r="S44" s="8" t="s">
        <v>9160</v>
      </c>
      <c r="T44" s="10" t="s">
        <v>87</v>
      </c>
      <c r="U44" s="10" t="s">
        <v>87</v>
      </c>
      <c r="V44" s="10" t="s">
        <v>87</v>
      </c>
    </row>
    <row r="45" spans="1:22" s="10" customFormat="1" x14ac:dyDescent="0.25">
      <c r="A45" s="10" t="s">
        <v>9161</v>
      </c>
      <c r="B45" s="10" t="s">
        <v>9122</v>
      </c>
      <c r="C45" s="10" t="s">
        <v>215</v>
      </c>
      <c r="D45" s="10" t="s">
        <v>9162</v>
      </c>
      <c r="E45" s="8" t="s">
        <v>9163</v>
      </c>
      <c r="F45" s="8" t="s">
        <v>9164</v>
      </c>
      <c r="G45" s="10" t="s">
        <v>3</v>
      </c>
      <c r="H45" s="8" t="s">
        <v>9165</v>
      </c>
      <c r="I45" s="10" t="s">
        <v>7302</v>
      </c>
      <c r="J45" s="8" t="s">
        <v>220</v>
      </c>
      <c r="K45" s="8" t="s">
        <v>1435</v>
      </c>
      <c r="L45" s="8" t="s">
        <v>9166</v>
      </c>
      <c r="M45" s="10" t="s">
        <v>1436</v>
      </c>
      <c r="N45" s="8" t="s">
        <v>87</v>
      </c>
      <c r="O45" s="10" t="s">
        <v>28</v>
      </c>
      <c r="P45" s="8" t="s">
        <v>9167</v>
      </c>
      <c r="Q45" s="10" t="s">
        <v>223</v>
      </c>
      <c r="R45" s="10" t="s">
        <v>1438</v>
      </c>
      <c r="S45" s="8" t="s">
        <v>9168</v>
      </c>
      <c r="T45" s="10" t="s">
        <v>9129</v>
      </c>
      <c r="U45" s="10" t="s">
        <v>87</v>
      </c>
      <c r="V45" s="10" t="s">
        <v>87</v>
      </c>
    </row>
    <row r="46" spans="1:22" s="10" customFormat="1" x14ac:dyDescent="0.25">
      <c r="A46" s="10" t="s">
        <v>9169</v>
      </c>
      <c r="B46" s="10" t="s">
        <v>9122</v>
      </c>
      <c r="C46" s="10" t="s">
        <v>215</v>
      </c>
      <c r="D46" s="10" t="s">
        <v>9170</v>
      </c>
      <c r="E46" s="8" t="s">
        <v>9171</v>
      </c>
      <c r="F46" s="8" t="s">
        <v>9172</v>
      </c>
      <c r="G46" s="10" t="s">
        <v>4</v>
      </c>
      <c r="H46" s="8" t="s">
        <v>220</v>
      </c>
      <c r="I46" s="10" t="s">
        <v>7302</v>
      </c>
      <c r="J46" s="8" t="s">
        <v>220</v>
      </c>
      <c r="K46" s="8" t="s">
        <v>9173</v>
      </c>
      <c r="L46" s="8" t="s">
        <v>87</v>
      </c>
      <c r="M46" s="10" t="s">
        <v>1456</v>
      </c>
      <c r="N46" s="8" t="s">
        <v>87</v>
      </c>
      <c r="O46" s="10" t="s">
        <v>27</v>
      </c>
      <c r="P46" s="8" t="s">
        <v>9174</v>
      </c>
      <c r="Q46" s="10" t="s">
        <v>239</v>
      </c>
      <c r="R46" s="10" t="s">
        <v>1438</v>
      </c>
      <c r="S46" s="8" t="s">
        <v>9175</v>
      </c>
      <c r="T46" s="10" t="s">
        <v>9129</v>
      </c>
      <c r="U46" s="10" t="s">
        <v>87</v>
      </c>
      <c r="V46" s="10" t="s">
        <v>87</v>
      </c>
    </row>
    <row r="47" spans="1:22" s="10" customFormat="1" x14ac:dyDescent="0.25">
      <c r="A47" s="10" t="s">
        <v>9176</v>
      </c>
      <c r="B47" s="10" t="s">
        <v>9122</v>
      </c>
      <c r="C47" s="10" t="s">
        <v>215</v>
      </c>
      <c r="D47" s="10" t="s">
        <v>9177</v>
      </c>
      <c r="E47" s="8" t="s">
        <v>9178</v>
      </c>
      <c r="F47" s="8" t="s">
        <v>9179</v>
      </c>
      <c r="G47" s="10" t="s">
        <v>87</v>
      </c>
      <c r="H47" s="8" t="s">
        <v>9180</v>
      </c>
      <c r="I47" s="10" t="s">
        <v>7302</v>
      </c>
      <c r="J47" s="8" t="s">
        <v>9181</v>
      </c>
      <c r="K47" s="8" t="s">
        <v>87</v>
      </c>
      <c r="L47" s="8" t="s">
        <v>87</v>
      </c>
      <c r="M47" s="10" t="s">
        <v>87</v>
      </c>
      <c r="N47" s="8" t="s">
        <v>87</v>
      </c>
      <c r="O47" s="10" t="s">
        <v>28</v>
      </c>
      <c r="P47" s="8" t="s">
        <v>9182</v>
      </c>
      <c r="Q47" s="10" t="s">
        <v>223</v>
      </c>
      <c r="R47" s="10" t="s">
        <v>1438</v>
      </c>
      <c r="S47" s="8" t="s">
        <v>9183</v>
      </c>
      <c r="T47" s="10" t="s">
        <v>87</v>
      </c>
      <c r="U47" s="10" t="s">
        <v>87</v>
      </c>
      <c r="V47" s="10" t="s">
        <v>87</v>
      </c>
    </row>
    <row r="48" spans="1:22" s="10" customFormat="1" x14ac:dyDescent="0.25">
      <c r="A48" s="10" t="s">
        <v>9184</v>
      </c>
      <c r="B48" s="10" t="s">
        <v>9122</v>
      </c>
      <c r="C48" s="10" t="s">
        <v>215</v>
      </c>
      <c r="D48" s="10" t="s">
        <v>9185</v>
      </c>
      <c r="E48" s="8" t="s">
        <v>9186</v>
      </c>
      <c r="F48" s="8" t="s">
        <v>9187</v>
      </c>
      <c r="G48" s="10" t="s">
        <v>87</v>
      </c>
      <c r="H48" s="8" t="s">
        <v>9188</v>
      </c>
      <c r="I48" s="10" t="s">
        <v>7302</v>
      </c>
      <c r="J48" s="8" t="s">
        <v>9181</v>
      </c>
      <c r="K48" s="8" t="s">
        <v>87</v>
      </c>
      <c r="L48" s="8" t="s">
        <v>87</v>
      </c>
      <c r="M48" s="10" t="s">
        <v>87</v>
      </c>
      <c r="N48" s="8" t="s">
        <v>87</v>
      </c>
      <c r="O48" s="10" t="s">
        <v>28</v>
      </c>
      <c r="P48" s="8" t="s">
        <v>9189</v>
      </c>
      <c r="Q48" s="10" t="s">
        <v>223</v>
      </c>
      <c r="R48" s="10" t="s">
        <v>1438</v>
      </c>
      <c r="S48" s="8" t="s">
        <v>220</v>
      </c>
      <c r="T48" s="10" t="s">
        <v>87</v>
      </c>
      <c r="U48" s="10" t="s">
        <v>87</v>
      </c>
      <c r="V48" s="10" t="s">
        <v>87</v>
      </c>
    </row>
    <row r="49" spans="1:22" s="10" customFormat="1" x14ac:dyDescent="0.25">
      <c r="A49" s="10" t="s">
        <v>9190</v>
      </c>
      <c r="B49" s="10" t="s">
        <v>9191</v>
      </c>
      <c r="C49" s="10" t="s">
        <v>215</v>
      </c>
      <c r="D49" s="10" t="s">
        <v>9192</v>
      </c>
      <c r="E49" s="8" t="s">
        <v>9193</v>
      </c>
      <c r="F49" s="8" t="s">
        <v>9194</v>
      </c>
      <c r="G49" s="10" t="s">
        <v>3</v>
      </c>
      <c r="H49" s="8" t="s">
        <v>220</v>
      </c>
      <c r="I49" s="10" t="s">
        <v>87</v>
      </c>
      <c r="J49" s="8" t="s">
        <v>220</v>
      </c>
      <c r="K49" s="8" t="s">
        <v>1435</v>
      </c>
      <c r="L49" s="8" t="s">
        <v>87</v>
      </c>
      <c r="M49" s="10" t="s">
        <v>1436</v>
      </c>
      <c r="N49" s="8" t="s">
        <v>87</v>
      </c>
      <c r="O49" s="10" t="s">
        <v>29</v>
      </c>
      <c r="P49" s="8" t="s">
        <v>9195</v>
      </c>
      <c r="Q49" s="10" t="s">
        <v>223</v>
      </c>
      <c r="R49" s="10" t="s">
        <v>9196</v>
      </c>
      <c r="S49" s="8" t="s">
        <v>220</v>
      </c>
      <c r="T49" s="10" t="s">
        <v>9197</v>
      </c>
      <c r="U49" s="10" t="s">
        <v>87</v>
      </c>
      <c r="V49" s="10" t="s">
        <v>87</v>
      </c>
    </row>
    <row r="50" spans="1:22" s="10" customFormat="1" x14ac:dyDescent="0.25">
      <c r="A50" s="10" t="s">
        <v>9198</v>
      </c>
      <c r="B50" s="10" t="s">
        <v>9191</v>
      </c>
      <c r="C50" s="11" t="s">
        <v>346</v>
      </c>
      <c r="D50" s="10" t="s">
        <v>9199</v>
      </c>
      <c r="E50" s="8" t="s">
        <v>9200</v>
      </c>
      <c r="F50" s="8" t="s">
        <v>9201</v>
      </c>
      <c r="G50" s="10" t="s">
        <v>3</v>
      </c>
      <c r="H50" s="8" t="s">
        <v>220</v>
      </c>
      <c r="I50" s="10" t="s">
        <v>87</v>
      </c>
      <c r="J50" s="8" t="s">
        <v>9202</v>
      </c>
      <c r="K50" s="8" t="s">
        <v>1435</v>
      </c>
      <c r="L50" s="8" t="s">
        <v>87</v>
      </c>
      <c r="M50" s="10" t="s">
        <v>1436</v>
      </c>
      <c r="N50" s="8" t="s">
        <v>87</v>
      </c>
      <c r="O50" s="10" t="s">
        <v>29</v>
      </c>
      <c r="P50" s="8" t="s">
        <v>9203</v>
      </c>
      <c r="Q50" s="10" t="s">
        <v>239</v>
      </c>
      <c r="R50" s="10" t="s">
        <v>9196</v>
      </c>
      <c r="S50" s="8" t="s">
        <v>220</v>
      </c>
      <c r="T50" s="10" t="s">
        <v>9197</v>
      </c>
      <c r="U50" s="10" t="s">
        <v>87</v>
      </c>
      <c r="V50" s="10" t="s">
        <v>87</v>
      </c>
    </row>
    <row r="51" spans="1:22" s="10" customFormat="1" x14ac:dyDescent="0.25">
      <c r="A51" s="10" t="s">
        <v>9204</v>
      </c>
      <c r="B51" s="10" t="s">
        <v>9191</v>
      </c>
      <c r="C51" s="11" t="s">
        <v>346</v>
      </c>
      <c r="D51" s="10" t="s">
        <v>9205</v>
      </c>
      <c r="E51" s="8" t="s">
        <v>9206</v>
      </c>
      <c r="F51" s="8" t="s">
        <v>9207</v>
      </c>
      <c r="G51" s="10" t="s">
        <v>4</v>
      </c>
      <c r="H51" s="8" t="s">
        <v>9208</v>
      </c>
      <c r="I51" s="10" t="s">
        <v>87</v>
      </c>
      <c r="J51" s="8" t="s">
        <v>220</v>
      </c>
      <c r="K51" s="8" t="s">
        <v>9209</v>
      </c>
      <c r="L51" s="8" t="s">
        <v>87</v>
      </c>
      <c r="M51" s="10" t="s">
        <v>1456</v>
      </c>
      <c r="N51" s="8" t="s">
        <v>87</v>
      </c>
      <c r="O51" s="10" t="s">
        <v>29</v>
      </c>
      <c r="P51" s="8" t="s">
        <v>9210</v>
      </c>
      <c r="Q51" s="10" t="s">
        <v>239</v>
      </c>
      <c r="R51" s="10" t="s">
        <v>9196</v>
      </c>
      <c r="S51" s="8" t="s">
        <v>9211</v>
      </c>
      <c r="T51" s="10" t="s">
        <v>9197</v>
      </c>
      <c r="U51" s="10" t="s">
        <v>87</v>
      </c>
      <c r="V51" s="10" t="s">
        <v>87</v>
      </c>
    </row>
    <row r="52" spans="1:22" s="10" customFormat="1" x14ac:dyDescent="0.25">
      <c r="A52" s="10" t="s">
        <v>9212</v>
      </c>
      <c r="B52" s="10" t="s">
        <v>9191</v>
      </c>
      <c r="C52" s="11" t="s">
        <v>346</v>
      </c>
      <c r="D52" s="10" t="s">
        <v>9213</v>
      </c>
      <c r="E52" s="8" t="s">
        <v>9214</v>
      </c>
      <c r="F52" s="8" t="s">
        <v>9215</v>
      </c>
      <c r="G52" s="10" t="s">
        <v>2647</v>
      </c>
      <c r="H52" s="8" t="s">
        <v>9208</v>
      </c>
      <c r="I52" s="10" t="s">
        <v>1151</v>
      </c>
      <c r="J52" s="8" t="s">
        <v>9216</v>
      </c>
      <c r="K52" s="8" t="s">
        <v>2649</v>
      </c>
      <c r="L52" s="8" t="s">
        <v>87</v>
      </c>
      <c r="M52" s="10" t="s">
        <v>1436</v>
      </c>
      <c r="N52" s="8" t="s">
        <v>87</v>
      </c>
      <c r="O52" s="10" t="s">
        <v>29</v>
      </c>
      <c r="P52" s="8" t="s">
        <v>9217</v>
      </c>
      <c r="Q52" s="10" t="s">
        <v>223</v>
      </c>
      <c r="R52" s="10" t="s">
        <v>9196</v>
      </c>
      <c r="S52" s="8" t="s">
        <v>9218</v>
      </c>
      <c r="T52" s="10" t="s">
        <v>9197</v>
      </c>
      <c r="U52" s="10" t="s">
        <v>87</v>
      </c>
      <c r="V52" s="10" t="s">
        <v>87</v>
      </c>
    </row>
    <row r="53" spans="1:22" s="10" customFormat="1" x14ac:dyDescent="0.25">
      <c r="A53" s="10" t="s">
        <v>9219</v>
      </c>
      <c r="B53" s="10" t="s">
        <v>9191</v>
      </c>
      <c r="C53" s="11" t="s">
        <v>346</v>
      </c>
      <c r="D53" s="10" t="s">
        <v>9220</v>
      </c>
      <c r="E53" s="8" t="s">
        <v>9221</v>
      </c>
      <c r="F53" s="8" t="s">
        <v>9222</v>
      </c>
      <c r="G53" s="10" t="s">
        <v>4</v>
      </c>
      <c r="H53" s="8" t="s">
        <v>9223</v>
      </c>
      <c r="I53" s="10" t="s">
        <v>87</v>
      </c>
      <c r="J53" s="8" t="s">
        <v>220</v>
      </c>
      <c r="K53" s="8" t="s">
        <v>9209</v>
      </c>
      <c r="L53" s="8" t="s">
        <v>87</v>
      </c>
      <c r="M53" s="10" t="s">
        <v>1456</v>
      </c>
      <c r="N53" s="8" t="s">
        <v>87</v>
      </c>
      <c r="O53" s="10" t="s">
        <v>29</v>
      </c>
      <c r="P53" s="8" t="s">
        <v>9224</v>
      </c>
      <c r="Q53" s="10" t="s">
        <v>239</v>
      </c>
      <c r="R53" s="10" t="s">
        <v>9196</v>
      </c>
      <c r="S53" s="8" t="s">
        <v>9225</v>
      </c>
      <c r="T53" s="10" t="s">
        <v>9197</v>
      </c>
      <c r="U53" s="10" t="s">
        <v>87</v>
      </c>
      <c r="V53" s="10" t="s">
        <v>87</v>
      </c>
    </row>
    <row r="54" spans="1:22" s="10" customFormat="1" x14ac:dyDescent="0.25">
      <c r="A54" s="10" t="s">
        <v>9226</v>
      </c>
      <c r="B54" s="10" t="s">
        <v>9191</v>
      </c>
      <c r="C54" s="11" t="s">
        <v>346</v>
      </c>
      <c r="D54" s="10" t="s">
        <v>9227</v>
      </c>
      <c r="E54" s="8" t="s">
        <v>9228</v>
      </c>
      <c r="F54" s="8" t="s">
        <v>9229</v>
      </c>
      <c r="G54" s="10" t="s">
        <v>4</v>
      </c>
      <c r="H54" s="8" t="s">
        <v>9075</v>
      </c>
      <c r="I54" s="10" t="s">
        <v>87</v>
      </c>
      <c r="J54" s="8" t="s">
        <v>220</v>
      </c>
      <c r="K54" s="8" t="s">
        <v>9230</v>
      </c>
      <c r="L54" s="8" t="s">
        <v>9231</v>
      </c>
      <c r="M54" s="10" t="s">
        <v>1456</v>
      </c>
      <c r="N54" s="8" t="s">
        <v>87</v>
      </c>
      <c r="O54" s="10" t="s">
        <v>29</v>
      </c>
      <c r="P54" s="8" t="s">
        <v>9232</v>
      </c>
      <c r="Q54" s="10" t="s">
        <v>223</v>
      </c>
      <c r="R54" s="10" t="s">
        <v>9196</v>
      </c>
      <c r="S54" s="8" t="s">
        <v>220</v>
      </c>
      <c r="T54" s="10" t="s">
        <v>9197</v>
      </c>
      <c r="U54" s="10" t="s">
        <v>87</v>
      </c>
      <c r="V54" s="10" t="s">
        <v>87</v>
      </c>
    </row>
    <row r="55" spans="1:22" s="10" customFormat="1" x14ac:dyDescent="0.25">
      <c r="A55" s="10" t="s">
        <v>9233</v>
      </c>
      <c r="B55" s="10" t="s">
        <v>9191</v>
      </c>
      <c r="C55" s="10" t="s">
        <v>215</v>
      </c>
      <c r="D55" s="10" t="s">
        <v>9234</v>
      </c>
      <c r="E55" s="8" t="s">
        <v>9235</v>
      </c>
      <c r="F55" s="8" t="s">
        <v>9236</v>
      </c>
      <c r="G55" s="10" t="s">
        <v>3</v>
      </c>
      <c r="H55" s="8" t="s">
        <v>9237</v>
      </c>
      <c r="I55" s="10" t="s">
        <v>87</v>
      </c>
      <c r="J55" s="8" t="s">
        <v>220</v>
      </c>
      <c r="K55" s="8" t="s">
        <v>1435</v>
      </c>
      <c r="L55" s="8" t="s">
        <v>9238</v>
      </c>
      <c r="M55" s="10" t="s">
        <v>1436</v>
      </c>
      <c r="N55" s="8" t="s">
        <v>87</v>
      </c>
      <c r="O55" s="10" t="s">
        <v>29</v>
      </c>
      <c r="P55" s="8" t="s">
        <v>9239</v>
      </c>
      <c r="Q55" s="10" t="s">
        <v>223</v>
      </c>
      <c r="R55" s="10" t="s">
        <v>9196</v>
      </c>
      <c r="S55" s="8" t="s">
        <v>220</v>
      </c>
      <c r="T55" s="10" t="s">
        <v>9197</v>
      </c>
      <c r="U55" s="10" t="s">
        <v>87</v>
      </c>
      <c r="V55" s="10" t="s">
        <v>87</v>
      </c>
    </row>
    <row r="56" spans="1:22" s="10" customFormat="1" x14ac:dyDescent="0.25">
      <c r="A56" s="10" t="s">
        <v>9240</v>
      </c>
      <c r="B56" s="10" t="s">
        <v>9191</v>
      </c>
      <c r="C56" s="10" t="s">
        <v>384</v>
      </c>
      <c r="D56" s="10" t="s">
        <v>9241</v>
      </c>
      <c r="E56" s="8" t="s">
        <v>9242</v>
      </c>
      <c r="F56" s="8" t="s">
        <v>9243</v>
      </c>
      <c r="G56" s="10" t="s">
        <v>3</v>
      </c>
      <c r="H56" s="8" t="s">
        <v>220</v>
      </c>
      <c r="I56" s="10" t="s">
        <v>87</v>
      </c>
      <c r="J56" s="8" t="s">
        <v>220</v>
      </c>
      <c r="K56" s="8" t="s">
        <v>1435</v>
      </c>
      <c r="L56" s="8" t="s">
        <v>9238</v>
      </c>
      <c r="M56" s="10" t="s">
        <v>1436</v>
      </c>
      <c r="N56" s="8" t="s">
        <v>87</v>
      </c>
      <c r="O56" s="10" t="s">
        <v>29</v>
      </c>
      <c r="P56" s="8" t="s">
        <v>9244</v>
      </c>
      <c r="Q56" s="10" t="s">
        <v>223</v>
      </c>
      <c r="R56" s="10" t="s">
        <v>9196</v>
      </c>
      <c r="S56" s="8" t="s">
        <v>220</v>
      </c>
      <c r="T56" s="10" t="s">
        <v>9197</v>
      </c>
      <c r="U56" s="10" t="s">
        <v>87</v>
      </c>
      <c r="V56" s="10" t="s">
        <v>87</v>
      </c>
    </row>
    <row r="57" spans="1:22" s="10" customFormat="1" x14ac:dyDescent="0.25">
      <c r="A57" s="10" t="s">
        <v>9245</v>
      </c>
      <c r="B57" s="10" t="s">
        <v>9191</v>
      </c>
      <c r="C57" s="10" t="s">
        <v>215</v>
      </c>
      <c r="D57" s="10" t="s">
        <v>9246</v>
      </c>
      <c r="E57" s="8" t="s">
        <v>9247</v>
      </c>
      <c r="F57" s="8" t="s">
        <v>9248</v>
      </c>
      <c r="G57" s="10" t="s">
        <v>3</v>
      </c>
      <c r="H57" s="8" t="s">
        <v>9249</v>
      </c>
      <c r="I57" s="10" t="s">
        <v>87</v>
      </c>
      <c r="J57" s="8" t="s">
        <v>220</v>
      </c>
      <c r="K57" s="8" t="s">
        <v>1435</v>
      </c>
      <c r="L57" s="8" t="s">
        <v>9238</v>
      </c>
      <c r="M57" s="10" t="s">
        <v>1436</v>
      </c>
      <c r="N57" s="8" t="s">
        <v>87</v>
      </c>
      <c r="O57" s="10" t="s">
        <v>29</v>
      </c>
      <c r="P57" s="8" t="s">
        <v>9250</v>
      </c>
      <c r="Q57" s="10" t="s">
        <v>239</v>
      </c>
      <c r="R57" s="10" t="s">
        <v>9196</v>
      </c>
      <c r="S57" s="8" t="s">
        <v>220</v>
      </c>
      <c r="T57" s="10" t="s">
        <v>9197</v>
      </c>
      <c r="U57" s="10" t="s">
        <v>87</v>
      </c>
      <c r="V57" s="10" t="s">
        <v>87</v>
      </c>
    </row>
    <row r="58" spans="1:22" s="10" customFormat="1" x14ac:dyDescent="0.25">
      <c r="A58" s="10" t="s">
        <v>9251</v>
      </c>
      <c r="B58" s="10" t="s">
        <v>9191</v>
      </c>
      <c r="C58" s="10" t="s">
        <v>215</v>
      </c>
      <c r="D58" s="10" t="s">
        <v>9252</v>
      </c>
      <c r="E58" s="8" t="s">
        <v>9253</v>
      </c>
      <c r="F58" s="8" t="s">
        <v>9254</v>
      </c>
      <c r="G58" s="10" t="s">
        <v>2647</v>
      </c>
      <c r="H58" s="8" t="s">
        <v>9208</v>
      </c>
      <c r="I58" s="10" t="s">
        <v>1151</v>
      </c>
      <c r="J58" s="8" t="s">
        <v>220</v>
      </c>
      <c r="K58" s="8" t="s">
        <v>2649</v>
      </c>
      <c r="L58" s="8" t="s">
        <v>87</v>
      </c>
      <c r="M58" s="10" t="s">
        <v>1436</v>
      </c>
      <c r="N58" s="8" t="s">
        <v>87</v>
      </c>
      <c r="O58" s="10" t="s">
        <v>29</v>
      </c>
      <c r="P58" s="8" t="s">
        <v>9255</v>
      </c>
      <c r="Q58" s="10" t="s">
        <v>223</v>
      </c>
      <c r="R58" s="10" t="s">
        <v>9196</v>
      </c>
      <c r="S58" s="8" t="s">
        <v>9256</v>
      </c>
      <c r="T58" s="10" t="s">
        <v>9197</v>
      </c>
      <c r="U58" s="10" t="s">
        <v>87</v>
      </c>
      <c r="V58" s="10" t="s">
        <v>87</v>
      </c>
    </row>
    <row r="59" spans="1:22" s="10" customFormat="1" x14ac:dyDescent="0.25">
      <c r="A59" s="10" t="s">
        <v>9257</v>
      </c>
      <c r="B59" s="10" t="s">
        <v>9258</v>
      </c>
      <c r="C59" s="11" t="s">
        <v>346</v>
      </c>
      <c r="D59" s="10" t="s">
        <v>9259</v>
      </c>
      <c r="E59" s="8" t="s">
        <v>9260</v>
      </c>
      <c r="F59" s="8" t="s">
        <v>9261</v>
      </c>
      <c r="G59" s="10" t="s">
        <v>4</v>
      </c>
      <c r="H59" s="8" t="s">
        <v>9262</v>
      </c>
      <c r="I59" s="10" t="s">
        <v>87</v>
      </c>
      <c r="J59" s="8" t="s">
        <v>9263</v>
      </c>
      <c r="K59" s="8" t="s">
        <v>9264</v>
      </c>
      <c r="L59" s="8" t="s">
        <v>87</v>
      </c>
      <c r="M59" s="10" t="s">
        <v>1456</v>
      </c>
      <c r="N59" s="8" t="s">
        <v>87</v>
      </c>
      <c r="O59" s="10" t="s">
        <v>30</v>
      </c>
      <c r="P59" s="8" t="s">
        <v>9265</v>
      </c>
      <c r="Q59" s="10" t="s">
        <v>223</v>
      </c>
      <c r="R59" s="10" t="s">
        <v>9266</v>
      </c>
      <c r="S59" s="8" t="s">
        <v>220</v>
      </c>
      <c r="T59" s="10" t="s">
        <v>9267</v>
      </c>
      <c r="U59" s="10" t="s">
        <v>87</v>
      </c>
      <c r="V59" s="10" t="s">
        <v>87</v>
      </c>
    </row>
    <row r="60" spans="1:22" s="10" customFormat="1" x14ac:dyDescent="0.25">
      <c r="A60" s="10" t="s">
        <v>9268</v>
      </c>
      <c r="B60" s="10" t="s">
        <v>9258</v>
      </c>
      <c r="C60" s="11" t="s">
        <v>346</v>
      </c>
      <c r="D60" s="10" t="s">
        <v>9269</v>
      </c>
      <c r="E60" s="8" t="s">
        <v>9270</v>
      </c>
      <c r="F60" s="8" t="s">
        <v>9271</v>
      </c>
      <c r="G60" s="10" t="s">
        <v>4</v>
      </c>
      <c r="H60" s="8" t="s">
        <v>9082</v>
      </c>
      <c r="I60" s="10" t="s">
        <v>539</v>
      </c>
      <c r="J60" s="8" t="s">
        <v>9272</v>
      </c>
      <c r="K60" s="8" t="s">
        <v>9273</v>
      </c>
      <c r="L60" s="8" t="s">
        <v>9274</v>
      </c>
      <c r="M60" s="10" t="s">
        <v>1456</v>
      </c>
      <c r="N60" s="8" t="s">
        <v>87</v>
      </c>
      <c r="O60" s="10" t="s">
        <v>30</v>
      </c>
      <c r="P60" s="8" t="s">
        <v>9275</v>
      </c>
      <c r="Q60" s="10" t="s">
        <v>239</v>
      </c>
      <c r="R60" s="10" t="s">
        <v>9266</v>
      </c>
      <c r="S60" s="8" t="s">
        <v>220</v>
      </c>
      <c r="T60" s="10" t="s">
        <v>9267</v>
      </c>
      <c r="U60" s="10" t="s">
        <v>87</v>
      </c>
      <c r="V60" s="10" t="s">
        <v>87</v>
      </c>
    </row>
    <row r="61" spans="1:22" s="10" customFormat="1" x14ac:dyDescent="0.25">
      <c r="A61" s="10" t="s">
        <v>9276</v>
      </c>
      <c r="B61" s="10" t="s">
        <v>9258</v>
      </c>
      <c r="C61" s="11" t="s">
        <v>346</v>
      </c>
      <c r="D61" s="10" t="s">
        <v>9277</v>
      </c>
      <c r="E61" s="8" t="s">
        <v>9278</v>
      </c>
      <c r="F61" s="8" t="s">
        <v>9279</v>
      </c>
      <c r="G61" s="10" t="s">
        <v>4</v>
      </c>
      <c r="H61" s="8" t="s">
        <v>9082</v>
      </c>
      <c r="I61" s="10" t="s">
        <v>919</v>
      </c>
      <c r="J61" s="8" t="s">
        <v>220</v>
      </c>
      <c r="K61" s="8" t="s">
        <v>9273</v>
      </c>
      <c r="L61" s="8" t="s">
        <v>87</v>
      </c>
      <c r="M61" s="10" t="s">
        <v>1456</v>
      </c>
      <c r="N61" s="8" t="s">
        <v>87</v>
      </c>
      <c r="O61" s="10" t="s">
        <v>30</v>
      </c>
      <c r="P61" s="8" t="s">
        <v>9280</v>
      </c>
      <c r="Q61" s="10" t="s">
        <v>239</v>
      </c>
      <c r="R61" s="10" t="s">
        <v>9266</v>
      </c>
      <c r="S61" s="8" t="s">
        <v>220</v>
      </c>
      <c r="T61" s="10" t="s">
        <v>9267</v>
      </c>
      <c r="U61" s="10" t="s">
        <v>87</v>
      </c>
      <c r="V61" s="10" t="s">
        <v>87</v>
      </c>
    </row>
    <row r="62" spans="1:22" s="10" customFormat="1" x14ac:dyDescent="0.25">
      <c r="A62" s="10" t="s">
        <v>9281</v>
      </c>
      <c r="B62" s="10" t="s">
        <v>9258</v>
      </c>
      <c r="C62" s="10" t="s">
        <v>215</v>
      </c>
      <c r="D62" s="10" t="s">
        <v>9282</v>
      </c>
      <c r="E62" s="8" t="s">
        <v>9283</v>
      </c>
      <c r="F62" s="8" t="s">
        <v>9284</v>
      </c>
      <c r="G62" s="10" t="s">
        <v>4</v>
      </c>
      <c r="H62" s="8" t="s">
        <v>9082</v>
      </c>
      <c r="I62" s="10" t="s">
        <v>1151</v>
      </c>
      <c r="J62" s="8" t="s">
        <v>220</v>
      </c>
      <c r="K62" s="8" t="s">
        <v>9273</v>
      </c>
      <c r="L62" s="8" t="s">
        <v>87</v>
      </c>
      <c r="M62" s="10" t="s">
        <v>1456</v>
      </c>
      <c r="N62" s="8" t="s">
        <v>87</v>
      </c>
      <c r="O62" s="10" t="s">
        <v>30</v>
      </c>
      <c r="P62" s="8" t="s">
        <v>9285</v>
      </c>
      <c r="Q62" s="10" t="s">
        <v>239</v>
      </c>
      <c r="R62" s="10" t="s">
        <v>9266</v>
      </c>
      <c r="S62" s="8" t="s">
        <v>220</v>
      </c>
      <c r="T62" s="10" t="s">
        <v>9267</v>
      </c>
      <c r="U62" s="10" t="s">
        <v>87</v>
      </c>
      <c r="V62" s="10" t="s">
        <v>87</v>
      </c>
    </row>
    <row r="63" spans="1:22" s="10" customFormat="1" x14ac:dyDescent="0.25">
      <c r="A63" s="10" t="s">
        <v>9286</v>
      </c>
      <c r="B63" s="10" t="s">
        <v>9258</v>
      </c>
      <c r="C63" s="10" t="s">
        <v>215</v>
      </c>
      <c r="D63" s="10" t="s">
        <v>9287</v>
      </c>
      <c r="E63" s="8" t="s">
        <v>9288</v>
      </c>
      <c r="F63" s="8" t="s">
        <v>9289</v>
      </c>
      <c r="G63" s="10" t="s">
        <v>4</v>
      </c>
      <c r="H63" s="8" t="s">
        <v>9290</v>
      </c>
      <c r="I63" s="10" t="s">
        <v>87</v>
      </c>
      <c r="J63" s="8" t="s">
        <v>220</v>
      </c>
      <c r="K63" s="8" t="s">
        <v>9291</v>
      </c>
      <c r="L63" s="8" t="s">
        <v>87</v>
      </c>
      <c r="M63" s="10" t="s">
        <v>1456</v>
      </c>
      <c r="N63" s="8" t="s">
        <v>87</v>
      </c>
      <c r="O63" s="10" t="s">
        <v>30</v>
      </c>
      <c r="P63" s="8" t="s">
        <v>9292</v>
      </c>
      <c r="Q63" s="10" t="s">
        <v>223</v>
      </c>
      <c r="R63" s="10" t="s">
        <v>9266</v>
      </c>
      <c r="S63" s="8" t="s">
        <v>220</v>
      </c>
      <c r="T63" s="10" t="s">
        <v>9267</v>
      </c>
      <c r="U63" s="10" t="s">
        <v>87</v>
      </c>
      <c r="V63" s="10" t="s">
        <v>87</v>
      </c>
    </row>
    <row r="64" spans="1:22" s="10" customFormat="1" x14ac:dyDescent="0.25">
      <c r="A64" s="10" t="s">
        <v>9293</v>
      </c>
      <c r="B64" s="10" t="s">
        <v>9258</v>
      </c>
      <c r="C64" s="11" t="s">
        <v>346</v>
      </c>
      <c r="D64" s="10" t="s">
        <v>9294</v>
      </c>
      <c r="E64" s="8" t="s">
        <v>9295</v>
      </c>
      <c r="F64" s="8" t="s">
        <v>9296</v>
      </c>
      <c r="G64" s="10" t="s">
        <v>4</v>
      </c>
      <c r="H64" s="8" t="s">
        <v>9297</v>
      </c>
      <c r="I64" s="10" t="s">
        <v>87</v>
      </c>
      <c r="J64" s="8" t="s">
        <v>220</v>
      </c>
      <c r="K64" s="8" t="s">
        <v>9298</v>
      </c>
      <c r="L64" s="8" t="s">
        <v>87</v>
      </c>
      <c r="M64" s="10" t="s">
        <v>1456</v>
      </c>
      <c r="N64" s="8" t="s">
        <v>87</v>
      </c>
      <c r="O64" s="10" t="s">
        <v>30</v>
      </c>
      <c r="P64" s="8" t="s">
        <v>9299</v>
      </c>
      <c r="Q64" s="10" t="s">
        <v>223</v>
      </c>
      <c r="R64" s="10" t="s">
        <v>9266</v>
      </c>
      <c r="S64" s="8" t="s">
        <v>220</v>
      </c>
      <c r="T64" s="10" t="s">
        <v>9267</v>
      </c>
      <c r="U64" s="10" t="s">
        <v>87</v>
      </c>
      <c r="V64" s="10" t="s">
        <v>87</v>
      </c>
    </row>
    <row r="65" spans="1:22" s="10" customFormat="1" x14ac:dyDescent="0.25">
      <c r="A65" s="10" t="s">
        <v>9300</v>
      </c>
      <c r="B65" s="10" t="s">
        <v>9258</v>
      </c>
      <c r="C65" s="10" t="s">
        <v>215</v>
      </c>
      <c r="D65" s="10" t="s">
        <v>9301</v>
      </c>
      <c r="E65" s="8" t="s">
        <v>9302</v>
      </c>
      <c r="F65" s="8" t="s">
        <v>9303</v>
      </c>
      <c r="G65" s="10" t="s">
        <v>3</v>
      </c>
      <c r="H65" s="8" t="s">
        <v>9304</v>
      </c>
      <c r="I65" s="10" t="s">
        <v>87</v>
      </c>
      <c r="J65" s="8" t="s">
        <v>220</v>
      </c>
      <c r="K65" s="8" t="s">
        <v>1435</v>
      </c>
      <c r="L65" s="8" t="s">
        <v>87</v>
      </c>
      <c r="M65" s="10" t="s">
        <v>1436</v>
      </c>
      <c r="N65" s="8" t="s">
        <v>87</v>
      </c>
      <c r="O65" s="10" t="s">
        <v>30</v>
      </c>
      <c r="P65" s="8" t="s">
        <v>9305</v>
      </c>
      <c r="Q65" s="10" t="s">
        <v>223</v>
      </c>
      <c r="R65" s="10" t="s">
        <v>9266</v>
      </c>
      <c r="S65" s="8" t="s">
        <v>9306</v>
      </c>
      <c r="T65" s="10" t="s">
        <v>9267</v>
      </c>
      <c r="U65" s="10" t="s">
        <v>87</v>
      </c>
      <c r="V65" s="10" t="s">
        <v>87</v>
      </c>
    </row>
    <row r="66" spans="1:22" s="10" customFormat="1" x14ac:dyDescent="0.25">
      <c r="A66" s="10" t="s">
        <v>9307</v>
      </c>
      <c r="B66" s="10" t="s">
        <v>9258</v>
      </c>
      <c r="C66" s="10" t="s">
        <v>215</v>
      </c>
      <c r="D66" s="10" t="s">
        <v>9308</v>
      </c>
      <c r="E66" s="8" t="s">
        <v>9309</v>
      </c>
      <c r="F66" s="8" t="s">
        <v>9310</v>
      </c>
      <c r="G66" s="10" t="s">
        <v>4</v>
      </c>
      <c r="H66" s="8" t="s">
        <v>9311</v>
      </c>
      <c r="I66" s="10" t="s">
        <v>87</v>
      </c>
      <c r="J66" s="8" t="s">
        <v>220</v>
      </c>
      <c r="K66" s="8" t="s">
        <v>9312</v>
      </c>
      <c r="L66" s="8" t="s">
        <v>9274</v>
      </c>
      <c r="M66" s="10" t="s">
        <v>1456</v>
      </c>
      <c r="N66" s="8" t="s">
        <v>87</v>
      </c>
      <c r="O66" s="10" t="s">
        <v>30</v>
      </c>
      <c r="P66" s="8" t="s">
        <v>9313</v>
      </c>
      <c r="Q66" s="10" t="s">
        <v>239</v>
      </c>
      <c r="R66" s="10" t="s">
        <v>9266</v>
      </c>
      <c r="S66" s="8" t="s">
        <v>9314</v>
      </c>
      <c r="T66" s="10" t="s">
        <v>9267</v>
      </c>
      <c r="U66" s="10" t="s">
        <v>87</v>
      </c>
      <c r="V66" s="10" t="s">
        <v>87</v>
      </c>
    </row>
    <row r="67" spans="1:22" s="10" customFormat="1" x14ac:dyDescent="0.25">
      <c r="A67" s="10" t="s">
        <v>9315</v>
      </c>
      <c r="B67" s="10" t="s">
        <v>9258</v>
      </c>
      <c r="C67" s="11" t="s">
        <v>346</v>
      </c>
      <c r="D67" s="10" t="s">
        <v>9316</v>
      </c>
      <c r="E67" s="8" t="s">
        <v>9317</v>
      </c>
      <c r="F67" s="8" t="s">
        <v>9318</v>
      </c>
      <c r="G67" s="10" t="s">
        <v>3</v>
      </c>
      <c r="H67" s="8" t="s">
        <v>9319</v>
      </c>
      <c r="I67" s="10" t="s">
        <v>87</v>
      </c>
      <c r="J67" s="8" t="s">
        <v>220</v>
      </c>
      <c r="K67" s="8" t="s">
        <v>1435</v>
      </c>
      <c r="L67" s="8" t="s">
        <v>87</v>
      </c>
      <c r="M67" s="10" t="s">
        <v>1436</v>
      </c>
      <c r="N67" s="8" t="s">
        <v>87</v>
      </c>
      <c r="O67" s="10" t="s">
        <v>32</v>
      </c>
      <c r="P67" s="8" t="s">
        <v>9320</v>
      </c>
      <c r="Q67" s="10" t="s">
        <v>223</v>
      </c>
      <c r="R67" s="10" t="s">
        <v>9266</v>
      </c>
      <c r="S67" s="8" t="s">
        <v>9321</v>
      </c>
      <c r="T67" s="10" t="s">
        <v>9267</v>
      </c>
      <c r="U67" s="10" t="s">
        <v>87</v>
      </c>
      <c r="V67" s="10" t="s">
        <v>87</v>
      </c>
    </row>
    <row r="68" spans="1:22" s="10" customFormat="1" x14ac:dyDescent="0.25">
      <c r="A68" s="10" t="s">
        <v>9322</v>
      </c>
      <c r="B68" s="10" t="s">
        <v>9258</v>
      </c>
      <c r="C68" s="11" t="s">
        <v>346</v>
      </c>
      <c r="D68" s="10" t="s">
        <v>9323</v>
      </c>
      <c r="E68" s="8" t="s">
        <v>9324</v>
      </c>
      <c r="F68" s="8" t="s">
        <v>9325</v>
      </c>
      <c r="G68" s="10" t="s">
        <v>4</v>
      </c>
      <c r="H68" s="8" t="s">
        <v>1289</v>
      </c>
      <c r="I68" s="10" t="s">
        <v>87</v>
      </c>
      <c r="J68" s="8" t="s">
        <v>220</v>
      </c>
      <c r="K68" s="8" t="s">
        <v>9326</v>
      </c>
      <c r="L68" s="8" t="s">
        <v>87</v>
      </c>
      <c r="M68" s="10" t="s">
        <v>1456</v>
      </c>
      <c r="N68" s="8" t="s">
        <v>87</v>
      </c>
      <c r="O68" s="10" t="s">
        <v>34</v>
      </c>
      <c r="P68" s="8" t="s">
        <v>9327</v>
      </c>
      <c r="Q68" s="10" t="s">
        <v>1447</v>
      </c>
      <c r="R68" s="10" t="s">
        <v>9328</v>
      </c>
      <c r="S68" s="8" t="s">
        <v>220</v>
      </c>
      <c r="T68" s="10" t="s">
        <v>9267</v>
      </c>
      <c r="U68" s="10" t="s">
        <v>87</v>
      </c>
      <c r="V68" s="10" t="s">
        <v>87</v>
      </c>
    </row>
    <row r="69" spans="1:22" s="10" customFormat="1" x14ac:dyDescent="0.25">
      <c r="A69" s="10" t="s">
        <v>9329</v>
      </c>
      <c r="B69" s="10" t="s">
        <v>9330</v>
      </c>
      <c r="C69" s="11" t="s">
        <v>346</v>
      </c>
      <c r="D69" s="10" t="s">
        <v>9331</v>
      </c>
      <c r="E69" s="8" t="s">
        <v>9332</v>
      </c>
      <c r="F69" s="8" t="s">
        <v>9333</v>
      </c>
      <c r="G69" s="10" t="s">
        <v>3</v>
      </c>
      <c r="H69" s="8" t="s">
        <v>9334</v>
      </c>
      <c r="I69" s="10" t="s">
        <v>87</v>
      </c>
      <c r="J69" s="8" t="s">
        <v>220</v>
      </c>
      <c r="K69" s="8" t="s">
        <v>1435</v>
      </c>
      <c r="L69" s="8" t="s">
        <v>87</v>
      </c>
      <c r="M69" s="10" t="s">
        <v>1436</v>
      </c>
      <c r="N69" s="8" t="s">
        <v>87</v>
      </c>
      <c r="O69" s="10" t="s">
        <v>31</v>
      </c>
      <c r="P69" s="8" t="s">
        <v>9335</v>
      </c>
      <c r="Q69" s="10" t="s">
        <v>223</v>
      </c>
      <c r="R69" s="10" t="s">
        <v>1438</v>
      </c>
      <c r="S69" s="8" t="s">
        <v>9336</v>
      </c>
      <c r="T69" s="10" t="s">
        <v>9337</v>
      </c>
      <c r="U69" s="10" t="s">
        <v>87</v>
      </c>
      <c r="V69" s="10" t="s">
        <v>87</v>
      </c>
    </row>
    <row r="70" spans="1:22" s="10" customFormat="1" x14ac:dyDescent="0.25">
      <c r="A70" s="10" t="s">
        <v>9338</v>
      </c>
      <c r="B70" s="10" t="s">
        <v>9330</v>
      </c>
      <c r="C70" s="11" t="s">
        <v>346</v>
      </c>
      <c r="D70" s="10" t="s">
        <v>9339</v>
      </c>
      <c r="E70" s="8" t="s">
        <v>9340</v>
      </c>
      <c r="F70" s="8" t="s">
        <v>9341</v>
      </c>
      <c r="G70" s="10" t="s">
        <v>3</v>
      </c>
      <c r="H70" s="8" t="s">
        <v>9082</v>
      </c>
      <c r="I70" s="10" t="s">
        <v>87</v>
      </c>
      <c r="J70" s="8" t="s">
        <v>220</v>
      </c>
      <c r="K70" s="8" t="s">
        <v>1435</v>
      </c>
      <c r="L70" s="8" t="s">
        <v>2548</v>
      </c>
      <c r="M70" s="10" t="s">
        <v>1436</v>
      </c>
      <c r="N70" s="8" t="s">
        <v>87</v>
      </c>
      <c r="O70" s="10" t="s">
        <v>31</v>
      </c>
      <c r="P70" s="8" t="s">
        <v>9342</v>
      </c>
      <c r="Q70" s="10" t="s">
        <v>223</v>
      </c>
      <c r="R70" s="10" t="s">
        <v>1438</v>
      </c>
      <c r="S70" s="8" t="s">
        <v>9343</v>
      </c>
      <c r="T70" s="10" t="s">
        <v>9337</v>
      </c>
      <c r="U70" s="10" t="s">
        <v>87</v>
      </c>
      <c r="V70" s="10" t="s">
        <v>87</v>
      </c>
    </row>
    <row r="71" spans="1:22" s="10" customFormat="1" x14ac:dyDescent="0.25">
      <c r="A71" s="10" t="s">
        <v>9344</v>
      </c>
      <c r="B71" s="10" t="s">
        <v>9330</v>
      </c>
      <c r="C71" s="10" t="s">
        <v>215</v>
      </c>
      <c r="D71" s="10" t="s">
        <v>9345</v>
      </c>
      <c r="E71" s="8" t="s">
        <v>9346</v>
      </c>
      <c r="F71" s="8" t="s">
        <v>9347</v>
      </c>
      <c r="G71" s="10" t="s">
        <v>3</v>
      </c>
      <c r="H71" s="8" t="s">
        <v>9082</v>
      </c>
      <c r="I71" s="10" t="s">
        <v>87</v>
      </c>
      <c r="J71" s="8" t="s">
        <v>220</v>
      </c>
      <c r="K71" s="8" t="s">
        <v>1435</v>
      </c>
      <c r="L71" s="8" t="s">
        <v>87</v>
      </c>
      <c r="M71" s="10" t="s">
        <v>1436</v>
      </c>
      <c r="N71" s="8" t="s">
        <v>87</v>
      </c>
      <c r="O71" s="10" t="s">
        <v>31</v>
      </c>
      <c r="P71" s="8" t="s">
        <v>9348</v>
      </c>
      <c r="Q71" s="10" t="s">
        <v>223</v>
      </c>
      <c r="R71" s="10" t="s">
        <v>1438</v>
      </c>
      <c r="S71" s="8" t="s">
        <v>9349</v>
      </c>
      <c r="T71" s="10" t="s">
        <v>9337</v>
      </c>
      <c r="U71" s="10" t="s">
        <v>87</v>
      </c>
      <c r="V71" s="10" t="s">
        <v>87</v>
      </c>
    </row>
    <row r="72" spans="1:22" s="10" customFormat="1" x14ac:dyDescent="0.25">
      <c r="A72" s="10" t="s">
        <v>9350</v>
      </c>
      <c r="B72" s="10" t="s">
        <v>9330</v>
      </c>
      <c r="C72" s="10" t="s">
        <v>215</v>
      </c>
      <c r="D72" s="10" t="s">
        <v>9351</v>
      </c>
      <c r="E72" s="8" t="s">
        <v>9352</v>
      </c>
      <c r="F72" s="8" t="s">
        <v>9353</v>
      </c>
      <c r="G72" s="10" t="s">
        <v>3</v>
      </c>
      <c r="H72" s="8" t="s">
        <v>9297</v>
      </c>
      <c r="I72" s="10" t="s">
        <v>87</v>
      </c>
      <c r="J72" s="8" t="s">
        <v>220</v>
      </c>
      <c r="K72" s="8" t="s">
        <v>1435</v>
      </c>
      <c r="L72" s="8" t="s">
        <v>2548</v>
      </c>
      <c r="M72" s="10" t="s">
        <v>1436</v>
      </c>
      <c r="N72" s="8" t="s">
        <v>87</v>
      </c>
      <c r="O72" s="10" t="s">
        <v>31</v>
      </c>
      <c r="P72" s="8" t="s">
        <v>9354</v>
      </c>
      <c r="Q72" s="10" t="s">
        <v>223</v>
      </c>
      <c r="R72" s="10" t="s">
        <v>1438</v>
      </c>
      <c r="S72" s="8" t="s">
        <v>9355</v>
      </c>
      <c r="T72" s="10" t="s">
        <v>9337</v>
      </c>
      <c r="U72" s="10" t="s">
        <v>87</v>
      </c>
      <c r="V72" s="10" t="s">
        <v>87</v>
      </c>
    </row>
    <row r="73" spans="1:22" s="10" customFormat="1" x14ac:dyDescent="0.25">
      <c r="A73" s="10" t="s">
        <v>9356</v>
      </c>
      <c r="B73" s="10" t="s">
        <v>9330</v>
      </c>
      <c r="C73" s="10" t="s">
        <v>384</v>
      </c>
      <c r="D73" s="10" t="s">
        <v>9357</v>
      </c>
      <c r="E73" s="8" t="s">
        <v>9358</v>
      </c>
      <c r="F73" s="8" t="s">
        <v>9359</v>
      </c>
      <c r="G73" s="10" t="s">
        <v>3</v>
      </c>
      <c r="H73" s="8" t="s">
        <v>9360</v>
      </c>
      <c r="I73" s="10" t="s">
        <v>87</v>
      </c>
      <c r="J73" s="8" t="s">
        <v>220</v>
      </c>
      <c r="K73" s="8" t="s">
        <v>1435</v>
      </c>
      <c r="L73" s="8" t="s">
        <v>9361</v>
      </c>
      <c r="M73" s="10" t="s">
        <v>1436</v>
      </c>
      <c r="N73" s="8" t="s">
        <v>87</v>
      </c>
      <c r="O73" s="10" t="s">
        <v>31</v>
      </c>
      <c r="P73" s="8" t="s">
        <v>9362</v>
      </c>
      <c r="Q73" s="10" t="s">
        <v>246</v>
      </c>
      <c r="R73" s="10" t="s">
        <v>1438</v>
      </c>
      <c r="S73" s="8" t="s">
        <v>9363</v>
      </c>
      <c r="T73" s="10" t="s">
        <v>9337</v>
      </c>
      <c r="U73" s="10" t="s">
        <v>87</v>
      </c>
      <c r="V73" s="10" t="s">
        <v>87</v>
      </c>
    </row>
    <row r="74" spans="1:22" s="10" customFormat="1" x14ac:dyDescent="0.25">
      <c r="A74" s="10" t="s">
        <v>9364</v>
      </c>
      <c r="B74" s="10" t="s">
        <v>9330</v>
      </c>
      <c r="C74" s="10" t="s">
        <v>215</v>
      </c>
      <c r="D74" s="10" t="s">
        <v>9365</v>
      </c>
      <c r="E74" s="8" t="s">
        <v>9366</v>
      </c>
      <c r="F74" s="8" t="s">
        <v>9367</v>
      </c>
      <c r="G74" s="10" t="s">
        <v>3</v>
      </c>
      <c r="H74" s="8" t="s">
        <v>9368</v>
      </c>
      <c r="I74" s="10" t="s">
        <v>87</v>
      </c>
      <c r="J74" s="8" t="s">
        <v>220</v>
      </c>
      <c r="K74" s="8" t="s">
        <v>1435</v>
      </c>
      <c r="L74" s="8" t="s">
        <v>9361</v>
      </c>
      <c r="M74" s="10" t="s">
        <v>1436</v>
      </c>
      <c r="N74" s="8" t="s">
        <v>87</v>
      </c>
      <c r="O74" s="10" t="s">
        <v>31</v>
      </c>
      <c r="P74" s="8" t="s">
        <v>9369</v>
      </c>
      <c r="Q74" s="10" t="s">
        <v>239</v>
      </c>
      <c r="R74" s="10" t="s">
        <v>1438</v>
      </c>
      <c r="S74" s="8" t="s">
        <v>9370</v>
      </c>
      <c r="T74" s="10" t="s">
        <v>9337</v>
      </c>
      <c r="U74" s="10" t="s">
        <v>87</v>
      </c>
      <c r="V74" s="10" t="s">
        <v>87</v>
      </c>
    </row>
    <row r="75" spans="1:22" s="10" customFormat="1" x14ac:dyDescent="0.25">
      <c r="A75" s="10" t="s">
        <v>9371</v>
      </c>
      <c r="B75" s="10" t="s">
        <v>9330</v>
      </c>
      <c r="C75" s="11" t="s">
        <v>346</v>
      </c>
      <c r="D75" s="10" t="s">
        <v>9372</v>
      </c>
      <c r="E75" s="8" t="s">
        <v>9373</v>
      </c>
      <c r="F75" s="8" t="s">
        <v>9374</v>
      </c>
      <c r="G75" s="10" t="s">
        <v>3</v>
      </c>
      <c r="H75" s="8" t="s">
        <v>9082</v>
      </c>
      <c r="I75" s="10" t="s">
        <v>87</v>
      </c>
      <c r="J75" s="8" t="s">
        <v>220</v>
      </c>
      <c r="K75" s="8" t="s">
        <v>1435</v>
      </c>
      <c r="L75" s="8" t="s">
        <v>87</v>
      </c>
      <c r="M75" s="10" t="s">
        <v>1436</v>
      </c>
      <c r="N75" s="8" t="s">
        <v>87</v>
      </c>
      <c r="O75" s="10" t="s">
        <v>31</v>
      </c>
      <c r="P75" s="8" t="s">
        <v>9375</v>
      </c>
      <c r="Q75" s="10" t="s">
        <v>239</v>
      </c>
      <c r="R75" s="10" t="s">
        <v>1438</v>
      </c>
      <c r="S75" s="8" t="s">
        <v>9376</v>
      </c>
      <c r="T75" s="10" t="s">
        <v>9337</v>
      </c>
      <c r="U75" s="10" t="s">
        <v>87</v>
      </c>
      <c r="V75" s="10" t="s">
        <v>87</v>
      </c>
    </row>
    <row r="76" spans="1:22" s="10" customFormat="1" x14ac:dyDescent="0.25">
      <c r="A76" s="10" t="s">
        <v>9377</v>
      </c>
      <c r="B76" s="10" t="s">
        <v>9330</v>
      </c>
      <c r="C76" s="10" t="s">
        <v>215</v>
      </c>
      <c r="D76" s="10" t="s">
        <v>9378</v>
      </c>
      <c r="E76" s="8" t="s">
        <v>9379</v>
      </c>
      <c r="F76" s="8" t="s">
        <v>9380</v>
      </c>
      <c r="G76" s="10" t="s">
        <v>3</v>
      </c>
      <c r="H76" s="8" t="s">
        <v>9381</v>
      </c>
      <c r="I76" s="10" t="s">
        <v>87</v>
      </c>
      <c r="J76" s="8" t="s">
        <v>9382</v>
      </c>
      <c r="K76" s="8" t="s">
        <v>1435</v>
      </c>
      <c r="L76" s="8" t="s">
        <v>87</v>
      </c>
      <c r="M76" s="10" t="s">
        <v>1436</v>
      </c>
      <c r="N76" s="8" t="s">
        <v>87</v>
      </c>
      <c r="O76" s="10" t="s">
        <v>31</v>
      </c>
      <c r="P76" s="8" t="s">
        <v>9383</v>
      </c>
      <c r="Q76" s="10" t="s">
        <v>825</v>
      </c>
      <c r="R76" s="10" t="s">
        <v>2188</v>
      </c>
      <c r="S76" s="8" t="s">
        <v>9384</v>
      </c>
      <c r="T76" s="10" t="s">
        <v>9337</v>
      </c>
      <c r="U76" s="10" t="s">
        <v>87</v>
      </c>
      <c r="V76" s="10" t="s">
        <v>87</v>
      </c>
    </row>
    <row r="77" spans="1:22" s="10" customFormat="1" x14ac:dyDescent="0.25">
      <c r="A77" s="10" t="s">
        <v>9385</v>
      </c>
      <c r="B77" s="10" t="s">
        <v>9330</v>
      </c>
      <c r="C77" s="10" t="s">
        <v>384</v>
      </c>
      <c r="D77" s="10" t="s">
        <v>9386</v>
      </c>
      <c r="E77" s="8" t="s">
        <v>9387</v>
      </c>
      <c r="F77" s="8" t="s">
        <v>9388</v>
      </c>
      <c r="G77" s="10" t="s">
        <v>3</v>
      </c>
      <c r="H77" s="8" t="s">
        <v>9082</v>
      </c>
      <c r="I77" s="10" t="s">
        <v>7302</v>
      </c>
      <c r="J77" s="8" t="s">
        <v>220</v>
      </c>
      <c r="K77" s="8" t="s">
        <v>1435</v>
      </c>
      <c r="L77" s="8" t="s">
        <v>87</v>
      </c>
      <c r="M77" s="10" t="s">
        <v>1436</v>
      </c>
      <c r="N77" s="8" t="s">
        <v>87</v>
      </c>
      <c r="O77" s="10" t="s">
        <v>31</v>
      </c>
      <c r="P77" s="8" t="s">
        <v>9389</v>
      </c>
      <c r="Q77" s="10" t="s">
        <v>1447</v>
      </c>
      <c r="R77" s="10" t="s">
        <v>1438</v>
      </c>
      <c r="S77" s="8" t="s">
        <v>220</v>
      </c>
      <c r="T77" s="10" t="s">
        <v>9337</v>
      </c>
      <c r="U77" s="10" t="s">
        <v>87</v>
      </c>
      <c r="V77" s="10" t="s">
        <v>87</v>
      </c>
    </row>
    <row r="78" spans="1:22" s="10" customFormat="1" x14ac:dyDescent="0.25">
      <c r="A78" s="10" t="s">
        <v>9390</v>
      </c>
      <c r="B78" s="10" t="s">
        <v>9391</v>
      </c>
      <c r="C78" s="11" t="s">
        <v>346</v>
      </c>
      <c r="D78" s="10" t="s">
        <v>9392</v>
      </c>
      <c r="E78" s="8" t="s">
        <v>9393</v>
      </c>
      <c r="F78" s="8" t="s">
        <v>9394</v>
      </c>
      <c r="G78" s="10" t="s">
        <v>3</v>
      </c>
      <c r="H78" s="8" t="s">
        <v>9395</v>
      </c>
      <c r="I78" s="10" t="s">
        <v>87</v>
      </c>
      <c r="J78" s="8" t="s">
        <v>220</v>
      </c>
      <c r="K78" s="8" t="s">
        <v>1435</v>
      </c>
      <c r="L78" s="8" t="s">
        <v>87</v>
      </c>
      <c r="M78" s="10" t="s">
        <v>1436</v>
      </c>
      <c r="N78" s="8" t="s">
        <v>87</v>
      </c>
      <c r="O78" s="10" t="s">
        <v>32</v>
      </c>
      <c r="P78" s="8" t="s">
        <v>9396</v>
      </c>
      <c r="Q78" s="10" t="s">
        <v>223</v>
      </c>
      <c r="R78" s="10" t="s">
        <v>1438</v>
      </c>
      <c r="S78" s="8" t="s">
        <v>9397</v>
      </c>
      <c r="T78" s="10" t="s">
        <v>9398</v>
      </c>
      <c r="U78" s="10" t="s">
        <v>87</v>
      </c>
      <c r="V78" s="10" t="s">
        <v>87</v>
      </c>
    </row>
    <row r="79" spans="1:22" s="10" customFormat="1" x14ac:dyDescent="0.25">
      <c r="A79" s="10" t="s">
        <v>9399</v>
      </c>
      <c r="B79" s="10" t="s">
        <v>9391</v>
      </c>
      <c r="C79" s="11" t="s">
        <v>346</v>
      </c>
      <c r="D79" s="10" t="s">
        <v>9400</v>
      </c>
      <c r="E79" s="8" t="s">
        <v>9401</v>
      </c>
      <c r="F79" s="8" t="s">
        <v>9402</v>
      </c>
      <c r="G79" s="10" t="s">
        <v>3</v>
      </c>
      <c r="H79" s="8" t="s">
        <v>9403</v>
      </c>
      <c r="I79" s="10" t="s">
        <v>87</v>
      </c>
      <c r="J79" s="8" t="s">
        <v>220</v>
      </c>
      <c r="K79" s="8" t="s">
        <v>1435</v>
      </c>
      <c r="L79" s="8" t="s">
        <v>87</v>
      </c>
      <c r="M79" s="10" t="s">
        <v>1436</v>
      </c>
      <c r="N79" s="8" t="s">
        <v>87</v>
      </c>
      <c r="O79" s="10" t="s">
        <v>32</v>
      </c>
      <c r="P79" s="8" t="s">
        <v>9404</v>
      </c>
      <c r="Q79" s="10" t="s">
        <v>223</v>
      </c>
      <c r="R79" s="10" t="s">
        <v>1438</v>
      </c>
      <c r="S79" s="8" t="s">
        <v>220</v>
      </c>
      <c r="T79" s="10" t="s">
        <v>9398</v>
      </c>
      <c r="U79" s="10" t="s">
        <v>87</v>
      </c>
      <c r="V79" s="10" t="s">
        <v>87</v>
      </c>
    </row>
    <row r="80" spans="1:22" s="10" customFormat="1" x14ac:dyDescent="0.25">
      <c r="A80" s="10" t="s">
        <v>9405</v>
      </c>
      <c r="B80" s="10" t="s">
        <v>9391</v>
      </c>
      <c r="C80" s="10" t="s">
        <v>215</v>
      </c>
      <c r="D80" s="10" t="s">
        <v>9406</v>
      </c>
      <c r="E80" s="8" t="s">
        <v>9407</v>
      </c>
      <c r="F80" s="8" t="s">
        <v>9408</v>
      </c>
      <c r="G80" s="10" t="s">
        <v>3</v>
      </c>
      <c r="H80" s="8" t="s">
        <v>220</v>
      </c>
      <c r="I80" s="10" t="s">
        <v>87</v>
      </c>
      <c r="J80" s="8" t="s">
        <v>220</v>
      </c>
      <c r="K80" s="8" t="s">
        <v>1435</v>
      </c>
      <c r="L80" s="8" t="s">
        <v>87</v>
      </c>
      <c r="M80" s="10" t="s">
        <v>1436</v>
      </c>
      <c r="N80" s="8" t="s">
        <v>87</v>
      </c>
      <c r="O80" s="10" t="s">
        <v>32</v>
      </c>
      <c r="P80" s="8" t="s">
        <v>9409</v>
      </c>
      <c r="Q80" s="10" t="s">
        <v>223</v>
      </c>
      <c r="R80" s="10" t="s">
        <v>1438</v>
      </c>
      <c r="S80" s="8" t="s">
        <v>220</v>
      </c>
      <c r="T80" s="10" t="s">
        <v>9398</v>
      </c>
      <c r="U80" s="10" t="s">
        <v>87</v>
      </c>
      <c r="V80" s="10" t="s">
        <v>87</v>
      </c>
    </row>
    <row r="81" spans="1:22" s="10" customFormat="1" x14ac:dyDescent="0.25">
      <c r="A81" s="10" t="s">
        <v>9410</v>
      </c>
      <c r="B81" s="10" t="s">
        <v>9391</v>
      </c>
      <c r="C81" s="11" t="s">
        <v>346</v>
      </c>
      <c r="D81" s="10" t="s">
        <v>9411</v>
      </c>
      <c r="E81" s="8" t="s">
        <v>9412</v>
      </c>
      <c r="F81" s="8" t="s">
        <v>9413</v>
      </c>
      <c r="G81" s="10" t="s">
        <v>3</v>
      </c>
      <c r="H81" s="8" t="s">
        <v>220</v>
      </c>
      <c r="I81" s="10" t="s">
        <v>87</v>
      </c>
      <c r="J81" s="8" t="s">
        <v>220</v>
      </c>
      <c r="K81" s="8" t="s">
        <v>1435</v>
      </c>
      <c r="L81" s="8" t="s">
        <v>87</v>
      </c>
      <c r="M81" s="10" t="s">
        <v>1436</v>
      </c>
      <c r="N81" s="8" t="s">
        <v>87</v>
      </c>
      <c r="O81" s="10" t="s">
        <v>32</v>
      </c>
      <c r="P81" s="8" t="s">
        <v>9414</v>
      </c>
      <c r="Q81" s="10" t="s">
        <v>239</v>
      </c>
      <c r="R81" s="10" t="s">
        <v>1438</v>
      </c>
      <c r="S81" s="8" t="s">
        <v>220</v>
      </c>
      <c r="T81" s="10" t="s">
        <v>9398</v>
      </c>
      <c r="U81" s="10" t="s">
        <v>87</v>
      </c>
      <c r="V81" s="10" t="s">
        <v>87</v>
      </c>
    </row>
    <row r="82" spans="1:22" s="10" customFormat="1" x14ac:dyDescent="0.25">
      <c r="A82" s="10" t="s">
        <v>9415</v>
      </c>
      <c r="B82" s="10" t="s">
        <v>9391</v>
      </c>
      <c r="C82" s="11" t="s">
        <v>346</v>
      </c>
      <c r="D82" s="10" t="s">
        <v>9416</v>
      </c>
      <c r="E82" s="8" t="s">
        <v>9417</v>
      </c>
      <c r="F82" s="8" t="s">
        <v>9418</v>
      </c>
      <c r="G82" s="10" t="s">
        <v>2647</v>
      </c>
      <c r="H82" s="8" t="s">
        <v>9419</v>
      </c>
      <c r="I82" s="10" t="s">
        <v>479</v>
      </c>
      <c r="J82" s="8" t="s">
        <v>220</v>
      </c>
      <c r="K82" s="8" t="s">
        <v>2649</v>
      </c>
      <c r="L82" s="8" t="s">
        <v>87</v>
      </c>
      <c r="M82" s="10" t="s">
        <v>1436</v>
      </c>
      <c r="N82" s="8" t="s">
        <v>87</v>
      </c>
      <c r="O82" s="10" t="s">
        <v>32</v>
      </c>
      <c r="P82" s="8" t="s">
        <v>9420</v>
      </c>
      <c r="Q82" s="10" t="s">
        <v>239</v>
      </c>
      <c r="R82" s="10" t="s">
        <v>1438</v>
      </c>
      <c r="S82" s="8" t="s">
        <v>9421</v>
      </c>
      <c r="T82" s="10" t="s">
        <v>9398</v>
      </c>
      <c r="U82" s="10" t="s">
        <v>87</v>
      </c>
      <c r="V82" s="10" t="s">
        <v>87</v>
      </c>
    </row>
    <row r="83" spans="1:22" s="10" customFormat="1" x14ac:dyDescent="0.25">
      <c r="A83" s="10" t="s">
        <v>9422</v>
      </c>
      <c r="B83" s="10" t="s">
        <v>9391</v>
      </c>
      <c r="C83" s="11" t="s">
        <v>346</v>
      </c>
      <c r="D83" s="10" t="s">
        <v>9423</v>
      </c>
      <c r="E83" s="8" t="s">
        <v>9424</v>
      </c>
      <c r="F83" s="8" t="s">
        <v>9425</v>
      </c>
      <c r="G83" s="10" t="s">
        <v>2647</v>
      </c>
      <c r="H83" s="8" t="s">
        <v>9426</v>
      </c>
      <c r="I83" s="10" t="s">
        <v>539</v>
      </c>
      <c r="J83" s="8" t="s">
        <v>220</v>
      </c>
      <c r="K83" s="8" t="s">
        <v>2649</v>
      </c>
      <c r="L83" s="8" t="s">
        <v>87</v>
      </c>
      <c r="M83" s="10" t="s">
        <v>1436</v>
      </c>
      <c r="N83" s="8" t="s">
        <v>87</v>
      </c>
      <c r="O83" s="10" t="s">
        <v>32</v>
      </c>
      <c r="P83" s="8" t="s">
        <v>9427</v>
      </c>
      <c r="Q83" s="10" t="s">
        <v>239</v>
      </c>
      <c r="R83" s="10" t="s">
        <v>1438</v>
      </c>
      <c r="S83" s="8" t="s">
        <v>9428</v>
      </c>
      <c r="T83" s="10" t="s">
        <v>9398</v>
      </c>
      <c r="U83" s="10" t="s">
        <v>87</v>
      </c>
      <c r="V83" s="10" t="s">
        <v>87</v>
      </c>
    </row>
    <row r="84" spans="1:22" s="10" customFormat="1" x14ac:dyDescent="0.25">
      <c r="A84" s="10" t="s">
        <v>9429</v>
      </c>
      <c r="B84" s="10" t="s">
        <v>9391</v>
      </c>
      <c r="C84" s="10" t="s">
        <v>215</v>
      </c>
      <c r="D84" s="10" t="s">
        <v>9430</v>
      </c>
      <c r="E84" s="8" t="s">
        <v>9431</v>
      </c>
      <c r="F84" s="8" t="s">
        <v>9432</v>
      </c>
      <c r="G84" s="10" t="s">
        <v>3</v>
      </c>
      <c r="H84" s="8" t="s">
        <v>220</v>
      </c>
      <c r="I84" s="10" t="s">
        <v>539</v>
      </c>
      <c r="J84" s="8" t="s">
        <v>220</v>
      </c>
      <c r="K84" s="8" t="s">
        <v>1435</v>
      </c>
      <c r="L84" s="8" t="s">
        <v>87</v>
      </c>
      <c r="M84" s="10" t="s">
        <v>1436</v>
      </c>
      <c r="N84" s="8" t="s">
        <v>87</v>
      </c>
      <c r="O84" s="10" t="s">
        <v>32</v>
      </c>
      <c r="P84" s="8" t="s">
        <v>9433</v>
      </c>
      <c r="Q84" s="10" t="s">
        <v>223</v>
      </c>
      <c r="R84" s="10" t="s">
        <v>1438</v>
      </c>
      <c r="S84" s="8" t="s">
        <v>9434</v>
      </c>
      <c r="T84" s="10" t="s">
        <v>9398</v>
      </c>
      <c r="U84" s="10" t="s">
        <v>87</v>
      </c>
      <c r="V84" s="10" t="s">
        <v>87</v>
      </c>
    </row>
    <row r="85" spans="1:22" s="10" customFormat="1" x14ac:dyDescent="0.25">
      <c r="A85" s="10" t="s">
        <v>9435</v>
      </c>
      <c r="B85" s="10" t="s">
        <v>9391</v>
      </c>
      <c r="C85" s="10" t="s">
        <v>215</v>
      </c>
      <c r="D85" s="10" t="s">
        <v>9436</v>
      </c>
      <c r="E85" s="8" t="s">
        <v>9437</v>
      </c>
      <c r="F85" s="8" t="s">
        <v>9438</v>
      </c>
      <c r="G85" s="10" t="s">
        <v>3</v>
      </c>
      <c r="H85" s="8" t="s">
        <v>9439</v>
      </c>
      <c r="I85" s="10" t="s">
        <v>87</v>
      </c>
      <c r="J85" s="8" t="s">
        <v>220</v>
      </c>
      <c r="K85" s="8" t="s">
        <v>1435</v>
      </c>
      <c r="L85" s="8" t="s">
        <v>87</v>
      </c>
      <c r="M85" s="10" t="s">
        <v>1436</v>
      </c>
      <c r="N85" s="8" t="s">
        <v>87</v>
      </c>
      <c r="O85" s="10" t="s">
        <v>32</v>
      </c>
      <c r="P85" s="8" t="s">
        <v>9440</v>
      </c>
      <c r="Q85" s="10" t="s">
        <v>223</v>
      </c>
      <c r="R85" s="10" t="s">
        <v>1438</v>
      </c>
      <c r="S85" s="8" t="s">
        <v>9441</v>
      </c>
      <c r="T85" s="10" t="s">
        <v>9398</v>
      </c>
      <c r="U85" s="10" t="s">
        <v>87</v>
      </c>
      <c r="V85" s="10" t="s">
        <v>87</v>
      </c>
    </row>
    <row r="86" spans="1:22" s="10" customFormat="1" x14ac:dyDescent="0.25">
      <c r="A86" s="10" t="s">
        <v>9442</v>
      </c>
      <c r="B86" s="10" t="s">
        <v>9391</v>
      </c>
      <c r="C86" s="11" t="s">
        <v>346</v>
      </c>
      <c r="D86" s="10" t="s">
        <v>9443</v>
      </c>
      <c r="E86" s="8" t="s">
        <v>9444</v>
      </c>
      <c r="F86" s="8" t="s">
        <v>9445</v>
      </c>
      <c r="G86" s="10" t="s">
        <v>3</v>
      </c>
      <c r="H86" s="8" t="s">
        <v>9403</v>
      </c>
      <c r="I86" s="10" t="s">
        <v>9446</v>
      </c>
      <c r="J86" s="8" t="s">
        <v>220</v>
      </c>
      <c r="K86" s="8" t="s">
        <v>1435</v>
      </c>
      <c r="L86" s="8" t="s">
        <v>2367</v>
      </c>
      <c r="M86" s="10" t="s">
        <v>1436</v>
      </c>
      <c r="N86" s="8" t="s">
        <v>87</v>
      </c>
      <c r="O86" s="10" t="s">
        <v>32</v>
      </c>
      <c r="P86" s="8" t="s">
        <v>9447</v>
      </c>
      <c r="Q86" s="10" t="s">
        <v>223</v>
      </c>
      <c r="R86" s="10" t="s">
        <v>9266</v>
      </c>
      <c r="S86" s="8" t="s">
        <v>220</v>
      </c>
      <c r="T86" s="10" t="s">
        <v>9398</v>
      </c>
      <c r="U86" s="10" t="s">
        <v>87</v>
      </c>
      <c r="V86" s="10" t="s">
        <v>87</v>
      </c>
    </row>
    <row r="87" spans="1:22" s="10" customFormat="1" x14ac:dyDescent="0.25">
      <c r="A87" s="10" t="s">
        <v>9448</v>
      </c>
      <c r="B87" s="10" t="s">
        <v>9391</v>
      </c>
      <c r="C87" s="10" t="s">
        <v>215</v>
      </c>
      <c r="D87" s="10" t="s">
        <v>9449</v>
      </c>
      <c r="E87" s="8" t="s">
        <v>9450</v>
      </c>
      <c r="F87" s="8" t="s">
        <v>9451</v>
      </c>
      <c r="G87" s="10" t="s">
        <v>3</v>
      </c>
      <c r="H87" s="8" t="s">
        <v>220</v>
      </c>
      <c r="I87" s="10" t="s">
        <v>87</v>
      </c>
      <c r="J87" s="8" t="s">
        <v>220</v>
      </c>
      <c r="K87" s="8" t="s">
        <v>1435</v>
      </c>
      <c r="L87" s="8" t="s">
        <v>87</v>
      </c>
      <c r="M87" s="10" t="s">
        <v>1436</v>
      </c>
      <c r="N87" s="8" t="s">
        <v>87</v>
      </c>
      <c r="O87" s="10" t="s">
        <v>32</v>
      </c>
      <c r="P87" s="8" t="s">
        <v>9452</v>
      </c>
      <c r="Q87" s="10" t="s">
        <v>239</v>
      </c>
      <c r="R87" s="10" t="s">
        <v>1438</v>
      </c>
      <c r="S87" s="8" t="s">
        <v>220</v>
      </c>
      <c r="T87" s="10" t="s">
        <v>9398</v>
      </c>
      <c r="U87" s="10" t="s">
        <v>87</v>
      </c>
      <c r="V87" s="10" t="s">
        <v>87</v>
      </c>
    </row>
    <row r="88" spans="1:22" s="10" customFormat="1" x14ac:dyDescent="0.25">
      <c r="A88" s="10" t="s">
        <v>9453</v>
      </c>
      <c r="B88" s="10" t="s">
        <v>9391</v>
      </c>
      <c r="C88" s="10" t="s">
        <v>215</v>
      </c>
      <c r="D88" s="10" t="s">
        <v>9454</v>
      </c>
      <c r="E88" s="8" t="s">
        <v>9455</v>
      </c>
      <c r="F88" s="8" t="s">
        <v>9456</v>
      </c>
      <c r="G88" s="10" t="s">
        <v>2647</v>
      </c>
      <c r="H88" s="8" t="s">
        <v>220</v>
      </c>
      <c r="I88" s="10" t="s">
        <v>87</v>
      </c>
      <c r="J88" s="8" t="s">
        <v>220</v>
      </c>
      <c r="K88" s="8" t="s">
        <v>2649</v>
      </c>
      <c r="L88" s="8" t="s">
        <v>87</v>
      </c>
      <c r="M88" s="10" t="s">
        <v>1436</v>
      </c>
      <c r="N88" s="8" t="s">
        <v>87</v>
      </c>
      <c r="O88" s="10" t="s">
        <v>32</v>
      </c>
      <c r="P88" s="8" t="s">
        <v>9457</v>
      </c>
      <c r="Q88" s="10" t="s">
        <v>239</v>
      </c>
      <c r="R88" s="10" t="s">
        <v>1438</v>
      </c>
      <c r="S88" s="8" t="s">
        <v>9458</v>
      </c>
      <c r="T88" s="10" t="s">
        <v>9398</v>
      </c>
      <c r="U88" s="10" t="s">
        <v>87</v>
      </c>
      <c r="V88" s="10" t="s">
        <v>87</v>
      </c>
    </row>
    <row r="89" spans="1:22" s="10" customFormat="1" x14ac:dyDescent="0.25">
      <c r="A89" s="10" t="s">
        <v>9459</v>
      </c>
      <c r="B89" s="10" t="s">
        <v>9460</v>
      </c>
      <c r="C89" s="11" t="s">
        <v>346</v>
      </c>
      <c r="D89" s="10" t="s">
        <v>9461</v>
      </c>
      <c r="E89" s="8" t="s">
        <v>9462</v>
      </c>
      <c r="F89" s="8" t="s">
        <v>9463</v>
      </c>
      <c r="G89" s="10" t="s">
        <v>4</v>
      </c>
      <c r="H89" s="8" t="s">
        <v>9464</v>
      </c>
      <c r="I89" s="10" t="s">
        <v>87</v>
      </c>
      <c r="J89" s="8" t="s">
        <v>220</v>
      </c>
      <c r="K89" s="8" t="s">
        <v>9465</v>
      </c>
      <c r="L89" s="8" t="s">
        <v>87</v>
      </c>
      <c r="M89" s="10" t="s">
        <v>1456</v>
      </c>
      <c r="N89" s="8" t="s">
        <v>87</v>
      </c>
      <c r="O89" s="10" t="s">
        <v>33</v>
      </c>
      <c r="P89" s="8" t="s">
        <v>9466</v>
      </c>
      <c r="Q89" s="10" t="s">
        <v>223</v>
      </c>
      <c r="R89" s="10" t="s">
        <v>1438</v>
      </c>
      <c r="S89" s="8" t="s">
        <v>9467</v>
      </c>
      <c r="T89" s="10" t="s">
        <v>9468</v>
      </c>
      <c r="U89" s="10" t="s">
        <v>87</v>
      </c>
      <c r="V89" s="10" t="s">
        <v>87</v>
      </c>
    </row>
    <row r="90" spans="1:22" s="10" customFormat="1" x14ac:dyDescent="0.25">
      <c r="A90" s="10" t="s">
        <v>9469</v>
      </c>
      <c r="B90" s="10" t="s">
        <v>9460</v>
      </c>
      <c r="C90" s="11" t="s">
        <v>346</v>
      </c>
      <c r="D90" s="10" t="s">
        <v>9470</v>
      </c>
      <c r="E90" s="8" t="s">
        <v>9471</v>
      </c>
      <c r="F90" s="8" t="s">
        <v>9472</v>
      </c>
      <c r="G90" s="10" t="s">
        <v>4</v>
      </c>
      <c r="H90" s="8" t="s">
        <v>220</v>
      </c>
      <c r="I90" s="10" t="s">
        <v>87</v>
      </c>
      <c r="J90" s="8" t="s">
        <v>220</v>
      </c>
      <c r="K90" s="8" t="s">
        <v>9465</v>
      </c>
      <c r="L90" s="8" t="s">
        <v>87</v>
      </c>
      <c r="M90" s="10" t="s">
        <v>1456</v>
      </c>
      <c r="N90" s="8" t="s">
        <v>87</v>
      </c>
      <c r="O90" s="10" t="s">
        <v>33</v>
      </c>
      <c r="P90" s="8" t="s">
        <v>9473</v>
      </c>
      <c r="Q90" s="10" t="s">
        <v>223</v>
      </c>
      <c r="R90" s="10" t="s">
        <v>1438</v>
      </c>
      <c r="S90" s="8" t="s">
        <v>9474</v>
      </c>
      <c r="T90" s="10" t="s">
        <v>9468</v>
      </c>
      <c r="U90" s="10" t="s">
        <v>87</v>
      </c>
      <c r="V90" s="10" t="s">
        <v>87</v>
      </c>
    </row>
    <row r="91" spans="1:22" s="10" customFormat="1" x14ac:dyDescent="0.25">
      <c r="A91" s="10" t="s">
        <v>9475</v>
      </c>
      <c r="B91" s="10" t="s">
        <v>9460</v>
      </c>
      <c r="C91" s="10" t="s">
        <v>215</v>
      </c>
      <c r="D91" s="10" t="s">
        <v>9476</v>
      </c>
      <c r="E91" s="8" t="s">
        <v>9477</v>
      </c>
      <c r="F91" s="8" t="s">
        <v>9478</v>
      </c>
      <c r="G91" s="10" t="s">
        <v>3</v>
      </c>
      <c r="H91" s="8" t="s">
        <v>9479</v>
      </c>
      <c r="I91" s="10" t="s">
        <v>87</v>
      </c>
      <c r="J91" s="8" t="s">
        <v>220</v>
      </c>
      <c r="K91" s="8" t="s">
        <v>1435</v>
      </c>
      <c r="L91" s="8" t="s">
        <v>9361</v>
      </c>
      <c r="M91" s="10" t="s">
        <v>1436</v>
      </c>
      <c r="N91" s="8" t="s">
        <v>87</v>
      </c>
      <c r="O91" s="10" t="s">
        <v>33</v>
      </c>
      <c r="P91" s="8" t="s">
        <v>9480</v>
      </c>
      <c r="Q91" s="10" t="s">
        <v>239</v>
      </c>
      <c r="R91" s="10" t="s">
        <v>1438</v>
      </c>
      <c r="S91" s="8" t="s">
        <v>9481</v>
      </c>
      <c r="T91" s="10" t="s">
        <v>9468</v>
      </c>
      <c r="U91" s="10" t="s">
        <v>87</v>
      </c>
      <c r="V91" s="10" t="s">
        <v>87</v>
      </c>
    </row>
    <row r="92" spans="1:22" s="10" customFormat="1" x14ac:dyDescent="0.25">
      <c r="A92" s="10" t="s">
        <v>9482</v>
      </c>
      <c r="B92" s="10" t="s">
        <v>9460</v>
      </c>
      <c r="C92" s="10" t="s">
        <v>384</v>
      </c>
      <c r="D92" s="10" t="s">
        <v>9483</v>
      </c>
      <c r="E92" s="8" t="s">
        <v>9484</v>
      </c>
      <c r="F92" s="8" t="s">
        <v>9485</v>
      </c>
      <c r="G92" s="10" t="s">
        <v>3</v>
      </c>
      <c r="H92" s="8" t="s">
        <v>220</v>
      </c>
      <c r="I92" s="10" t="s">
        <v>87</v>
      </c>
      <c r="J92" s="8" t="s">
        <v>220</v>
      </c>
      <c r="K92" s="8" t="s">
        <v>1435</v>
      </c>
      <c r="L92" s="8" t="s">
        <v>87</v>
      </c>
      <c r="M92" s="10" t="s">
        <v>1436</v>
      </c>
      <c r="N92" s="8" t="s">
        <v>87</v>
      </c>
      <c r="O92" s="10" t="s">
        <v>33</v>
      </c>
      <c r="P92" s="8" t="s">
        <v>9486</v>
      </c>
      <c r="Q92" s="10" t="s">
        <v>246</v>
      </c>
      <c r="R92" s="10" t="s">
        <v>1438</v>
      </c>
      <c r="S92" s="8" t="s">
        <v>220</v>
      </c>
      <c r="T92" s="10" t="s">
        <v>9468</v>
      </c>
      <c r="U92" s="10" t="s">
        <v>87</v>
      </c>
      <c r="V92" s="10" t="s">
        <v>87</v>
      </c>
    </row>
    <row r="93" spans="1:22" s="10" customFormat="1" x14ac:dyDescent="0.25">
      <c r="A93" s="10" t="s">
        <v>9487</v>
      </c>
      <c r="B93" s="10" t="s">
        <v>9460</v>
      </c>
      <c r="C93" s="11" t="s">
        <v>346</v>
      </c>
      <c r="D93" s="10" t="s">
        <v>9488</v>
      </c>
      <c r="E93" s="8" t="s">
        <v>9489</v>
      </c>
      <c r="F93" s="8" t="s">
        <v>9490</v>
      </c>
      <c r="G93" s="10" t="s">
        <v>4</v>
      </c>
      <c r="H93" s="8" t="s">
        <v>220</v>
      </c>
      <c r="I93" s="10" t="s">
        <v>9491</v>
      </c>
      <c r="J93" s="8" t="s">
        <v>220</v>
      </c>
      <c r="K93" s="8" t="s">
        <v>9465</v>
      </c>
      <c r="L93" s="8" t="s">
        <v>87</v>
      </c>
      <c r="M93" s="10" t="s">
        <v>1456</v>
      </c>
      <c r="N93" s="8" t="s">
        <v>87</v>
      </c>
      <c r="O93" s="10" t="s">
        <v>34</v>
      </c>
      <c r="P93" s="8" t="s">
        <v>9492</v>
      </c>
      <c r="Q93" s="10" t="s">
        <v>1447</v>
      </c>
      <c r="R93" s="10" t="s">
        <v>1657</v>
      </c>
      <c r="S93" s="8" t="s">
        <v>220</v>
      </c>
      <c r="T93" s="10" t="s">
        <v>9468</v>
      </c>
      <c r="U93" s="10" t="s">
        <v>87</v>
      </c>
      <c r="V93" s="10" t="s">
        <v>87</v>
      </c>
    </row>
    <row r="94" spans="1:22" s="10" customFormat="1" x14ac:dyDescent="0.25">
      <c r="A94" s="10" t="s">
        <v>9493</v>
      </c>
      <c r="B94" s="10" t="s">
        <v>9460</v>
      </c>
      <c r="C94" s="10" t="s">
        <v>215</v>
      </c>
      <c r="D94" s="10" t="s">
        <v>9494</v>
      </c>
      <c r="E94" s="8" t="s">
        <v>9495</v>
      </c>
      <c r="F94" s="8" t="s">
        <v>9496</v>
      </c>
      <c r="G94" s="10" t="s">
        <v>4</v>
      </c>
      <c r="H94" s="8" t="s">
        <v>220</v>
      </c>
      <c r="I94" s="10" t="s">
        <v>87</v>
      </c>
      <c r="J94" s="8" t="s">
        <v>220</v>
      </c>
      <c r="K94" s="8" t="s">
        <v>9465</v>
      </c>
      <c r="L94" s="8" t="s">
        <v>2696</v>
      </c>
      <c r="M94" s="10" t="s">
        <v>1456</v>
      </c>
      <c r="N94" s="8" t="s">
        <v>87</v>
      </c>
      <c r="O94" s="10" t="s">
        <v>33</v>
      </c>
      <c r="P94" s="8" t="s">
        <v>9497</v>
      </c>
      <c r="Q94" s="10" t="s">
        <v>223</v>
      </c>
      <c r="R94" s="10" t="s">
        <v>1438</v>
      </c>
      <c r="S94" s="8" t="s">
        <v>9498</v>
      </c>
      <c r="T94" s="10" t="s">
        <v>9468</v>
      </c>
      <c r="U94" s="10" t="s">
        <v>87</v>
      </c>
      <c r="V94" s="10" t="s">
        <v>87</v>
      </c>
    </row>
    <row r="95" spans="1:22" s="10" customFormat="1" x14ac:dyDescent="0.25">
      <c r="A95" s="10" t="s">
        <v>9499</v>
      </c>
      <c r="B95" s="10" t="s">
        <v>9460</v>
      </c>
      <c r="C95" s="10" t="s">
        <v>384</v>
      </c>
      <c r="D95" s="10" t="s">
        <v>9500</v>
      </c>
      <c r="E95" s="8" t="s">
        <v>9501</v>
      </c>
      <c r="F95" s="8" t="s">
        <v>9502</v>
      </c>
      <c r="G95" s="10" t="s">
        <v>87</v>
      </c>
      <c r="H95" s="8" t="s">
        <v>9503</v>
      </c>
      <c r="I95" s="10" t="s">
        <v>87</v>
      </c>
      <c r="J95" s="8" t="s">
        <v>9504</v>
      </c>
      <c r="K95" s="8" t="s">
        <v>87</v>
      </c>
      <c r="L95" s="8" t="s">
        <v>87</v>
      </c>
      <c r="M95" s="10" t="s">
        <v>87</v>
      </c>
      <c r="N95" s="8" t="s">
        <v>87</v>
      </c>
      <c r="O95" s="10" t="s">
        <v>33</v>
      </c>
      <c r="P95" s="8" t="s">
        <v>9505</v>
      </c>
      <c r="Q95" s="10" t="s">
        <v>239</v>
      </c>
      <c r="R95" s="10" t="s">
        <v>1438</v>
      </c>
      <c r="S95" s="8" t="s">
        <v>220</v>
      </c>
      <c r="T95" s="10" t="s">
        <v>87</v>
      </c>
      <c r="U95" s="10" t="s">
        <v>87</v>
      </c>
      <c r="V95" s="10" t="s">
        <v>87</v>
      </c>
    </row>
    <row r="96" spans="1:22" s="10" customFormat="1" x14ac:dyDescent="0.25">
      <c r="A96" s="10" t="s">
        <v>9506</v>
      </c>
      <c r="B96" s="10" t="s">
        <v>9460</v>
      </c>
      <c r="C96" s="11" t="s">
        <v>346</v>
      </c>
      <c r="D96" s="10" t="s">
        <v>9507</v>
      </c>
      <c r="E96" s="8" t="s">
        <v>9508</v>
      </c>
      <c r="F96" s="8" t="s">
        <v>9509</v>
      </c>
      <c r="G96" s="10" t="s">
        <v>3</v>
      </c>
      <c r="H96" s="8" t="s">
        <v>220</v>
      </c>
      <c r="I96" s="10" t="s">
        <v>87</v>
      </c>
      <c r="J96" s="8" t="s">
        <v>220</v>
      </c>
      <c r="K96" s="8" t="s">
        <v>1435</v>
      </c>
      <c r="L96" s="8" t="s">
        <v>9510</v>
      </c>
      <c r="M96" s="10" t="s">
        <v>1436</v>
      </c>
      <c r="N96" s="8" t="s">
        <v>87</v>
      </c>
      <c r="O96" s="10" t="s">
        <v>34</v>
      </c>
      <c r="P96" s="8" t="s">
        <v>9511</v>
      </c>
      <c r="Q96" s="10" t="s">
        <v>1447</v>
      </c>
      <c r="R96" s="10" t="s">
        <v>1657</v>
      </c>
      <c r="S96" s="8" t="s">
        <v>220</v>
      </c>
      <c r="T96" s="10" t="s">
        <v>9468</v>
      </c>
      <c r="U96" s="10" t="s">
        <v>87</v>
      </c>
      <c r="V96" s="10" t="s">
        <v>87</v>
      </c>
    </row>
    <row r="97" spans="1:22" s="10" customFormat="1" x14ac:dyDescent="0.25">
      <c r="A97" s="10" t="s">
        <v>9512</v>
      </c>
      <c r="B97" s="10" t="s">
        <v>9513</v>
      </c>
      <c r="C97" s="11" t="s">
        <v>346</v>
      </c>
      <c r="D97" s="10" t="s">
        <v>9514</v>
      </c>
      <c r="E97" s="8" t="s">
        <v>9515</v>
      </c>
      <c r="F97" s="8" t="s">
        <v>9516</v>
      </c>
      <c r="G97" s="10" t="s">
        <v>3</v>
      </c>
      <c r="H97" s="8" t="s">
        <v>1289</v>
      </c>
      <c r="I97" s="10" t="s">
        <v>87</v>
      </c>
      <c r="J97" s="8" t="s">
        <v>220</v>
      </c>
      <c r="K97" s="8" t="s">
        <v>1435</v>
      </c>
      <c r="L97" s="8" t="s">
        <v>9361</v>
      </c>
      <c r="M97" s="10" t="s">
        <v>1436</v>
      </c>
      <c r="N97" s="8" t="s">
        <v>87</v>
      </c>
      <c r="O97" s="10" t="s">
        <v>34</v>
      </c>
      <c r="P97" s="8" t="s">
        <v>9517</v>
      </c>
      <c r="Q97" s="10" t="s">
        <v>239</v>
      </c>
      <c r="R97" s="10" t="s">
        <v>1438</v>
      </c>
      <c r="S97" s="8" t="s">
        <v>220</v>
      </c>
      <c r="T97" s="10" t="s">
        <v>9518</v>
      </c>
      <c r="U97" s="10" t="s">
        <v>87</v>
      </c>
      <c r="V97" s="10" t="s">
        <v>87</v>
      </c>
    </row>
    <row r="98" spans="1:22" s="10" customFormat="1" x14ac:dyDescent="0.25">
      <c r="A98" s="10" t="s">
        <v>9519</v>
      </c>
      <c r="B98" s="10" t="s">
        <v>9513</v>
      </c>
      <c r="C98" s="11" t="s">
        <v>346</v>
      </c>
      <c r="D98" s="10" t="s">
        <v>9520</v>
      </c>
      <c r="E98" s="8" t="s">
        <v>9521</v>
      </c>
      <c r="F98" s="8" t="s">
        <v>9522</v>
      </c>
      <c r="G98" s="10" t="s">
        <v>3</v>
      </c>
      <c r="H98" s="8" t="s">
        <v>220</v>
      </c>
      <c r="I98" s="10" t="s">
        <v>87</v>
      </c>
      <c r="J98" s="8" t="s">
        <v>220</v>
      </c>
      <c r="K98" s="8" t="s">
        <v>1435</v>
      </c>
      <c r="L98" s="8" t="s">
        <v>87</v>
      </c>
      <c r="M98" s="10" t="s">
        <v>1436</v>
      </c>
      <c r="N98" s="8" t="s">
        <v>87</v>
      </c>
      <c r="O98" s="10" t="s">
        <v>34</v>
      </c>
      <c r="P98" s="8" t="s">
        <v>9523</v>
      </c>
      <c r="Q98" s="10" t="s">
        <v>239</v>
      </c>
      <c r="R98" s="10" t="s">
        <v>1438</v>
      </c>
      <c r="S98" s="8" t="s">
        <v>9524</v>
      </c>
      <c r="T98" s="10" t="s">
        <v>9518</v>
      </c>
      <c r="U98" s="10" t="s">
        <v>87</v>
      </c>
      <c r="V98" s="10" t="s">
        <v>87</v>
      </c>
    </row>
    <row r="99" spans="1:22" s="10" customFormat="1" x14ac:dyDescent="0.25">
      <c r="A99" s="10" t="s">
        <v>9525</v>
      </c>
      <c r="B99" s="10" t="s">
        <v>9513</v>
      </c>
      <c r="C99" s="11" t="s">
        <v>346</v>
      </c>
      <c r="D99" s="10" t="s">
        <v>9526</v>
      </c>
      <c r="E99" s="8" t="s">
        <v>9527</v>
      </c>
      <c r="F99" s="8" t="s">
        <v>9528</v>
      </c>
      <c r="G99" s="10" t="s">
        <v>3</v>
      </c>
      <c r="H99" s="8" t="s">
        <v>1289</v>
      </c>
      <c r="I99" s="10" t="s">
        <v>87</v>
      </c>
      <c r="J99" s="8" t="s">
        <v>220</v>
      </c>
      <c r="K99" s="8" t="s">
        <v>1435</v>
      </c>
      <c r="L99" s="8" t="s">
        <v>9361</v>
      </c>
      <c r="M99" s="10" t="s">
        <v>1436</v>
      </c>
      <c r="N99" s="8" t="s">
        <v>87</v>
      </c>
      <c r="O99" s="10" t="s">
        <v>34</v>
      </c>
      <c r="P99" s="8" t="s">
        <v>9529</v>
      </c>
      <c r="Q99" s="10" t="s">
        <v>223</v>
      </c>
      <c r="R99" s="10" t="s">
        <v>1438</v>
      </c>
      <c r="S99" s="8" t="s">
        <v>220</v>
      </c>
      <c r="T99" s="10" t="s">
        <v>9518</v>
      </c>
      <c r="U99" s="10" t="s">
        <v>87</v>
      </c>
      <c r="V99" s="10" t="s">
        <v>87</v>
      </c>
    </row>
    <row r="100" spans="1:22" s="10" customFormat="1" x14ac:dyDescent="0.25">
      <c r="A100" s="10" t="s">
        <v>9530</v>
      </c>
      <c r="B100" s="10" t="s">
        <v>9513</v>
      </c>
      <c r="C100" s="10" t="s">
        <v>215</v>
      </c>
      <c r="D100" s="10" t="s">
        <v>9531</v>
      </c>
      <c r="E100" s="8" t="s">
        <v>9532</v>
      </c>
      <c r="F100" s="8" t="s">
        <v>9533</v>
      </c>
      <c r="G100" s="10" t="s">
        <v>3</v>
      </c>
      <c r="H100" s="8" t="s">
        <v>1289</v>
      </c>
      <c r="I100" s="10" t="s">
        <v>87</v>
      </c>
      <c r="J100" s="8" t="s">
        <v>220</v>
      </c>
      <c r="K100" s="8" t="s">
        <v>1435</v>
      </c>
      <c r="L100" s="8" t="s">
        <v>87</v>
      </c>
      <c r="M100" s="10" t="s">
        <v>1436</v>
      </c>
      <c r="N100" s="8" t="s">
        <v>87</v>
      </c>
      <c r="O100" s="10" t="s">
        <v>34</v>
      </c>
      <c r="P100" s="8" t="s">
        <v>9534</v>
      </c>
      <c r="Q100" s="10" t="s">
        <v>239</v>
      </c>
      <c r="R100" s="10" t="s">
        <v>1438</v>
      </c>
      <c r="S100" s="8" t="s">
        <v>220</v>
      </c>
      <c r="T100" s="10" t="s">
        <v>9518</v>
      </c>
      <c r="U100" s="10" t="s">
        <v>87</v>
      </c>
      <c r="V100" s="10" t="s">
        <v>87</v>
      </c>
    </row>
    <row r="101" spans="1:22" s="10" customFormat="1" x14ac:dyDescent="0.25">
      <c r="A101" s="10" t="s">
        <v>9535</v>
      </c>
      <c r="B101" s="10" t="s">
        <v>9513</v>
      </c>
      <c r="C101" s="11" t="s">
        <v>346</v>
      </c>
      <c r="D101" s="10" t="s">
        <v>9536</v>
      </c>
      <c r="E101" s="8" t="s">
        <v>9537</v>
      </c>
      <c r="F101" s="8" t="s">
        <v>9538</v>
      </c>
      <c r="G101" s="10" t="s">
        <v>3</v>
      </c>
      <c r="H101" s="8" t="s">
        <v>1289</v>
      </c>
      <c r="I101" s="10" t="s">
        <v>87</v>
      </c>
      <c r="J101" s="8" t="s">
        <v>220</v>
      </c>
      <c r="K101" s="8" t="s">
        <v>1435</v>
      </c>
      <c r="L101" s="8" t="s">
        <v>9166</v>
      </c>
      <c r="M101" s="10" t="s">
        <v>1436</v>
      </c>
      <c r="N101" s="8" t="s">
        <v>87</v>
      </c>
      <c r="O101" s="10" t="s">
        <v>34</v>
      </c>
      <c r="P101" s="8" t="s">
        <v>9539</v>
      </c>
      <c r="Q101" s="10" t="s">
        <v>825</v>
      </c>
      <c r="R101" s="10" t="s">
        <v>2841</v>
      </c>
      <c r="S101" s="8" t="s">
        <v>220</v>
      </c>
      <c r="T101" s="10" t="s">
        <v>9518</v>
      </c>
      <c r="U101" s="10" t="s">
        <v>87</v>
      </c>
      <c r="V101" s="10" t="s">
        <v>87</v>
      </c>
    </row>
  </sheetData>
  <autoFilter ref="A1:V101"/>
  <conditionalFormatting sqref="G2:G101">
    <cfRule type="cellIs" dxfId="18" priority="1" operator="equal">
      <formula>"PASS"</formula>
    </cfRule>
    <cfRule type="cellIs" dxfId="19" priority="2" operator="equal">
      <formula>"FAIL"</formula>
    </cfRule>
    <cfRule type="cellIs" dxfId="20" priority="3" operator="equal">
      <formula>"BLOCKED"</formula>
    </cfRule>
  </conditionalFormatting>
  <conditionalFormatting sqref="A2:V101">
    <cfRule type="expression" dxfId="21" priority="10">
      <formula>$G2="FAIL"</formula>
    </cfRule>
  </conditionalFormatting>
  <dataValidations count="8">
    <dataValidation type="list" allowBlank="1" showErrorMessage="1" errorStyle="warning" errorTitle="Not a valid value" error="Choose one of: P1, P2, P3" sqref="C10:C101">
      <formula1>"P1,P2,P3"</formula1>
    </dataValidation>
    <dataValidation type="list" allowBlank="1" showErrorMessage="1" errorStyle="warning" errorTitle="Not a valid value" error="Choose one of: P1, P2, P3" sqref="C2:C101">
      <formula1>"P1,P2,P3"</formula1>
    </dataValidation>
    <dataValidation type="list" allowBlank="1" showErrorMessage="1" errorStyle="warning" errorTitle="Not a valid value" error="Choose one of: PASS, FAIL, BLOCKED, N/A" sqref="G10:G101">
      <formula1>"PASS,FAIL,BLOCKED,N/A"</formula1>
    </dataValidation>
    <dataValidation type="list" allowBlank="1" showErrorMessage="1" errorStyle="warning" errorTitle="Not a valid value" error="Choose one of: PASS, FAIL, BLOCKED, N/A" sqref="G2:G101">
      <formula1>"PASS,FAIL,BLOCKED,N/A"</formula1>
    </dataValidation>
    <dataValidation type="list" allowBlank="1" showErrorMessage="1" errorStyle="warning" errorTitle="Not a valid value" error="Choose one of: Y, N" sqref="M10:M101">
      <formula1>"Y,N"</formula1>
    </dataValidation>
    <dataValidation type="list" allowBlank="1" showErrorMessage="1" errorStyle="warning" errorTitle="Not a valid value" error="Choose one of: Y, N" sqref="M2:M101">
      <formula1>"Y,N"</formula1>
    </dataValidation>
    <dataValidation type="list" allowBlank="1" showErrorMessage="1" errorStyle="warning" errorTitle="Not a valid value" error="Choose one of: Positive, Negative, Boundary, RBAC, Cross-Module" sqref="Q10:Q101">
      <formula1>"Positive,Negative,Boundary,RBAC,Cross-Module"</formula1>
    </dataValidation>
    <dataValidation type="list" allowBlank="1" showErrorMessage="1" errorStyle="warning" errorTitle="Not a valid value" error="Choose one of: Positive, Negative, Boundary, RBAC, Cross-Module" sqref="Q2:Q101">
      <formula1>"Positive,Negative,Boundary,RBAC,Cross-Module"</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61"/>
  <sheetViews>
    <sheetView workbookViewId="0">
      <pane xSplit="1" ySplit="1" topLeftCell="B2" activePane="bottomRight" state="frozen"/>
      <selection pane="bottomRight"/>
    </sheetView>
  </sheetViews>
  <sheetFormatPr defaultRowHeight="18" outlineLevelRow="0" outlineLevelCol="0" x14ac:dyDescent="55" customHeight="1"/>
  <cols>
    <col min="1" max="1" width="16" customWidth="1"/>
    <col min="2" max="2" width="20" customWidth="1"/>
    <col min="4" max="4" width="46" customWidth="1"/>
    <col min="5" max="5" width="68" customWidth="1"/>
    <col min="6" max="6" width="52" customWidth="1"/>
    <col min="7" max="7" width="15" customWidth="1"/>
    <col min="8" max="8" width="30" customWidth="1"/>
    <col min="9" max="9" width="22" customWidth="1"/>
    <col min="10" max="10" width="30" customWidth="1"/>
    <col min="11" max="12" width="46" customWidth="1"/>
    <col min="13" max="13" width="13" customWidth="1"/>
    <col min="14" max="14" width="36" customWidth="1"/>
    <col min="15" max="15" width="16" customWidth="1"/>
    <col min="16" max="16" width="68" customWidth="1"/>
    <col min="17" max="17" width="12" customWidth="1"/>
    <col min="18" max="18" width="20" customWidth="1"/>
    <col min="19" max="19" width="40" customWidth="1"/>
    <col min="20" max="20" width="48" customWidth="1"/>
    <col min="21" max="21" width="14" customWidth="1"/>
    <col min="22" max="22" width="18" customWidth="1"/>
  </cols>
  <sheetData>
    <row r="1" ht="34" customHeight="1" spans="1:22" x14ac:dyDescent="0.25">
      <c r="A1" s="1" t="s">
        <v>192</v>
      </c>
      <c r="B1" s="1" t="s">
        <v>193</v>
      </c>
      <c r="C1" s="1" t="s">
        <v>194</v>
      </c>
      <c r="D1" s="1" t="s">
        <v>195</v>
      </c>
      <c r="E1" s="1" t="s">
        <v>196</v>
      </c>
      <c r="F1" s="1" t="s">
        <v>197</v>
      </c>
      <c r="G1" s="1" t="s">
        <v>198</v>
      </c>
      <c r="H1" s="1" t="s">
        <v>199</v>
      </c>
      <c r="I1" s="1" t="s">
        <v>200</v>
      </c>
      <c r="J1" s="1" t="s">
        <v>201</v>
      </c>
      <c r="K1" s="1" t="s">
        <v>202</v>
      </c>
      <c r="L1" s="1" t="s">
        <v>203</v>
      </c>
      <c r="M1" s="1" t="s">
        <v>204</v>
      </c>
      <c r="N1" s="1" t="s">
        <v>205</v>
      </c>
      <c r="O1" s="1" t="s">
        <v>19</v>
      </c>
      <c r="P1" s="1" t="s">
        <v>206</v>
      </c>
      <c r="Q1" s="1" t="s">
        <v>207</v>
      </c>
      <c r="R1" s="1" t="s">
        <v>208</v>
      </c>
      <c r="S1" s="1" t="s">
        <v>209</v>
      </c>
      <c r="T1" s="1" t="s">
        <v>210</v>
      </c>
      <c r="U1" s="1" t="s">
        <v>211</v>
      </c>
      <c r="V1" s="1" t="s">
        <v>212</v>
      </c>
    </row>
    <row r="2" spans="1:22" s="10" customFormat="1" x14ac:dyDescent="0.25">
      <c r="A2" s="10" t="s">
        <v>9540</v>
      </c>
      <c r="B2" s="10" t="s">
        <v>9541</v>
      </c>
      <c r="C2" s="10" t="s">
        <v>215</v>
      </c>
      <c r="D2" s="10" t="s">
        <v>9542</v>
      </c>
      <c r="E2" s="8" t="s">
        <v>9543</v>
      </c>
      <c r="F2" s="8" t="s">
        <v>9544</v>
      </c>
      <c r="G2" s="10" t="s">
        <v>3</v>
      </c>
      <c r="H2" s="8" t="s">
        <v>220</v>
      </c>
      <c r="I2" s="10" t="s">
        <v>87</v>
      </c>
      <c r="J2" s="8" t="s">
        <v>9545</v>
      </c>
      <c r="K2" s="8" t="s">
        <v>1435</v>
      </c>
      <c r="L2" s="8" t="s">
        <v>87</v>
      </c>
      <c r="M2" s="10" t="s">
        <v>1436</v>
      </c>
      <c r="N2" s="8" t="s">
        <v>87</v>
      </c>
      <c r="O2" s="10" t="s">
        <v>35</v>
      </c>
      <c r="P2" s="8" t="s">
        <v>9546</v>
      </c>
      <c r="Q2" s="10" t="s">
        <v>223</v>
      </c>
      <c r="R2" s="10" t="s">
        <v>1438</v>
      </c>
      <c r="S2" s="8" t="s">
        <v>220</v>
      </c>
      <c r="T2" s="10" t="s">
        <v>9547</v>
      </c>
      <c r="U2" s="10" t="s">
        <v>87</v>
      </c>
      <c r="V2" s="10" t="s">
        <v>87</v>
      </c>
    </row>
    <row r="3" spans="1:22" s="10" customFormat="1" x14ac:dyDescent="0.25">
      <c r="A3" s="10" t="s">
        <v>9548</v>
      </c>
      <c r="B3" s="10" t="s">
        <v>9541</v>
      </c>
      <c r="C3" s="10" t="s">
        <v>215</v>
      </c>
      <c r="D3" s="10" t="s">
        <v>9549</v>
      </c>
      <c r="E3" s="8" t="s">
        <v>9550</v>
      </c>
      <c r="F3" s="8" t="s">
        <v>9551</v>
      </c>
      <c r="G3" s="10" t="s">
        <v>3</v>
      </c>
      <c r="H3" s="8" t="s">
        <v>220</v>
      </c>
      <c r="I3" s="10" t="s">
        <v>87</v>
      </c>
      <c r="J3" s="8" t="s">
        <v>9552</v>
      </c>
      <c r="K3" s="8" t="s">
        <v>1435</v>
      </c>
      <c r="L3" s="8" t="s">
        <v>87</v>
      </c>
      <c r="M3" s="10" t="s">
        <v>1436</v>
      </c>
      <c r="N3" s="8" t="s">
        <v>87</v>
      </c>
      <c r="O3" s="10" t="s">
        <v>35</v>
      </c>
      <c r="P3" s="8" t="s">
        <v>9553</v>
      </c>
      <c r="Q3" s="10" t="s">
        <v>223</v>
      </c>
      <c r="R3" s="10" t="s">
        <v>1438</v>
      </c>
      <c r="S3" s="8" t="s">
        <v>220</v>
      </c>
      <c r="T3" s="10" t="s">
        <v>9547</v>
      </c>
      <c r="U3" s="10" t="s">
        <v>87</v>
      </c>
      <c r="V3" s="10" t="s">
        <v>87</v>
      </c>
    </row>
    <row r="4" spans="1:22" s="10" customFormat="1" x14ac:dyDescent="0.25">
      <c r="A4" s="10" t="s">
        <v>9554</v>
      </c>
      <c r="B4" s="10" t="s">
        <v>9541</v>
      </c>
      <c r="C4" s="10" t="s">
        <v>215</v>
      </c>
      <c r="D4" s="10" t="s">
        <v>9555</v>
      </c>
      <c r="E4" s="8" t="s">
        <v>9556</v>
      </c>
      <c r="F4" s="8" t="s">
        <v>9557</v>
      </c>
      <c r="G4" s="10" t="s">
        <v>3</v>
      </c>
      <c r="H4" s="8" t="s">
        <v>220</v>
      </c>
      <c r="I4" s="10" t="s">
        <v>87</v>
      </c>
      <c r="J4" s="8" t="s">
        <v>220</v>
      </c>
      <c r="K4" s="8" t="s">
        <v>1435</v>
      </c>
      <c r="L4" s="8" t="s">
        <v>87</v>
      </c>
      <c r="M4" s="10" t="s">
        <v>1436</v>
      </c>
      <c r="N4" s="8" t="s">
        <v>87</v>
      </c>
      <c r="O4" s="10" t="s">
        <v>35</v>
      </c>
      <c r="P4" s="8" t="s">
        <v>9558</v>
      </c>
      <c r="Q4" s="10" t="s">
        <v>223</v>
      </c>
      <c r="R4" s="10" t="s">
        <v>1438</v>
      </c>
      <c r="S4" s="8" t="s">
        <v>220</v>
      </c>
      <c r="T4" s="10" t="s">
        <v>9547</v>
      </c>
      <c r="U4" s="10" t="s">
        <v>87</v>
      </c>
      <c r="V4" s="10" t="s">
        <v>87</v>
      </c>
    </row>
    <row r="5" spans="1:22" s="10" customFormat="1" x14ac:dyDescent="0.25">
      <c r="A5" s="10" t="s">
        <v>9559</v>
      </c>
      <c r="B5" s="10" t="s">
        <v>9541</v>
      </c>
      <c r="C5" s="11" t="s">
        <v>346</v>
      </c>
      <c r="D5" s="10" t="s">
        <v>9560</v>
      </c>
      <c r="E5" s="8" t="s">
        <v>9561</v>
      </c>
      <c r="F5" s="8" t="s">
        <v>9562</v>
      </c>
      <c r="G5" s="10" t="s">
        <v>3</v>
      </c>
      <c r="H5" s="8" t="s">
        <v>9563</v>
      </c>
      <c r="I5" s="10" t="s">
        <v>879</v>
      </c>
      <c r="J5" s="8" t="s">
        <v>9545</v>
      </c>
      <c r="K5" s="8" t="s">
        <v>1435</v>
      </c>
      <c r="L5" s="8" t="s">
        <v>9361</v>
      </c>
      <c r="M5" s="10" t="s">
        <v>1436</v>
      </c>
      <c r="N5" s="8" t="s">
        <v>87</v>
      </c>
      <c r="O5" s="10" t="s">
        <v>35</v>
      </c>
      <c r="P5" s="8" t="s">
        <v>9564</v>
      </c>
      <c r="Q5" s="10" t="s">
        <v>223</v>
      </c>
      <c r="R5" s="10" t="s">
        <v>1438</v>
      </c>
      <c r="S5" s="8" t="s">
        <v>9565</v>
      </c>
      <c r="T5" s="10" t="s">
        <v>9547</v>
      </c>
      <c r="U5" s="10" t="s">
        <v>87</v>
      </c>
      <c r="V5" s="10" t="s">
        <v>87</v>
      </c>
    </row>
    <row r="6" spans="1:22" s="10" customFormat="1" x14ac:dyDescent="0.25">
      <c r="A6" s="10" t="s">
        <v>9566</v>
      </c>
      <c r="B6" s="10" t="s">
        <v>9541</v>
      </c>
      <c r="C6" s="10" t="s">
        <v>215</v>
      </c>
      <c r="D6" s="10" t="s">
        <v>9567</v>
      </c>
      <c r="E6" s="8" t="s">
        <v>9568</v>
      </c>
      <c r="F6" s="8" t="s">
        <v>9569</v>
      </c>
      <c r="G6" s="10" t="s">
        <v>3</v>
      </c>
      <c r="H6" s="8" t="s">
        <v>9570</v>
      </c>
      <c r="I6" s="10" t="s">
        <v>87</v>
      </c>
      <c r="J6" s="8" t="s">
        <v>9545</v>
      </c>
      <c r="K6" s="8" t="s">
        <v>1435</v>
      </c>
      <c r="L6" s="8" t="s">
        <v>9361</v>
      </c>
      <c r="M6" s="10" t="s">
        <v>1436</v>
      </c>
      <c r="N6" s="8" t="s">
        <v>87</v>
      </c>
      <c r="O6" s="10" t="s">
        <v>35</v>
      </c>
      <c r="P6" s="8" t="s">
        <v>9571</v>
      </c>
      <c r="Q6" s="10" t="s">
        <v>223</v>
      </c>
      <c r="R6" s="10" t="s">
        <v>1438</v>
      </c>
      <c r="S6" s="8" t="s">
        <v>9572</v>
      </c>
      <c r="T6" s="10" t="s">
        <v>9547</v>
      </c>
      <c r="U6" s="10" t="s">
        <v>87</v>
      </c>
      <c r="V6" s="10" t="s">
        <v>87</v>
      </c>
    </row>
    <row r="7" spans="1:22" s="10" customFormat="1" x14ac:dyDescent="0.25">
      <c r="A7" s="10" t="s">
        <v>9573</v>
      </c>
      <c r="B7" s="10" t="s">
        <v>9541</v>
      </c>
      <c r="C7" s="10" t="s">
        <v>215</v>
      </c>
      <c r="D7" s="10" t="s">
        <v>9574</v>
      </c>
      <c r="E7" s="8" t="s">
        <v>9575</v>
      </c>
      <c r="F7" s="8" t="s">
        <v>9576</v>
      </c>
      <c r="G7" s="10" t="s">
        <v>3</v>
      </c>
      <c r="H7" s="8" t="s">
        <v>9570</v>
      </c>
      <c r="I7" s="10" t="s">
        <v>87</v>
      </c>
      <c r="J7" s="8" t="s">
        <v>9545</v>
      </c>
      <c r="K7" s="8" t="s">
        <v>1435</v>
      </c>
      <c r="L7" s="8" t="s">
        <v>9361</v>
      </c>
      <c r="M7" s="10" t="s">
        <v>1436</v>
      </c>
      <c r="N7" s="8" t="s">
        <v>87</v>
      </c>
      <c r="O7" s="10" t="s">
        <v>35</v>
      </c>
      <c r="P7" s="8" t="s">
        <v>9577</v>
      </c>
      <c r="Q7" s="10" t="s">
        <v>239</v>
      </c>
      <c r="R7" s="10" t="s">
        <v>1438</v>
      </c>
      <c r="S7" s="8" t="s">
        <v>220</v>
      </c>
      <c r="T7" s="10" t="s">
        <v>9547</v>
      </c>
      <c r="U7" s="10" t="s">
        <v>87</v>
      </c>
      <c r="V7" s="10" t="s">
        <v>87</v>
      </c>
    </row>
    <row r="8" spans="1:22" s="10" customFormat="1" x14ac:dyDescent="0.25">
      <c r="A8" s="10" t="s">
        <v>9578</v>
      </c>
      <c r="B8" s="10" t="s">
        <v>9541</v>
      </c>
      <c r="C8" s="10" t="s">
        <v>215</v>
      </c>
      <c r="D8" s="10" t="s">
        <v>9579</v>
      </c>
      <c r="E8" s="8" t="s">
        <v>9580</v>
      </c>
      <c r="F8" s="8" t="s">
        <v>9581</v>
      </c>
      <c r="G8" s="10" t="s">
        <v>3</v>
      </c>
      <c r="H8" s="8" t="s">
        <v>9582</v>
      </c>
      <c r="I8" s="10" t="s">
        <v>87</v>
      </c>
      <c r="J8" s="8" t="s">
        <v>9545</v>
      </c>
      <c r="K8" s="8" t="s">
        <v>1435</v>
      </c>
      <c r="L8" s="8" t="s">
        <v>9361</v>
      </c>
      <c r="M8" s="10" t="s">
        <v>1436</v>
      </c>
      <c r="N8" s="8" t="s">
        <v>87</v>
      </c>
      <c r="O8" s="10" t="s">
        <v>35</v>
      </c>
      <c r="P8" s="8" t="s">
        <v>9583</v>
      </c>
      <c r="Q8" s="10" t="s">
        <v>223</v>
      </c>
      <c r="R8" s="10" t="s">
        <v>1438</v>
      </c>
      <c r="S8" s="8" t="s">
        <v>220</v>
      </c>
      <c r="T8" s="10" t="s">
        <v>9547</v>
      </c>
      <c r="U8" s="10" t="s">
        <v>87</v>
      </c>
      <c r="V8" s="10" t="s">
        <v>87</v>
      </c>
    </row>
    <row r="9" spans="1:22" s="10" customFormat="1" x14ac:dyDescent="0.25">
      <c r="A9" s="10" t="s">
        <v>9584</v>
      </c>
      <c r="B9" s="10" t="s">
        <v>9541</v>
      </c>
      <c r="C9" s="11" t="s">
        <v>346</v>
      </c>
      <c r="D9" s="10" t="s">
        <v>9585</v>
      </c>
      <c r="E9" s="8" t="s">
        <v>9586</v>
      </c>
      <c r="F9" s="8" t="s">
        <v>9587</v>
      </c>
      <c r="G9" s="10" t="s">
        <v>3</v>
      </c>
      <c r="H9" s="8" t="s">
        <v>9582</v>
      </c>
      <c r="I9" s="10" t="s">
        <v>539</v>
      </c>
      <c r="J9" s="8" t="s">
        <v>9545</v>
      </c>
      <c r="K9" s="8" t="s">
        <v>1435</v>
      </c>
      <c r="L9" s="8" t="s">
        <v>9588</v>
      </c>
      <c r="M9" s="10" t="s">
        <v>1436</v>
      </c>
      <c r="N9" s="8" t="s">
        <v>87</v>
      </c>
      <c r="O9" s="10" t="s">
        <v>35</v>
      </c>
      <c r="P9" s="8" t="s">
        <v>9589</v>
      </c>
      <c r="Q9" s="10" t="s">
        <v>223</v>
      </c>
      <c r="R9" s="10" t="s">
        <v>1438</v>
      </c>
      <c r="S9" s="8" t="s">
        <v>9590</v>
      </c>
      <c r="T9" s="10" t="s">
        <v>9547</v>
      </c>
      <c r="U9" s="10" t="s">
        <v>87</v>
      </c>
      <c r="V9" s="10" t="s">
        <v>87</v>
      </c>
    </row>
    <row r="10" spans="1:22" s="10" customFormat="1" x14ac:dyDescent="0.25">
      <c r="A10" s="10" t="s">
        <v>9591</v>
      </c>
      <c r="B10" s="10" t="s">
        <v>9541</v>
      </c>
      <c r="C10" s="10" t="s">
        <v>215</v>
      </c>
      <c r="D10" s="10" t="s">
        <v>9592</v>
      </c>
      <c r="E10" s="8" t="s">
        <v>9593</v>
      </c>
      <c r="F10" s="8" t="s">
        <v>9594</v>
      </c>
      <c r="G10" s="10" t="s">
        <v>3</v>
      </c>
      <c r="H10" s="8" t="s">
        <v>9582</v>
      </c>
      <c r="I10" s="10" t="s">
        <v>87</v>
      </c>
      <c r="J10" s="8" t="s">
        <v>9545</v>
      </c>
      <c r="K10" s="8" t="s">
        <v>1435</v>
      </c>
      <c r="L10" s="8" t="s">
        <v>9588</v>
      </c>
      <c r="M10" s="10" t="s">
        <v>1436</v>
      </c>
      <c r="N10" s="8" t="s">
        <v>87</v>
      </c>
      <c r="O10" s="10" t="s">
        <v>35</v>
      </c>
      <c r="P10" s="8" t="s">
        <v>9595</v>
      </c>
      <c r="Q10" s="10" t="s">
        <v>223</v>
      </c>
      <c r="R10" s="10" t="s">
        <v>1438</v>
      </c>
      <c r="S10" s="8" t="s">
        <v>9596</v>
      </c>
      <c r="T10" s="10" t="s">
        <v>9547</v>
      </c>
      <c r="U10" s="10" t="s">
        <v>87</v>
      </c>
      <c r="V10" s="10" t="s">
        <v>87</v>
      </c>
    </row>
    <row r="11" spans="1:22" s="10" customFormat="1" x14ac:dyDescent="0.25">
      <c r="A11" s="10" t="s">
        <v>9597</v>
      </c>
      <c r="B11" s="10" t="s">
        <v>9541</v>
      </c>
      <c r="C11" s="11" t="s">
        <v>346</v>
      </c>
      <c r="D11" s="10" t="s">
        <v>9598</v>
      </c>
      <c r="E11" s="8" t="s">
        <v>9599</v>
      </c>
      <c r="F11" s="8" t="s">
        <v>9600</v>
      </c>
      <c r="G11" s="10" t="s">
        <v>3</v>
      </c>
      <c r="H11" s="8" t="s">
        <v>9601</v>
      </c>
      <c r="I11" s="10" t="s">
        <v>87</v>
      </c>
      <c r="J11" s="8" t="s">
        <v>9545</v>
      </c>
      <c r="K11" s="8" t="s">
        <v>1435</v>
      </c>
      <c r="L11" s="8" t="s">
        <v>9602</v>
      </c>
      <c r="M11" s="10" t="s">
        <v>1436</v>
      </c>
      <c r="N11" s="8" t="s">
        <v>87</v>
      </c>
      <c r="O11" s="10" t="s">
        <v>35</v>
      </c>
      <c r="P11" s="8" t="s">
        <v>9603</v>
      </c>
      <c r="Q11" s="10" t="s">
        <v>246</v>
      </c>
      <c r="R11" s="10" t="s">
        <v>1438</v>
      </c>
      <c r="S11" s="8" t="s">
        <v>9604</v>
      </c>
      <c r="T11" s="10" t="s">
        <v>9547</v>
      </c>
      <c r="U11" s="10" t="s">
        <v>87</v>
      </c>
      <c r="V11" s="10" t="s">
        <v>87</v>
      </c>
    </row>
    <row r="12" spans="1:22" s="10" customFormat="1" x14ac:dyDescent="0.25">
      <c r="A12" s="10" t="s">
        <v>9605</v>
      </c>
      <c r="B12" s="10" t="s">
        <v>9541</v>
      </c>
      <c r="C12" s="11" t="s">
        <v>346</v>
      </c>
      <c r="D12" s="10" t="s">
        <v>9606</v>
      </c>
      <c r="E12" s="8" t="s">
        <v>9607</v>
      </c>
      <c r="F12" s="8" t="s">
        <v>9608</v>
      </c>
      <c r="G12" s="10" t="s">
        <v>3</v>
      </c>
      <c r="H12" s="8" t="s">
        <v>9609</v>
      </c>
      <c r="I12" s="10" t="s">
        <v>9610</v>
      </c>
      <c r="J12" s="8" t="s">
        <v>9545</v>
      </c>
      <c r="K12" s="8" t="s">
        <v>1435</v>
      </c>
      <c r="L12" s="8" t="s">
        <v>9611</v>
      </c>
      <c r="M12" s="10" t="s">
        <v>1436</v>
      </c>
      <c r="N12" s="8" t="s">
        <v>87</v>
      </c>
      <c r="O12" s="10" t="s">
        <v>35</v>
      </c>
      <c r="P12" s="8" t="s">
        <v>9612</v>
      </c>
      <c r="Q12" s="10" t="s">
        <v>223</v>
      </c>
      <c r="R12" s="10" t="s">
        <v>1438</v>
      </c>
      <c r="S12" s="8" t="s">
        <v>9613</v>
      </c>
      <c r="T12" s="10" t="s">
        <v>9547</v>
      </c>
      <c r="U12" s="10" t="s">
        <v>87</v>
      </c>
      <c r="V12" s="10" t="s">
        <v>87</v>
      </c>
    </row>
    <row r="13" spans="1:22" s="10" customFormat="1" x14ac:dyDescent="0.25">
      <c r="A13" s="10" t="s">
        <v>9614</v>
      </c>
      <c r="B13" s="10" t="s">
        <v>9541</v>
      </c>
      <c r="C13" s="11" t="s">
        <v>346</v>
      </c>
      <c r="D13" s="10" t="s">
        <v>9615</v>
      </c>
      <c r="E13" s="8" t="s">
        <v>9616</v>
      </c>
      <c r="F13" s="8" t="s">
        <v>9617</v>
      </c>
      <c r="G13" s="10" t="s">
        <v>3</v>
      </c>
      <c r="H13" s="8" t="s">
        <v>9609</v>
      </c>
      <c r="I13" s="10" t="s">
        <v>87</v>
      </c>
      <c r="J13" s="8" t="s">
        <v>220</v>
      </c>
      <c r="K13" s="8" t="s">
        <v>1435</v>
      </c>
      <c r="L13" s="8" t="s">
        <v>87</v>
      </c>
      <c r="M13" s="10" t="s">
        <v>1436</v>
      </c>
      <c r="N13" s="8" t="s">
        <v>87</v>
      </c>
      <c r="O13" s="10" t="s">
        <v>35</v>
      </c>
      <c r="P13" s="8" t="s">
        <v>9618</v>
      </c>
      <c r="Q13" s="10" t="s">
        <v>239</v>
      </c>
      <c r="R13" s="10" t="s">
        <v>1438</v>
      </c>
      <c r="S13" s="8" t="s">
        <v>9619</v>
      </c>
      <c r="T13" s="10" t="s">
        <v>9547</v>
      </c>
      <c r="U13" s="10" t="s">
        <v>87</v>
      </c>
      <c r="V13" s="10" t="s">
        <v>87</v>
      </c>
    </row>
    <row r="14" spans="1:22" s="10" customFormat="1" x14ac:dyDescent="0.25">
      <c r="A14" s="10" t="s">
        <v>9620</v>
      </c>
      <c r="B14" s="10" t="s">
        <v>9541</v>
      </c>
      <c r="C14" s="10" t="s">
        <v>215</v>
      </c>
      <c r="D14" s="10" t="s">
        <v>9621</v>
      </c>
      <c r="E14" s="8" t="s">
        <v>9622</v>
      </c>
      <c r="F14" s="8" t="s">
        <v>9623</v>
      </c>
      <c r="G14" s="10" t="s">
        <v>3</v>
      </c>
      <c r="H14" s="8" t="s">
        <v>9624</v>
      </c>
      <c r="I14" s="10" t="s">
        <v>87</v>
      </c>
      <c r="J14" s="8" t="s">
        <v>220</v>
      </c>
      <c r="K14" s="8" t="s">
        <v>1435</v>
      </c>
      <c r="L14" s="8" t="s">
        <v>87</v>
      </c>
      <c r="M14" s="10" t="s">
        <v>1436</v>
      </c>
      <c r="N14" s="8" t="s">
        <v>87</v>
      </c>
      <c r="O14" s="10" t="s">
        <v>35</v>
      </c>
      <c r="P14" s="8" t="s">
        <v>9625</v>
      </c>
      <c r="Q14" s="10" t="s">
        <v>239</v>
      </c>
      <c r="R14" s="10" t="s">
        <v>1438</v>
      </c>
      <c r="S14" s="8" t="s">
        <v>9626</v>
      </c>
      <c r="T14" s="10" t="s">
        <v>9547</v>
      </c>
      <c r="U14" s="10" t="s">
        <v>87</v>
      </c>
      <c r="V14" s="10" t="s">
        <v>87</v>
      </c>
    </row>
    <row r="15" spans="1:22" s="10" customFormat="1" x14ac:dyDescent="0.25">
      <c r="A15" s="10" t="s">
        <v>9627</v>
      </c>
      <c r="B15" s="10" t="s">
        <v>9541</v>
      </c>
      <c r="C15" s="10" t="s">
        <v>215</v>
      </c>
      <c r="D15" s="10" t="s">
        <v>9628</v>
      </c>
      <c r="E15" s="8" t="s">
        <v>9629</v>
      </c>
      <c r="F15" s="8" t="s">
        <v>9630</v>
      </c>
      <c r="G15" s="10" t="s">
        <v>3</v>
      </c>
      <c r="H15" s="8" t="s">
        <v>9609</v>
      </c>
      <c r="I15" s="10" t="s">
        <v>87</v>
      </c>
      <c r="J15" s="8" t="s">
        <v>220</v>
      </c>
      <c r="K15" s="8" t="s">
        <v>1435</v>
      </c>
      <c r="L15" s="8" t="s">
        <v>9361</v>
      </c>
      <c r="M15" s="10" t="s">
        <v>1436</v>
      </c>
      <c r="N15" s="8" t="s">
        <v>87</v>
      </c>
      <c r="O15" s="10" t="s">
        <v>35</v>
      </c>
      <c r="P15" s="8" t="s">
        <v>9631</v>
      </c>
      <c r="Q15" s="10" t="s">
        <v>239</v>
      </c>
      <c r="R15" s="10" t="s">
        <v>1438</v>
      </c>
      <c r="S15" s="8" t="s">
        <v>9632</v>
      </c>
      <c r="T15" s="10" t="s">
        <v>9547</v>
      </c>
      <c r="U15" s="10" t="s">
        <v>87</v>
      </c>
      <c r="V15" s="10" t="s">
        <v>87</v>
      </c>
    </row>
    <row r="16" spans="1:22" s="10" customFormat="1" x14ac:dyDescent="0.25">
      <c r="A16" s="10" t="s">
        <v>9633</v>
      </c>
      <c r="B16" s="10" t="s">
        <v>9541</v>
      </c>
      <c r="C16" s="11" t="s">
        <v>346</v>
      </c>
      <c r="D16" s="10" t="s">
        <v>9634</v>
      </c>
      <c r="E16" s="8" t="s">
        <v>9635</v>
      </c>
      <c r="F16" s="8" t="s">
        <v>9636</v>
      </c>
      <c r="G16" s="10" t="s">
        <v>3</v>
      </c>
      <c r="H16" s="8" t="s">
        <v>9609</v>
      </c>
      <c r="I16" s="10" t="s">
        <v>539</v>
      </c>
      <c r="J16" s="8" t="s">
        <v>220</v>
      </c>
      <c r="K16" s="8" t="s">
        <v>1435</v>
      </c>
      <c r="L16" s="8" t="s">
        <v>87</v>
      </c>
      <c r="M16" s="10" t="s">
        <v>1436</v>
      </c>
      <c r="N16" s="8" t="s">
        <v>87</v>
      </c>
      <c r="O16" s="10" t="s">
        <v>35</v>
      </c>
      <c r="P16" s="8" t="s">
        <v>9637</v>
      </c>
      <c r="Q16" s="10" t="s">
        <v>239</v>
      </c>
      <c r="R16" s="10" t="s">
        <v>1438</v>
      </c>
      <c r="S16" s="8" t="s">
        <v>9638</v>
      </c>
      <c r="T16" s="10" t="s">
        <v>9547</v>
      </c>
      <c r="U16" s="10" t="s">
        <v>87</v>
      </c>
      <c r="V16" s="10" t="s">
        <v>87</v>
      </c>
    </row>
    <row r="17" spans="1:22" s="10" customFormat="1" x14ac:dyDescent="0.25">
      <c r="A17" s="10" t="s">
        <v>9639</v>
      </c>
      <c r="B17" s="10" t="s">
        <v>9541</v>
      </c>
      <c r="C17" s="10" t="s">
        <v>215</v>
      </c>
      <c r="D17" s="10" t="s">
        <v>9640</v>
      </c>
      <c r="E17" s="8" t="s">
        <v>9641</v>
      </c>
      <c r="F17" s="8" t="s">
        <v>9642</v>
      </c>
      <c r="G17" s="10" t="s">
        <v>3</v>
      </c>
      <c r="H17" s="8" t="s">
        <v>9582</v>
      </c>
      <c r="I17" s="10" t="s">
        <v>87</v>
      </c>
      <c r="J17" s="8" t="s">
        <v>9545</v>
      </c>
      <c r="K17" s="8" t="s">
        <v>1435</v>
      </c>
      <c r="L17" s="8" t="s">
        <v>9588</v>
      </c>
      <c r="M17" s="10" t="s">
        <v>1436</v>
      </c>
      <c r="N17" s="8" t="s">
        <v>87</v>
      </c>
      <c r="O17" s="10" t="s">
        <v>35</v>
      </c>
      <c r="P17" s="8" t="s">
        <v>9643</v>
      </c>
      <c r="Q17" s="10" t="s">
        <v>223</v>
      </c>
      <c r="R17" s="10" t="s">
        <v>1438</v>
      </c>
      <c r="S17" s="8" t="s">
        <v>9644</v>
      </c>
      <c r="T17" s="10" t="s">
        <v>9547</v>
      </c>
      <c r="U17" s="10" t="s">
        <v>87</v>
      </c>
      <c r="V17" s="10" t="s">
        <v>87</v>
      </c>
    </row>
    <row r="18" spans="1:22" s="10" customFormat="1" x14ac:dyDescent="0.25">
      <c r="A18" s="10" t="s">
        <v>9645</v>
      </c>
      <c r="B18" s="10" t="s">
        <v>9541</v>
      </c>
      <c r="C18" s="11" t="s">
        <v>346</v>
      </c>
      <c r="D18" s="10" t="s">
        <v>9646</v>
      </c>
      <c r="E18" s="8" t="s">
        <v>9647</v>
      </c>
      <c r="F18" s="8" t="s">
        <v>9648</v>
      </c>
      <c r="G18" s="10" t="s">
        <v>4</v>
      </c>
      <c r="H18" s="8" t="s">
        <v>9582</v>
      </c>
      <c r="I18" s="10" t="s">
        <v>9649</v>
      </c>
      <c r="J18" s="8" t="s">
        <v>9545</v>
      </c>
      <c r="K18" s="8" t="s">
        <v>9650</v>
      </c>
      <c r="L18" s="8" t="s">
        <v>9588</v>
      </c>
      <c r="M18" s="10" t="s">
        <v>1456</v>
      </c>
      <c r="N18" s="8" t="s">
        <v>87</v>
      </c>
      <c r="O18" s="10" t="s">
        <v>35</v>
      </c>
      <c r="P18" s="8" t="s">
        <v>9651</v>
      </c>
      <c r="Q18" s="10" t="s">
        <v>246</v>
      </c>
      <c r="R18" s="10" t="s">
        <v>1438</v>
      </c>
      <c r="S18" s="8" t="s">
        <v>9652</v>
      </c>
      <c r="T18" s="10" t="s">
        <v>9547</v>
      </c>
      <c r="U18" s="10" t="s">
        <v>87</v>
      </c>
      <c r="V18" s="10" t="s">
        <v>87</v>
      </c>
    </row>
    <row r="19" spans="1:22" s="10" customFormat="1" x14ac:dyDescent="0.25">
      <c r="A19" s="10" t="s">
        <v>9653</v>
      </c>
      <c r="B19" s="10" t="s">
        <v>9541</v>
      </c>
      <c r="C19" s="10" t="s">
        <v>215</v>
      </c>
      <c r="D19" s="10" t="s">
        <v>9654</v>
      </c>
      <c r="E19" s="8" t="s">
        <v>9655</v>
      </c>
      <c r="F19" s="8" t="s">
        <v>9656</v>
      </c>
      <c r="G19" s="10" t="s">
        <v>3</v>
      </c>
      <c r="H19" s="8" t="s">
        <v>9582</v>
      </c>
      <c r="I19" s="10" t="s">
        <v>539</v>
      </c>
      <c r="J19" s="8" t="s">
        <v>9657</v>
      </c>
      <c r="K19" s="8" t="s">
        <v>1435</v>
      </c>
      <c r="L19" s="8" t="s">
        <v>9588</v>
      </c>
      <c r="M19" s="10" t="s">
        <v>1436</v>
      </c>
      <c r="N19" s="8" t="s">
        <v>87</v>
      </c>
      <c r="O19" s="10" t="s">
        <v>35</v>
      </c>
      <c r="P19" s="8" t="s">
        <v>9658</v>
      </c>
      <c r="Q19" s="10" t="s">
        <v>223</v>
      </c>
      <c r="R19" s="10" t="s">
        <v>1438</v>
      </c>
      <c r="S19" s="8" t="s">
        <v>9659</v>
      </c>
      <c r="T19" s="10" t="s">
        <v>9547</v>
      </c>
      <c r="U19" s="10" t="s">
        <v>87</v>
      </c>
      <c r="V19" s="10" t="s">
        <v>87</v>
      </c>
    </row>
    <row r="20" spans="1:22" s="10" customFormat="1" x14ac:dyDescent="0.25">
      <c r="A20" s="10" t="s">
        <v>9660</v>
      </c>
      <c r="B20" s="10" t="s">
        <v>9541</v>
      </c>
      <c r="C20" s="10" t="s">
        <v>215</v>
      </c>
      <c r="D20" s="10" t="s">
        <v>9661</v>
      </c>
      <c r="E20" s="8" t="s">
        <v>9662</v>
      </c>
      <c r="F20" s="8" t="s">
        <v>9663</v>
      </c>
      <c r="G20" s="10" t="s">
        <v>3</v>
      </c>
      <c r="H20" s="8" t="s">
        <v>9582</v>
      </c>
      <c r="I20" s="10" t="s">
        <v>539</v>
      </c>
      <c r="J20" s="8" t="s">
        <v>9657</v>
      </c>
      <c r="K20" s="8" t="s">
        <v>1435</v>
      </c>
      <c r="L20" s="8" t="s">
        <v>9588</v>
      </c>
      <c r="M20" s="10" t="s">
        <v>1436</v>
      </c>
      <c r="N20" s="8" t="s">
        <v>87</v>
      </c>
      <c r="O20" s="10" t="s">
        <v>36</v>
      </c>
      <c r="P20" s="8" t="s">
        <v>9664</v>
      </c>
      <c r="Q20" s="10" t="s">
        <v>223</v>
      </c>
      <c r="R20" s="10" t="s">
        <v>1438</v>
      </c>
      <c r="S20" s="8" t="s">
        <v>9665</v>
      </c>
      <c r="T20" s="10" t="s">
        <v>9547</v>
      </c>
      <c r="U20" s="10" t="s">
        <v>87</v>
      </c>
      <c r="V20" s="10" t="s">
        <v>87</v>
      </c>
    </row>
    <row r="21" spans="1:22" s="10" customFormat="1" x14ac:dyDescent="0.25">
      <c r="A21" s="10" t="s">
        <v>9666</v>
      </c>
      <c r="B21" s="10" t="s">
        <v>9541</v>
      </c>
      <c r="C21" s="10" t="s">
        <v>215</v>
      </c>
      <c r="D21" s="10" t="s">
        <v>9667</v>
      </c>
      <c r="E21" s="8" t="s">
        <v>9668</v>
      </c>
      <c r="F21" s="8" t="s">
        <v>9669</v>
      </c>
      <c r="G21" s="10" t="s">
        <v>3</v>
      </c>
      <c r="H21" s="8" t="s">
        <v>9582</v>
      </c>
      <c r="I21" s="10" t="s">
        <v>9670</v>
      </c>
      <c r="J21" s="8" t="s">
        <v>9545</v>
      </c>
      <c r="K21" s="8" t="s">
        <v>1435</v>
      </c>
      <c r="L21" s="8" t="s">
        <v>9671</v>
      </c>
      <c r="M21" s="10" t="s">
        <v>1436</v>
      </c>
      <c r="N21" s="8" t="s">
        <v>87</v>
      </c>
      <c r="O21" s="10" t="s">
        <v>35</v>
      </c>
      <c r="P21" s="8" t="s">
        <v>9672</v>
      </c>
      <c r="Q21" s="10" t="s">
        <v>223</v>
      </c>
      <c r="R21" s="10" t="s">
        <v>1438</v>
      </c>
      <c r="S21" s="8" t="s">
        <v>9673</v>
      </c>
      <c r="T21" s="10" t="s">
        <v>9547</v>
      </c>
      <c r="U21" s="10" t="s">
        <v>87</v>
      </c>
      <c r="V21" s="10" t="s">
        <v>87</v>
      </c>
    </row>
    <row r="22" spans="1:22" s="10" customFormat="1" x14ac:dyDescent="0.25">
      <c r="A22" s="10" t="s">
        <v>9674</v>
      </c>
      <c r="B22" s="10" t="s">
        <v>9541</v>
      </c>
      <c r="C22" s="11" t="s">
        <v>346</v>
      </c>
      <c r="D22" s="10" t="s">
        <v>9675</v>
      </c>
      <c r="E22" s="8" t="s">
        <v>9676</v>
      </c>
      <c r="F22" s="8" t="s">
        <v>9677</v>
      </c>
      <c r="G22" s="10" t="s">
        <v>3</v>
      </c>
      <c r="H22" s="8" t="s">
        <v>9678</v>
      </c>
      <c r="I22" s="10" t="s">
        <v>9679</v>
      </c>
      <c r="J22" s="8" t="s">
        <v>9545</v>
      </c>
      <c r="K22" s="8" t="s">
        <v>1435</v>
      </c>
      <c r="L22" s="8" t="s">
        <v>9588</v>
      </c>
      <c r="M22" s="10" t="s">
        <v>1436</v>
      </c>
      <c r="N22" s="8" t="s">
        <v>87</v>
      </c>
      <c r="O22" s="10" t="s">
        <v>57</v>
      </c>
      <c r="P22" s="8" t="s">
        <v>9680</v>
      </c>
      <c r="Q22" s="10" t="s">
        <v>223</v>
      </c>
      <c r="R22" s="10" t="s">
        <v>1438</v>
      </c>
      <c r="S22" s="8" t="s">
        <v>9681</v>
      </c>
      <c r="T22" s="10" t="s">
        <v>9547</v>
      </c>
      <c r="U22" s="10" t="s">
        <v>87</v>
      </c>
      <c r="V22" s="10" t="s">
        <v>87</v>
      </c>
    </row>
    <row r="23" spans="1:22" s="10" customFormat="1" x14ac:dyDescent="0.25">
      <c r="A23" s="10" t="s">
        <v>9682</v>
      </c>
      <c r="B23" s="10" t="s">
        <v>9541</v>
      </c>
      <c r="C23" s="10" t="s">
        <v>215</v>
      </c>
      <c r="D23" s="10" t="s">
        <v>9683</v>
      </c>
      <c r="E23" s="8" t="s">
        <v>9684</v>
      </c>
      <c r="F23" s="8" t="s">
        <v>9685</v>
      </c>
      <c r="G23" s="10" t="s">
        <v>3</v>
      </c>
      <c r="H23" s="8" t="s">
        <v>9582</v>
      </c>
      <c r="I23" s="10" t="s">
        <v>87</v>
      </c>
      <c r="J23" s="8" t="s">
        <v>9545</v>
      </c>
      <c r="K23" s="8" t="s">
        <v>1435</v>
      </c>
      <c r="L23" s="8" t="s">
        <v>9588</v>
      </c>
      <c r="M23" s="10" t="s">
        <v>1436</v>
      </c>
      <c r="N23" s="8" t="s">
        <v>87</v>
      </c>
      <c r="O23" s="10" t="s">
        <v>35</v>
      </c>
      <c r="P23" s="8" t="s">
        <v>9686</v>
      </c>
      <c r="Q23" s="10" t="s">
        <v>223</v>
      </c>
      <c r="R23" s="10" t="s">
        <v>1438</v>
      </c>
      <c r="S23" s="8" t="s">
        <v>9687</v>
      </c>
      <c r="T23" s="10" t="s">
        <v>9547</v>
      </c>
      <c r="U23" s="10" t="s">
        <v>87</v>
      </c>
      <c r="V23" s="10" t="s">
        <v>87</v>
      </c>
    </row>
    <row r="24" spans="1:22" s="10" customFormat="1" x14ac:dyDescent="0.25">
      <c r="A24" s="10" t="s">
        <v>9688</v>
      </c>
      <c r="B24" s="10" t="s">
        <v>9541</v>
      </c>
      <c r="C24" s="10" t="s">
        <v>384</v>
      </c>
      <c r="D24" s="10" t="s">
        <v>9689</v>
      </c>
      <c r="E24" s="8" t="s">
        <v>9690</v>
      </c>
      <c r="F24" s="8" t="s">
        <v>9691</v>
      </c>
      <c r="G24" s="10" t="s">
        <v>3</v>
      </c>
      <c r="H24" s="8" t="s">
        <v>9582</v>
      </c>
      <c r="I24" s="10" t="s">
        <v>87</v>
      </c>
      <c r="J24" s="8" t="s">
        <v>9545</v>
      </c>
      <c r="K24" s="8" t="s">
        <v>1435</v>
      </c>
      <c r="L24" s="8" t="s">
        <v>9671</v>
      </c>
      <c r="M24" s="10" t="s">
        <v>1436</v>
      </c>
      <c r="N24" s="8" t="s">
        <v>87</v>
      </c>
      <c r="O24" s="10" t="s">
        <v>35</v>
      </c>
      <c r="P24" s="8" t="s">
        <v>9692</v>
      </c>
      <c r="Q24" s="10" t="s">
        <v>223</v>
      </c>
      <c r="R24" s="10" t="s">
        <v>1438</v>
      </c>
      <c r="S24" s="8" t="s">
        <v>220</v>
      </c>
      <c r="T24" s="10" t="s">
        <v>9547</v>
      </c>
      <c r="U24" s="10" t="s">
        <v>87</v>
      </c>
      <c r="V24" s="10" t="s">
        <v>87</v>
      </c>
    </row>
    <row r="25" spans="1:22" s="10" customFormat="1" x14ac:dyDescent="0.25">
      <c r="A25" s="10" t="s">
        <v>9693</v>
      </c>
      <c r="B25" s="10" t="s">
        <v>9541</v>
      </c>
      <c r="C25" s="10" t="s">
        <v>384</v>
      </c>
      <c r="D25" s="10" t="s">
        <v>9694</v>
      </c>
      <c r="E25" s="8" t="s">
        <v>9695</v>
      </c>
      <c r="F25" s="8" t="s">
        <v>9696</v>
      </c>
      <c r="G25" s="10" t="s">
        <v>3</v>
      </c>
      <c r="H25" s="8" t="s">
        <v>220</v>
      </c>
      <c r="I25" s="10" t="s">
        <v>87</v>
      </c>
      <c r="J25" s="8" t="s">
        <v>220</v>
      </c>
      <c r="K25" s="8" t="s">
        <v>1435</v>
      </c>
      <c r="L25" s="8" t="s">
        <v>87</v>
      </c>
      <c r="M25" s="10" t="s">
        <v>1436</v>
      </c>
      <c r="N25" s="8" t="s">
        <v>87</v>
      </c>
      <c r="O25" s="10" t="s">
        <v>35</v>
      </c>
      <c r="P25" s="8" t="s">
        <v>9697</v>
      </c>
      <c r="Q25" s="10" t="s">
        <v>239</v>
      </c>
      <c r="R25" s="10" t="s">
        <v>1438</v>
      </c>
      <c r="S25" s="8" t="s">
        <v>220</v>
      </c>
      <c r="T25" s="10" t="s">
        <v>9547</v>
      </c>
      <c r="U25" s="10" t="s">
        <v>87</v>
      </c>
      <c r="V25" s="10" t="s">
        <v>87</v>
      </c>
    </row>
    <row r="26" spans="1:22" s="10" customFormat="1" x14ac:dyDescent="0.25">
      <c r="A26" s="10" t="s">
        <v>9698</v>
      </c>
      <c r="B26" s="10" t="s">
        <v>9541</v>
      </c>
      <c r="C26" s="11" t="s">
        <v>346</v>
      </c>
      <c r="D26" s="10" t="s">
        <v>9699</v>
      </c>
      <c r="E26" s="8" t="s">
        <v>9700</v>
      </c>
      <c r="F26" s="8" t="s">
        <v>9701</v>
      </c>
      <c r="G26" s="10" t="s">
        <v>3</v>
      </c>
      <c r="H26" s="8" t="s">
        <v>9582</v>
      </c>
      <c r="I26" s="10" t="s">
        <v>539</v>
      </c>
      <c r="J26" s="8" t="s">
        <v>9702</v>
      </c>
      <c r="K26" s="8" t="s">
        <v>1435</v>
      </c>
      <c r="L26" s="8" t="s">
        <v>9588</v>
      </c>
      <c r="M26" s="10" t="s">
        <v>1436</v>
      </c>
      <c r="N26" s="8" t="s">
        <v>87</v>
      </c>
      <c r="O26" s="10" t="s">
        <v>35</v>
      </c>
      <c r="P26" s="8" t="s">
        <v>9703</v>
      </c>
      <c r="Q26" s="10" t="s">
        <v>825</v>
      </c>
      <c r="R26" s="10" t="s">
        <v>2188</v>
      </c>
      <c r="S26" s="8" t="s">
        <v>9704</v>
      </c>
      <c r="T26" s="10" t="s">
        <v>9547</v>
      </c>
      <c r="U26" s="10" t="s">
        <v>87</v>
      </c>
      <c r="V26" s="10" t="s">
        <v>87</v>
      </c>
    </row>
    <row r="27" spans="1:22" s="10" customFormat="1" x14ac:dyDescent="0.25">
      <c r="A27" s="10" t="s">
        <v>9705</v>
      </c>
      <c r="B27" s="10" t="s">
        <v>9541</v>
      </c>
      <c r="C27" s="11" t="s">
        <v>346</v>
      </c>
      <c r="D27" s="10" t="s">
        <v>9706</v>
      </c>
      <c r="E27" s="8" t="s">
        <v>9707</v>
      </c>
      <c r="F27" s="8" t="s">
        <v>9708</v>
      </c>
      <c r="G27" s="10" t="s">
        <v>3</v>
      </c>
      <c r="H27" s="8" t="s">
        <v>220</v>
      </c>
      <c r="I27" s="10" t="s">
        <v>87</v>
      </c>
      <c r="J27" s="8" t="s">
        <v>9709</v>
      </c>
      <c r="K27" s="8" t="s">
        <v>1435</v>
      </c>
      <c r="L27" s="8" t="s">
        <v>2367</v>
      </c>
      <c r="M27" s="10" t="s">
        <v>1436</v>
      </c>
      <c r="N27" s="8" t="s">
        <v>87</v>
      </c>
      <c r="O27" s="10" t="s">
        <v>35</v>
      </c>
      <c r="P27" s="8" t="s">
        <v>9710</v>
      </c>
      <c r="Q27" s="10" t="s">
        <v>825</v>
      </c>
      <c r="R27" s="10" t="s">
        <v>1668</v>
      </c>
      <c r="S27" s="8" t="s">
        <v>220</v>
      </c>
      <c r="T27" s="10" t="s">
        <v>9547</v>
      </c>
      <c r="U27" s="10" t="s">
        <v>87</v>
      </c>
      <c r="V27" s="10" t="s">
        <v>87</v>
      </c>
    </row>
    <row r="28" spans="1:22" s="10" customFormat="1" x14ac:dyDescent="0.25">
      <c r="A28" s="10" t="s">
        <v>9711</v>
      </c>
      <c r="B28" s="10" t="s">
        <v>9712</v>
      </c>
      <c r="C28" s="11" t="s">
        <v>346</v>
      </c>
      <c r="D28" s="10" t="s">
        <v>9713</v>
      </c>
      <c r="E28" s="8" t="s">
        <v>9714</v>
      </c>
      <c r="F28" s="8" t="s">
        <v>9715</v>
      </c>
      <c r="G28" s="10" t="s">
        <v>3</v>
      </c>
      <c r="H28" s="8" t="s">
        <v>9716</v>
      </c>
      <c r="I28" s="10" t="s">
        <v>539</v>
      </c>
      <c r="J28" s="8" t="s">
        <v>9657</v>
      </c>
      <c r="K28" s="8" t="s">
        <v>1435</v>
      </c>
      <c r="L28" s="8" t="s">
        <v>87</v>
      </c>
      <c r="M28" s="10" t="s">
        <v>1436</v>
      </c>
      <c r="N28" s="8" t="s">
        <v>87</v>
      </c>
      <c r="O28" s="10" t="s">
        <v>35</v>
      </c>
      <c r="P28" s="8" t="s">
        <v>9717</v>
      </c>
      <c r="Q28" s="10" t="s">
        <v>223</v>
      </c>
      <c r="R28" s="10" t="s">
        <v>1438</v>
      </c>
      <c r="S28" s="8" t="s">
        <v>9718</v>
      </c>
      <c r="T28" s="10" t="s">
        <v>9719</v>
      </c>
      <c r="U28" s="10" t="s">
        <v>87</v>
      </c>
      <c r="V28" s="10" t="s">
        <v>87</v>
      </c>
    </row>
    <row r="29" spans="1:22" s="10" customFormat="1" x14ac:dyDescent="0.25">
      <c r="A29" s="10" t="s">
        <v>9720</v>
      </c>
      <c r="B29" s="10" t="s">
        <v>9712</v>
      </c>
      <c r="C29" s="11" t="s">
        <v>346</v>
      </c>
      <c r="D29" s="10" t="s">
        <v>9721</v>
      </c>
      <c r="E29" s="8" t="s">
        <v>9722</v>
      </c>
      <c r="F29" s="8" t="s">
        <v>9723</v>
      </c>
      <c r="G29" s="10" t="s">
        <v>3</v>
      </c>
      <c r="H29" s="8" t="s">
        <v>9724</v>
      </c>
      <c r="I29" s="10" t="s">
        <v>539</v>
      </c>
      <c r="J29" s="8" t="s">
        <v>9657</v>
      </c>
      <c r="K29" s="8" t="s">
        <v>1435</v>
      </c>
      <c r="L29" s="8" t="s">
        <v>87</v>
      </c>
      <c r="M29" s="10" t="s">
        <v>1436</v>
      </c>
      <c r="N29" s="8" t="s">
        <v>87</v>
      </c>
      <c r="O29" s="10" t="s">
        <v>35</v>
      </c>
      <c r="P29" s="8" t="s">
        <v>9725</v>
      </c>
      <c r="Q29" s="10" t="s">
        <v>223</v>
      </c>
      <c r="R29" s="10" t="s">
        <v>1438</v>
      </c>
      <c r="S29" s="8" t="s">
        <v>9726</v>
      </c>
      <c r="T29" s="10" t="s">
        <v>9719</v>
      </c>
      <c r="U29" s="10" t="s">
        <v>87</v>
      </c>
      <c r="V29" s="10" t="s">
        <v>87</v>
      </c>
    </row>
    <row r="30" spans="1:22" s="10" customFormat="1" x14ac:dyDescent="0.25">
      <c r="A30" s="10" t="s">
        <v>9727</v>
      </c>
      <c r="B30" s="10" t="s">
        <v>9712</v>
      </c>
      <c r="C30" s="10" t="s">
        <v>215</v>
      </c>
      <c r="D30" s="10" t="s">
        <v>9728</v>
      </c>
      <c r="E30" s="8" t="s">
        <v>9729</v>
      </c>
      <c r="F30" s="8" t="s">
        <v>9730</v>
      </c>
      <c r="G30" s="10" t="s">
        <v>4</v>
      </c>
      <c r="H30" s="8" t="s">
        <v>9731</v>
      </c>
      <c r="I30" s="10" t="s">
        <v>539</v>
      </c>
      <c r="J30" s="8" t="s">
        <v>9657</v>
      </c>
      <c r="K30" s="8" t="s">
        <v>9732</v>
      </c>
      <c r="L30" s="8" t="s">
        <v>87</v>
      </c>
      <c r="M30" s="10" t="s">
        <v>1456</v>
      </c>
      <c r="N30" s="8" t="s">
        <v>87</v>
      </c>
      <c r="O30" s="10" t="s">
        <v>35</v>
      </c>
      <c r="P30" s="8" t="s">
        <v>9733</v>
      </c>
      <c r="Q30" s="10" t="s">
        <v>223</v>
      </c>
      <c r="R30" s="10" t="s">
        <v>1438</v>
      </c>
      <c r="S30" s="8" t="s">
        <v>9734</v>
      </c>
      <c r="T30" s="10" t="s">
        <v>9719</v>
      </c>
      <c r="U30" s="10" t="s">
        <v>87</v>
      </c>
      <c r="V30" s="10" t="s">
        <v>87</v>
      </c>
    </row>
    <row r="31" spans="1:22" s="10" customFormat="1" x14ac:dyDescent="0.25">
      <c r="A31" s="10" t="s">
        <v>9735</v>
      </c>
      <c r="B31" s="10" t="s">
        <v>9712</v>
      </c>
      <c r="C31" s="11" t="s">
        <v>346</v>
      </c>
      <c r="D31" s="10" t="s">
        <v>9736</v>
      </c>
      <c r="E31" s="8" t="s">
        <v>9737</v>
      </c>
      <c r="F31" s="8" t="s">
        <v>9738</v>
      </c>
      <c r="G31" s="10" t="s">
        <v>3</v>
      </c>
      <c r="H31" s="8" t="s">
        <v>9739</v>
      </c>
      <c r="I31" s="10" t="s">
        <v>539</v>
      </c>
      <c r="J31" s="8" t="s">
        <v>9657</v>
      </c>
      <c r="K31" s="8" t="s">
        <v>1435</v>
      </c>
      <c r="L31" s="8" t="s">
        <v>87</v>
      </c>
      <c r="M31" s="10" t="s">
        <v>1436</v>
      </c>
      <c r="N31" s="8" t="s">
        <v>87</v>
      </c>
      <c r="O31" s="10" t="s">
        <v>35</v>
      </c>
      <c r="P31" s="8" t="s">
        <v>9740</v>
      </c>
      <c r="Q31" s="10" t="s">
        <v>223</v>
      </c>
      <c r="R31" s="10" t="s">
        <v>1438</v>
      </c>
      <c r="S31" s="8" t="s">
        <v>9741</v>
      </c>
      <c r="T31" s="10" t="s">
        <v>9719</v>
      </c>
      <c r="U31" s="10" t="s">
        <v>87</v>
      </c>
      <c r="V31" s="10" t="s">
        <v>87</v>
      </c>
    </row>
    <row r="32" spans="1:22" s="10" customFormat="1" x14ac:dyDescent="0.25">
      <c r="A32" s="10" t="s">
        <v>9742</v>
      </c>
      <c r="B32" s="10" t="s">
        <v>9712</v>
      </c>
      <c r="C32" s="11" t="s">
        <v>346</v>
      </c>
      <c r="D32" s="10" t="s">
        <v>9743</v>
      </c>
      <c r="E32" s="8" t="s">
        <v>9744</v>
      </c>
      <c r="F32" s="8" t="s">
        <v>9745</v>
      </c>
      <c r="G32" s="10" t="s">
        <v>2647</v>
      </c>
      <c r="H32" s="8" t="s">
        <v>9746</v>
      </c>
      <c r="I32" s="10" t="s">
        <v>539</v>
      </c>
      <c r="J32" s="8" t="s">
        <v>9657</v>
      </c>
      <c r="K32" s="8" t="s">
        <v>2649</v>
      </c>
      <c r="L32" s="8" t="s">
        <v>2548</v>
      </c>
      <c r="M32" s="10" t="s">
        <v>1436</v>
      </c>
      <c r="N32" s="8" t="s">
        <v>87</v>
      </c>
      <c r="O32" s="10" t="s">
        <v>35</v>
      </c>
      <c r="P32" s="8" t="s">
        <v>9747</v>
      </c>
      <c r="Q32" s="10" t="s">
        <v>246</v>
      </c>
      <c r="R32" s="10" t="s">
        <v>1438</v>
      </c>
      <c r="S32" s="8" t="s">
        <v>9748</v>
      </c>
      <c r="T32" s="10" t="s">
        <v>9719</v>
      </c>
      <c r="U32" s="10" t="s">
        <v>87</v>
      </c>
      <c r="V32" s="10" t="s">
        <v>87</v>
      </c>
    </row>
    <row r="33" spans="1:22" s="10" customFormat="1" x14ac:dyDescent="0.25">
      <c r="A33" s="10" t="s">
        <v>9749</v>
      </c>
      <c r="B33" s="10" t="s">
        <v>9712</v>
      </c>
      <c r="C33" s="11" t="s">
        <v>346</v>
      </c>
      <c r="D33" s="10" t="s">
        <v>9750</v>
      </c>
      <c r="E33" s="8" t="s">
        <v>9751</v>
      </c>
      <c r="F33" s="8" t="s">
        <v>9752</v>
      </c>
      <c r="G33" s="10" t="s">
        <v>3</v>
      </c>
      <c r="H33" s="8" t="s">
        <v>9746</v>
      </c>
      <c r="I33" s="10" t="s">
        <v>539</v>
      </c>
      <c r="J33" s="8" t="s">
        <v>9657</v>
      </c>
      <c r="K33" s="8" t="s">
        <v>1435</v>
      </c>
      <c r="L33" s="8" t="s">
        <v>87</v>
      </c>
      <c r="M33" s="10" t="s">
        <v>1436</v>
      </c>
      <c r="N33" s="8" t="s">
        <v>87</v>
      </c>
      <c r="O33" s="10" t="s">
        <v>35</v>
      </c>
      <c r="P33" s="8" t="s">
        <v>9753</v>
      </c>
      <c r="Q33" s="10" t="s">
        <v>246</v>
      </c>
      <c r="R33" s="10" t="s">
        <v>1438</v>
      </c>
      <c r="S33" s="8" t="s">
        <v>9754</v>
      </c>
      <c r="T33" s="10" t="s">
        <v>9719</v>
      </c>
      <c r="U33" s="10" t="s">
        <v>87</v>
      </c>
      <c r="V33" s="10" t="s">
        <v>87</v>
      </c>
    </row>
    <row r="34" spans="1:22" s="10" customFormat="1" x14ac:dyDescent="0.25">
      <c r="A34" s="10" t="s">
        <v>9755</v>
      </c>
      <c r="B34" s="10" t="s">
        <v>9712</v>
      </c>
      <c r="C34" s="11" t="s">
        <v>346</v>
      </c>
      <c r="D34" s="10" t="s">
        <v>9756</v>
      </c>
      <c r="E34" s="8" t="s">
        <v>9757</v>
      </c>
      <c r="F34" s="8" t="s">
        <v>9758</v>
      </c>
      <c r="G34" s="10" t="s">
        <v>3</v>
      </c>
      <c r="H34" s="8" t="s">
        <v>9582</v>
      </c>
      <c r="I34" s="10" t="s">
        <v>539</v>
      </c>
      <c r="J34" s="8" t="s">
        <v>9759</v>
      </c>
      <c r="K34" s="8" t="s">
        <v>1435</v>
      </c>
      <c r="L34" s="8" t="s">
        <v>87</v>
      </c>
      <c r="M34" s="10" t="s">
        <v>1436</v>
      </c>
      <c r="N34" s="8" t="s">
        <v>87</v>
      </c>
      <c r="O34" s="10" t="s">
        <v>35</v>
      </c>
      <c r="P34" s="8" t="s">
        <v>9760</v>
      </c>
      <c r="Q34" s="10" t="s">
        <v>239</v>
      </c>
      <c r="R34" s="10" t="s">
        <v>1438</v>
      </c>
      <c r="S34" s="8" t="s">
        <v>9761</v>
      </c>
      <c r="T34" s="10" t="s">
        <v>9719</v>
      </c>
      <c r="U34" s="10" t="s">
        <v>87</v>
      </c>
      <c r="V34" s="10" t="s">
        <v>87</v>
      </c>
    </row>
    <row r="35" spans="1:22" s="10" customFormat="1" x14ac:dyDescent="0.25">
      <c r="A35" s="10" t="s">
        <v>9762</v>
      </c>
      <c r="B35" s="10" t="s">
        <v>9712</v>
      </c>
      <c r="C35" s="11" t="s">
        <v>346</v>
      </c>
      <c r="D35" s="10" t="s">
        <v>9763</v>
      </c>
      <c r="E35" s="8" t="s">
        <v>9764</v>
      </c>
      <c r="F35" s="8" t="s">
        <v>9765</v>
      </c>
      <c r="G35" s="10" t="s">
        <v>3</v>
      </c>
      <c r="H35" s="8" t="s">
        <v>9766</v>
      </c>
      <c r="I35" s="10" t="s">
        <v>539</v>
      </c>
      <c r="J35" s="8" t="s">
        <v>9657</v>
      </c>
      <c r="K35" s="8" t="s">
        <v>1435</v>
      </c>
      <c r="L35" s="8" t="s">
        <v>87</v>
      </c>
      <c r="M35" s="10" t="s">
        <v>1436</v>
      </c>
      <c r="N35" s="8" t="s">
        <v>87</v>
      </c>
      <c r="O35" s="10" t="s">
        <v>36</v>
      </c>
      <c r="P35" s="8" t="s">
        <v>9767</v>
      </c>
      <c r="Q35" s="10" t="s">
        <v>223</v>
      </c>
      <c r="R35" s="10" t="s">
        <v>1438</v>
      </c>
      <c r="S35" s="8" t="s">
        <v>9768</v>
      </c>
      <c r="T35" s="10" t="s">
        <v>9719</v>
      </c>
      <c r="U35" s="10" t="s">
        <v>87</v>
      </c>
      <c r="V35" s="10" t="s">
        <v>87</v>
      </c>
    </row>
    <row r="36" spans="1:22" s="10" customFormat="1" x14ac:dyDescent="0.25">
      <c r="A36" s="10" t="s">
        <v>9769</v>
      </c>
      <c r="B36" s="10" t="s">
        <v>9712</v>
      </c>
      <c r="C36" s="10" t="s">
        <v>215</v>
      </c>
      <c r="D36" s="10" t="s">
        <v>9770</v>
      </c>
      <c r="E36" s="8" t="s">
        <v>9771</v>
      </c>
      <c r="F36" s="8" t="s">
        <v>9772</v>
      </c>
      <c r="G36" s="10" t="s">
        <v>3</v>
      </c>
      <c r="H36" s="8" t="s">
        <v>9773</v>
      </c>
      <c r="I36" s="10" t="s">
        <v>539</v>
      </c>
      <c r="J36" s="8" t="s">
        <v>9657</v>
      </c>
      <c r="K36" s="8" t="s">
        <v>1435</v>
      </c>
      <c r="L36" s="8" t="s">
        <v>87</v>
      </c>
      <c r="M36" s="10" t="s">
        <v>1436</v>
      </c>
      <c r="N36" s="8" t="s">
        <v>87</v>
      </c>
      <c r="O36" s="10" t="s">
        <v>36</v>
      </c>
      <c r="P36" s="8" t="s">
        <v>9774</v>
      </c>
      <c r="Q36" s="10" t="s">
        <v>223</v>
      </c>
      <c r="R36" s="10" t="s">
        <v>1438</v>
      </c>
      <c r="S36" s="8" t="s">
        <v>9775</v>
      </c>
      <c r="T36" s="10" t="s">
        <v>9719</v>
      </c>
      <c r="U36" s="10" t="s">
        <v>87</v>
      </c>
      <c r="V36" s="10" t="s">
        <v>87</v>
      </c>
    </row>
    <row r="37" spans="1:22" s="10" customFormat="1" x14ac:dyDescent="0.25">
      <c r="A37" s="10" t="s">
        <v>9776</v>
      </c>
      <c r="B37" s="10" t="s">
        <v>9712</v>
      </c>
      <c r="C37" s="11" t="s">
        <v>346</v>
      </c>
      <c r="D37" s="10" t="s">
        <v>9777</v>
      </c>
      <c r="E37" s="8" t="s">
        <v>9778</v>
      </c>
      <c r="F37" s="8" t="s">
        <v>9779</v>
      </c>
      <c r="G37" s="10" t="s">
        <v>3</v>
      </c>
      <c r="H37" s="8" t="s">
        <v>9780</v>
      </c>
      <c r="I37" s="10" t="s">
        <v>539</v>
      </c>
      <c r="J37" s="8" t="s">
        <v>9657</v>
      </c>
      <c r="K37" s="8" t="s">
        <v>1435</v>
      </c>
      <c r="L37" s="8" t="s">
        <v>87</v>
      </c>
      <c r="M37" s="10" t="s">
        <v>1436</v>
      </c>
      <c r="N37" s="8" t="s">
        <v>87</v>
      </c>
      <c r="O37" s="10" t="s">
        <v>36</v>
      </c>
      <c r="P37" s="8" t="s">
        <v>9781</v>
      </c>
      <c r="Q37" s="10" t="s">
        <v>246</v>
      </c>
      <c r="R37" s="10" t="s">
        <v>1438</v>
      </c>
      <c r="S37" s="8" t="s">
        <v>9775</v>
      </c>
      <c r="T37" s="10" t="s">
        <v>9719</v>
      </c>
      <c r="U37" s="10" t="s">
        <v>87</v>
      </c>
      <c r="V37" s="10" t="s">
        <v>87</v>
      </c>
    </row>
    <row r="38" spans="1:22" s="10" customFormat="1" x14ac:dyDescent="0.25">
      <c r="A38" s="10" t="s">
        <v>9782</v>
      </c>
      <c r="B38" s="10" t="s">
        <v>9712</v>
      </c>
      <c r="C38" s="11" t="s">
        <v>346</v>
      </c>
      <c r="D38" s="10" t="s">
        <v>9783</v>
      </c>
      <c r="E38" s="8" t="s">
        <v>9784</v>
      </c>
      <c r="F38" s="8" t="s">
        <v>9785</v>
      </c>
      <c r="G38" s="10" t="s">
        <v>3</v>
      </c>
      <c r="H38" s="8" t="s">
        <v>9786</v>
      </c>
      <c r="I38" s="10" t="s">
        <v>539</v>
      </c>
      <c r="J38" s="8" t="s">
        <v>9657</v>
      </c>
      <c r="K38" s="8" t="s">
        <v>1435</v>
      </c>
      <c r="L38" s="8" t="s">
        <v>87</v>
      </c>
      <c r="M38" s="10" t="s">
        <v>1436</v>
      </c>
      <c r="N38" s="8" t="s">
        <v>87</v>
      </c>
      <c r="O38" s="10" t="s">
        <v>37</v>
      </c>
      <c r="P38" s="8" t="s">
        <v>9787</v>
      </c>
      <c r="Q38" s="10" t="s">
        <v>246</v>
      </c>
      <c r="R38" s="10" t="s">
        <v>1438</v>
      </c>
      <c r="S38" s="8" t="s">
        <v>9788</v>
      </c>
      <c r="T38" s="10" t="s">
        <v>9719</v>
      </c>
      <c r="U38" s="10" t="s">
        <v>87</v>
      </c>
      <c r="V38" s="10" t="s">
        <v>87</v>
      </c>
    </row>
    <row r="39" spans="1:22" s="10" customFormat="1" x14ac:dyDescent="0.25">
      <c r="A39" s="10" t="s">
        <v>9789</v>
      </c>
      <c r="B39" s="10" t="s">
        <v>9712</v>
      </c>
      <c r="C39" s="10" t="s">
        <v>215</v>
      </c>
      <c r="D39" s="10" t="s">
        <v>9790</v>
      </c>
      <c r="E39" s="8" t="s">
        <v>9791</v>
      </c>
      <c r="F39" s="8" t="s">
        <v>9792</v>
      </c>
      <c r="G39" s="10" t="s">
        <v>3</v>
      </c>
      <c r="H39" s="8" t="s">
        <v>9793</v>
      </c>
      <c r="I39" s="10" t="s">
        <v>539</v>
      </c>
      <c r="J39" s="8" t="s">
        <v>9657</v>
      </c>
      <c r="K39" s="8" t="s">
        <v>1435</v>
      </c>
      <c r="L39" s="8" t="s">
        <v>87</v>
      </c>
      <c r="M39" s="10" t="s">
        <v>1436</v>
      </c>
      <c r="N39" s="8" t="s">
        <v>87</v>
      </c>
      <c r="O39" s="10" t="s">
        <v>37</v>
      </c>
      <c r="P39" s="8" t="s">
        <v>9794</v>
      </c>
      <c r="Q39" s="10" t="s">
        <v>223</v>
      </c>
      <c r="R39" s="10" t="s">
        <v>1438</v>
      </c>
      <c r="S39" s="8" t="s">
        <v>9795</v>
      </c>
      <c r="T39" s="10" t="s">
        <v>9719</v>
      </c>
      <c r="U39" s="10" t="s">
        <v>87</v>
      </c>
      <c r="V39" s="10" t="s">
        <v>87</v>
      </c>
    </row>
    <row r="40" spans="1:22" s="10" customFormat="1" x14ac:dyDescent="0.25">
      <c r="A40" s="10" t="s">
        <v>9796</v>
      </c>
      <c r="B40" s="10" t="s">
        <v>9712</v>
      </c>
      <c r="C40" s="11" t="s">
        <v>346</v>
      </c>
      <c r="D40" s="10" t="s">
        <v>9797</v>
      </c>
      <c r="E40" s="8" t="s">
        <v>9798</v>
      </c>
      <c r="F40" s="8" t="s">
        <v>9799</v>
      </c>
      <c r="G40" s="10" t="s">
        <v>3</v>
      </c>
      <c r="H40" s="8" t="s">
        <v>9800</v>
      </c>
      <c r="I40" s="10" t="s">
        <v>539</v>
      </c>
      <c r="J40" s="8" t="s">
        <v>9657</v>
      </c>
      <c r="K40" s="8" t="s">
        <v>1435</v>
      </c>
      <c r="L40" s="8" t="s">
        <v>87</v>
      </c>
      <c r="M40" s="10" t="s">
        <v>1436</v>
      </c>
      <c r="N40" s="8" t="s">
        <v>87</v>
      </c>
      <c r="O40" s="10" t="s">
        <v>36</v>
      </c>
      <c r="P40" s="8" t="s">
        <v>9801</v>
      </c>
      <c r="Q40" s="10" t="s">
        <v>246</v>
      </c>
      <c r="R40" s="10" t="s">
        <v>1438</v>
      </c>
      <c r="S40" s="8" t="s">
        <v>9802</v>
      </c>
      <c r="T40" s="10" t="s">
        <v>9719</v>
      </c>
      <c r="U40" s="10" t="s">
        <v>87</v>
      </c>
      <c r="V40" s="10" t="s">
        <v>87</v>
      </c>
    </row>
    <row r="41" spans="1:22" s="10" customFormat="1" x14ac:dyDescent="0.25">
      <c r="A41" s="10" t="s">
        <v>9803</v>
      </c>
      <c r="B41" s="10" t="s">
        <v>9712</v>
      </c>
      <c r="C41" s="10" t="s">
        <v>215</v>
      </c>
      <c r="D41" s="10" t="s">
        <v>9804</v>
      </c>
      <c r="E41" s="8" t="s">
        <v>9805</v>
      </c>
      <c r="F41" s="8" t="s">
        <v>9806</v>
      </c>
      <c r="G41" s="10" t="s">
        <v>4</v>
      </c>
      <c r="H41" s="8" t="s">
        <v>9807</v>
      </c>
      <c r="I41" s="10" t="s">
        <v>539</v>
      </c>
      <c r="J41" s="8" t="s">
        <v>9657</v>
      </c>
      <c r="K41" s="8" t="s">
        <v>9732</v>
      </c>
      <c r="L41" s="8" t="s">
        <v>87</v>
      </c>
      <c r="M41" s="10" t="s">
        <v>1456</v>
      </c>
      <c r="N41" s="8" t="s">
        <v>87</v>
      </c>
      <c r="O41" s="10" t="s">
        <v>36</v>
      </c>
      <c r="P41" s="8" t="s">
        <v>9808</v>
      </c>
      <c r="Q41" s="10" t="s">
        <v>223</v>
      </c>
      <c r="R41" s="10" t="s">
        <v>1438</v>
      </c>
      <c r="S41" s="8" t="s">
        <v>9809</v>
      </c>
      <c r="T41" s="10" t="s">
        <v>9719</v>
      </c>
      <c r="U41" s="10" t="s">
        <v>87</v>
      </c>
      <c r="V41" s="10" t="s">
        <v>87</v>
      </c>
    </row>
    <row r="42" spans="1:22" s="10" customFormat="1" x14ac:dyDescent="0.25">
      <c r="A42" s="10" t="s">
        <v>9810</v>
      </c>
      <c r="B42" s="10" t="s">
        <v>9712</v>
      </c>
      <c r="C42" s="10" t="s">
        <v>215</v>
      </c>
      <c r="D42" s="10" t="s">
        <v>9811</v>
      </c>
      <c r="E42" s="8" t="s">
        <v>9812</v>
      </c>
      <c r="F42" s="8" t="s">
        <v>9813</v>
      </c>
      <c r="G42" s="10" t="s">
        <v>4</v>
      </c>
      <c r="H42" s="8" t="s">
        <v>9814</v>
      </c>
      <c r="I42" s="10" t="s">
        <v>539</v>
      </c>
      <c r="J42" s="8" t="s">
        <v>9657</v>
      </c>
      <c r="K42" s="8" t="s">
        <v>9732</v>
      </c>
      <c r="L42" s="8" t="s">
        <v>87</v>
      </c>
      <c r="M42" s="10" t="s">
        <v>1456</v>
      </c>
      <c r="N42" s="8" t="s">
        <v>87</v>
      </c>
      <c r="O42" s="10" t="s">
        <v>36</v>
      </c>
      <c r="P42" s="8" t="s">
        <v>9815</v>
      </c>
      <c r="Q42" s="10" t="s">
        <v>246</v>
      </c>
      <c r="R42" s="10" t="s">
        <v>1438</v>
      </c>
      <c r="S42" s="8" t="s">
        <v>9816</v>
      </c>
      <c r="T42" s="10" t="s">
        <v>9719</v>
      </c>
      <c r="U42" s="10" t="s">
        <v>87</v>
      </c>
      <c r="V42" s="10" t="s">
        <v>87</v>
      </c>
    </row>
    <row r="43" spans="1:22" s="10" customFormat="1" x14ac:dyDescent="0.25">
      <c r="A43" s="10" t="s">
        <v>9817</v>
      </c>
      <c r="B43" s="10" t="s">
        <v>9712</v>
      </c>
      <c r="C43" s="10" t="s">
        <v>215</v>
      </c>
      <c r="D43" s="10" t="s">
        <v>9818</v>
      </c>
      <c r="E43" s="8" t="s">
        <v>9819</v>
      </c>
      <c r="F43" s="8" t="s">
        <v>9820</v>
      </c>
      <c r="G43" s="10" t="s">
        <v>4</v>
      </c>
      <c r="H43" s="8" t="s">
        <v>9814</v>
      </c>
      <c r="I43" s="10" t="s">
        <v>539</v>
      </c>
      <c r="J43" s="8" t="s">
        <v>9657</v>
      </c>
      <c r="K43" s="8" t="s">
        <v>9732</v>
      </c>
      <c r="L43" s="8" t="s">
        <v>87</v>
      </c>
      <c r="M43" s="10" t="s">
        <v>1456</v>
      </c>
      <c r="N43" s="8" t="s">
        <v>87</v>
      </c>
      <c r="O43" s="10" t="s">
        <v>37</v>
      </c>
      <c r="P43" s="8" t="s">
        <v>9821</v>
      </c>
      <c r="Q43" s="10" t="s">
        <v>246</v>
      </c>
      <c r="R43" s="10" t="s">
        <v>1438</v>
      </c>
      <c r="S43" s="8" t="s">
        <v>9822</v>
      </c>
      <c r="T43" s="10" t="s">
        <v>9719</v>
      </c>
      <c r="U43" s="10" t="s">
        <v>87</v>
      </c>
      <c r="V43" s="10" t="s">
        <v>87</v>
      </c>
    </row>
    <row r="44" spans="1:22" s="10" customFormat="1" x14ac:dyDescent="0.25">
      <c r="A44" s="10" t="s">
        <v>9823</v>
      </c>
      <c r="B44" s="10" t="s">
        <v>9712</v>
      </c>
      <c r="C44" s="10" t="s">
        <v>215</v>
      </c>
      <c r="D44" s="10" t="s">
        <v>9824</v>
      </c>
      <c r="E44" s="8" t="s">
        <v>9825</v>
      </c>
      <c r="F44" s="8" t="s">
        <v>9826</v>
      </c>
      <c r="G44" s="10" t="s">
        <v>3</v>
      </c>
      <c r="H44" s="8" t="s">
        <v>9582</v>
      </c>
      <c r="I44" s="10" t="s">
        <v>539</v>
      </c>
      <c r="J44" s="8" t="s">
        <v>9657</v>
      </c>
      <c r="K44" s="8" t="s">
        <v>1435</v>
      </c>
      <c r="L44" s="8" t="s">
        <v>87</v>
      </c>
      <c r="M44" s="10" t="s">
        <v>1436</v>
      </c>
      <c r="N44" s="8" t="s">
        <v>87</v>
      </c>
      <c r="O44" s="10" t="s">
        <v>36</v>
      </c>
      <c r="P44" s="8" t="s">
        <v>9827</v>
      </c>
      <c r="Q44" s="10" t="s">
        <v>246</v>
      </c>
      <c r="R44" s="10" t="s">
        <v>1438</v>
      </c>
      <c r="S44" s="8" t="s">
        <v>9828</v>
      </c>
      <c r="T44" s="10" t="s">
        <v>9719</v>
      </c>
      <c r="U44" s="10" t="s">
        <v>87</v>
      </c>
      <c r="V44" s="10" t="s">
        <v>87</v>
      </c>
    </row>
    <row r="45" spans="1:22" s="10" customFormat="1" x14ac:dyDescent="0.25">
      <c r="A45" s="10" t="s">
        <v>9829</v>
      </c>
      <c r="B45" s="10" t="s">
        <v>9712</v>
      </c>
      <c r="C45" s="11" t="s">
        <v>346</v>
      </c>
      <c r="D45" s="10" t="s">
        <v>9830</v>
      </c>
      <c r="E45" s="8" t="s">
        <v>9831</v>
      </c>
      <c r="F45" s="8" t="s">
        <v>9832</v>
      </c>
      <c r="G45" s="10" t="s">
        <v>3</v>
      </c>
      <c r="H45" s="8" t="s">
        <v>9793</v>
      </c>
      <c r="I45" s="10" t="s">
        <v>539</v>
      </c>
      <c r="J45" s="8" t="s">
        <v>9657</v>
      </c>
      <c r="K45" s="8" t="s">
        <v>1435</v>
      </c>
      <c r="L45" s="8" t="s">
        <v>87</v>
      </c>
      <c r="M45" s="10" t="s">
        <v>1436</v>
      </c>
      <c r="N45" s="8" t="s">
        <v>87</v>
      </c>
      <c r="O45" s="10" t="s">
        <v>37</v>
      </c>
      <c r="P45" s="8" t="s">
        <v>9833</v>
      </c>
      <c r="Q45" s="10" t="s">
        <v>239</v>
      </c>
      <c r="R45" s="10" t="s">
        <v>1438</v>
      </c>
      <c r="S45" s="8" t="s">
        <v>9788</v>
      </c>
      <c r="T45" s="10" t="s">
        <v>9719</v>
      </c>
      <c r="U45" s="10" t="s">
        <v>87</v>
      </c>
      <c r="V45" s="10" t="s">
        <v>87</v>
      </c>
    </row>
    <row r="46" spans="1:22" s="10" customFormat="1" x14ac:dyDescent="0.25">
      <c r="A46" s="10" t="s">
        <v>9834</v>
      </c>
      <c r="B46" s="10" t="s">
        <v>9712</v>
      </c>
      <c r="C46" s="11" t="s">
        <v>346</v>
      </c>
      <c r="D46" s="10" t="s">
        <v>9835</v>
      </c>
      <c r="E46" s="8" t="s">
        <v>9836</v>
      </c>
      <c r="F46" s="8" t="s">
        <v>9837</v>
      </c>
      <c r="G46" s="10" t="s">
        <v>3</v>
      </c>
      <c r="H46" s="8" t="s">
        <v>9838</v>
      </c>
      <c r="I46" s="10" t="s">
        <v>539</v>
      </c>
      <c r="J46" s="8" t="s">
        <v>9657</v>
      </c>
      <c r="K46" s="8" t="s">
        <v>1435</v>
      </c>
      <c r="L46" s="8" t="s">
        <v>87</v>
      </c>
      <c r="M46" s="10" t="s">
        <v>1436</v>
      </c>
      <c r="N46" s="8" t="s">
        <v>87</v>
      </c>
      <c r="O46" s="10" t="s">
        <v>36</v>
      </c>
      <c r="P46" s="8" t="s">
        <v>9839</v>
      </c>
      <c r="Q46" s="10" t="s">
        <v>239</v>
      </c>
      <c r="R46" s="10" t="s">
        <v>1438</v>
      </c>
      <c r="S46" s="8" t="s">
        <v>9840</v>
      </c>
      <c r="T46" s="10" t="s">
        <v>9719</v>
      </c>
      <c r="U46" s="10" t="s">
        <v>87</v>
      </c>
      <c r="V46" s="10" t="s">
        <v>87</v>
      </c>
    </row>
    <row r="47" spans="1:22" s="10" customFormat="1" x14ac:dyDescent="0.25">
      <c r="A47" s="10" t="s">
        <v>9841</v>
      </c>
      <c r="B47" s="10" t="s">
        <v>9712</v>
      </c>
      <c r="C47" s="11" t="s">
        <v>346</v>
      </c>
      <c r="D47" s="10" t="s">
        <v>9842</v>
      </c>
      <c r="E47" s="8" t="s">
        <v>9843</v>
      </c>
      <c r="F47" s="8" t="s">
        <v>9844</v>
      </c>
      <c r="G47" s="10" t="s">
        <v>3</v>
      </c>
      <c r="H47" s="8" t="s">
        <v>9845</v>
      </c>
      <c r="I47" s="10" t="s">
        <v>9846</v>
      </c>
      <c r="J47" s="8" t="s">
        <v>9657</v>
      </c>
      <c r="K47" s="8" t="s">
        <v>1435</v>
      </c>
      <c r="L47" s="8" t="s">
        <v>87</v>
      </c>
      <c r="M47" s="10" t="s">
        <v>1436</v>
      </c>
      <c r="N47" s="8" t="s">
        <v>87</v>
      </c>
      <c r="O47" s="10" t="s">
        <v>35</v>
      </c>
      <c r="P47" s="8" t="s">
        <v>9847</v>
      </c>
      <c r="Q47" s="10" t="s">
        <v>223</v>
      </c>
      <c r="R47" s="10" t="s">
        <v>1438</v>
      </c>
      <c r="S47" s="8" t="s">
        <v>9848</v>
      </c>
      <c r="T47" s="10" t="s">
        <v>9719</v>
      </c>
      <c r="U47" s="10" t="s">
        <v>87</v>
      </c>
      <c r="V47" s="10" t="s">
        <v>87</v>
      </c>
    </row>
    <row r="48" spans="1:22" s="10" customFormat="1" x14ac:dyDescent="0.25">
      <c r="A48" s="10" t="s">
        <v>9849</v>
      </c>
      <c r="B48" s="10" t="s">
        <v>9712</v>
      </c>
      <c r="C48" s="11" t="s">
        <v>346</v>
      </c>
      <c r="D48" s="10" t="s">
        <v>9850</v>
      </c>
      <c r="E48" s="8" t="s">
        <v>9851</v>
      </c>
      <c r="F48" s="8" t="s">
        <v>9852</v>
      </c>
      <c r="G48" s="10" t="s">
        <v>3</v>
      </c>
      <c r="H48" s="8" t="s">
        <v>9853</v>
      </c>
      <c r="I48" s="10" t="s">
        <v>9846</v>
      </c>
      <c r="J48" s="8" t="s">
        <v>9657</v>
      </c>
      <c r="K48" s="8" t="s">
        <v>1435</v>
      </c>
      <c r="L48" s="8" t="s">
        <v>87</v>
      </c>
      <c r="M48" s="10" t="s">
        <v>1436</v>
      </c>
      <c r="N48" s="8" t="s">
        <v>87</v>
      </c>
      <c r="O48" s="10" t="s">
        <v>36</v>
      </c>
      <c r="P48" s="8" t="s">
        <v>9854</v>
      </c>
      <c r="Q48" s="10" t="s">
        <v>246</v>
      </c>
      <c r="R48" s="10" t="s">
        <v>1438</v>
      </c>
      <c r="S48" s="8" t="s">
        <v>9855</v>
      </c>
      <c r="T48" s="10" t="s">
        <v>9719</v>
      </c>
      <c r="U48" s="10" t="s">
        <v>87</v>
      </c>
      <c r="V48" s="10" t="s">
        <v>87</v>
      </c>
    </row>
    <row r="49" spans="1:22" s="10" customFormat="1" x14ac:dyDescent="0.25">
      <c r="A49" s="10" t="s">
        <v>9856</v>
      </c>
      <c r="B49" s="10" t="s">
        <v>9712</v>
      </c>
      <c r="C49" s="11" t="s">
        <v>346</v>
      </c>
      <c r="D49" s="10" t="s">
        <v>9857</v>
      </c>
      <c r="E49" s="8" t="s">
        <v>9858</v>
      </c>
      <c r="F49" s="8" t="s">
        <v>9859</v>
      </c>
      <c r="G49" s="10" t="s">
        <v>3</v>
      </c>
      <c r="H49" s="8" t="s">
        <v>9582</v>
      </c>
      <c r="I49" s="10" t="s">
        <v>539</v>
      </c>
      <c r="J49" s="8" t="s">
        <v>9657</v>
      </c>
      <c r="K49" s="8" t="s">
        <v>1435</v>
      </c>
      <c r="L49" s="8" t="s">
        <v>87</v>
      </c>
      <c r="M49" s="10" t="s">
        <v>1436</v>
      </c>
      <c r="N49" s="8" t="s">
        <v>87</v>
      </c>
      <c r="O49" s="10" t="s">
        <v>35</v>
      </c>
      <c r="P49" s="8" t="s">
        <v>9860</v>
      </c>
      <c r="Q49" s="10" t="s">
        <v>239</v>
      </c>
      <c r="R49" s="10" t="s">
        <v>1438</v>
      </c>
      <c r="S49" s="8" t="s">
        <v>220</v>
      </c>
      <c r="T49" s="10" t="s">
        <v>9719</v>
      </c>
      <c r="U49" s="10" t="s">
        <v>87</v>
      </c>
      <c r="V49" s="10" t="s">
        <v>87</v>
      </c>
    </row>
    <row r="50" spans="1:22" s="10" customFormat="1" x14ac:dyDescent="0.25">
      <c r="A50" s="10" t="s">
        <v>9861</v>
      </c>
      <c r="B50" s="10" t="s">
        <v>9712</v>
      </c>
      <c r="C50" s="11" t="s">
        <v>346</v>
      </c>
      <c r="D50" s="10" t="s">
        <v>9862</v>
      </c>
      <c r="E50" s="8" t="s">
        <v>9863</v>
      </c>
      <c r="F50" s="8" t="s">
        <v>9864</v>
      </c>
      <c r="G50" s="10" t="s">
        <v>4</v>
      </c>
      <c r="H50" s="8" t="s">
        <v>9865</v>
      </c>
      <c r="I50" s="10" t="s">
        <v>539</v>
      </c>
      <c r="J50" s="8" t="s">
        <v>9657</v>
      </c>
      <c r="K50" s="8" t="s">
        <v>9866</v>
      </c>
      <c r="L50" s="8" t="s">
        <v>87</v>
      </c>
      <c r="M50" s="10" t="s">
        <v>1456</v>
      </c>
      <c r="N50" s="8" t="s">
        <v>87</v>
      </c>
      <c r="O50" s="10" t="s">
        <v>35</v>
      </c>
      <c r="P50" s="8" t="s">
        <v>9867</v>
      </c>
      <c r="Q50" s="10" t="s">
        <v>1447</v>
      </c>
      <c r="R50" s="10" t="s">
        <v>1438</v>
      </c>
      <c r="S50" s="8" t="s">
        <v>9868</v>
      </c>
      <c r="T50" s="10" t="s">
        <v>9719</v>
      </c>
      <c r="U50" s="10" t="s">
        <v>87</v>
      </c>
      <c r="V50" s="10" t="s">
        <v>87</v>
      </c>
    </row>
    <row r="51" spans="1:22" s="10" customFormat="1" x14ac:dyDescent="0.25">
      <c r="A51" s="10" t="s">
        <v>9869</v>
      </c>
      <c r="B51" s="10" t="s">
        <v>9712</v>
      </c>
      <c r="C51" s="11" t="s">
        <v>346</v>
      </c>
      <c r="D51" s="10" t="s">
        <v>9870</v>
      </c>
      <c r="E51" s="8" t="s">
        <v>9871</v>
      </c>
      <c r="F51" s="8" t="s">
        <v>9872</v>
      </c>
      <c r="G51" s="10" t="s">
        <v>3</v>
      </c>
      <c r="H51" s="8" t="s">
        <v>9865</v>
      </c>
      <c r="I51" s="10" t="s">
        <v>1628</v>
      </c>
      <c r="J51" s="8" t="s">
        <v>9657</v>
      </c>
      <c r="K51" s="8" t="s">
        <v>1435</v>
      </c>
      <c r="L51" s="8" t="s">
        <v>9671</v>
      </c>
      <c r="M51" s="10" t="s">
        <v>1436</v>
      </c>
      <c r="N51" s="8" t="s">
        <v>87</v>
      </c>
      <c r="O51" s="10" t="s">
        <v>35</v>
      </c>
      <c r="P51" s="8" t="s">
        <v>9873</v>
      </c>
      <c r="Q51" s="10" t="s">
        <v>1447</v>
      </c>
      <c r="R51" s="10" t="s">
        <v>1438</v>
      </c>
      <c r="S51" s="8" t="s">
        <v>9874</v>
      </c>
      <c r="T51" s="10" t="s">
        <v>9719</v>
      </c>
      <c r="U51" s="10" t="s">
        <v>87</v>
      </c>
      <c r="V51" s="10" t="s">
        <v>87</v>
      </c>
    </row>
    <row r="52" spans="1:22" s="10" customFormat="1" x14ac:dyDescent="0.25">
      <c r="A52" s="10" t="s">
        <v>9875</v>
      </c>
      <c r="B52" s="10" t="s">
        <v>9876</v>
      </c>
      <c r="C52" s="10" t="s">
        <v>215</v>
      </c>
      <c r="D52" s="10" t="s">
        <v>9877</v>
      </c>
      <c r="E52" s="8" t="s">
        <v>9878</v>
      </c>
      <c r="F52" s="8" t="s">
        <v>9879</v>
      </c>
      <c r="G52" s="10" t="s">
        <v>3</v>
      </c>
      <c r="H52" s="8" t="s">
        <v>220</v>
      </c>
      <c r="I52" s="10" t="s">
        <v>1151</v>
      </c>
      <c r="J52" s="8" t="s">
        <v>9880</v>
      </c>
      <c r="K52" s="8" t="s">
        <v>1435</v>
      </c>
      <c r="L52" s="8" t="s">
        <v>87</v>
      </c>
      <c r="M52" s="10" t="s">
        <v>1436</v>
      </c>
      <c r="N52" s="8" t="s">
        <v>87</v>
      </c>
      <c r="O52" s="10" t="s">
        <v>38</v>
      </c>
      <c r="P52" s="8" t="s">
        <v>9881</v>
      </c>
      <c r="Q52" s="10" t="s">
        <v>223</v>
      </c>
      <c r="R52" s="10" t="s">
        <v>1438</v>
      </c>
      <c r="S52" s="8" t="s">
        <v>220</v>
      </c>
      <c r="T52" s="10" t="s">
        <v>9882</v>
      </c>
      <c r="U52" s="10" t="s">
        <v>87</v>
      </c>
      <c r="V52" s="10" t="s">
        <v>87</v>
      </c>
    </row>
    <row r="53" spans="1:22" s="10" customFormat="1" x14ac:dyDescent="0.25">
      <c r="A53" s="10" t="s">
        <v>9883</v>
      </c>
      <c r="B53" s="10" t="s">
        <v>9876</v>
      </c>
      <c r="C53" s="10" t="s">
        <v>384</v>
      </c>
      <c r="D53" s="10" t="s">
        <v>9884</v>
      </c>
      <c r="E53" s="8" t="s">
        <v>9885</v>
      </c>
      <c r="F53" s="8" t="s">
        <v>9886</v>
      </c>
      <c r="G53" s="10" t="s">
        <v>3</v>
      </c>
      <c r="H53" s="8" t="s">
        <v>220</v>
      </c>
      <c r="I53" s="10" t="s">
        <v>879</v>
      </c>
      <c r="J53" s="8" t="s">
        <v>9759</v>
      </c>
      <c r="K53" s="8" t="s">
        <v>1435</v>
      </c>
      <c r="L53" s="8" t="s">
        <v>2367</v>
      </c>
      <c r="M53" s="10" t="s">
        <v>1436</v>
      </c>
      <c r="N53" s="8" t="s">
        <v>87</v>
      </c>
      <c r="O53" s="10" t="s">
        <v>38</v>
      </c>
      <c r="P53" s="8" t="s">
        <v>9887</v>
      </c>
      <c r="Q53" s="10" t="s">
        <v>239</v>
      </c>
      <c r="R53" s="10" t="s">
        <v>1438</v>
      </c>
      <c r="S53" s="8" t="s">
        <v>9888</v>
      </c>
      <c r="T53" s="10" t="s">
        <v>9882</v>
      </c>
      <c r="U53" s="10" t="s">
        <v>87</v>
      </c>
      <c r="V53" s="10" t="s">
        <v>87</v>
      </c>
    </row>
    <row r="54" spans="1:22" s="10" customFormat="1" x14ac:dyDescent="0.25">
      <c r="A54" s="10" t="s">
        <v>9889</v>
      </c>
      <c r="B54" s="10" t="s">
        <v>9876</v>
      </c>
      <c r="C54" s="11" t="s">
        <v>346</v>
      </c>
      <c r="D54" s="10" t="s">
        <v>9890</v>
      </c>
      <c r="E54" s="8" t="s">
        <v>9891</v>
      </c>
      <c r="F54" s="8" t="s">
        <v>9892</v>
      </c>
      <c r="G54" s="10" t="s">
        <v>4</v>
      </c>
      <c r="H54" s="8" t="s">
        <v>9893</v>
      </c>
      <c r="I54" s="10" t="s">
        <v>1151</v>
      </c>
      <c r="J54" s="8" t="s">
        <v>9880</v>
      </c>
      <c r="K54" s="8" t="s">
        <v>9894</v>
      </c>
      <c r="L54" s="8" t="s">
        <v>2367</v>
      </c>
      <c r="M54" s="10" t="s">
        <v>1456</v>
      </c>
      <c r="N54" s="8" t="s">
        <v>87</v>
      </c>
      <c r="O54" s="10" t="s">
        <v>38</v>
      </c>
      <c r="P54" s="8" t="s">
        <v>9895</v>
      </c>
      <c r="Q54" s="10" t="s">
        <v>223</v>
      </c>
      <c r="R54" s="10" t="s">
        <v>1438</v>
      </c>
      <c r="S54" s="8" t="s">
        <v>9896</v>
      </c>
      <c r="T54" s="10" t="s">
        <v>9882</v>
      </c>
      <c r="U54" s="10" t="s">
        <v>87</v>
      </c>
      <c r="V54" s="10" t="s">
        <v>87</v>
      </c>
    </row>
    <row r="55" spans="1:22" s="10" customFormat="1" x14ac:dyDescent="0.25">
      <c r="A55" s="10" t="s">
        <v>9897</v>
      </c>
      <c r="B55" s="10" t="s">
        <v>9876</v>
      </c>
      <c r="C55" s="10" t="s">
        <v>215</v>
      </c>
      <c r="D55" s="10" t="s">
        <v>9898</v>
      </c>
      <c r="E55" s="8" t="s">
        <v>9899</v>
      </c>
      <c r="F55" s="8" t="s">
        <v>9900</v>
      </c>
      <c r="G55" s="10" t="s">
        <v>4</v>
      </c>
      <c r="H55" s="8" t="s">
        <v>9893</v>
      </c>
      <c r="I55" s="10" t="s">
        <v>1151</v>
      </c>
      <c r="J55" s="8" t="s">
        <v>9880</v>
      </c>
      <c r="K55" s="8" t="s">
        <v>9894</v>
      </c>
      <c r="L55" s="8" t="s">
        <v>2367</v>
      </c>
      <c r="M55" s="10" t="s">
        <v>1456</v>
      </c>
      <c r="N55" s="8" t="s">
        <v>87</v>
      </c>
      <c r="O55" s="10" t="s">
        <v>38</v>
      </c>
      <c r="P55" s="8" t="s">
        <v>9901</v>
      </c>
      <c r="Q55" s="10" t="s">
        <v>223</v>
      </c>
      <c r="R55" s="10" t="s">
        <v>1438</v>
      </c>
      <c r="S55" s="8" t="s">
        <v>9902</v>
      </c>
      <c r="T55" s="10" t="s">
        <v>9882</v>
      </c>
      <c r="U55" s="10" t="s">
        <v>87</v>
      </c>
      <c r="V55" s="10" t="s">
        <v>87</v>
      </c>
    </row>
    <row r="56" spans="1:22" s="10" customFormat="1" x14ac:dyDescent="0.25">
      <c r="A56" s="10" t="s">
        <v>9903</v>
      </c>
      <c r="B56" s="10" t="s">
        <v>9876</v>
      </c>
      <c r="C56" s="10" t="s">
        <v>215</v>
      </c>
      <c r="D56" s="10" t="s">
        <v>9904</v>
      </c>
      <c r="E56" s="8" t="s">
        <v>9905</v>
      </c>
      <c r="F56" s="8" t="s">
        <v>9906</v>
      </c>
      <c r="G56" s="10" t="s">
        <v>4</v>
      </c>
      <c r="H56" s="8" t="s">
        <v>9893</v>
      </c>
      <c r="I56" s="10" t="s">
        <v>1151</v>
      </c>
      <c r="J56" s="8" t="s">
        <v>9880</v>
      </c>
      <c r="K56" s="8" t="s">
        <v>9894</v>
      </c>
      <c r="L56" s="8" t="s">
        <v>2367</v>
      </c>
      <c r="M56" s="10" t="s">
        <v>1456</v>
      </c>
      <c r="N56" s="8" t="s">
        <v>87</v>
      </c>
      <c r="O56" s="10" t="s">
        <v>38</v>
      </c>
      <c r="P56" s="8" t="s">
        <v>9907</v>
      </c>
      <c r="Q56" s="10" t="s">
        <v>223</v>
      </c>
      <c r="R56" s="10" t="s">
        <v>1438</v>
      </c>
      <c r="S56" s="8" t="s">
        <v>9908</v>
      </c>
      <c r="T56" s="10" t="s">
        <v>9882</v>
      </c>
      <c r="U56" s="10" t="s">
        <v>87</v>
      </c>
      <c r="V56" s="10" t="s">
        <v>87</v>
      </c>
    </row>
    <row r="57" spans="1:22" s="10" customFormat="1" x14ac:dyDescent="0.25">
      <c r="A57" s="10" t="s">
        <v>9909</v>
      </c>
      <c r="B57" s="10" t="s">
        <v>9876</v>
      </c>
      <c r="C57" s="11" t="s">
        <v>346</v>
      </c>
      <c r="D57" s="10" t="s">
        <v>9910</v>
      </c>
      <c r="E57" s="8" t="s">
        <v>9911</v>
      </c>
      <c r="F57" s="8" t="s">
        <v>9912</v>
      </c>
      <c r="G57" s="10" t="s">
        <v>4</v>
      </c>
      <c r="H57" s="8" t="s">
        <v>9913</v>
      </c>
      <c r="I57" s="10" t="s">
        <v>1151</v>
      </c>
      <c r="J57" s="8" t="s">
        <v>9880</v>
      </c>
      <c r="K57" s="8" t="s">
        <v>9894</v>
      </c>
      <c r="L57" s="8" t="s">
        <v>2367</v>
      </c>
      <c r="M57" s="10" t="s">
        <v>1456</v>
      </c>
      <c r="N57" s="8" t="s">
        <v>87</v>
      </c>
      <c r="O57" s="10" t="s">
        <v>38</v>
      </c>
      <c r="P57" s="8" t="s">
        <v>9914</v>
      </c>
      <c r="Q57" s="10" t="s">
        <v>239</v>
      </c>
      <c r="R57" s="10" t="s">
        <v>1438</v>
      </c>
      <c r="S57" s="8" t="s">
        <v>9915</v>
      </c>
      <c r="T57" s="10" t="s">
        <v>9882</v>
      </c>
      <c r="U57" s="10" t="s">
        <v>87</v>
      </c>
      <c r="V57" s="10" t="s">
        <v>87</v>
      </c>
    </row>
    <row r="58" spans="1:22" s="10" customFormat="1" x14ac:dyDescent="0.25">
      <c r="A58" s="10" t="s">
        <v>9916</v>
      </c>
      <c r="B58" s="10" t="s">
        <v>9876</v>
      </c>
      <c r="C58" s="10" t="s">
        <v>384</v>
      </c>
      <c r="D58" s="10" t="s">
        <v>9917</v>
      </c>
      <c r="E58" s="8" t="s">
        <v>9918</v>
      </c>
      <c r="F58" s="8" t="s">
        <v>9919</v>
      </c>
      <c r="G58" s="10" t="s">
        <v>4</v>
      </c>
      <c r="H58" s="8" t="s">
        <v>9920</v>
      </c>
      <c r="I58" s="10" t="s">
        <v>87</v>
      </c>
      <c r="J58" s="8" t="s">
        <v>9880</v>
      </c>
      <c r="K58" s="8" t="s">
        <v>9894</v>
      </c>
      <c r="L58" s="8" t="s">
        <v>2367</v>
      </c>
      <c r="M58" s="10" t="s">
        <v>1456</v>
      </c>
      <c r="N58" s="8" t="s">
        <v>87</v>
      </c>
      <c r="O58" s="10" t="s">
        <v>38</v>
      </c>
      <c r="P58" s="8" t="s">
        <v>9921</v>
      </c>
      <c r="Q58" s="10" t="s">
        <v>239</v>
      </c>
      <c r="R58" s="10" t="s">
        <v>1438</v>
      </c>
      <c r="S58" s="8" t="s">
        <v>220</v>
      </c>
      <c r="T58" s="10" t="s">
        <v>9882</v>
      </c>
      <c r="U58" s="10" t="s">
        <v>87</v>
      </c>
      <c r="V58" s="10" t="s">
        <v>87</v>
      </c>
    </row>
    <row r="59" spans="1:22" s="10" customFormat="1" x14ac:dyDescent="0.25">
      <c r="A59" s="10" t="s">
        <v>9922</v>
      </c>
      <c r="B59" s="10" t="s">
        <v>9876</v>
      </c>
      <c r="C59" s="10" t="s">
        <v>215</v>
      </c>
      <c r="D59" s="10" t="s">
        <v>9923</v>
      </c>
      <c r="E59" s="8" t="s">
        <v>9924</v>
      </c>
      <c r="F59" s="8" t="s">
        <v>9925</v>
      </c>
      <c r="G59" s="10" t="s">
        <v>4</v>
      </c>
      <c r="H59" s="8" t="s">
        <v>9926</v>
      </c>
      <c r="I59" s="10" t="s">
        <v>1151</v>
      </c>
      <c r="J59" s="8" t="s">
        <v>9880</v>
      </c>
      <c r="K59" s="8" t="s">
        <v>9894</v>
      </c>
      <c r="L59" s="8" t="s">
        <v>2367</v>
      </c>
      <c r="M59" s="10" t="s">
        <v>1456</v>
      </c>
      <c r="N59" s="8" t="s">
        <v>87</v>
      </c>
      <c r="O59" s="10" t="s">
        <v>38</v>
      </c>
      <c r="P59" s="8" t="s">
        <v>9927</v>
      </c>
      <c r="Q59" s="10" t="s">
        <v>239</v>
      </c>
      <c r="R59" s="10" t="s">
        <v>1438</v>
      </c>
      <c r="S59" s="8" t="s">
        <v>9928</v>
      </c>
      <c r="T59" s="10" t="s">
        <v>9882</v>
      </c>
      <c r="U59" s="10" t="s">
        <v>87</v>
      </c>
      <c r="V59" s="10" t="s">
        <v>87</v>
      </c>
    </row>
    <row r="60" spans="1:22" s="10" customFormat="1" x14ac:dyDescent="0.25">
      <c r="A60" s="10" t="s">
        <v>9929</v>
      </c>
      <c r="B60" s="10" t="s">
        <v>9876</v>
      </c>
      <c r="C60" s="11" t="s">
        <v>346</v>
      </c>
      <c r="D60" s="10" t="s">
        <v>9930</v>
      </c>
      <c r="E60" s="8" t="s">
        <v>9931</v>
      </c>
      <c r="F60" s="8" t="s">
        <v>9932</v>
      </c>
      <c r="G60" s="10" t="s">
        <v>4</v>
      </c>
      <c r="H60" s="8" t="s">
        <v>9893</v>
      </c>
      <c r="I60" s="10" t="s">
        <v>4043</v>
      </c>
      <c r="J60" s="8" t="s">
        <v>9880</v>
      </c>
      <c r="K60" s="8" t="s">
        <v>9894</v>
      </c>
      <c r="L60" s="8" t="s">
        <v>2367</v>
      </c>
      <c r="M60" s="10" t="s">
        <v>1456</v>
      </c>
      <c r="N60" s="8" t="s">
        <v>87</v>
      </c>
      <c r="O60" s="10" t="s">
        <v>38</v>
      </c>
      <c r="P60" s="8" t="s">
        <v>9933</v>
      </c>
      <c r="Q60" s="10" t="s">
        <v>1447</v>
      </c>
      <c r="R60" s="10" t="s">
        <v>1438</v>
      </c>
      <c r="S60" s="8" t="s">
        <v>9934</v>
      </c>
      <c r="T60" s="10" t="s">
        <v>9882</v>
      </c>
      <c r="U60" s="10" t="s">
        <v>87</v>
      </c>
      <c r="V60" s="10" t="s">
        <v>87</v>
      </c>
    </row>
    <row r="61" spans="1:22" s="10" customFormat="1" x14ac:dyDescent="0.25">
      <c r="A61" s="10" t="s">
        <v>9935</v>
      </c>
      <c r="B61" s="10" t="s">
        <v>9876</v>
      </c>
      <c r="C61" s="10" t="s">
        <v>215</v>
      </c>
      <c r="D61" s="10" t="s">
        <v>9936</v>
      </c>
      <c r="E61" s="8" t="s">
        <v>9937</v>
      </c>
      <c r="F61" s="8" t="s">
        <v>9938</v>
      </c>
      <c r="G61" s="10" t="s">
        <v>4</v>
      </c>
      <c r="H61" s="8" t="s">
        <v>9893</v>
      </c>
      <c r="I61" s="10" t="s">
        <v>1151</v>
      </c>
      <c r="J61" s="8" t="s">
        <v>9880</v>
      </c>
      <c r="K61" s="8" t="s">
        <v>9894</v>
      </c>
      <c r="L61" s="8" t="s">
        <v>2367</v>
      </c>
      <c r="M61" s="10" t="s">
        <v>1456</v>
      </c>
      <c r="N61" s="8" t="s">
        <v>87</v>
      </c>
      <c r="O61" s="10" t="s">
        <v>38</v>
      </c>
      <c r="P61" s="8" t="s">
        <v>9939</v>
      </c>
      <c r="Q61" s="10" t="s">
        <v>223</v>
      </c>
      <c r="R61" s="10" t="s">
        <v>1438</v>
      </c>
      <c r="S61" s="8" t="s">
        <v>9940</v>
      </c>
      <c r="T61" s="10" t="s">
        <v>9882</v>
      </c>
      <c r="U61" s="10" t="s">
        <v>87</v>
      </c>
      <c r="V61" s="10" t="s">
        <v>87</v>
      </c>
    </row>
    <row r="62" spans="1:22" s="10" customFormat="1" x14ac:dyDescent="0.25">
      <c r="A62" s="10" t="s">
        <v>9941</v>
      </c>
      <c r="B62" s="10" t="s">
        <v>9876</v>
      </c>
      <c r="C62" s="10" t="s">
        <v>215</v>
      </c>
      <c r="D62" s="10" t="s">
        <v>9942</v>
      </c>
      <c r="E62" s="8" t="s">
        <v>9943</v>
      </c>
      <c r="F62" s="8" t="s">
        <v>9944</v>
      </c>
      <c r="G62" s="10" t="s">
        <v>3</v>
      </c>
      <c r="H62" s="8" t="s">
        <v>9945</v>
      </c>
      <c r="I62" s="10" t="s">
        <v>6046</v>
      </c>
      <c r="J62" s="8" t="s">
        <v>9880</v>
      </c>
      <c r="K62" s="8" t="s">
        <v>1435</v>
      </c>
      <c r="L62" s="8" t="s">
        <v>2367</v>
      </c>
      <c r="M62" s="10" t="s">
        <v>1436</v>
      </c>
      <c r="N62" s="8" t="s">
        <v>87</v>
      </c>
      <c r="O62" s="10" t="s">
        <v>38</v>
      </c>
      <c r="P62" s="8" t="s">
        <v>9946</v>
      </c>
      <c r="Q62" s="10" t="s">
        <v>239</v>
      </c>
      <c r="R62" s="10" t="s">
        <v>1438</v>
      </c>
      <c r="S62" s="8" t="s">
        <v>9947</v>
      </c>
      <c r="T62" s="10" t="s">
        <v>9882</v>
      </c>
      <c r="U62" s="10" t="s">
        <v>87</v>
      </c>
      <c r="V62" s="10" t="s">
        <v>87</v>
      </c>
    </row>
    <row r="63" spans="1:22" s="10" customFormat="1" x14ac:dyDescent="0.25">
      <c r="A63" s="10" t="s">
        <v>9948</v>
      </c>
      <c r="B63" s="10" t="s">
        <v>9876</v>
      </c>
      <c r="C63" s="10" t="s">
        <v>215</v>
      </c>
      <c r="D63" s="10" t="s">
        <v>9949</v>
      </c>
      <c r="E63" s="8" t="s">
        <v>9950</v>
      </c>
      <c r="F63" s="8" t="s">
        <v>9951</v>
      </c>
      <c r="G63" s="10" t="s">
        <v>3</v>
      </c>
      <c r="H63" s="8" t="s">
        <v>9952</v>
      </c>
      <c r="I63" s="10" t="s">
        <v>87</v>
      </c>
      <c r="J63" s="8" t="s">
        <v>9880</v>
      </c>
      <c r="K63" s="8" t="s">
        <v>1435</v>
      </c>
      <c r="L63" s="8" t="s">
        <v>2367</v>
      </c>
      <c r="M63" s="10" t="s">
        <v>1436</v>
      </c>
      <c r="N63" s="8" t="s">
        <v>87</v>
      </c>
      <c r="O63" s="10" t="s">
        <v>38</v>
      </c>
      <c r="P63" s="8" t="s">
        <v>9953</v>
      </c>
      <c r="Q63" s="10" t="s">
        <v>246</v>
      </c>
      <c r="R63" s="10" t="s">
        <v>1438</v>
      </c>
      <c r="S63" s="8" t="s">
        <v>9954</v>
      </c>
      <c r="T63" s="10" t="s">
        <v>9882</v>
      </c>
      <c r="U63" s="10" t="s">
        <v>87</v>
      </c>
      <c r="V63" s="10" t="s">
        <v>87</v>
      </c>
    </row>
    <row r="64" spans="1:22" s="10" customFormat="1" x14ac:dyDescent="0.25">
      <c r="A64" s="10" t="s">
        <v>9955</v>
      </c>
      <c r="B64" s="10" t="s">
        <v>9876</v>
      </c>
      <c r="C64" s="10" t="s">
        <v>215</v>
      </c>
      <c r="D64" s="10" t="s">
        <v>9956</v>
      </c>
      <c r="E64" s="8" t="s">
        <v>9957</v>
      </c>
      <c r="F64" s="8" t="s">
        <v>9958</v>
      </c>
      <c r="G64" s="10" t="s">
        <v>3</v>
      </c>
      <c r="H64" s="8" t="s">
        <v>220</v>
      </c>
      <c r="I64" s="10" t="s">
        <v>87</v>
      </c>
      <c r="J64" s="8" t="s">
        <v>220</v>
      </c>
      <c r="K64" s="8" t="s">
        <v>1435</v>
      </c>
      <c r="L64" s="8" t="s">
        <v>87</v>
      </c>
      <c r="M64" s="10" t="s">
        <v>1436</v>
      </c>
      <c r="N64" s="8" t="s">
        <v>87</v>
      </c>
      <c r="O64" s="10" t="s">
        <v>38</v>
      </c>
      <c r="P64" s="8" t="s">
        <v>9959</v>
      </c>
      <c r="Q64" s="10" t="s">
        <v>239</v>
      </c>
      <c r="R64" s="10" t="s">
        <v>1438</v>
      </c>
      <c r="S64" s="8" t="s">
        <v>220</v>
      </c>
      <c r="T64" s="10" t="s">
        <v>9882</v>
      </c>
      <c r="U64" s="10" t="s">
        <v>87</v>
      </c>
      <c r="V64" s="10" t="s">
        <v>87</v>
      </c>
    </row>
    <row r="65" spans="1:22" s="10" customFormat="1" x14ac:dyDescent="0.25">
      <c r="A65" s="10" t="s">
        <v>9960</v>
      </c>
      <c r="B65" s="10" t="s">
        <v>9876</v>
      </c>
      <c r="C65" s="11" t="s">
        <v>346</v>
      </c>
      <c r="D65" s="10" t="s">
        <v>9961</v>
      </c>
      <c r="E65" s="8" t="s">
        <v>9962</v>
      </c>
      <c r="F65" s="8" t="s">
        <v>9963</v>
      </c>
      <c r="G65" s="10" t="s">
        <v>3</v>
      </c>
      <c r="H65" s="8" t="s">
        <v>9913</v>
      </c>
      <c r="I65" s="10" t="s">
        <v>87</v>
      </c>
      <c r="J65" s="8" t="s">
        <v>9880</v>
      </c>
      <c r="K65" s="8" t="s">
        <v>1435</v>
      </c>
      <c r="L65" s="8" t="s">
        <v>2367</v>
      </c>
      <c r="M65" s="10" t="s">
        <v>1436</v>
      </c>
      <c r="N65" s="8" t="s">
        <v>87</v>
      </c>
      <c r="O65" s="10" t="s">
        <v>38</v>
      </c>
      <c r="P65" s="8" t="s">
        <v>9964</v>
      </c>
      <c r="Q65" s="10" t="s">
        <v>239</v>
      </c>
      <c r="R65" s="10" t="s">
        <v>1438</v>
      </c>
      <c r="S65" s="8" t="s">
        <v>9965</v>
      </c>
      <c r="T65" s="10" t="s">
        <v>9882</v>
      </c>
      <c r="U65" s="10" t="s">
        <v>87</v>
      </c>
      <c r="V65" s="10" t="s">
        <v>87</v>
      </c>
    </row>
    <row r="66" spans="1:22" s="10" customFormat="1" x14ac:dyDescent="0.25">
      <c r="A66" s="10" t="s">
        <v>9966</v>
      </c>
      <c r="B66" s="10" t="s">
        <v>9876</v>
      </c>
      <c r="C66" s="10" t="s">
        <v>215</v>
      </c>
      <c r="D66" s="10" t="s">
        <v>9967</v>
      </c>
      <c r="E66" s="8" t="s">
        <v>9968</v>
      </c>
      <c r="F66" s="8" t="s">
        <v>9969</v>
      </c>
      <c r="G66" s="10" t="s">
        <v>4</v>
      </c>
      <c r="H66" s="8" t="s">
        <v>9970</v>
      </c>
      <c r="I66" s="10" t="s">
        <v>539</v>
      </c>
      <c r="J66" s="8" t="s">
        <v>9971</v>
      </c>
      <c r="K66" s="8" t="s">
        <v>9894</v>
      </c>
      <c r="L66" s="8" t="s">
        <v>2367</v>
      </c>
      <c r="M66" s="10" t="s">
        <v>1456</v>
      </c>
      <c r="N66" s="8" t="s">
        <v>87</v>
      </c>
      <c r="O66" s="10" t="s">
        <v>38</v>
      </c>
      <c r="P66" s="8" t="s">
        <v>9972</v>
      </c>
      <c r="Q66" s="10" t="s">
        <v>223</v>
      </c>
      <c r="R66" s="10" t="s">
        <v>1438</v>
      </c>
      <c r="S66" s="8" t="s">
        <v>9973</v>
      </c>
      <c r="T66" s="10" t="s">
        <v>9882</v>
      </c>
      <c r="U66" s="10" t="s">
        <v>87</v>
      </c>
      <c r="V66" s="10" t="s">
        <v>87</v>
      </c>
    </row>
    <row r="67" spans="1:22" s="10" customFormat="1" x14ac:dyDescent="0.25">
      <c r="A67" s="10" t="s">
        <v>9974</v>
      </c>
      <c r="B67" s="10" t="s">
        <v>9876</v>
      </c>
      <c r="C67" s="10" t="s">
        <v>215</v>
      </c>
      <c r="D67" s="10" t="s">
        <v>9975</v>
      </c>
      <c r="E67" s="8" t="s">
        <v>9976</v>
      </c>
      <c r="F67" s="8" t="s">
        <v>9977</v>
      </c>
      <c r="G67" s="10" t="s">
        <v>4</v>
      </c>
      <c r="H67" s="8" t="s">
        <v>9893</v>
      </c>
      <c r="I67" s="10" t="s">
        <v>87</v>
      </c>
      <c r="J67" s="8" t="s">
        <v>9880</v>
      </c>
      <c r="K67" s="8" t="s">
        <v>9978</v>
      </c>
      <c r="L67" s="8" t="s">
        <v>2367</v>
      </c>
      <c r="M67" s="10" t="s">
        <v>1456</v>
      </c>
      <c r="N67" s="8" t="s">
        <v>87</v>
      </c>
      <c r="O67" s="10" t="s">
        <v>58</v>
      </c>
      <c r="P67" s="8" t="s">
        <v>9979</v>
      </c>
      <c r="Q67" s="10" t="s">
        <v>223</v>
      </c>
      <c r="R67" s="10" t="s">
        <v>1438</v>
      </c>
      <c r="S67" s="8" t="s">
        <v>9980</v>
      </c>
      <c r="T67" s="10" t="s">
        <v>9882</v>
      </c>
      <c r="U67" s="10" t="s">
        <v>87</v>
      </c>
      <c r="V67" s="10" t="s">
        <v>87</v>
      </c>
    </row>
    <row r="68" spans="1:22" s="10" customFormat="1" x14ac:dyDescent="0.25">
      <c r="A68" s="10" t="s">
        <v>9981</v>
      </c>
      <c r="B68" s="10" t="s">
        <v>9876</v>
      </c>
      <c r="C68" s="10" t="s">
        <v>215</v>
      </c>
      <c r="D68" s="10" t="s">
        <v>9982</v>
      </c>
      <c r="E68" s="8" t="s">
        <v>9983</v>
      </c>
      <c r="F68" s="8" t="s">
        <v>9984</v>
      </c>
      <c r="G68" s="10" t="s">
        <v>4</v>
      </c>
      <c r="H68" s="8" t="s">
        <v>9893</v>
      </c>
      <c r="I68" s="10" t="s">
        <v>87</v>
      </c>
      <c r="J68" s="8" t="s">
        <v>9880</v>
      </c>
      <c r="K68" s="8" t="s">
        <v>9985</v>
      </c>
      <c r="L68" s="8" t="s">
        <v>2367</v>
      </c>
      <c r="M68" s="10" t="s">
        <v>1456</v>
      </c>
      <c r="N68" s="8" t="s">
        <v>87</v>
      </c>
      <c r="O68" s="10" t="s">
        <v>58</v>
      </c>
      <c r="P68" s="8" t="s">
        <v>9986</v>
      </c>
      <c r="Q68" s="10" t="s">
        <v>239</v>
      </c>
      <c r="R68" s="10" t="s">
        <v>1438</v>
      </c>
      <c r="S68" s="8" t="s">
        <v>9987</v>
      </c>
      <c r="T68" s="10" t="s">
        <v>9882</v>
      </c>
      <c r="U68" s="10" t="s">
        <v>87</v>
      </c>
      <c r="V68" s="10" t="s">
        <v>87</v>
      </c>
    </row>
    <row r="69" spans="1:22" s="10" customFormat="1" x14ac:dyDescent="0.25">
      <c r="A69" s="10" t="s">
        <v>9988</v>
      </c>
      <c r="B69" s="10" t="s">
        <v>9876</v>
      </c>
      <c r="C69" s="10" t="s">
        <v>215</v>
      </c>
      <c r="D69" s="10" t="s">
        <v>9989</v>
      </c>
      <c r="E69" s="8" t="s">
        <v>9990</v>
      </c>
      <c r="F69" s="8" t="s">
        <v>9991</v>
      </c>
      <c r="G69" s="10" t="s">
        <v>4</v>
      </c>
      <c r="H69" s="8" t="s">
        <v>9893</v>
      </c>
      <c r="I69" s="10" t="s">
        <v>1151</v>
      </c>
      <c r="J69" s="8" t="s">
        <v>9992</v>
      </c>
      <c r="K69" s="8" t="s">
        <v>9993</v>
      </c>
      <c r="L69" s="8" t="s">
        <v>2367</v>
      </c>
      <c r="M69" s="10" t="s">
        <v>1456</v>
      </c>
      <c r="N69" s="8" t="s">
        <v>87</v>
      </c>
      <c r="O69" s="10" t="s">
        <v>38</v>
      </c>
      <c r="P69" s="8" t="s">
        <v>9994</v>
      </c>
      <c r="Q69" s="10" t="s">
        <v>825</v>
      </c>
      <c r="R69" s="10" t="s">
        <v>2188</v>
      </c>
      <c r="S69" s="8" t="s">
        <v>9995</v>
      </c>
      <c r="T69" s="10" t="s">
        <v>9882</v>
      </c>
      <c r="U69" s="10" t="s">
        <v>87</v>
      </c>
      <c r="V69" s="10" t="s">
        <v>87</v>
      </c>
    </row>
    <row r="70" spans="1:22" s="10" customFormat="1" x14ac:dyDescent="0.25">
      <c r="A70" s="10" t="s">
        <v>9996</v>
      </c>
      <c r="B70" s="10" t="s">
        <v>9997</v>
      </c>
      <c r="C70" s="11" t="s">
        <v>346</v>
      </c>
      <c r="D70" s="10" t="s">
        <v>9998</v>
      </c>
      <c r="E70" s="8" t="s">
        <v>9999</v>
      </c>
      <c r="F70" s="8" t="s">
        <v>10000</v>
      </c>
      <c r="G70" s="10" t="s">
        <v>3</v>
      </c>
      <c r="H70" s="8" t="s">
        <v>10001</v>
      </c>
      <c r="I70" s="10" t="s">
        <v>1504</v>
      </c>
      <c r="J70" s="8" t="s">
        <v>10002</v>
      </c>
      <c r="K70" s="8" t="s">
        <v>1435</v>
      </c>
      <c r="L70" s="8" t="s">
        <v>9361</v>
      </c>
      <c r="M70" s="10" t="s">
        <v>1436</v>
      </c>
      <c r="N70" s="8" t="s">
        <v>87</v>
      </c>
      <c r="O70" s="10" t="s">
        <v>39</v>
      </c>
      <c r="P70" s="8" t="s">
        <v>10003</v>
      </c>
      <c r="Q70" s="10" t="s">
        <v>223</v>
      </c>
      <c r="R70" s="10" t="s">
        <v>1438</v>
      </c>
      <c r="S70" s="8" t="s">
        <v>10004</v>
      </c>
      <c r="T70" s="10" t="s">
        <v>10005</v>
      </c>
      <c r="U70" s="10" t="s">
        <v>87</v>
      </c>
      <c r="V70" s="10" t="s">
        <v>87</v>
      </c>
    </row>
    <row r="71" spans="1:22" s="10" customFormat="1" x14ac:dyDescent="0.25">
      <c r="A71" s="10" t="s">
        <v>10006</v>
      </c>
      <c r="B71" s="10" t="s">
        <v>9997</v>
      </c>
      <c r="C71" s="10" t="s">
        <v>215</v>
      </c>
      <c r="D71" s="10" t="s">
        <v>10007</v>
      </c>
      <c r="E71" s="8" t="s">
        <v>10008</v>
      </c>
      <c r="F71" s="8" t="s">
        <v>10009</v>
      </c>
      <c r="G71" s="10" t="s">
        <v>3</v>
      </c>
      <c r="H71" s="8" t="s">
        <v>9582</v>
      </c>
      <c r="I71" s="10" t="s">
        <v>539</v>
      </c>
      <c r="J71" s="8" t="s">
        <v>10002</v>
      </c>
      <c r="K71" s="8" t="s">
        <v>1435</v>
      </c>
      <c r="L71" s="8" t="s">
        <v>9588</v>
      </c>
      <c r="M71" s="10" t="s">
        <v>1436</v>
      </c>
      <c r="N71" s="8" t="s">
        <v>87</v>
      </c>
      <c r="O71" s="10" t="s">
        <v>35</v>
      </c>
      <c r="P71" s="8" t="s">
        <v>10010</v>
      </c>
      <c r="Q71" s="10" t="s">
        <v>223</v>
      </c>
      <c r="R71" s="10" t="s">
        <v>1438</v>
      </c>
      <c r="S71" s="8" t="s">
        <v>9673</v>
      </c>
      <c r="T71" s="10" t="s">
        <v>10005</v>
      </c>
      <c r="U71" s="10" t="s">
        <v>87</v>
      </c>
      <c r="V71" s="10" t="s">
        <v>87</v>
      </c>
    </row>
    <row r="72" spans="1:22" s="10" customFormat="1" x14ac:dyDescent="0.25">
      <c r="A72" s="10" t="s">
        <v>10011</v>
      </c>
      <c r="B72" s="10" t="s">
        <v>9997</v>
      </c>
      <c r="C72" s="10" t="s">
        <v>215</v>
      </c>
      <c r="D72" s="10" t="s">
        <v>10012</v>
      </c>
      <c r="E72" s="8" t="s">
        <v>10013</v>
      </c>
      <c r="F72" s="8" t="s">
        <v>10014</v>
      </c>
      <c r="G72" s="10" t="s">
        <v>3</v>
      </c>
      <c r="H72" s="8" t="s">
        <v>10015</v>
      </c>
      <c r="I72" s="10" t="s">
        <v>993</v>
      </c>
      <c r="J72" s="8" t="s">
        <v>10002</v>
      </c>
      <c r="K72" s="8" t="s">
        <v>1435</v>
      </c>
      <c r="L72" s="8" t="s">
        <v>9361</v>
      </c>
      <c r="M72" s="10" t="s">
        <v>1436</v>
      </c>
      <c r="N72" s="8" t="s">
        <v>87</v>
      </c>
      <c r="O72" s="10" t="s">
        <v>39</v>
      </c>
      <c r="P72" s="8" t="s">
        <v>10016</v>
      </c>
      <c r="Q72" s="10" t="s">
        <v>223</v>
      </c>
      <c r="R72" s="10" t="s">
        <v>1438</v>
      </c>
      <c r="S72" s="8" t="s">
        <v>10017</v>
      </c>
      <c r="T72" s="10" t="s">
        <v>10005</v>
      </c>
      <c r="U72" s="10" t="s">
        <v>87</v>
      </c>
      <c r="V72" s="10" t="s">
        <v>87</v>
      </c>
    </row>
    <row r="73" spans="1:22" s="10" customFormat="1" x14ac:dyDescent="0.25">
      <c r="A73" s="10" t="s">
        <v>10018</v>
      </c>
      <c r="B73" s="10" t="s">
        <v>9997</v>
      </c>
      <c r="C73" s="11" t="s">
        <v>346</v>
      </c>
      <c r="D73" s="10" t="s">
        <v>10019</v>
      </c>
      <c r="E73" s="8" t="s">
        <v>10020</v>
      </c>
      <c r="F73" s="8" t="s">
        <v>10021</v>
      </c>
      <c r="G73" s="10" t="s">
        <v>3</v>
      </c>
      <c r="H73" s="8" t="s">
        <v>10022</v>
      </c>
      <c r="I73" s="10" t="s">
        <v>10023</v>
      </c>
      <c r="J73" s="8" t="s">
        <v>10002</v>
      </c>
      <c r="K73" s="8" t="s">
        <v>1435</v>
      </c>
      <c r="L73" s="8" t="s">
        <v>9671</v>
      </c>
      <c r="M73" s="10" t="s">
        <v>1436</v>
      </c>
      <c r="N73" s="8" t="s">
        <v>87</v>
      </c>
      <c r="O73" s="10" t="s">
        <v>39</v>
      </c>
      <c r="P73" s="8" t="s">
        <v>10024</v>
      </c>
      <c r="Q73" s="10" t="s">
        <v>223</v>
      </c>
      <c r="R73" s="10" t="s">
        <v>1438</v>
      </c>
      <c r="S73" s="8" t="s">
        <v>10025</v>
      </c>
      <c r="T73" s="10" t="s">
        <v>10005</v>
      </c>
      <c r="U73" s="10" t="s">
        <v>87</v>
      </c>
      <c r="V73" s="10" t="s">
        <v>87</v>
      </c>
    </row>
    <row r="74" spans="1:22" s="10" customFormat="1" x14ac:dyDescent="0.25">
      <c r="A74" s="10" t="s">
        <v>10026</v>
      </c>
      <c r="B74" s="10" t="s">
        <v>9997</v>
      </c>
      <c r="C74" s="11" t="s">
        <v>346</v>
      </c>
      <c r="D74" s="10" t="s">
        <v>10027</v>
      </c>
      <c r="E74" s="8" t="s">
        <v>10028</v>
      </c>
      <c r="F74" s="8" t="s">
        <v>10029</v>
      </c>
      <c r="G74" s="10" t="s">
        <v>3</v>
      </c>
      <c r="H74" s="8" t="s">
        <v>10022</v>
      </c>
      <c r="I74" s="10" t="s">
        <v>9670</v>
      </c>
      <c r="J74" s="8" t="s">
        <v>10002</v>
      </c>
      <c r="K74" s="8" t="s">
        <v>1435</v>
      </c>
      <c r="L74" s="8" t="s">
        <v>9361</v>
      </c>
      <c r="M74" s="10" t="s">
        <v>1436</v>
      </c>
      <c r="N74" s="8" t="s">
        <v>87</v>
      </c>
      <c r="O74" s="10" t="s">
        <v>39</v>
      </c>
      <c r="P74" s="8" t="s">
        <v>10030</v>
      </c>
      <c r="Q74" s="10" t="s">
        <v>1447</v>
      </c>
      <c r="R74" s="10" t="s">
        <v>1438</v>
      </c>
      <c r="S74" s="8" t="s">
        <v>10031</v>
      </c>
      <c r="T74" s="10" t="s">
        <v>10005</v>
      </c>
      <c r="U74" s="10" t="s">
        <v>87</v>
      </c>
      <c r="V74" s="10" t="s">
        <v>87</v>
      </c>
    </row>
    <row r="75" spans="1:22" s="10" customFormat="1" x14ac:dyDescent="0.25">
      <c r="A75" s="10" t="s">
        <v>10032</v>
      </c>
      <c r="B75" s="10" t="s">
        <v>9997</v>
      </c>
      <c r="C75" s="10" t="s">
        <v>215</v>
      </c>
      <c r="D75" s="10" t="s">
        <v>10033</v>
      </c>
      <c r="E75" s="8" t="s">
        <v>10034</v>
      </c>
      <c r="F75" s="8" t="s">
        <v>10035</v>
      </c>
      <c r="G75" s="10" t="s">
        <v>3</v>
      </c>
      <c r="H75" s="8" t="s">
        <v>10036</v>
      </c>
      <c r="I75" s="10" t="s">
        <v>993</v>
      </c>
      <c r="J75" s="8" t="s">
        <v>10002</v>
      </c>
      <c r="K75" s="8" t="s">
        <v>1435</v>
      </c>
      <c r="L75" s="8" t="s">
        <v>9361</v>
      </c>
      <c r="M75" s="10" t="s">
        <v>1436</v>
      </c>
      <c r="N75" s="8" t="s">
        <v>87</v>
      </c>
      <c r="O75" s="10" t="s">
        <v>39</v>
      </c>
      <c r="P75" s="8" t="s">
        <v>10037</v>
      </c>
      <c r="Q75" s="10" t="s">
        <v>239</v>
      </c>
      <c r="R75" s="10" t="s">
        <v>1438</v>
      </c>
      <c r="S75" s="8" t="s">
        <v>10038</v>
      </c>
      <c r="T75" s="10" t="s">
        <v>10005</v>
      </c>
      <c r="U75" s="10" t="s">
        <v>87</v>
      </c>
      <c r="V75" s="10" t="s">
        <v>87</v>
      </c>
    </row>
    <row r="76" spans="1:22" s="10" customFormat="1" x14ac:dyDescent="0.25">
      <c r="A76" s="10" t="s">
        <v>10039</v>
      </c>
      <c r="B76" s="10" t="s">
        <v>9997</v>
      </c>
      <c r="C76" s="11" t="s">
        <v>346</v>
      </c>
      <c r="D76" s="10" t="s">
        <v>10040</v>
      </c>
      <c r="E76" s="8" t="s">
        <v>10041</v>
      </c>
      <c r="F76" s="8" t="s">
        <v>10042</v>
      </c>
      <c r="G76" s="10" t="s">
        <v>3</v>
      </c>
      <c r="H76" s="8" t="s">
        <v>10043</v>
      </c>
      <c r="I76" s="10" t="s">
        <v>10044</v>
      </c>
      <c r="J76" s="8" t="s">
        <v>10002</v>
      </c>
      <c r="K76" s="8" t="s">
        <v>1435</v>
      </c>
      <c r="L76" s="8" t="s">
        <v>9671</v>
      </c>
      <c r="M76" s="10" t="s">
        <v>1436</v>
      </c>
      <c r="N76" s="8" t="s">
        <v>87</v>
      </c>
      <c r="O76" s="10" t="s">
        <v>40</v>
      </c>
      <c r="P76" s="8" t="s">
        <v>10045</v>
      </c>
      <c r="Q76" s="10" t="s">
        <v>223</v>
      </c>
      <c r="R76" s="10" t="s">
        <v>1438</v>
      </c>
      <c r="S76" s="8" t="s">
        <v>10046</v>
      </c>
      <c r="T76" s="10" t="s">
        <v>10005</v>
      </c>
      <c r="U76" s="10" t="s">
        <v>87</v>
      </c>
      <c r="V76" s="10" t="s">
        <v>87</v>
      </c>
    </row>
    <row r="77" spans="1:22" s="10" customFormat="1" x14ac:dyDescent="0.25">
      <c r="A77" s="10" t="s">
        <v>10047</v>
      </c>
      <c r="B77" s="10" t="s">
        <v>9997</v>
      </c>
      <c r="C77" s="10" t="s">
        <v>215</v>
      </c>
      <c r="D77" s="10" t="s">
        <v>10048</v>
      </c>
      <c r="E77" s="8" t="s">
        <v>10049</v>
      </c>
      <c r="F77" s="8" t="s">
        <v>10050</v>
      </c>
      <c r="G77" s="10" t="s">
        <v>3</v>
      </c>
      <c r="H77" s="8" t="s">
        <v>10051</v>
      </c>
      <c r="I77" s="10" t="s">
        <v>10044</v>
      </c>
      <c r="J77" s="8" t="s">
        <v>10002</v>
      </c>
      <c r="K77" s="8" t="s">
        <v>1435</v>
      </c>
      <c r="L77" s="8" t="s">
        <v>9588</v>
      </c>
      <c r="M77" s="10" t="s">
        <v>1436</v>
      </c>
      <c r="N77" s="8" t="s">
        <v>87</v>
      </c>
      <c r="O77" s="10" t="s">
        <v>40</v>
      </c>
      <c r="P77" s="8" t="s">
        <v>10052</v>
      </c>
      <c r="Q77" s="10" t="s">
        <v>1447</v>
      </c>
      <c r="R77" s="10" t="s">
        <v>1438</v>
      </c>
      <c r="S77" s="8" t="s">
        <v>10053</v>
      </c>
      <c r="T77" s="10" t="s">
        <v>10005</v>
      </c>
      <c r="U77" s="10" t="s">
        <v>87</v>
      </c>
      <c r="V77" s="10" t="s">
        <v>87</v>
      </c>
    </row>
    <row r="78" spans="1:22" s="10" customFormat="1" x14ac:dyDescent="0.25">
      <c r="A78" s="10" t="s">
        <v>10054</v>
      </c>
      <c r="B78" s="10" t="s">
        <v>9997</v>
      </c>
      <c r="C78" s="11" t="s">
        <v>346</v>
      </c>
      <c r="D78" s="10" t="s">
        <v>10055</v>
      </c>
      <c r="E78" s="8" t="s">
        <v>10056</v>
      </c>
      <c r="F78" s="8" t="s">
        <v>10057</v>
      </c>
      <c r="G78" s="10" t="s">
        <v>3</v>
      </c>
      <c r="H78" s="8" t="s">
        <v>220</v>
      </c>
      <c r="I78" s="10" t="s">
        <v>1504</v>
      </c>
      <c r="J78" s="8" t="s">
        <v>220</v>
      </c>
      <c r="K78" s="8" t="s">
        <v>1435</v>
      </c>
      <c r="L78" s="8" t="s">
        <v>87</v>
      </c>
      <c r="M78" s="10" t="s">
        <v>1436</v>
      </c>
      <c r="N78" s="8" t="s">
        <v>87</v>
      </c>
      <c r="O78" s="10" t="s">
        <v>41</v>
      </c>
      <c r="P78" s="8" t="s">
        <v>10058</v>
      </c>
      <c r="Q78" s="10" t="s">
        <v>239</v>
      </c>
      <c r="R78" s="10" t="s">
        <v>1438</v>
      </c>
      <c r="S78" s="8" t="s">
        <v>10059</v>
      </c>
      <c r="T78" s="10" t="s">
        <v>10005</v>
      </c>
      <c r="U78" s="10" t="s">
        <v>87</v>
      </c>
      <c r="V78" s="10" t="s">
        <v>87</v>
      </c>
    </row>
    <row r="79" spans="1:22" s="10" customFormat="1" x14ac:dyDescent="0.25">
      <c r="A79" s="10" t="s">
        <v>10060</v>
      </c>
      <c r="B79" s="10" t="s">
        <v>9997</v>
      </c>
      <c r="C79" s="10" t="s">
        <v>215</v>
      </c>
      <c r="D79" s="10" t="s">
        <v>10061</v>
      </c>
      <c r="E79" s="8" t="s">
        <v>10062</v>
      </c>
      <c r="F79" s="8" t="s">
        <v>10063</v>
      </c>
      <c r="G79" s="10" t="s">
        <v>3</v>
      </c>
      <c r="H79" s="8" t="s">
        <v>10064</v>
      </c>
      <c r="I79" s="10" t="s">
        <v>1504</v>
      </c>
      <c r="J79" s="8" t="s">
        <v>10002</v>
      </c>
      <c r="K79" s="8" t="s">
        <v>1435</v>
      </c>
      <c r="L79" s="8" t="s">
        <v>9671</v>
      </c>
      <c r="M79" s="10" t="s">
        <v>1436</v>
      </c>
      <c r="N79" s="8" t="s">
        <v>87</v>
      </c>
      <c r="O79" s="10" t="s">
        <v>41</v>
      </c>
      <c r="P79" s="8" t="s">
        <v>10065</v>
      </c>
      <c r="Q79" s="10" t="s">
        <v>223</v>
      </c>
      <c r="R79" s="10" t="s">
        <v>1438</v>
      </c>
      <c r="S79" s="8" t="s">
        <v>10066</v>
      </c>
      <c r="T79" s="10" t="s">
        <v>10005</v>
      </c>
      <c r="U79" s="10" t="s">
        <v>87</v>
      </c>
      <c r="V79" s="10" t="s">
        <v>87</v>
      </c>
    </row>
    <row r="80" spans="1:22" s="10" customFormat="1" x14ac:dyDescent="0.25">
      <c r="A80" s="10" t="s">
        <v>10067</v>
      </c>
      <c r="B80" s="10" t="s">
        <v>9997</v>
      </c>
      <c r="C80" s="11" t="s">
        <v>346</v>
      </c>
      <c r="D80" s="10" t="s">
        <v>10068</v>
      </c>
      <c r="E80" s="8" t="s">
        <v>10069</v>
      </c>
      <c r="F80" s="8" t="s">
        <v>10070</v>
      </c>
      <c r="G80" s="10" t="s">
        <v>3</v>
      </c>
      <c r="H80" s="8" t="s">
        <v>10071</v>
      </c>
      <c r="I80" s="10" t="s">
        <v>993</v>
      </c>
      <c r="J80" s="8" t="s">
        <v>220</v>
      </c>
      <c r="K80" s="8" t="s">
        <v>1435</v>
      </c>
      <c r="L80" s="8" t="s">
        <v>87</v>
      </c>
      <c r="M80" s="10" t="s">
        <v>1436</v>
      </c>
      <c r="N80" s="8" t="s">
        <v>87</v>
      </c>
      <c r="O80" s="10" t="s">
        <v>41</v>
      </c>
      <c r="P80" s="8" t="s">
        <v>10072</v>
      </c>
      <c r="Q80" s="10" t="s">
        <v>223</v>
      </c>
      <c r="R80" s="10" t="s">
        <v>1438</v>
      </c>
      <c r="S80" s="8" t="s">
        <v>10073</v>
      </c>
      <c r="T80" s="10" t="s">
        <v>10005</v>
      </c>
      <c r="U80" s="10" t="s">
        <v>87</v>
      </c>
      <c r="V80" s="10" t="s">
        <v>87</v>
      </c>
    </row>
    <row r="81" spans="1:22" s="10" customFormat="1" x14ac:dyDescent="0.25">
      <c r="A81" s="10" t="s">
        <v>10074</v>
      </c>
      <c r="B81" s="10" t="s">
        <v>9997</v>
      </c>
      <c r="C81" s="11" t="s">
        <v>346</v>
      </c>
      <c r="D81" s="10" t="s">
        <v>10075</v>
      </c>
      <c r="E81" s="8" t="s">
        <v>10076</v>
      </c>
      <c r="F81" s="8" t="s">
        <v>10077</v>
      </c>
      <c r="G81" s="10" t="s">
        <v>2647</v>
      </c>
      <c r="H81" s="8" t="s">
        <v>10064</v>
      </c>
      <c r="I81" s="10" t="s">
        <v>9670</v>
      </c>
      <c r="J81" s="8" t="s">
        <v>10002</v>
      </c>
      <c r="K81" s="8" t="s">
        <v>2649</v>
      </c>
      <c r="L81" s="8" t="s">
        <v>9671</v>
      </c>
      <c r="M81" s="10" t="s">
        <v>1436</v>
      </c>
      <c r="N81" s="8" t="s">
        <v>87</v>
      </c>
      <c r="O81" s="10" t="s">
        <v>41</v>
      </c>
      <c r="P81" s="8" t="s">
        <v>10078</v>
      </c>
      <c r="Q81" s="10" t="s">
        <v>223</v>
      </c>
      <c r="R81" s="10" t="s">
        <v>1438</v>
      </c>
      <c r="S81" s="8" t="s">
        <v>10079</v>
      </c>
      <c r="T81" s="10" t="s">
        <v>10005</v>
      </c>
      <c r="U81" s="10" t="s">
        <v>87</v>
      </c>
      <c r="V81" s="10" t="s">
        <v>87</v>
      </c>
    </row>
    <row r="82" spans="1:22" s="10" customFormat="1" x14ac:dyDescent="0.25">
      <c r="A82" s="10" t="s">
        <v>10080</v>
      </c>
      <c r="B82" s="10" t="s">
        <v>9997</v>
      </c>
      <c r="C82" s="11" t="s">
        <v>346</v>
      </c>
      <c r="D82" s="10" t="s">
        <v>10081</v>
      </c>
      <c r="E82" s="8" t="s">
        <v>10082</v>
      </c>
      <c r="F82" s="8" t="s">
        <v>10083</v>
      </c>
      <c r="G82" s="10" t="s">
        <v>2647</v>
      </c>
      <c r="H82" s="8" t="s">
        <v>10084</v>
      </c>
      <c r="I82" s="10" t="s">
        <v>9670</v>
      </c>
      <c r="J82" s="8" t="s">
        <v>10002</v>
      </c>
      <c r="K82" s="8" t="s">
        <v>2649</v>
      </c>
      <c r="L82" s="8" t="s">
        <v>9671</v>
      </c>
      <c r="M82" s="10" t="s">
        <v>1436</v>
      </c>
      <c r="N82" s="8" t="s">
        <v>87</v>
      </c>
      <c r="O82" s="10" t="s">
        <v>42</v>
      </c>
      <c r="P82" s="8" t="s">
        <v>10085</v>
      </c>
      <c r="Q82" s="10" t="s">
        <v>239</v>
      </c>
      <c r="R82" s="10" t="s">
        <v>1438</v>
      </c>
      <c r="S82" s="8" t="s">
        <v>10086</v>
      </c>
      <c r="T82" s="10" t="s">
        <v>10005</v>
      </c>
      <c r="U82" s="10" t="s">
        <v>87</v>
      </c>
      <c r="V82" s="10" t="s">
        <v>87</v>
      </c>
    </row>
    <row r="83" spans="1:22" s="10" customFormat="1" x14ac:dyDescent="0.25">
      <c r="A83" s="10" t="s">
        <v>10087</v>
      </c>
      <c r="B83" s="10" t="s">
        <v>9997</v>
      </c>
      <c r="C83" s="10" t="s">
        <v>215</v>
      </c>
      <c r="D83" s="10" t="s">
        <v>10088</v>
      </c>
      <c r="E83" s="8" t="s">
        <v>10089</v>
      </c>
      <c r="F83" s="8" t="s">
        <v>10090</v>
      </c>
      <c r="G83" s="10" t="s">
        <v>4</v>
      </c>
      <c r="H83" s="8" t="s">
        <v>10091</v>
      </c>
      <c r="I83" s="10" t="s">
        <v>993</v>
      </c>
      <c r="J83" s="8" t="s">
        <v>10002</v>
      </c>
      <c r="K83" s="8" t="s">
        <v>10092</v>
      </c>
      <c r="L83" s="8" t="s">
        <v>9361</v>
      </c>
      <c r="M83" s="10" t="s">
        <v>1456</v>
      </c>
      <c r="N83" s="8" t="s">
        <v>87</v>
      </c>
      <c r="O83" s="10" t="s">
        <v>42</v>
      </c>
      <c r="P83" s="8" t="s">
        <v>10093</v>
      </c>
      <c r="Q83" s="10" t="s">
        <v>239</v>
      </c>
      <c r="R83" s="10" t="s">
        <v>1438</v>
      </c>
      <c r="S83" s="8" t="s">
        <v>220</v>
      </c>
      <c r="T83" s="10" t="s">
        <v>10005</v>
      </c>
      <c r="U83" s="10" t="s">
        <v>87</v>
      </c>
      <c r="V83" s="10" t="s">
        <v>87</v>
      </c>
    </row>
    <row r="84" spans="1:22" s="10" customFormat="1" x14ac:dyDescent="0.25">
      <c r="A84" s="10" t="s">
        <v>10094</v>
      </c>
      <c r="B84" s="10" t="s">
        <v>9997</v>
      </c>
      <c r="C84" s="11" t="s">
        <v>346</v>
      </c>
      <c r="D84" s="10" t="s">
        <v>10095</v>
      </c>
      <c r="E84" s="8" t="s">
        <v>10096</v>
      </c>
      <c r="F84" s="8" t="s">
        <v>10097</v>
      </c>
      <c r="G84" s="10" t="s">
        <v>4</v>
      </c>
      <c r="H84" s="8" t="s">
        <v>10098</v>
      </c>
      <c r="I84" s="10" t="s">
        <v>9670</v>
      </c>
      <c r="J84" s="8" t="s">
        <v>10002</v>
      </c>
      <c r="K84" s="8" t="s">
        <v>10092</v>
      </c>
      <c r="L84" s="8" t="s">
        <v>10099</v>
      </c>
      <c r="M84" s="10" t="s">
        <v>1456</v>
      </c>
      <c r="N84" s="8" t="s">
        <v>87</v>
      </c>
      <c r="O84" s="10" t="s">
        <v>42</v>
      </c>
      <c r="P84" s="8" t="s">
        <v>10100</v>
      </c>
      <c r="Q84" s="10" t="s">
        <v>223</v>
      </c>
      <c r="R84" s="10" t="s">
        <v>1438</v>
      </c>
      <c r="S84" s="8" t="s">
        <v>10101</v>
      </c>
      <c r="T84" s="10" t="s">
        <v>10005</v>
      </c>
      <c r="U84" s="10" t="s">
        <v>87</v>
      </c>
      <c r="V84" s="10" t="s">
        <v>87</v>
      </c>
    </row>
    <row r="85" spans="1:22" s="10" customFormat="1" x14ac:dyDescent="0.25">
      <c r="A85" s="10" t="s">
        <v>10102</v>
      </c>
      <c r="B85" s="10" t="s">
        <v>9997</v>
      </c>
      <c r="C85" s="11" t="s">
        <v>346</v>
      </c>
      <c r="D85" s="10" t="s">
        <v>10103</v>
      </c>
      <c r="E85" s="8" t="s">
        <v>10104</v>
      </c>
      <c r="F85" s="8" t="s">
        <v>10105</v>
      </c>
      <c r="G85" s="10" t="s">
        <v>4</v>
      </c>
      <c r="H85" s="8" t="s">
        <v>10106</v>
      </c>
      <c r="I85" s="10" t="s">
        <v>9670</v>
      </c>
      <c r="J85" s="8" t="s">
        <v>10002</v>
      </c>
      <c r="K85" s="8" t="s">
        <v>10092</v>
      </c>
      <c r="L85" s="8" t="s">
        <v>10107</v>
      </c>
      <c r="M85" s="10" t="s">
        <v>1456</v>
      </c>
      <c r="N85" s="8" t="s">
        <v>87</v>
      </c>
      <c r="O85" s="10" t="s">
        <v>42</v>
      </c>
      <c r="P85" s="8" t="s">
        <v>10108</v>
      </c>
      <c r="Q85" s="10" t="s">
        <v>246</v>
      </c>
      <c r="R85" s="10" t="s">
        <v>1438</v>
      </c>
      <c r="S85" s="8" t="s">
        <v>10109</v>
      </c>
      <c r="T85" s="10" t="s">
        <v>10005</v>
      </c>
      <c r="U85" s="10" t="s">
        <v>87</v>
      </c>
      <c r="V85" s="10" t="s">
        <v>87</v>
      </c>
    </row>
    <row r="86" spans="1:22" s="10" customFormat="1" x14ac:dyDescent="0.25">
      <c r="A86" s="10" t="s">
        <v>10110</v>
      </c>
      <c r="B86" s="10" t="s">
        <v>9997</v>
      </c>
      <c r="C86" s="11" t="s">
        <v>346</v>
      </c>
      <c r="D86" s="10" t="s">
        <v>10111</v>
      </c>
      <c r="E86" s="8" t="s">
        <v>10112</v>
      </c>
      <c r="F86" s="8" t="s">
        <v>10113</v>
      </c>
      <c r="G86" s="10" t="s">
        <v>4</v>
      </c>
      <c r="H86" s="8" t="s">
        <v>10114</v>
      </c>
      <c r="I86" s="10" t="s">
        <v>9670</v>
      </c>
      <c r="J86" s="8" t="s">
        <v>10002</v>
      </c>
      <c r="K86" s="8" t="s">
        <v>10092</v>
      </c>
      <c r="L86" s="8" t="s">
        <v>10099</v>
      </c>
      <c r="M86" s="10" t="s">
        <v>1456</v>
      </c>
      <c r="N86" s="8" t="s">
        <v>87</v>
      </c>
      <c r="O86" s="10" t="s">
        <v>42</v>
      </c>
      <c r="P86" s="8" t="s">
        <v>10115</v>
      </c>
      <c r="Q86" s="10" t="s">
        <v>239</v>
      </c>
      <c r="R86" s="10" t="s">
        <v>1438</v>
      </c>
      <c r="S86" s="8" t="s">
        <v>10116</v>
      </c>
      <c r="T86" s="10" t="s">
        <v>10005</v>
      </c>
      <c r="U86" s="10" t="s">
        <v>87</v>
      </c>
      <c r="V86" s="10" t="s">
        <v>87</v>
      </c>
    </row>
    <row r="87" spans="1:22" s="10" customFormat="1" x14ac:dyDescent="0.25">
      <c r="A87" s="10" t="s">
        <v>10117</v>
      </c>
      <c r="B87" s="10" t="s">
        <v>9997</v>
      </c>
      <c r="C87" s="11" t="s">
        <v>346</v>
      </c>
      <c r="D87" s="10" t="s">
        <v>10118</v>
      </c>
      <c r="E87" s="8" t="s">
        <v>10119</v>
      </c>
      <c r="F87" s="8" t="s">
        <v>10120</v>
      </c>
      <c r="G87" s="10" t="s">
        <v>4</v>
      </c>
      <c r="H87" s="8" t="s">
        <v>9582</v>
      </c>
      <c r="I87" s="10" t="s">
        <v>539</v>
      </c>
      <c r="J87" s="8" t="s">
        <v>10002</v>
      </c>
      <c r="K87" s="8" t="s">
        <v>10092</v>
      </c>
      <c r="L87" s="8" t="s">
        <v>10107</v>
      </c>
      <c r="M87" s="10" t="s">
        <v>1456</v>
      </c>
      <c r="N87" s="8" t="s">
        <v>87</v>
      </c>
      <c r="O87" s="10" t="s">
        <v>35</v>
      </c>
      <c r="P87" s="8" t="s">
        <v>10121</v>
      </c>
      <c r="Q87" s="10" t="s">
        <v>239</v>
      </c>
      <c r="R87" s="10" t="s">
        <v>1438</v>
      </c>
      <c r="S87" s="8" t="s">
        <v>10122</v>
      </c>
      <c r="T87" s="10" t="s">
        <v>10005</v>
      </c>
      <c r="U87" s="10" t="s">
        <v>87</v>
      </c>
      <c r="V87" s="10" t="s">
        <v>87</v>
      </c>
    </row>
    <row r="88" spans="1:22" s="10" customFormat="1" x14ac:dyDescent="0.25">
      <c r="A88" s="10" t="s">
        <v>10123</v>
      </c>
      <c r="B88" s="10" t="s">
        <v>9997</v>
      </c>
      <c r="C88" s="10" t="s">
        <v>215</v>
      </c>
      <c r="D88" s="10" t="s">
        <v>10124</v>
      </c>
      <c r="E88" s="8" t="s">
        <v>10125</v>
      </c>
      <c r="F88" s="8" t="s">
        <v>10126</v>
      </c>
      <c r="G88" s="10" t="s">
        <v>3</v>
      </c>
      <c r="H88" s="8" t="s">
        <v>10127</v>
      </c>
      <c r="I88" s="10" t="s">
        <v>993</v>
      </c>
      <c r="J88" s="8" t="s">
        <v>10002</v>
      </c>
      <c r="K88" s="8" t="s">
        <v>1435</v>
      </c>
      <c r="L88" s="8" t="s">
        <v>87</v>
      </c>
      <c r="M88" s="10" t="s">
        <v>1436</v>
      </c>
      <c r="N88" s="8" t="s">
        <v>87</v>
      </c>
      <c r="O88" s="10" t="s">
        <v>39</v>
      </c>
      <c r="P88" s="8" t="s">
        <v>10128</v>
      </c>
      <c r="Q88" s="10" t="s">
        <v>246</v>
      </c>
      <c r="R88" s="10" t="s">
        <v>1438</v>
      </c>
      <c r="S88" s="8" t="s">
        <v>220</v>
      </c>
      <c r="T88" s="10" t="s">
        <v>10005</v>
      </c>
      <c r="U88" s="10" t="s">
        <v>87</v>
      </c>
      <c r="V88" s="10" t="s">
        <v>87</v>
      </c>
    </row>
    <row r="89" spans="1:22" s="10" customFormat="1" x14ac:dyDescent="0.25">
      <c r="A89" s="10" t="s">
        <v>10129</v>
      </c>
      <c r="B89" s="10" t="s">
        <v>9997</v>
      </c>
      <c r="C89" s="10" t="s">
        <v>215</v>
      </c>
      <c r="D89" s="10" t="s">
        <v>10130</v>
      </c>
      <c r="E89" s="8" t="s">
        <v>10131</v>
      </c>
      <c r="F89" s="8" t="s">
        <v>10132</v>
      </c>
      <c r="G89" s="10" t="s">
        <v>3</v>
      </c>
      <c r="H89" s="8" t="s">
        <v>10022</v>
      </c>
      <c r="I89" s="10" t="s">
        <v>10133</v>
      </c>
      <c r="J89" s="8" t="s">
        <v>10002</v>
      </c>
      <c r="K89" s="8" t="s">
        <v>1435</v>
      </c>
      <c r="L89" s="8" t="s">
        <v>9588</v>
      </c>
      <c r="M89" s="10" t="s">
        <v>1436</v>
      </c>
      <c r="N89" s="8" t="s">
        <v>87</v>
      </c>
      <c r="O89" s="10" t="s">
        <v>39</v>
      </c>
      <c r="P89" s="8" t="s">
        <v>10134</v>
      </c>
      <c r="Q89" s="10" t="s">
        <v>1447</v>
      </c>
      <c r="R89" s="10" t="s">
        <v>1438</v>
      </c>
      <c r="S89" s="8" t="s">
        <v>10135</v>
      </c>
      <c r="T89" s="10" t="s">
        <v>10005</v>
      </c>
      <c r="U89" s="10" t="s">
        <v>87</v>
      </c>
      <c r="V89" s="10" t="s">
        <v>87</v>
      </c>
    </row>
    <row r="90" spans="1:22" s="10" customFormat="1" x14ac:dyDescent="0.25">
      <c r="A90" s="10" t="s">
        <v>10136</v>
      </c>
      <c r="B90" s="10" t="s">
        <v>9997</v>
      </c>
      <c r="C90" s="10" t="s">
        <v>215</v>
      </c>
      <c r="D90" s="10" t="s">
        <v>10137</v>
      </c>
      <c r="E90" s="8" t="s">
        <v>10138</v>
      </c>
      <c r="F90" s="8" t="s">
        <v>10139</v>
      </c>
      <c r="G90" s="10" t="s">
        <v>3</v>
      </c>
      <c r="H90" s="8" t="s">
        <v>10140</v>
      </c>
      <c r="I90" s="10" t="s">
        <v>10141</v>
      </c>
      <c r="J90" s="8" t="s">
        <v>10002</v>
      </c>
      <c r="K90" s="8" t="s">
        <v>1435</v>
      </c>
      <c r="L90" s="8" t="s">
        <v>9671</v>
      </c>
      <c r="M90" s="10" t="s">
        <v>1436</v>
      </c>
      <c r="N90" s="8" t="s">
        <v>87</v>
      </c>
      <c r="O90" s="10" t="s">
        <v>39</v>
      </c>
      <c r="P90" s="8" t="s">
        <v>10142</v>
      </c>
      <c r="Q90" s="10" t="s">
        <v>223</v>
      </c>
      <c r="R90" s="10" t="s">
        <v>1438</v>
      </c>
      <c r="S90" s="8" t="s">
        <v>10143</v>
      </c>
      <c r="T90" s="10" t="s">
        <v>10005</v>
      </c>
      <c r="U90" s="10" t="s">
        <v>87</v>
      </c>
      <c r="V90" s="10" t="s">
        <v>87</v>
      </c>
    </row>
    <row r="91" spans="1:22" s="10" customFormat="1" x14ac:dyDescent="0.25">
      <c r="A91" s="10" t="s">
        <v>10144</v>
      </c>
      <c r="B91" s="10" t="s">
        <v>9997</v>
      </c>
      <c r="C91" s="11" t="s">
        <v>346</v>
      </c>
      <c r="D91" s="10" t="s">
        <v>10145</v>
      </c>
      <c r="E91" s="8" t="s">
        <v>10146</v>
      </c>
      <c r="F91" s="8" t="s">
        <v>10147</v>
      </c>
      <c r="G91" s="10" t="s">
        <v>4</v>
      </c>
      <c r="H91" s="8" t="s">
        <v>9582</v>
      </c>
      <c r="I91" s="10" t="s">
        <v>539</v>
      </c>
      <c r="J91" s="8" t="s">
        <v>10148</v>
      </c>
      <c r="K91" s="8" t="s">
        <v>10092</v>
      </c>
      <c r="L91" s="8" t="s">
        <v>10107</v>
      </c>
      <c r="M91" s="10" t="s">
        <v>1456</v>
      </c>
      <c r="N91" s="8" t="s">
        <v>87</v>
      </c>
      <c r="O91" s="10" t="s">
        <v>35</v>
      </c>
      <c r="P91" s="8" t="s">
        <v>10149</v>
      </c>
      <c r="Q91" s="10" t="s">
        <v>825</v>
      </c>
      <c r="R91" s="10" t="s">
        <v>5029</v>
      </c>
      <c r="S91" s="8" t="s">
        <v>10122</v>
      </c>
      <c r="T91" s="10" t="s">
        <v>10005</v>
      </c>
      <c r="U91" s="10" t="s">
        <v>87</v>
      </c>
      <c r="V91" s="10" t="s">
        <v>87</v>
      </c>
    </row>
    <row r="92" spans="1:22" s="10" customFormat="1" x14ac:dyDescent="0.25">
      <c r="A92" s="10" t="s">
        <v>10150</v>
      </c>
      <c r="B92" s="10" t="s">
        <v>10151</v>
      </c>
      <c r="C92" s="10" t="s">
        <v>215</v>
      </c>
      <c r="D92" s="10" t="s">
        <v>10152</v>
      </c>
      <c r="E92" s="8" t="s">
        <v>10153</v>
      </c>
      <c r="F92" s="8" t="s">
        <v>10154</v>
      </c>
      <c r="G92" s="10" t="s">
        <v>3</v>
      </c>
      <c r="H92" s="8" t="s">
        <v>9582</v>
      </c>
      <c r="I92" s="10" t="s">
        <v>87</v>
      </c>
      <c r="J92" s="8" t="s">
        <v>9545</v>
      </c>
      <c r="K92" s="8" t="s">
        <v>1435</v>
      </c>
      <c r="L92" s="8" t="s">
        <v>9671</v>
      </c>
      <c r="M92" s="10" t="s">
        <v>1436</v>
      </c>
      <c r="N92" s="8" t="s">
        <v>87</v>
      </c>
      <c r="O92" s="10" t="s">
        <v>35</v>
      </c>
      <c r="P92" s="8" t="s">
        <v>10155</v>
      </c>
      <c r="Q92" s="10" t="s">
        <v>223</v>
      </c>
      <c r="R92" s="10" t="s">
        <v>1438</v>
      </c>
      <c r="S92" s="8" t="s">
        <v>9704</v>
      </c>
      <c r="T92" s="10" t="s">
        <v>10156</v>
      </c>
      <c r="U92" s="10" t="s">
        <v>87</v>
      </c>
      <c r="V92" s="10" t="s">
        <v>87</v>
      </c>
    </row>
    <row r="93" spans="1:22" s="10" customFormat="1" x14ac:dyDescent="0.25">
      <c r="A93" s="10" t="s">
        <v>10157</v>
      </c>
      <c r="B93" s="10" t="s">
        <v>10151</v>
      </c>
      <c r="C93" s="10" t="s">
        <v>215</v>
      </c>
      <c r="D93" s="10" t="s">
        <v>10158</v>
      </c>
      <c r="E93" s="8" t="s">
        <v>10159</v>
      </c>
      <c r="F93" s="8" t="s">
        <v>10160</v>
      </c>
      <c r="G93" s="10" t="s">
        <v>3</v>
      </c>
      <c r="H93" s="8" t="s">
        <v>9582</v>
      </c>
      <c r="I93" s="10" t="s">
        <v>87</v>
      </c>
      <c r="J93" s="8" t="s">
        <v>9545</v>
      </c>
      <c r="K93" s="8" t="s">
        <v>1435</v>
      </c>
      <c r="L93" s="8" t="s">
        <v>9671</v>
      </c>
      <c r="M93" s="10" t="s">
        <v>1436</v>
      </c>
      <c r="N93" s="8" t="s">
        <v>87</v>
      </c>
      <c r="O93" s="10" t="s">
        <v>35</v>
      </c>
      <c r="P93" s="8" t="s">
        <v>10161</v>
      </c>
      <c r="Q93" s="10" t="s">
        <v>223</v>
      </c>
      <c r="R93" s="10" t="s">
        <v>1438</v>
      </c>
      <c r="S93" s="8" t="s">
        <v>9590</v>
      </c>
      <c r="T93" s="10" t="s">
        <v>10156</v>
      </c>
      <c r="U93" s="10" t="s">
        <v>87</v>
      </c>
      <c r="V93" s="10" t="s">
        <v>87</v>
      </c>
    </row>
    <row r="94" spans="1:22" s="10" customFormat="1" x14ac:dyDescent="0.25">
      <c r="A94" s="10" t="s">
        <v>10162</v>
      </c>
      <c r="B94" s="10" t="s">
        <v>10151</v>
      </c>
      <c r="C94" s="10" t="s">
        <v>215</v>
      </c>
      <c r="D94" s="10" t="s">
        <v>10163</v>
      </c>
      <c r="E94" s="8" t="s">
        <v>10164</v>
      </c>
      <c r="F94" s="8" t="s">
        <v>10165</v>
      </c>
      <c r="G94" s="10" t="s">
        <v>3</v>
      </c>
      <c r="H94" s="8" t="s">
        <v>9582</v>
      </c>
      <c r="I94" s="10" t="s">
        <v>87</v>
      </c>
      <c r="J94" s="8" t="s">
        <v>9545</v>
      </c>
      <c r="K94" s="8" t="s">
        <v>1435</v>
      </c>
      <c r="L94" s="8" t="s">
        <v>9671</v>
      </c>
      <c r="M94" s="10" t="s">
        <v>1436</v>
      </c>
      <c r="N94" s="8" t="s">
        <v>87</v>
      </c>
      <c r="O94" s="10" t="s">
        <v>35</v>
      </c>
      <c r="P94" s="8" t="s">
        <v>10166</v>
      </c>
      <c r="Q94" s="10" t="s">
        <v>223</v>
      </c>
      <c r="R94" s="10" t="s">
        <v>1438</v>
      </c>
      <c r="S94" s="8" t="s">
        <v>10167</v>
      </c>
      <c r="T94" s="10" t="s">
        <v>10156</v>
      </c>
      <c r="U94" s="10" t="s">
        <v>87</v>
      </c>
      <c r="V94" s="10" t="s">
        <v>87</v>
      </c>
    </row>
    <row r="95" spans="1:22" s="10" customFormat="1" x14ac:dyDescent="0.25">
      <c r="A95" s="10" t="s">
        <v>10168</v>
      </c>
      <c r="B95" s="10" t="s">
        <v>10151</v>
      </c>
      <c r="C95" s="10" t="s">
        <v>215</v>
      </c>
      <c r="D95" s="10" t="s">
        <v>10169</v>
      </c>
      <c r="E95" s="8" t="s">
        <v>10170</v>
      </c>
      <c r="F95" s="8" t="s">
        <v>10171</v>
      </c>
      <c r="G95" s="10" t="s">
        <v>3</v>
      </c>
      <c r="H95" s="8" t="s">
        <v>9582</v>
      </c>
      <c r="I95" s="10" t="s">
        <v>6744</v>
      </c>
      <c r="J95" s="8" t="s">
        <v>9545</v>
      </c>
      <c r="K95" s="8" t="s">
        <v>1435</v>
      </c>
      <c r="L95" s="8" t="s">
        <v>9588</v>
      </c>
      <c r="M95" s="10" t="s">
        <v>1436</v>
      </c>
      <c r="N95" s="8" t="s">
        <v>87</v>
      </c>
      <c r="O95" s="10" t="s">
        <v>35</v>
      </c>
      <c r="P95" s="8" t="s">
        <v>10172</v>
      </c>
      <c r="Q95" s="10" t="s">
        <v>223</v>
      </c>
      <c r="R95" s="10" t="s">
        <v>1438</v>
      </c>
      <c r="S95" s="8" t="s">
        <v>10173</v>
      </c>
      <c r="T95" s="10" t="s">
        <v>10156</v>
      </c>
      <c r="U95" s="10" t="s">
        <v>87</v>
      </c>
      <c r="V95" s="10" t="s">
        <v>87</v>
      </c>
    </row>
    <row r="96" spans="1:22" s="10" customFormat="1" x14ac:dyDescent="0.25">
      <c r="A96" s="10" t="s">
        <v>10174</v>
      </c>
      <c r="B96" s="10" t="s">
        <v>10151</v>
      </c>
      <c r="C96" s="10" t="s">
        <v>215</v>
      </c>
      <c r="D96" s="10" t="s">
        <v>10175</v>
      </c>
      <c r="E96" s="8" t="s">
        <v>10176</v>
      </c>
      <c r="F96" s="8" t="s">
        <v>10177</v>
      </c>
      <c r="G96" s="10" t="s">
        <v>3</v>
      </c>
      <c r="H96" s="8" t="s">
        <v>9582</v>
      </c>
      <c r="I96" s="10" t="s">
        <v>87</v>
      </c>
      <c r="J96" s="8" t="s">
        <v>9545</v>
      </c>
      <c r="K96" s="8" t="s">
        <v>1435</v>
      </c>
      <c r="L96" s="8" t="s">
        <v>9671</v>
      </c>
      <c r="M96" s="10" t="s">
        <v>1436</v>
      </c>
      <c r="N96" s="8" t="s">
        <v>87</v>
      </c>
      <c r="O96" s="10" t="s">
        <v>35</v>
      </c>
      <c r="P96" s="8" t="s">
        <v>10178</v>
      </c>
      <c r="Q96" s="10" t="s">
        <v>223</v>
      </c>
      <c r="R96" s="10" t="s">
        <v>1438</v>
      </c>
      <c r="S96" s="8" t="s">
        <v>220</v>
      </c>
      <c r="T96" s="10" t="s">
        <v>10156</v>
      </c>
      <c r="U96" s="10" t="s">
        <v>87</v>
      </c>
      <c r="V96" s="10" t="s">
        <v>87</v>
      </c>
    </row>
    <row r="97" spans="1:22" s="10" customFormat="1" x14ac:dyDescent="0.25">
      <c r="A97" s="10" t="s">
        <v>10179</v>
      </c>
      <c r="B97" s="10" t="s">
        <v>10151</v>
      </c>
      <c r="C97" s="11" t="s">
        <v>346</v>
      </c>
      <c r="D97" s="10" t="s">
        <v>10180</v>
      </c>
      <c r="E97" s="8" t="s">
        <v>10181</v>
      </c>
      <c r="F97" s="8" t="s">
        <v>10182</v>
      </c>
      <c r="G97" s="10" t="s">
        <v>3</v>
      </c>
      <c r="H97" s="8" t="s">
        <v>10183</v>
      </c>
      <c r="I97" s="10" t="s">
        <v>1000</v>
      </c>
      <c r="J97" s="8" t="s">
        <v>9545</v>
      </c>
      <c r="K97" s="8" t="s">
        <v>1435</v>
      </c>
      <c r="L97" s="8" t="s">
        <v>10184</v>
      </c>
      <c r="M97" s="10" t="s">
        <v>1436</v>
      </c>
      <c r="N97" s="8" t="s">
        <v>87</v>
      </c>
      <c r="O97" s="10" t="s">
        <v>35</v>
      </c>
      <c r="P97" s="8" t="s">
        <v>10185</v>
      </c>
      <c r="Q97" s="10" t="s">
        <v>223</v>
      </c>
      <c r="R97" s="10" t="s">
        <v>1438</v>
      </c>
      <c r="S97" s="8" t="s">
        <v>10186</v>
      </c>
      <c r="T97" s="10" t="s">
        <v>10156</v>
      </c>
      <c r="U97" s="10" t="s">
        <v>87</v>
      </c>
      <c r="V97" s="10" t="s">
        <v>87</v>
      </c>
    </row>
    <row r="98" spans="1:22" s="10" customFormat="1" x14ac:dyDescent="0.25">
      <c r="A98" s="10" t="s">
        <v>10187</v>
      </c>
      <c r="B98" s="10" t="s">
        <v>10151</v>
      </c>
      <c r="C98" s="10" t="s">
        <v>215</v>
      </c>
      <c r="D98" s="10" t="s">
        <v>10188</v>
      </c>
      <c r="E98" s="8" t="s">
        <v>10189</v>
      </c>
      <c r="F98" s="8" t="s">
        <v>10190</v>
      </c>
      <c r="G98" s="10" t="s">
        <v>3</v>
      </c>
      <c r="H98" s="8" t="s">
        <v>10191</v>
      </c>
      <c r="I98" s="10" t="s">
        <v>1000</v>
      </c>
      <c r="J98" s="8" t="s">
        <v>9545</v>
      </c>
      <c r="K98" s="8" t="s">
        <v>1435</v>
      </c>
      <c r="L98" s="8" t="s">
        <v>10184</v>
      </c>
      <c r="M98" s="10" t="s">
        <v>1436</v>
      </c>
      <c r="N98" s="8" t="s">
        <v>87</v>
      </c>
      <c r="O98" s="10" t="s">
        <v>35</v>
      </c>
      <c r="P98" s="8" t="s">
        <v>10192</v>
      </c>
      <c r="Q98" s="10" t="s">
        <v>223</v>
      </c>
      <c r="R98" s="10" t="s">
        <v>1438</v>
      </c>
      <c r="S98" s="8" t="s">
        <v>10193</v>
      </c>
      <c r="T98" s="10" t="s">
        <v>10156</v>
      </c>
      <c r="U98" s="10" t="s">
        <v>87</v>
      </c>
      <c r="V98" s="10" t="s">
        <v>87</v>
      </c>
    </row>
    <row r="99" spans="1:22" s="10" customFormat="1" x14ac:dyDescent="0.25">
      <c r="A99" s="10" t="s">
        <v>10194</v>
      </c>
      <c r="B99" s="10" t="s">
        <v>10151</v>
      </c>
      <c r="C99" s="10" t="s">
        <v>215</v>
      </c>
      <c r="D99" s="10" t="s">
        <v>10195</v>
      </c>
      <c r="E99" s="8" t="s">
        <v>10196</v>
      </c>
      <c r="F99" s="8" t="s">
        <v>10197</v>
      </c>
      <c r="G99" s="10" t="s">
        <v>3</v>
      </c>
      <c r="H99" s="8" t="s">
        <v>220</v>
      </c>
      <c r="I99" s="10" t="s">
        <v>1000</v>
      </c>
      <c r="J99" s="8" t="s">
        <v>9545</v>
      </c>
      <c r="K99" s="8" t="s">
        <v>1435</v>
      </c>
      <c r="L99" s="8" t="s">
        <v>9671</v>
      </c>
      <c r="M99" s="10" t="s">
        <v>1436</v>
      </c>
      <c r="N99" s="8" t="s">
        <v>87</v>
      </c>
      <c r="O99" s="10" t="s">
        <v>35</v>
      </c>
      <c r="P99" s="8" t="s">
        <v>10198</v>
      </c>
      <c r="Q99" s="10" t="s">
        <v>239</v>
      </c>
      <c r="R99" s="10" t="s">
        <v>1438</v>
      </c>
      <c r="S99" s="8" t="s">
        <v>10199</v>
      </c>
      <c r="T99" s="10" t="s">
        <v>10156</v>
      </c>
      <c r="U99" s="10" t="s">
        <v>87</v>
      </c>
      <c r="V99" s="10" t="s">
        <v>87</v>
      </c>
    </row>
    <row r="100" spans="1:22" s="10" customFormat="1" x14ac:dyDescent="0.25">
      <c r="A100" s="10" t="s">
        <v>10200</v>
      </c>
      <c r="B100" s="10" t="s">
        <v>10151</v>
      </c>
      <c r="C100" s="11" t="s">
        <v>346</v>
      </c>
      <c r="D100" s="10" t="s">
        <v>10201</v>
      </c>
      <c r="E100" s="8" t="s">
        <v>10202</v>
      </c>
      <c r="F100" s="8" t="s">
        <v>10203</v>
      </c>
      <c r="G100" s="10" t="s">
        <v>3</v>
      </c>
      <c r="H100" s="8" t="s">
        <v>10204</v>
      </c>
      <c r="I100" s="10" t="s">
        <v>10205</v>
      </c>
      <c r="J100" s="8" t="s">
        <v>9545</v>
      </c>
      <c r="K100" s="8" t="s">
        <v>1435</v>
      </c>
      <c r="L100" s="8" t="s">
        <v>10184</v>
      </c>
      <c r="M100" s="10" t="s">
        <v>1436</v>
      </c>
      <c r="N100" s="8" t="s">
        <v>87</v>
      </c>
      <c r="O100" s="10" t="s">
        <v>35</v>
      </c>
      <c r="P100" s="8" t="s">
        <v>10206</v>
      </c>
      <c r="Q100" s="10" t="s">
        <v>223</v>
      </c>
      <c r="R100" s="10" t="s">
        <v>1438</v>
      </c>
      <c r="S100" s="8" t="s">
        <v>10207</v>
      </c>
      <c r="T100" s="10" t="s">
        <v>10156</v>
      </c>
      <c r="U100" s="10" t="s">
        <v>87</v>
      </c>
      <c r="V100" s="10" t="s">
        <v>87</v>
      </c>
    </row>
    <row r="101" spans="1:22" s="10" customFormat="1" x14ac:dyDescent="0.25">
      <c r="A101" s="10" t="s">
        <v>10208</v>
      </c>
      <c r="B101" s="10" t="s">
        <v>10151</v>
      </c>
      <c r="C101" s="11" t="s">
        <v>346</v>
      </c>
      <c r="D101" s="10" t="s">
        <v>10209</v>
      </c>
      <c r="E101" s="8" t="s">
        <v>10210</v>
      </c>
      <c r="F101" s="8" t="s">
        <v>10211</v>
      </c>
      <c r="G101" s="10" t="s">
        <v>3</v>
      </c>
      <c r="H101" s="8" t="s">
        <v>10212</v>
      </c>
      <c r="I101" s="10" t="s">
        <v>87</v>
      </c>
      <c r="J101" s="8" t="s">
        <v>9545</v>
      </c>
      <c r="K101" s="8" t="s">
        <v>1435</v>
      </c>
      <c r="L101" s="8" t="s">
        <v>9588</v>
      </c>
      <c r="M101" s="10" t="s">
        <v>1436</v>
      </c>
      <c r="N101" s="8" t="s">
        <v>87</v>
      </c>
      <c r="O101" s="10" t="s">
        <v>35</v>
      </c>
      <c r="P101" s="8" t="s">
        <v>10213</v>
      </c>
      <c r="Q101" s="10" t="s">
        <v>246</v>
      </c>
      <c r="R101" s="10" t="s">
        <v>1438</v>
      </c>
      <c r="S101" s="8" t="s">
        <v>220</v>
      </c>
      <c r="T101" s="10" t="s">
        <v>10156</v>
      </c>
      <c r="U101" s="10" t="s">
        <v>87</v>
      </c>
      <c r="V101" s="10" t="s">
        <v>87</v>
      </c>
    </row>
    <row r="102" spans="1:22" s="10" customFormat="1" x14ac:dyDescent="0.25">
      <c r="A102" s="10" t="s">
        <v>10214</v>
      </c>
      <c r="B102" s="10" t="s">
        <v>10151</v>
      </c>
      <c r="C102" s="11" t="s">
        <v>346</v>
      </c>
      <c r="D102" s="10" t="s">
        <v>10215</v>
      </c>
      <c r="E102" s="8" t="s">
        <v>10216</v>
      </c>
      <c r="F102" s="8" t="s">
        <v>10217</v>
      </c>
      <c r="G102" s="10" t="s">
        <v>3</v>
      </c>
      <c r="H102" s="8" t="s">
        <v>10218</v>
      </c>
      <c r="I102" s="10" t="s">
        <v>9649</v>
      </c>
      <c r="J102" s="8" t="s">
        <v>9545</v>
      </c>
      <c r="K102" s="8" t="s">
        <v>1435</v>
      </c>
      <c r="L102" s="8" t="s">
        <v>9671</v>
      </c>
      <c r="M102" s="10" t="s">
        <v>1436</v>
      </c>
      <c r="N102" s="8" t="s">
        <v>87</v>
      </c>
      <c r="O102" s="10" t="s">
        <v>35</v>
      </c>
      <c r="P102" s="8" t="s">
        <v>10219</v>
      </c>
      <c r="Q102" s="10" t="s">
        <v>223</v>
      </c>
      <c r="R102" s="10" t="s">
        <v>1438</v>
      </c>
      <c r="S102" s="8" t="s">
        <v>220</v>
      </c>
      <c r="T102" s="10" t="s">
        <v>10156</v>
      </c>
      <c r="U102" s="10" t="s">
        <v>87</v>
      </c>
      <c r="V102" s="10" t="s">
        <v>87</v>
      </c>
    </row>
    <row r="103" spans="1:22" s="10" customFormat="1" x14ac:dyDescent="0.25">
      <c r="A103" s="10" t="s">
        <v>10220</v>
      </c>
      <c r="B103" s="10" t="s">
        <v>10151</v>
      </c>
      <c r="C103" s="10" t="s">
        <v>215</v>
      </c>
      <c r="D103" s="10" t="s">
        <v>10221</v>
      </c>
      <c r="E103" s="8" t="s">
        <v>10222</v>
      </c>
      <c r="F103" s="8" t="s">
        <v>10223</v>
      </c>
      <c r="G103" s="10" t="s">
        <v>4</v>
      </c>
      <c r="H103" s="8" t="s">
        <v>10224</v>
      </c>
      <c r="I103" s="10" t="s">
        <v>87</v>
      </c>
      <c r="J103" s="8" t="s">
        <v>9545</v>
      </c>
      <c r="K103" s="8" t="s">
        <v>10225</v>
      </c>
      <c r="L103" s="8" t="s">
        <v>10226</v>
      </c>
      <c r="M103" s="10" t="s">
        <v>1456</v>
      </c>
      <c r="N103" s="8" t="s">
        <v>87</v>
      </c>
      <c r="O103" s="10" t="s">
        <v>35</v>
      </c>
      <c r="P103" s="8" t="s">
        <v>10227</v>
      </c>
      <c r="Q103" s="10" t="s">
        <v>246</v>
      </c>
      <c r="R103" s="10" t="s">
        <v>1438</v>
      </c>
      <c r="S103" s="8" t="s">
        <v>220</v>
      </c>
      <c r="T103" s="10" t="s">
        <v>10156</v>
      </c>
      <c r="U103" s="10" t="s">
        <v>87</v>
      </c>
      <c r="V103" s="10" t="s">
        <v>87</v>
      </c>
    </row>
    <row r="104" spans="1:22" s="10" customFormat="1" x14ac:dyDescent="0.25">
      <c r="A104" s="10" t="s">
        <v>10228</v>
      </c>
      <c r="B104" s="10" t="s">
        <v>10151</v>
      </c>
      <c r="C104" s="10" t="s">
        <v>215</v>
      </c>
      <c r="D104" s="10" t="s">
        <v>10229</v>
      </c>
      <c r="E104" s="8" t="s">
        <v>10230</v>
      </c>
      <c r="F104" s="8" t="s">
        <v>10231</v>
      </c>
      <c r="G104" s="10" t="s">
        <v>3</v>
      </c>
      <c r="H104" s="8" t="s">
        <v>10232</v>
      </c>
      <c r="I104" s="10" t="s">
        <v>87</v>
      </c>
      <c r="J104" s="8" t="s">
        <v>9545</v>
      </c>
      <c r="K104" s="8" t="s">
        <v>1435</v>
      </c>
      <c r="L104" s="8" t="s">
        <v>9588</v>
      </c>
      <c r="M104" s="10" t="s">
        <v>1436</v>
      </c>
      <c r="N104" s="8" t="s">
        <v>87</v>
      </c>
      <c r="O104" s="10" t="s">
        <v>35</v>
      </c>
      <c r="P104" s="8" t="s">
        <v>10233</v>
      </c>
      <c r="Q104" s="10" t="s">
        <v>246</v>
      </c>
      <c r="R104" s="10" t="s">
        <v>1438</v>
      </c>
      <c r="S104" s="8" t="s">
        <v>220</v>
      </c>
      <c r="T104" s="10" t="s">
        <v>10156</v>
      </c>
      <c r="U104" s="10" t="s">
        <v>87</v>
      </c>
      <c r="V104" s="10" t="s">
        <v>87</v>
      </c>
    </row>
    <row r="105" spans="1:22" s="10" customFormat="1" x14ac:dyDescent="0.25">
      <c r="A105" s="10" t="s">
        <v>10234</v>
      </c>
      <c r="B105" s="10" t="s">
        <v>10151</v>
      </c>
      <c r="C105" s="10" t="s">
        <v>215</v>
      </c>
      <c r="D105" s="10" t="s">
        <v>10235</v>
      </c>
      <c r="E105" s="8" t="s">
        <v>10236</v>
      </c>
      <c r="F105" s="8" t="s">
        <v>10237</v>
      </c>
      <c r="G105" s="10" t="s">
        <v>3</v>
      </c>
      <c r="H105" s="8" t="s">
        <v>10238</v>
      </c>
      <c r="I105" s="10" t="s">
        <v>10239</v>
      </c>
      <c r="J105" s="8" t="s">
        <v>9545</v>
      </c>
      <c r="K105" s="8" t="s">
        <v>1435</v>
      </c>
      <c r="L105" s="8" t="s">
        <v>9361</v>
      </c>
      <c r="M105" s="10" t="s">
        <v>1436</v>
      </c>
      <c r="N105" s="8" t="s">
        <v>87</v>
      </c>
      <c r="O105" s="10" t="s">
        <v>43</v>
      </c>
      <c r="P105" s="8" t="s">
        <v>10240</v>
      </c>
      <c r="Q105" s="10" t="s">
        <v>223</v>
      </c>
      <c r="R105" s="10" t="s">
        <v>1438</v>
      </c>
      <c r="S105" s="8" t="s">
        <v>220</v>
      </c>
      <c r="T105" s="10" t="s">
        <v>10156</v>
      </c>
      <c r="U105" s="10" t="s">
        <v>87</v>
      </c>
      <c r="V105" s="10" t="s">
        <v>87</v>
      </c>
    </row>
    <row r="106" spans="1:22" s="10" customFormat="1" x14ac:dyDescent="0.25">
      <c r="A106" s="10" t="s">
        <v>10241</v>
      </c>
      <c r="B106" s="10" t="s">
        <v>10151</v>
      </c>
      <c r="C106" s="10" t="s">
        <v>215</v>
      </c>
      <c r="D106" s="10" t="s">
        <v>10242</v>
      </c>
      <c r="E106" s="8" t="s">
        <v>10243</v>
      </c>
      <c r="F106" s="8" t="s">
        <v>10244</v>
      </c>
      <c r="G106" s="10" t="s">
        <v>3</v>
      </c>
      <c r="H106" s="8" t="s">
        <v>10245</v>
      </c>
      <c r="I106" s="10" t="s">
        <v>10239</v>
      </c>
      <c r="J106" s="8" t="s">
        <v>9545</v>
      </c>
      <c r="K106" s="8" t="s">
        <v>1435</v>
      </c>
      <c r="L106" s="8" t="s">
        <v>9588</v>
      </c>
      <c r="M106" s="10" t="s">
        <v>1436</v>
      </c>
      <c r="N106" s="8" t="s">
        <v>87</v>
      </c>
      <c r="O106" s="10" t="s">
        <v>43</v>
      </c>
      <c r="P106" s="8" t="s">
        <v>10246</v>
      </c>
      <c r="Q106" s="10" t="s">
        <v>246</v>
      </c>
      <c r="R106" s="10" t="s">
        <v>1438</v>
      </c>
      <c r="S106" s="8" t="s">
        <v>220</v>
      </c>
      <c r="T106" s="10" t="s">
        <v>10156</v>
      </c>
      <c r="U106" s="10" t="s">
        <v>87</v>
      </c>
      <c r="V106" s="10" t="s">
        <v>87</v>
      </c>
    </row>
    <row r="107" spans="1:22" s="10" customFormat="1" x14ac:dyDescent="0.25">
      <c r="A107" s="10" t="s">
        <v>10247</v>
      </c>
      <c r="B107" s="10" t="s">
        <v>10151</v>
      </c>
      <c r="C107" s="10" t="s">
        <v>215</v>
      </c>
      <c r="D107" s="10" t="s">
        <v>10248</v>
      </c>
      <c r="E107" s="8" t="s">
        <v>10249</v>
      </c>
      <c r="F107" s="8" t="s">
        <v>10250</v>
      </c>
      <c r="G107" s="10" t="s">
        <v>3</v>
      </c>
      <c r="H107" s="8" t="s">
        <v>10251</v>
      </c>
      <c r="I107" s="10" t="s">
        <v>1000</v>
      </c>
      <c r="J107" s="8" t="s">
        <v>9545</v>
      </c>
      <c r="K107" s="8" t="s">
        <v>1435</v>
      </c>
      <c r="L107" s="8" t="s">
        <v>10252</v>
      </c>
      <c r="M107" s="10" t="s">
        <v>1436</v>
      </c>
      <c r="N107" s="8" t="s">
        <v>87</v>
      </c>
      <c r="O107" s="10" t="s">
        <v>35</v>
      </c>
      <c r="P107" s="8" t="s">
        <v>10253</v>
      </c>
      <c r="Q107" s="10" t="s">
        <v>223</v>
      </c>
      <c r="R107" s="10" t="s">
        <v>1438</v>
      </c>
      <c r="S107" s="8" t="s">
        <v>10254</v>
      </c>
      <c r="T107" s="10" t="s">
        <v>10156</v>
      </c>
      <c r="U107" s="10" t="s">
        <v>87</v>
      </c>
      <c r="V107" s="10" t="s">
        <v>87</v>
      </c>
    </row>
    <row r="108" spans="1:22" s="10" customFormat="1" x14ac:dyDescent="0.25">
      <c r="A108" s="10" t="s">
        <v>10255</v>
      </c>
      <c r="B108" s="10" t="s">
        <v>10151</v>
      </c>
      <c r="C108" s="11" t="s">
        <v>346</v>
      </c>
      <c r="D108" s="10" t="s">
        <v>10256</v>
      </c>
      <c r="E108" s="8" t="s">
        <v>10257</v>
      </c>
      <c r="F108" s="8" t="s">
        <v>10258</v>
      </c>
      <c r="G108" s="10" t="s">
        <v>3</v>
      </c>
      <c r="H108" s="8" t="s">
        <v>10259</v>
      </c>
      <c r="I108" s="10" t="s">
        <v>10260</v>
      </c>
      <c r="J108" s="8" t="s">
        <v>9545</v>
      </c>
      <c r="K108" s="8" t="s">
        <v>1435</v>
      </c>
      <c r="L108" s="8" t="s">
        <v>10261</v>
      </c>
      <c r="M108" s="10" t="s">
        <v>1436</v>
      </c>
      <c r="N108" s="8" t="s">
        <v>87</v>
      </c>
      <c r="O108" s="10" t="s">
        <v>35</v>
      </c>
      <c r="P108" s="8" t="s">
        <v>10262</v>
      </c>
      <c r="Q108" s="10" t="s">
        <v>223</v>
      </c>
      <c r="R108" s="10" t="s">
        <v>1438</v>
      </c>
      <c r="S108" s="8" t="s">
        <v>10263</v>
      </c>
      <c r="T108" s="10" t="s">
        <v>10156</v>
      </c>
      <c r="U108" s="10" t="s">
        <v>87</v>
      </c>
      <c r="V108" s="10" t="s">
        <v>87</v>
      </c>
    </row>
    <row r="109" spans="1:22" s="10" customFormat="1" x14ac:dyDescent="0.25">
      <c r="A109" s="10" t="s">
        <v>10264</v>
      </c>
      <c r="B109" s="10" t="s">
        <v>10151</v>
      </c>
      <c r="C109" s="11" t="s">
        <v>346</v>
      </c>
      <c r="D109" s="10" t="s">
        <v>10265</v>
      </c>
      <c r="E109" s="8" t="s">
        <v>10266</v>
      </c>
      <c r="F109" s="8" t="s">
        <v>10267</v>
      </c>
      <c r="G109" s="10" t="s">
        <v>3</v>
      </c>
      <c r="H109" s="8" t="s">
        <v>10268</v>
      </c>
      <c r="I109" s="10" t="s">
        <v>10269</v>
      </c>
      <c r="J109" s="8" t="s">
        <v>9545</v>
      </c>
      <c r="K109" s="8" t="s">
        <v>1435</v>
      </c>
      <c r="L109" s="8" t="s">
        <v>10270</v>
      </c>
      <c r="M109" s="10" t="s">
        <v>1436</v>
      </c>
      <c r="N109" s="8" t="s">
        <v>87</v>
      </c>
      <c r="O109" s="10" t="s">
        <v>35</v>
      </c>
      <c r="P109" s="8" t="s">
        <v>10271</v>
      </c>
      <c r="Q109" s="10" t="s">
        <v>223</v>
      </c>
      <c r="R109" s="10" t="s">
        <v>1438</v>
      </c>
      <c r="S109" s="8" t="s">
        <v>10272</v>
      </c>
      <c r="T109" s="10" t="s">
        <v>10156</v>
      </c>
      <c r="U109" s="10" t="s">
        <v>87</v>
      </c>
      <c r="V109" s="10" t="s">
        <v>87</v>
      </c>
    </row>
    <row r="110" spans="1:22" s="10" customFormat="1" x14ac:dyDescent="0.25">
      <c r="A110" s="10" t="s">
        <v>10273</v>
      </c>
      <c r="B110" s="10" t="s">
        <v>10151</v>
      </c>
      <c r="C110" s="10" t="s">
        <v>215</v>
      </c>
      <c r="D110" s="10" t="s">
        <v>10274</v>
      </c>
      <c r="E110" s="8" t="s">
        <v>10275</v>
      </c>
      <c r="F110" s="8" t="s">
        <v>10276</v>
      </c>
      <c r="G110" s="10" t="s">
        <v>3</v>
      </c>
      <c r="H110" s="8" t="s">
        <v>10277</v>
      </c>
      <c r="I110" s="10" t="s">
        <v>6744</v>
      </c>
      <c r="J110" s="8" t="s">
        <v>9545</v>
      </c>
      <c r="K110" s="8" t="s">
        <v>1435</v>
      </c>
      <c r="L110" s="8" t="s">
        <v>10252</v>
      </c>
      <c r="M110" s="10" t="s">
        <v>1436</v>
      </c>
      <c r="N110" s="8" t="s">
        <v>87</v>
      </c>
      <c r="O110" s="10" t="s">
        <v>35</v>
      </c>
      <c r="P110" s="8" t="s">
        <v>10278</v>
      </c>
      <c r="Q110" s="10" t="s">
        <v>223</v>
      </c>
      <c r="R110" s="10" t="s">
        <v>1438</v>
      </c>
      <c r="S110" s="8" t="s">
        <v>10279</v>
      </c>
      <c r="T110" s="10" t="s">
        <v>10156</v>
      </c>
      <c r="U110" s="10" t="s">
        <v>87</v>
      </c>
      <c r="V110" s="10" t="s">
        <v>87</v>
      </c>
    </row>
    <row r="111" spans="1:22" s="10" customFormat="1" x14ac:dyDescent="0.25">
      <c r="A111" s="10" t="s">
        <v>10280</v>
      </c>
      <c r="B111" s="10" t="s">
        <v>10151</v>
      </c>
      <c r="C111" s="11" t="s">
        <v>346</v>
      </c>
      <c r="D111" s="10" t="s">
        <v>10281</v>
      </c>
      <c r="E111" s="8" t="s">
        <v>10282</v>
      </c>
      <c r="F111" s="8" t="s">
        <v>10283</v>
      </c>
      <c r="G111" s="10" t="s">
        <v>3</v>
      </c>
      <c r="H111" s="8" t="s">
        <v>10277</v>
      </c>
      <c r="I111" s="10" t="s">
        <v>1000</v>
      </c>
      <c r="J111" s="8" t="s">
        <v>9545</v>
      </c>
      <c r="K111" s="8" t="s">
        <v>1435</v>
      </c>
      <c r="L111" s="8" t="s">
        <v>10184</v>
      </c>
      <c r="M111" s="10" t="s">
        <v>1436</v>
      </c>
      <c r="N111" s="8" t="s">
        <v>87</v>
      </c>
      <c r="O111" s="10" t="s">
        <v>35</v>
      </c>
      <c r="P111" s="8" t="s">
        <v>10284</v>
      </c>
      <c r="Q111" s="10" t="s">
        <v>1447</v>
      </c>
      <c r="R111" s="10" t="s">
        <v>1438</v>
      </c>
      <c r="S111" s="8" t="s">
        <v>10285</v>
      </c>
      <c r="T111" s="10" t="s">
        <v>10156</v>
      </c>
      <c r="U111" s="10" t="s">
        <v>87</v>
      </c>
      <c r="V111" s="10" t="s">
        <v>87</v>
      </c>
    </row>
    <row r="112" spans="1:22" s="10" customFormat="1" x14ac:dyDescent="0.25">
      <c r="A112" s="10" t="s">
        <v>10286</v>
      </c>
      <c r="B112" s="10" t="s">
        <v>10151</v>
      </c>
      <c r="C112" s="11" t="s">
        <v>346</v>
      </c>
      <c r="D112" s="10" t="s">
        <v>10287</v>
      </c>
      <c r="E112" s="8" t="s">
        <v>10288</v>
      </c>
      <c r="F112" s="8" t="s">
        <v>10289</v>
      </c>
      <c r="G112" s="10" t="s">
        <v>4</v>
      </c>
      <c r="H112" s="8" t="s">
        <v>10277</v>
      </c>
      <c r="I112" s="10" t="s">
        <v>1000</v>
      </c>
      <c r="J112" s="8" t="s">
        <v>9545</v>
      </c>
      <c r="K112" s="8" t="s">
        <v>10225</v>
      </c>
      <c r="L112" s="8" t="s">
        <v>10252</v>
      </c>
      <c r="M112" s="10" t="s">
        <v>1456</v>
      </c>
      <c r="N112" s="8" t="s">
        <v>87</v>
      </c>
      <c r="O112" s="10" t="s">
        <v>35</v>
      </c>
      <c r="P112" s="8" t="s">
        <v>10290</v>
      </c>
      <c r="Q112" s="10" t="s">
        <v>246</v>
      </c>
      <c r="R112" s="10" t="s">
        <v>1438</v>
      </c>
      <c r="S112" s="8" t="s">
        <v>10291</v>
      </c>
      <c r="T112" s="10" t="s">
        <v>10156</v>
      </c>
      <c r="U112" s="10" t="s">
        <v>87</v>
      </c>
      <c r="V112" s="10" t="s">
        <v>87</v>
      </c>
    </row>
    <row r="113" spans="1:22" s="10" customFormat="1" x14ac:dyDescent="0.25">
      <c r="A113" s="10" t="s">
        <v>10292</v>
      </c>
      <c r="B113" s="10" t="s">
        <v>10151</v>
      </c>
      <c r="C113" s="10" t="s">
        <v>215</v>
      </c>
      <c r="D113" s="10" t="s">
        <v>10293</v>
      </c>
      <c r="E113" s="8" t="s">
        <v>10294</v>
      </c>
      <c r="F113" s="8" t="s">
        <v>10295</v>
      </c>
      <c r="G113" s="10" t="s">
        <v>3</v>
      </c>
      <c r="H113" s="8" t="s">
        <v>10277</v>
      </c>
      <c r="I113" s="10" t="s">
        <v>10296</v>
      </c>
      <c r="J113" s="8" t="s">
        <v>9545</v>
      </c>
      <c r="K113" s="8" t="s">
        <v>1435</v>
      </c>
      <c r="L113" s="8" t="s">
        <v>10297</v>
      </c>
      <c r="M113" s="10" t="s">
        <v>1436</v>
      </c>
      <c r="N113" s="8" t="s">
        <v>87</v>
      </c>
      <c r="O113" s="10" t="s">
        <v>35</v>
      </c>
      <c r="P113" s="8" t="s">
        <v>10298</v>
      </c>
      <c r="Q113" s="10" t="s">
        <v>1447</v>
      </c>
      <c r="R113" s="10" t="s">
        <v>1438</v>
      </c>
      <c r="S113" s="8" t="s">
        <v>10299</v>
      </c>
      <c r="T113" s="10" t="s">
        <v>10156</v>
      </c>
      <c r="U113" s="10" t="s">
        <v>87</v>
      </c>
      <c r="V113" s="10" t="s">
        <v>87</v>
      </c>
    </row>
    <row r="114" spans="1:22" s="10" customFormat="1" x14ac:dyDescent="0.25">
      <c r="A114" s="10" t="s">
        <v>10300</v>
      </c>
      <c r="B114" s="10" t="s">
        <v>10151</v>
      </c>
      <c r="C114" s="10" t="s">
        <v>215</v>
      </c>
      <c r="D114" s="10" t="s">
        <v>10301</v>
      </c>
      <c r="E114" s="8" t="s">
        <v>10302</v>
      </c>
      <c r="F114" s="8" t="s">
        <v>10303</v>
      </c>
      <c r="G114" s="10" t="s">
        <v>3</v>
      </c>
      <c r="H114" s="8" t="s">
        <v>9582</v>
      </c>
      <c r="I114" s="10" t="s">
        <v>919</v>
      </c>
      <c r="J114" s="8" t="s">
        <v>9545</v>
      </c>
      <c r="K114" s="8" t="s">
        <v>1435</v>
      </c>
      <c r="L114" s="8" t="s">
        <v>10252</v>
      </c>
      <c r="M114" s="10" t="s">
        <v>1436</v>
      </c>
      <c r="N114" s="8" t="s">
        <v>87</v>
      </c>
      <c r="O114" s="10" t="s">
        <v>46</v>
      </c>
      <c r="P114" s="8" t="s">
        <v>10304</v>
      </c>
      <c r="Q114" s="10" t="s">
        <v>223</v>
      </c>
      <c r="R114" s="10" t="s">
        <v>1438</v>
      </c>
      <c r="S114" s="8" t="s">
        <v>10305</v>
      </c>
      <c r="T114" s="10" t="s">
        <v>10156</v>
      </c>
      <c r="U114" s="10" t="s">
        <v>87</v>
      </c>
      <c r="V114" s="10" t="s">
        <v>87</v>
      </c>
    </row>
    <row r="115" spans="1:22" s="10" customFormat="1" x14ac:dyDescent="0.25">
      <c r="A115" s="10" t="s">
        <v>10306</v>
      </c>
      <c r="B115" s="10" t="s">
        <v>10151</v>
      </c>
      <c r="C115" s="11" t="s">
        <v>346</v>
      </c>
      <c r="D115" s="10" t="s">
        <v>10307</v>
      </c>
      <c r="E115" s="8" t="s">
        <v>10308</v>
      </c>
      <c r="F115" s="8" t="s">
        <v>10309</v>
      </c>
      <c r="G115" s="10" t="s">
        <v>3</v>
      </c>
      <c r="H115" s="8" t="s">
        <v>10310</v>
      </c>
      <c r="I115" s="10" t="s">
        <v>907</v>
      </c>
      <c r="J115" s="8" t="s">
        <v>9545</v>
      </c>
      <c r="K115" s="8" t="s">
        <v>1435</v>
      </c>
      <c r="L115" s="8" t="s">
        <v>10252</v>
      </c>
      <c r="M115" s="10" t="s">
        <v>1436</v>
      </c>
      <c r="N115" s="8" t="s">
        <v>87</v>
      </c>
      <c r="O115" s="10" t="s">
        <v>43</v>
      </c>
      <c r="P115" s="8" t="s">
        <v>10311</v>
      </c>
      <c r="Q115" s="10" t="s">
        <v>223</v>
      </c>
      <c r="R115" s="10" t="s">
        <v>1438</v>
      </c>
      <c r="S115" s="8" t="s">
        <v>10312</v>
      </c>
      <c r="T115" s="10" t="s">
        <v>10156</v>
      </c>
      <c r="U115" s="10" t="s">
        <v>87</v>
      </c>
      <c r="V115" s="10" t="s">
        <v>87</v>
      </c>
    </row>
    <row r="116" spans="1:22" s="10" customFormat="1" x14ac:dyDescent="0.25">
      <c r="A116" s="10" t="s">
        <v>10313</v>
      </c>
      <c r="B116" s="10" t="s">
        <v>10314</v>
      </c>
      <c r="C116" s="11" t="s">
        <v>346</v>
      </c>
      <c r="D116" s="10" t="s">
        <v>10315</v>
      </c>
      <c r="E116" s="8" t="s">
        <v>10316</v>
      </c>
      <c r="F116" s="8" t="s">
        <v>10317</v>
      </c>
      <c r="G116" s="10" t="s">
        <v>3</v>
      </c>
      <c r="H116" s="8" t="s">
        <v>10318</v>
      </c>
      <c r="I116" s="10" t="s">
        <v>907</v>
      </c>
      <c r="J116" s="8" t="s">
        <v>10319</v>
      </c>
      <c r="K116" s="8" t="s">
        <v>1435</v>
      </c>
      <c r="L116" s="8" t="s">
        <v>9588</v>
      </c>
      <c r="M116" s="10" t="s">
        <v>1436</v>
      </c>
      <c r="N116" s="8" t="s">
        <v>87</v>
      </c>
      <c r="O116" s="10" t="s">
        <v>35</v>
      </c>
      <c r="P116" s="8" t="s">
        <v>10320</v>
      </c>
      <c r="Q116" s="10" t="s">
        <v>223</v>
      </c>
      <c r="R116" s="10" t="s">
        <v>2841</v>
      </c>
      <c r="S116" s="8" t="s">
        <v>10321</v>
      </c>
      <c r="T116" s="10" t="s">
        <v>10322</v>
      </c>
      <c r="U116" s="10" t="s">
        <v>87</v>
      </c>
      <c r="V116" s="10" t="s">
        <v>87</v>
      </c>
    </row>
    <row r="117" spans="1:22" s="10" customFormat="1" x14ac:dyDescent="0.25">
      <c r="A117" s="10" t="s">
        <v>10323</v>
      </c>
      <c r="B117" s="10" t="s">
        <v>10314</v>
      </c>
      <c r="C117" s="11" t="s">
        <v>346</v>
      </c>
      <c r="D117" s="10" t="s">
        <v>10324</v>
      </c>
      <c r="E117" s="8" t="s">
        <v>10325</v>
      </c>
      <c r="F117" s="8" t="s">
        <v>10326</v>
      </c>
      <c r="G117" s="10" t="s">
        <v>3</v>
      </c>
      <c r="H117" s="8" t="s">
        <v>10327</v>
      </c>
      <c r="I117" s="10" t="s">
        <v>907</v>
      </c>
      <c r="J117" s="8" t="s">
        <v>10319</v>
      </c>
      <c r="K117" s="8" t="s">
        <v>1435</v>
      </c>
      <c r="L117" s="8" t="s">
        <v>9588</v>
      </c>
      <c r="M117" s="10" t="s">
        <v>1436</v>
      </c>
      <c r="N117" s="8" t="s">
        <v>87</v>
      </c>
      <c r="O117" s="10" t="s">
        <v>35</v>
      </c>
      <c r="P117" s="8" t="s">
        <v>10328</v>
      </c>
      <c r="Q117" s="10" t="s">
        <v>246</v>
      </c>
      <c r="R117" s="10" t="s">
        <v>2841</v>
      </c>
      <c r="S117" s="8" t="s">
        <v>10329</v>
      </c>
      <c r="T117" s="10" t="s">
        <v>10322</v>
      </c>
      <c r="U117" s="10" t="s">
        <v>87</v>
      </c>
      <c r="V117" s="10" t="s">
        <v>87</v>
      </c>
    </row>
    <row r="118" spans="1:22" s="10" customFormat="1" x14ac:dyDescent="0.25">
      <c r="A118" s="10" t="s">
        <v>10330</v>
      </c>
      <c r="B118" s="10" t="s">
        <v>10314</v>
      </c>
      <c r="C118" s="11" t="s">
        <v>346</v>
      </c>
      <c r="D118" s="10" t="s">
        <v>10331</v>
      </c>
      <c r="E118" s="8" t="s">
        <v>10332</v>
      </c>
      <c r="F118" s="8" t="s">
        <v>10333</v>
      </c>
      <c r="G118" s="10" t="s">
        <v>3</v>
      </c>
      <c r="H118" s="8" t="s">
        <v>10334</v>
      </c>
      <c r="I118" s="10" t="s">
        <v>907</v>
      </c>
      <c r="J118" s="8" t="s">
        <v>10319</v>
      </c>
      <c r="K118" s="8" t="s">
        <v>1435</v>
      </c>
      <c r="L118" s="8" t="s">
        <v>9671</v>
      </c>
      <c r="M118" s="10" t="s">
        <v>1436</v>
      </c>
      <c r="N118" s="8" t="s">
        <v>87</v>
      </c>
      <c r="O118" s="10" t="s">
        <v>35</v>
      </c>
      <c r="P118" s="8" t="s">
        <v>10335</v>
      </c>
      <c r="Q118" s="10" t="s">
        <v>223</v>
      </c>
      <c r="R118" s="10" t="s">
        <v>2841</v>
      </c>
      <c r="S118" s="8" t="s">
        <v>10336</v>
      </c>
      <c r="T118" s="10" t="s">
        <v>10322</v>
      </c>
      <c r="U118" s="10" t="s">
        <v>87</v>
      </c>
      <c r="V118" s="10" t="s">
        <v>87</v>
      </c>
    </row>
    <row r="119" spans="1:22" s="10" customFormat="1" x14ac:dyDescent="0.25">
      <c r="A119" s="10" t="s">
        <v>10337</v>
      </c>
      <c r="B119" s="10" t="s">
        <v>10314</v>
      </c>
      <c r="C119" s="11" t="s">
        <v>346</v>
      </c>
      <c r="D119" s="10" t="s">
        <v>10338</v>
      </c>
      <c r="E119" s="8" t="s">
        <v>10339</v>
      </c>
      <c r="F119" s="8" t="s">
        <v>10340</v>
      </c>
      <c r="G119" s="10" t="s">
        <v>3</v>
      </c>
      <c r="H119" s="8" t="s">
        <v>10341</v>
      </c>
      <c r="I119" s="10" t="s">
        <v>907</v>
      </c>
      <c r="J119" s="8" t="s">
        <v>10319</v>
      </c>
      <c r="K119" s="8" t="s">
        <v>1435</v>
      </c>
      <c r="L119" s="8" t="s">
        <v>9671</v>
      </c>
      <c r="M119" s="10" t="s">
        <v>1436</v>
      </c>
      <c r="N119" s="8" t="s">
        <v>87</v>
      </c>
      <c r="O119" s="10" t="s">
        <v>35</v>
      </c>
      <c r="P119" s="8" t="s">
        <v>10342</v>
      </c>
      <c r="Q119" s="10" t="s">
        <v>246</v>
      </c>
      <c r="R119" s="10" t="s">
        <v>2841</v>
      </c>
      <c r="S119" s="8" t="s">
        <v>10343</v>
      </c>
      <c r="T119" s="10" t="s">
        <v>10322</v>
      </c>
      <c r="U119" s="10" t="s">
        <v>87</v>
      </c>
      <c r="V119" s="10" t="s">
        <v>87</v>
      </c>
    </row>
    <row r="120" spans="1:22" s="10" customFormat="1" x14ac:dyDescent="0.25">
      <c r="A120" s="10" t="s">
        <v>10344</v>
      </c>
      <c r="B120" s="10" t="s">
        <v>10314</v>
      </c>
      <c r="C120" s="10" t="s">
        <v>215</v>
      </c>
      <c r="D120" s="10" t="s">
        <v>10345</v>
      </c>
      <c r="E120" s="8" t="s">
        <v>10346</v>
      </c>
      <c r="F120" s="8" t="s">
        <v>10347</v>
      </c>
      <c r="G120" s="10" t="s">
        <v>3</v>
      </c>
      <c r="H120" s="8" t="s">
        <v>10348</v>
      </c>
      <c r="I120" s="10" t="s">
        <v>907</v>
      </c>
      <c r="J120" s="8" t="s">
        <v>10319</v>
      </c>
      <c r="K120" s="8" t="s">
        <v>1435</v>
      </c>
      <c r="L120" s="8" t="s">
        <v>9671</v>
      </c>
      <c r="M120" s="10" t="s">
        <v>1436</v>
      </c>
      <c r="N120" s="8" t="s">
        <v>87</v>
      </c>
      <c r="O120" s="10" t="s">
        <v>35</v>
      </c>
      <c r="P120" s="8" t="s">
        <v>10349</v>
      </c>
      <c r="Q120" s="10" t="s">
        <v>223</v>
      </c>
      <c r="R120" s="10" t="s">
        <v>2841</v>
      </c>
      <c r="S120" s="8" t="s">
        <v>10350</v>
      </c>
      <c r="T120" s="10" t="s">
        <v>10322</v>
      </c>
      <c r="U120" s="10" t="s">
        <v>87</v>
      </c>
      <c r="V120" s="10" t="s">
        <v>87</v>
      </c>
    </row>
    <row r="121" spans="1:22" s="10" customFormat="1" x14ac:dyDescent="0.25">
      <c r="A121" s="10" t="s">
        <v>10351</v>
      </c>
      <c r="B121" s="10" t="s">
        <v>10314</v>
      </c>
      <c r="C121" s="10" t="s">
        <v>215</v>
      </c>
      <c r="D121" s="10" t="s">
        <v>10352</v>
      </c>
      <c r="E121" s="8" t="s">
        <v>10353</v>
      </c>
      <c r="F121" s="8" t="s">
        <v>10354</v>
      </c>
      <c r="G121" s="10" t="s">
        <v>3</v>
      </c>
      <c r="H121" s="8" t="s">
        <v>10355</v>
      </c>
      <c r="I121" s="10" t="s">
        <v>907</v>
      </c>
      <c r="J121" s="8" t="s">
        <v>10319</v>
      </c>
      <c r="K121" s="8" t="s">
        <v>1435</v>
      </c>
      <c r="L121" s="8" t="s">
        <v>9671</v>
      </c>
      <c r="M121" s="10" t="s">
        <v>1436</v>
      </c>
      <c r="N121" s="8" t="s">
        <v>87</v>
      </c>
      <c r="O121" s="10" t="s">
        <v>35</v>
      </c>
      <c r="P121" s="8" t="s">
        <v>10356</v>
      </c>
      <c r="Q121" s="10" t="s">
        <v>239</v>
      </c>
      <c r="R121" s="10" t="s">
        <v>2841</v>
      </c>
      <c r="S121" s="8" t="s">
        <v>10357</v>
      </c>
      <c r="T121" s="10" t="s">
        <v>10322</v>
      </c>
      <c r="U121" s="10" t="s">
        <v>87</v>
      </c>
      <c r="V121" s="10" t="s">
        <v>87</v>
      </c>
    </row>
    <row r="122" spans="1:22" s="10" customFormat="1" x14ac:dyDescent="0.25">
      <c r="A122" s="10" t="s">
        <v>10358</v>
      </c>
      <c r="B122" s="10" t="s">
        <v>10314</v>
      </c>
      <c r="C122" s="10" t="s">
        <v>215</v>
      </c>
      <c r="D122" s="10" t="s">
        <v>10359</v>
      </c>
      <c r="E122" s="8" t="s">
        <v>10360</v>
      </c>
      <c r="F122" s="8" t="s">
        <v>10361</v>
      </c>
      <c r="G122" s="10" t="s">
        <v>3</v>
      </c>
      <c r="H122" s="8" t="s">
        <v>10362</v>
      </c>
      <c r="I122" s="10" t="s">
        <v>907</v>
      </c>
      <c r="J122" s="8" t="s">
        <v>10319</v>
      </c>
      <c r="K122" s="8" t="s">
        <v>1435</v>
      </c>
      <c r="L122" s="8" t="s">
        <v>9671</v>
      </c>
      <c r="M122" s="10" t="s">
        <v>1436</v>
      </c>
      <c r="N122" s="8" t="s">
        <v>87</v>
      </c>
      <c r="O122" s="10" t="s">
        <v>35</v>
      </c>
      <c r="P122" s="8" t="s">
        <v>10363</v>
      </c>
      <c r="Q122" s="10" t="s">
        <v>223</v>
      </c>
      <c r="R122" s="10" t="s">
        <v>2841</v>
      </c>
      <c r="S122" s="8" t="s">
        <v>220</v>
      </c>
      <c r="T122" s="10" t="s">
        <v>10322</v>
      </c>
      <c r="U122" s="10" t="s">
        <v>87</v>
      </c>
      <c r="V122" s="10" t="s">
        <v>87</v>
      </c>
    </row>
    <row r="123" spans="1:22" s="10" customFormat="1" x14ac:dyDescent="0.25">
      <c r="A123" s="10" t="s">
        <v>10364</v>
      </c>
      <c r="B123" s="10" t="s">
        <v>10314</v>
      </c>
      <c r="C123" s="11" t="s">
        <v>346</v>
      </c>
      <c r="D123" s="10" t="s">
        <v>10365</v>
      </c>
      <c r="E123" s="8" t="s">
        <v>10366</v>
      </c>
      <c r="F123" s="8" t="s">
        <v>10367</v>
      </c>
      <c r="G123" s="10" t="s">
        <v>3</v>
      </c>
      <c r="H123" s="8" t="s">
        <v>10362</v>
      </c>
      <c r="I123" s="10" t="s">
        <v>907</v>
      </c>
      <c r="J123" s="8" t="s">
        <v>10319</v>
      </c>
      <c r="K123" s="8" t="s">
        <v>1435</v>
      </c>
      <c r="L123" s="8" t="s">
        <v>10368</v>
      </c>
      <c r="M123" s="10" t="s">
        <v>1436</v>
      </c>
      <c r="N123" s="8" t="s">
        <v>87</v>
      </c>
      <c r="O123" s="10" t="s">
        <v>35</v>
      </c>
      <c r="P123" s="8" t="s">
        <v>10369</v>
      </c>
      <c r="Q123" s="10" t="s">
        <v>1447</v>
      </c>
      <c r="R123" s="10" t="s">
        <v>2841</v>
      </c>
      <c r="S123" s="8" t="s">
        <v>10370</v>
      </c>
      <c r="T123" s="10" t="s">
        <v>10322</v>
      </c>
      <c r="U123" s="10" t="s">
        <v>87</v>
      </c>
      <c r="V123" s="10" t="s">
        <v>87</v>
      </c>
    </row>
    <row r="124" spans="1:22" s="10" customFormat="1" x14ac:dyDescent="0.25">
      <c r="A124" s="10" t="s">
        <v>10371</v>
      </c>
      <c r="B124" s="10" t="s">
        <v>10314</v>
      </c>
      <c r="C124" s="11" t="s">
        <v>346</v>
      </c>
      <c r="D124" s="10" t="s">
        <v>10372</v>
      </c>
      <c r="E124" s="8" t="s">
        <v>10373</v>
      </c>
      <c r="F124" s="8" t="s">
        <v>10374</v>
      </c>
      <c r="G124" s="10" t="s">
        <v>3</v>
      </c>
      <c r="H124" s="8" t="s">
        <v>10375</v>
      </c>
      <c r="I124" s="10" t="s">
        <v>907</v>
      </c>
      <c r="J124" s="8" t="s">
        <v>10319</v>
      </c>
      <c r="K124" s="8" t="s">
        <v>1435</v>
      </c>
      <c r="L124" s="8" t="s">
        <v>9671</v>
      </c>
      <c r="M124" s="10" t="s">
        <v>1436</v>
      </c>
      <c r="N124" s="8" t="s">
        <v>87</v>
      </c>
      <c r="O124" s="10" t="s">
        <v>35</v>
      </c>
      <c r="P124" s="8" t="s">
        <v>10376</v>
      </c>
      <c r="Q124" s="10" t="s">
        <v>246</v>
      </c>
      <c r="R124" s="10" t="s">
        <v>2841</v>
      </c>
      <c r="S124" s="8" t="s">
        <v>220</v>
      </c>
      <c r="T124" s="10" t="s">
        <v>10322</v>
      </c>
      <c r="U124" s="10" t="s">
        <v>87</v>
      </c>
      <c r="V124" s="10" t="s">
        <v>87</v>
      </c>
    </row>
    <row r="125" spans="1:22" s="10" customFormat="1" x14ac:dyDescent="0.25">
      <c r="A125" s="10" t="s">
        <v>10377</v>
      </c>
      <c r="B125" s="10" t="s">
        <v>10314</v>
      </c>
      <c r="C125" s="10" t="s">
        <v>215</v>
      </c>
      <c r="D125" s="10" t="s">
        <v>10378</v>
      </c>
      <c r="E125" s="8" t="s">
        <v>10379</v>
      </c>
      <c r="F125" s="8" t="s">
        <v>10380</v>
      </c>
      <c r="G125" s="10" t="s">
        <v>3</v>
      </c>
      <c r="H125" s="8" t="s">
        <v>10381</v>
      </c>
      <c r="I125" s="10" t="s">
        <v>907</v>
      </c>
      <c r="J125" s="8" t="s">
        <v>10319</v>
      </c>
      <c r="K125" s="8" t="s">
        <v>1435</v>
      </c>
      <c r="L125" s="8" t="s">
        <v>9671</v>
      </c>
      <c r="M125" s="10" t="s">
        <v>1436</v>
      </c>
      <c r="N125" s="8" t="s">
        <v>87</v>
      </c>
      <c r="O125" s="10" t="s">
        <v>35</v>
      </c>
      <c r="P125" s="8" t="s">
        <v>10382</v>
      </c>
      <c r="Q125" s="10" t="s">
        <v>246</v>
      </c>
      <c r="R125" s="10" t="s">
        <v>2841</v>
      </c>
      <c r="S125" s="8" t="s">
        <v>220</v>
      </c>
      <c r="T125" s="10" t="s">
        <v>10322</v>
      </c>
      <c r="U125" s="10" t="s">
        <v>87</v>
      </c>
      <c r="V125" s="10" t="s">
        <v>87</v>
      </c>
    </row>
    <row r="126" spans="1:22" s="10" customFormat="1" x14ac:dyDescent="0.25">
      <c r="A126" s="10" t="s">
        <v>10383</v>
      </c>
      <c r="B126" s="10" t="s">
        <v>10314</v>
      </c>
      <c r="C126" s="10" t="s">
        <v>215</v>
      </c>
      <c r="D126" s="10" t="s">
        <v>10384</v>
      </c>
      <c r="E126" s="8" t="s">
        <v>10385</v>
      </c>
      <c r="F126" s="8" t="s">
        <v>10386</v>
      </c>
      <c r="G126" s="10" t="s">
        <v>3</v>
      </c>
      <c r="H126" s="8" t="s">
        <v>10362</v>
      </c>
      <c r="I126" s="10" t="s">
        <v>907</v>
      </c>
      <c r="J126" s="8" t="s">
        <v>10319</v>
      </c>
      <c r="K126" s="8" t="s">
        <v>1435</v>
      </c>
      <c r="L126" s="8" t="s">
        <v>9671</v>
      </c>
      <c r="M126" s="10" t="s">
        <v>1436</v>
      </c>
      <c r="N126" s="8" t="s">
        <v>87</v>
      </c>
      <c r="O126" s="10" t="s">
        <v>35</v>
      </c>
      <c r="P126" s="8" t="s">
        <v>10387</v>
      </c>
      <c r="Q126" s="10" t="s">
        <v>223</v>
      </c>
      <c r="R126" s="10" t="s">
        <v>2841</v>
      </c>
      <c r="S126" s="8" t="s">
        <v>220</v>
      </c>
      <c r="T126" s="10" t="s">
        <v>10322</v>
      </c>
      <c r="U126" s="10" t="s">
        <v>87</v>
      </c>
      <c r="V126" s="10" t="s">
        <v>87</v>
      </c>
    </row>
    <row r="127" spans="1:22" s="10" customFormat="1" x14ac:dyDescent="0.25">
      <c r="A127" s="10" t="s">
        <v>10388</v>
      </c>
      <c r="B127" s="10" t="s">
        <v>10314</v>
      </c>
      <c r="C127" s="11" t="s">
        <v>346</v>
      </c>
      <c r="D127" s="10" t="s">
        <v>10389</v>
      </c>
      <c r="E127" s="8" t="s">
        <v>10390</v>
      </c>
      <c r="F127" s="8" t="s">
        <v>10391</v>
      </c>
      <c r="G127" s="10" t="s">
        <v>3</v>
      </c>
      <c r="H127" s="8" t="s">
        <v>10392</v>
      </c>
      <c r="I127" s="10" t="s">
        <v>907</v>
      </c>
      <c r="J127" s="8" t="s">
        <v>10319</v>
      </c>
      <c r="K127" s="8" t="s">
        <v>1435</v>
      </c>
      <c r="L127" s="8" t="s">
        <v>9588</v>
      </c>
      <c r="M127" s="10" t="s">
        <v>1436</v>
      </c>
      <c r="N127" s="8" t="s">
        <v>87</v>
      </c>
      <c r="O127" s="10" t="s">
        <v>35</v>
      </c>
      <c r="P127" s="8" t="s">
        <v>10393</v>
      </c>
      <c r="Q127" s="10" t="s">
        <v>223</v>
      </c>
      <c r="R127" s="10" t="s">
        <v>2841</v>
      </c>
      <c r="S127" s="8" t="s">
        <v>10394</v>
      </c>
      <c r="T127" s="10" t="s">
        <v>10322</v>
      </c>
      <c r="U127" s="10" t="s">
        <v>87</v>
      </c>
      <c r="V127" s="10" t="s">
        <v>87</v>
      </c>
    </row>
    <row r="128" spans="1:22" s="10" customFormat="1" x14ac:dyDescent="0.25">
      <c r="A128" s="10" t="s">
        <v>10395</v>
      </c>
      <c r="B128" s="10" t="s">
        <v>10314</v>
      </c>
      <c r="C128" s="11" t="s">
        <v>346</v>
      </c>
      <c r="D128" s="10" t="s">
        <v>10396</v>
      </c>
      <c r="E128" s="8" t="s">
        <v>10397</v>
      </c>
      <c r="F128" s="8" t="s">
        <v>10398</v>
      </c>
      <c r="G128" s="10" t="s">
        <v>4</v>
      </c>
      <c r="H128" s="8" t="s">
        <v>10399</v>
      </c>
      <c r="I128" s="10" t="s">
        <v>907</v>
      </c>
      <c r="J128" s="8" t="s">
        <v>10319</v>
      </c>
      <c r="K128" s="8" t="s">
        <v>9866</v>
      </c>
      <c r="L128" s="8" t="s">
        <v>87</v>
      </c>
      <c r="M128" s="10" t="s">
        <v>1456</v>
      </c>
      <c r="N128" s="8" t="s">
        <v>87</v>
      </c>
      <c r="O128" s="10" t="s">
        <v>35</v>
      </c>
      <c r="P128" s="8" t="s">
        <v>10400</v>
      </c>
      <c r="Q128" s="10" t="s">
        <v>223</v>
      </c>
      <c r="R128" s="10" t="s">
        <v>2841</v>
      </c>
      <c r="S128" s="8" t="s">
        <v>220</v>
      </c>
      <c r="T128" s="10" t="s">
        <v>10322</v>
      </c>
      <c r="U128" s="10" t="s">
        <v>87</v>
      </c>
      <c r="V128" s="10" t="s">
        <v>87</v>
      </c>
    </row>
    <row r="129" spans="1:22" s="10" customFormat="1" x14ac:dyDescent="0.25">
      <c r="A129" s="10" t="s">
        <v>10401</v>
      </c>
      <c r="B129" s="10" t="s">
        <v>10314</v>
      </c>
      <c r="C129" s="11" t="s">
        <v>346</v>
      </c>
      <c r="D129" s="10" t="s">
        <v>10402</v>
      </c>
      <c r="E129" s="8" t="s">
        <v>10403</v>
      </c>
      <c r="F129" s="8" t="s">
        <v>10404</v>
      </c>
      <c r="G129" s="10" t="s">
        <v>3</v>
      </c>
      <c r="H129" s="8" t="s">
        <v>10405</v>
      </c>
      <c r="I129" s="10" t="s">
        <v>907</v>
      </c>
      <c r="J129" s="8" t="s">
        <v>10319</v>
      </c>
      <c r="K129" s="8" t="s">
        <v>1435</v>
      </c>
      <c r="L129" s="8" t="s">
        <v>9588</v>
      </c>
      <c r="M129" s="10" t="s">
        <v>1436</v>
      </c>
      <c r="N129" s="8" t="s">
        <v>87</v>
      </c>
      <c r="O129" s="10" t="s">
        <v>45</v>
      </c>
      <c r="P129" s="8" t="s">
        <v>10406</v>
      </c>
      <c r="Q129" s="10" t="s">
        <v>223</v>
      </c>
      <c r="R129" s="10" t="s">
        <v>2841</v>
      </c>
      <c r="S129" s="8" t="s">
        <v>10407</v>
      </c>
      <c r="T129" s="10" t="s">
        <v>10322</v>
      </c>
      <c r="U129" s="10" t="s">
        <v>87</v>
      </c>
      <c r="V129" s="10" t="s">
        <v>87</v>
      </c>
    </row>
    <row r="130" spans="1:22" s="10" customFormat="1" x14ac:dyDescent="0.25">
      <c r="A130" s="10" t="s">
        <v>10408</v>
      </c>
      <c r="B130" s="10" t="s">
        <v>10314</v>
      </c>
      <c r="C130" s="11" t="s">
        <v>346</v>
      </c>
      <c r="D130" s="10" t="s">
        <v>10409</v>
      </c>
      <c r="E130" s="8" t="s">
        <v>10410</v>
      </c>
      <c r="F130" s="8" t="s">
        <v>10411</v>
      </c>
      <c r="G130" s="10" t="s">
        <v>3</v>
      </c>
      <c r="H130" s="8" t="s">
        <v>220</v>
      </c>
      <c r="I130" s="10" t="s">
        <v>907</v>
      </c>
      <c r="J130" s="8" t="s">
        <v>10412</v>
      </c>
      <c r="K130" s="8" t="s">
        <v>1435</v>
      </c>
      <c r="L130" s="8" t="s">
        <v>87</v>
      </c>
      <c r="M130" s="10" t="s">
        <v>1436</v>
      </c>
      <c r="N130" s="8" t="s">
        <v>87</v>
      </c>
      <c r="O130" s="10" t="s">
        <v>45</v>
      </c>
      <c r="P130" s="8" t="s">
        <v>10413</v>
      </c>
      <c r="Q130" s="10" t="s">
        <v>223</v>
      </c>
      <c r="R130" s="10" t="s">
        <v>2841</v>
      </c>
      <c r="S130" s="8" t="s">
        <v>10414</v>
      </c>
      <c r="T130" s="10" t="s">
        <v>10322</v>
      </c>
      <c r="U130" s="10" t="s">
        <v>87</v>
      </c>
      <c r="V130" s="10" t="s">
        <v>87</v>
      </c>
    </row>
    <row r="131" spans="1:22" s="10" customFormat="1" x14ac:dyDescent="0.25">
      <c r="A131" s="10" t="s">
        <v>10415</v>
      </c>
      <c r="B131" s="10" t="s">
        <v>10314</v>
      </c>
      <c r="C131" s="11" t="s">
        <v>346</v>
      </c>
      <c r="D131" s="10" t="s">
        <v>10416</v>
      </c>
      <c r="E131" s="8" t="s">
        <v>10417</v>
      </c>
      <c r="F131" s="8" t="s">
        <v>10418</v>
      </c>
      <c r="G131" s="10" t="s">
        <v>4</v>
      </c>
      <c r="H131" s="8" t="s">
        <v>10419</v>
      </c>
      <c r="I131" s="10" t="s">
        <v>907</v>
      </c>
      <c r="J131" s="8" t="s">
        <v>10319</v>
      </c>
      <c r="K131" s="8" t="s">
        <v>10420</v>
      </c>
      <c r="L131" s="8" t="s">
        <v>9588</v>
      </c>
      <c r="M131" s="10" t="s">
        <v>1456</v>
      </c>
      <c r="N131" s="8" t="s">
        <v>87</v>
      </c>
      <c r="O131" s="10" t="s">
        <v>45</v>
      </c>
      <c r="P131" s="8" t="s">
        <v>10421</v>
      </c>
      <c r="Q131" s="10" t="s">
        <v>239</v>
      </c>
      <c r="R131" s="10" t="s">
        <v>2841</v>
      </c>
      <c r="S131" s="8" t="s">
        <v>10414</v>
      </c>
      <c r="T131" s="10" t="s">
        <v>10322</v>
      </c>
      <c r="U131" s="10" t="s">
        <v>87</v>
      </c>
      <c r="V131" s="10" t="s">
        <v>87</v>
      </c>
    </row>
    <row r="132" spans="1:22" s="10" customFormat="1" x14ac:dyDescent="0.25">
      <c r="A132" s="10" t="s">
        <v>10422</v>
      </c>
      <c r="B132" s="10" t="s">
        <v>10314</v>
      </c>
      <c r="C132" s="10" t="s">
        <v>215</v>
      </c>
      <c r="D132" s="10" t="s">
        <v>10423</v>
      </c>
      <c r="E132" s="8" t="s">
        <v>10424</v>
      </c>
      <c r="F132" s="8" t="s">
        <v>10425</v>
      </c>
      <c r="G132" s="10" t="s">
        <v>3</v>
      </c>
      <c r="H132" s="8" t="s">
        <v>10426</v>
      </c>
      <c r="I132" s="10" t="s">
        <v>87</v>
      </c>
      <c r="J132" s="8" t="s">
        <v>10319</v>
      </c>
      <c r="K132" s="8" t="s">
        <v>1435</v>
      </c>
      <c r="L132" s="8" t="s">
        <v>9671</v>
      </c>
      <c r="M132" s="10" t="s">
        <v>1436</v>
      </c>
      <c r="N132" s="8" t="s">
        <v>87</v>
      </c>
      <c r="O132" s="10" t="s">
        <v>45</v>
      </c>
      <c r="P132" s="8" t="s">
        <v>10427</v>
      </c>
      <c r="Q132" s="10" t="s">
        <v>223</v>
      </c>
      <c r="R132" s="10" t="s">
        <v>2841</v>
      </c>
      <c r="S132" s="8" t="s">
        <v>220</v>
      </c>
      <c r="T132" s="10" t="s">
        <v>10322</v>
      </c>
      <c r="U132" s="10" t="s">
        <v>87</v>
      </c>
      <c r="V132" s="10" t="s">
        <v>87</v>
      </c>
    </row>
    <row r="133" spans="1:22" s="10" customFormat="1" x14ac:dyDescent="0.25">
      <c r="A133" s="10" t="s">
        <v>10428</v>
      </c>
      <c r="B133" s="10" t="s">
        <v>10314</v>
      </c>
      <c r="C133" s="11" t="s">
        <v>346</v>
      </c>
      <c r="D133" s="10" t="s">
        <v>10429</v>
      </c>
      <c r="E133" s="8" t="s">
        <v>10430</v>
      </c>
      <c r="F133" s="8" t="s">
        <v>10431</v>
      </c>
      <c r="G133" s="10" t="s">
        <v>4</v>
      </c>
      <c r="H133" s="8" t="s">
        <v>10426</v>
      </c>
      <c r="I133" s="10" t="s">
        <v>87</v>
      </c>
      <c r="J133" s="8" t="s">
        <v>10319</v>
      </c>
      <c r="K133" s="8" t="s">
        <v>10432</v>
      </c>
      <c r="L133" s="8" t="s">
        <v>9671</v>
      </c>
      <c r="M133" s="10" t="s">
        <v>1456</v>
      </c>
      <c r="N133" s="8" t="s">
        <v>87</v>
      </c>
      <c r="O133" s="10" t="s">
        <v>45</v>
      </c>
      <c r="P133" s="8" t="s">
        <v>10433</v>
      </c>
      <c r="Q133" s="10" t="s">
        <v>239</v>
      </c>
      <c r="R133" s="10" t="s">
        <v>2841</v>
      </c>
      <c r="S133" s="8" t="s">
        <v>220</v>
      </c>
      <c r="T133" s="10" t="s">
        <v>10322</v>
      </c>
      <c r="U133" s="10" t="s">
        <v>87</v>
      </c>
      <c r="V133" s="10" t="s">
        <v>87</v>
      </c>
    </row>
    <row r="134" spans="1:22" s="10" customFormat="1" x14ac:dyDescent="0.25">
      <c r="A134" s="10" t="s">
        <v>10434</v>
      </c>
      <c r="B134" s="10" t="s">
        <v>10314</v>
      </c>
      <c r="C134" s="11" t="s">
        <v>346</v>
      </c>
      <c r="D134" s="10" t="s">
        <v>10435</v>
      </c>
      <c r="E134" s="8" t="s">
        <v>10436</v>
      </c>
      <c r="F134" s="8" t="s">
        <v>10437</v>
      </c>
      <c r="G134" s="10" t="s">
        <v>4</v>
      </c>
      <c r="H134" s="8" t="s">
        <v>10438</v>
      </c>
      <c r="I134" s="10" t="s">
        <v>87</v>
      </c>
      <c r="J134" s="8" t="s">
        <v>10319</v>
      </c>
      <c r="K134" s="8" t="s">
        <v>10432</v>
      </c>
      <c r="L134" s="8" t="s">
        <v>9588</v>
      </c>
      <c r="M134" s="10" t="s">
        <v>1456</v>
      </c>
      <c r="N134" s="8" t="s">
        <v>87</v>
      </c>
      <c r="O134" s="10" t="s">
        <v>45</v>
      </c>
      <c r="P134" s="8" t="s">
        <v>10439</v>
      </c>
      <c r="Q134" s="10" t="s">
        <v>246</v>
      </c>
      <c r="R134" s="10" t="s">
        <v>2841</v>
      </c>
      <c r="S134" s="8" t="s">
        <v>220</v>
      </c>
      <c r="T134" s="10" t="s">
        <v>10322</v>
      </c>
      <c r="U134" s="10" t="s">
        <v>87</v>
      </c>
      <c r="V134" s="10" t="s">
        <v>87</v>
      </c>
    </row>
    <row r="135" spans="1:22" s="10" customFormat="1" x14ac:dyDescent="0.25">
      <c r="A135" s="10" t="s">
        <v>10440</v>
      </c>
      <c r="B135" s="10" t="s">
        <v>10314</v>
      </c>
      <c r="C135" s="11" t="s">
        <v>346</v>
      </c>
      <c r="D135" s="10" t="s">
        <v>10441</v>
      </c>
      <c r="E135" s="8" t="s">
        <v>10442</v>
      </c>
      <c r="F135" s="8" t="s">
        <v>10443</v>
      </c>
      <c r="G135" s="10" t="s">
        <v>4</v>
      </c>
      <c r="H135" s="8" t="s">
        <v>10444</v>
      </c>
      <c r="I135" s="10" t="s">
        <v>1000</v>
      </c>
      <c r="J135" s="8" t="s">
        <v>10319</v>
      </c>
      <c r="K135" s="8" t="s">
        <v>10432</v>
      </c>
      <c r="L135" s="8" t="s">
        <v>9588</v>
      </c>
      <c r="M135" s="10" t="s">
        <v>1456</v>
      </c>
      <c r="N135" s="8" t="s">
        <v>87</v>
      </c>
      <c r="O135" s="10" t="s">
        <v>45</v>
      </c>
      <c r="P135" s="8" t="s">
        <v>10445</v>
      </c>
      <c r="Q135" s="10" t="s">
        <v>239</v>
      </c>
      <c r="R135" s="10" t="s">
        <v>2841</v>
      </c>
      <c r="S135" s="8" t="s">
        <v>10446</v>
      </c>
      <c r="T135" s="10" t="s">
        <v>10322</v>
      </c>
      <c r="U135" s="10" t="s">
        <v>87</v>
      </c>
      <c r="V135" s="10" t="s">
        <v>87</v>
      </c>
    </row>
    <row r="136" spans="1:22" s="10" customFormat="1" x14ac:dyDescent="0.25">
      <c r="A136" s="10" t="s">
        <v>10447</v>
      </c>
      <c r="B136" s="10" t="s">
        <v>10314</v>
      </c>
      <c r="C136" s="11" t="s">
        <v>346</v>
      </c>
      <c r="D136" s="10" t="s">
        <v>10448</v>
      </c>
      <c r="E136" s="8" t="s">
        <v>10449</v>
      </c>
      <c r="F136" s="8" t="s">
        <v>10450</v>
      </c>
      <c r="G136" s="10" t="s">
        <v>4</v>
      </c>
      <c r="H136" s="8" t="s">
        <v>10444</v>
      </c>
      <c r="I136" s="10" t="s">
        <v>1000</v>
      </c>
      <c r="J136" s="8" t="s">
        <v>10319</v>
      </c>
      <c r="K136" s="8" t="s">
        <v>10432</v>
      </c>
      <c r="L136" s="8" t="s">
        <v>9671</v>
      </c>
      <c r="M136" s="10" t="s">
        <v>1456</v>
      </c>
      <c r="N136" s="8" t="s">
        <v>87</v>
      </c>
      <c r="O136" s="10" t="s">
        <v>45</v>
      </c>
      <c r="P136" s="8" t="s">
        <v>10451</v>
      </c>
      <c r="Q136" s="10" t="s">
        <v>239</v>
      </c>
      <c r="R136" s="10" t="s">
        <v>2841</v>
      </c>
      <c r="S136" s="8" t="s">
        <v>10452</v>
      </c>
      <c r="T136" s="10" t="s">
        <v>10322</v>
      </c>
      <c r="U136" s="10" t="s">
        <v>87</v>
      </c>
      <c r="V136" s="10" t="s">
        <v>87</v>
      </c>
    </row>
    <row r="137" spans="1:22" s="10" customFormat="1" x14ac:dyDescent="0.25">
      <c r="A137" s="10" t="s">
        <v>10453</v>
      </c>
      <c r="B137" s="10" t="s">
        <v>10314</v>
      </c>
      <c r="C137" s="11" t="s">
        <v>346</v>
      </c>
      <c r="D137" s="10" t="s">
        <v>10454</v>
      </c>
      <c r="E137" s="8" t="s">
        <v>10455</v>
      </c>
      <c r="F137" s="8" t="s">
        <v>10456</v>
      </c>
      <c r="G137" s="10" t="s">
        <v>4</v>
      </c>
      <c r="H137" s="8" t="s">
        <v>10457</v>
      </c>
      <c r="I137" s="10" t="s">
        <v>907</v>
      </c>
      <c r="J137" s="8" t="s">
        <v>10319</v>
      </c>
      <c r="K137" s="8" t="s">
        <v>10458</v>
      </c>
      <c r="L137" s="8" t="s">
        <v>9588</v>
      </c>
      <c r="M137" s="10" t="s">
        <v>1456</v>
      </c>
      <c r="N137" s="8" t="s">
        <v>87</v>
      </c>
      <c r="O137" s="10" t="s">
        <v>45</v>
      </c>
      <c r="P137" s="8" t="s">
        <v>10459</v>
      </c>
      <c r="Q137" s="10" t="s">
        <v>239</v>
      </c>
      <c r="R137" s="10" t="s">
        <v>2841</v>
      </c>
      <c r="S137" s="8" t="s">
        <v>10460</v>
      </c>
      <c r="T137" s="10" t="s">
        <v>10322</v>
      </c>
      <c r="U137" s="10" t="s">
        <v>87</v>
      </c>
      <c r="V137" s="10" t="s">
        <v>87</v>
      </c>
    </row>
    <row r="138" spans="1:22" s="10" customFormat="1" x14ac:dyDescent="0.25">
      <c r="A138" s="10" t="s">
        <v>10461</v>
      </c>
      <c r="B138" s="10" t="s">
        <v>10314</v>
      </c>
      <c r="C138" s="11" t="s">
        <v>346</v>
      </c>
      <c r="D138" s="10" t="s">
        <v>10462</v>
      </c>
      <c r="E138" s="8" t="s">
        <v>10463</v>
      </c>
      <c r="F138" s="8" t="s">
        <v>10464</v>
      </c>
      <c r="G138" s="10" t="s">
        <v>4</v>
      </c>
      <c r="H138" s="8" t="s">
        <v>10465</v>
      </c>
      <c r="I138" s="10" t="s">
        <v>907</v>
      </c>
      <c r="J138" s="8" t="s">
        <v>10319</v>
      </c>
      <c r="K138" s="8" t="s">
        <v>10466</v>
      </c>
      <c r="L138" s="8" t="s">
        <v>10467</v>
      </c>
      <c r="M138" s="10" t="s">
        <v>1456</v>
      </c>
      <c r="N138" s="8" t="s">
        <v>87</v>
      </c>
      <c r="O138" s="10" t="s">
        <v>45</v>
      </c>
      <c r="P138" s="8" t="s">
        <v>10468</v>
      </c>
      <c r="Q138" s="10" t="s">
        <v>239</v>
      </c>
      <c r="R138" s="10" t="s">
        <v>2841</v>
      </c>
      <c r="S138" s="8" t="s">
        <v>10469</v>
      </c>
      <c r="T138" s="10" t="s">
        <v>10322</v>
      </c>
      <c r="U138" s="10" t="s">
        <v>87</v>
      </c>
      <c r="V138" s="10" t="s">
        <v>87</v>
      </c>
    </row>
    <row r="139" spans="1:22" s="10" customFormat="1" x14ac:dyDescent="0.25">
      <c r="A139" s="10" t="s">
        <v>10470</v>
      </c>
      <c r="B139" s="10" t="s">
        <v>10314</v>
      </c>
      <c r="C139" s="10" t="s">
        <v>215</v>
      </c>
      <c r="D139" s="10" t="s">
        <v>10471</v>
      </c>
      <c r="E139" s="8" t="s">
        <v>10472</v>
      </c>
      <c r="F139" s="8" t="s">
        <v>10473</v>
      </c>
      <c r="G139" s="10" t="s">
        <v>3</v>
      </c>
      <c r="H139" s="8" t="s">
        <v>10474</v>
      </c>
      <c r="I139" s="10" t="s">
        <v>907</v>
      </c>
      <c r="J139" s="8" t="s">
        <v>10319</v>
      </c>
      <c r="K139" s="8" t="s">
        <v>1435</v>
      </c>
      <c r="L139" s="8" t="s">
        <v>9588</v>
      </c>
      <c r="M139" s="10" t="s">
        <v>1436</v>
      </c>
      <c r="N139" s="8" t="s">
        <v>87</v>
      </c>
      <c r="O139" s="10" t="s">
        <v>45</v>
      </c>
      <c r="P139" s="8" t="s">
        <v>10475</v>
      </c>
      <c r="Q139" s="10" t="s">
        <v>223</v>
      </c>
      <c r="R139" s="10" t="s">
        <v>2841</v>
      </c>
      <c r="S139" s="8" t="s">
        <v>220</v>
      </c>
      <c r="T139" s="10" t="s">
        <v>10322</v>
      </c>
      <c r="U139" s="10" t="s">
        <v>87</v>
      </c>
      <c r="V139" s="10" t="s">
        <v>87</v>
      </c>
    </row>
    <row r="140" spans="1:22" s="10" customFormat="1" x14ac:dyDescent="0.25">
      <c r="A140" s="10" t="s">
        <v>10476</v>
      </c>
      <c r="B140" s="10" t="s">
        <v>10314</v>
      </c>
      <c r="C140" s="11" t="s">
        <v>346</v>
      </c>
      <c r="D140" s="10" t="s">
        <v>10477</v>
      </c>
      <c r="E140" s="8" t="s">
        <v>10478</v>
      </c>
      <c r="F140" s="8" t="s">
        <v>10479</v>
      </c>
      <c r="G140" s="10" t="s">
        <v>4</v>
      </c>
      <c r="H140" s="8" t="s">
        <v>10480</v>
      </c>
      <c r="I140" s="10" t="s">
        <v>907</v>
      </c>
      <c r="J140" s="8" t="s">
        <v>10319</v>
      </c>
      <c r="K140" s="8" t="s">
        <v>10481</v>
      </c>
      <c r="L140" s="8" t="s">
        <v>9671</v>
      </c>
      <c r="M140" s="10" t="s">
        <v>1456</v>
      </c>
      <c r="N140" s="8" t="s">
        <v>87</v>
      </c>
      <c r="O140" s="10" t="s">
        <v>44</v>
      </c>
      <c r="P140" s="8" t="s">
        <v>10482</v>
      </c>
      <c r="Q140" s="10" t="s">
        <v>223</v>
      </c>
      <c r="R140" s="10" t="s">
        <v>2841</v>
      </c>
      <c r="S140" s="8" t="s">
        <v>220</v>
      </c>
      <c r="T140" s="10" t="s">
        <v>10322</v>
      </c>
      <c r="U140" s="10" t="s">
        <v>87</v>
      </c>
      <c r="V140" s="10" t="s">
        <v>87</v>
      </c>
    </row>
    <row r="141" spans="1:22" s="10" customFormat="1" x14ac:dyDescent="0.25">
      <c r="A141" s="10" t="s">
        <v>10483</v>
      </c>
      <c r="B141" s="10" t="s">
        <v>10314</v>
      </c>
      <c r="C141" s="11" t="s">
        <v>346</v>
      </c>
      <c r="D141" s="10" t="s">
        <v>10484</v>
      </c>
      <c r="E141" s="8" t="s">
        <v>10485</v>
      </c>
      <c r="F141" s="8" t="s">
        <v>10486</v>
      </c>
      <c r="G141" s="10" t="s">
        <v>4</v>
      </c>
      <c r="H141" s="8" t="s">
        <v>10487</v>
      </c>
      <c r="I141" s="10" t="s">
        <v>87</v>
      </c>
      <c r="J141" s="8" t="s">
        <v>10319</v>
      </c>
      <c r="K141" s="8" t="s">
        <v>10488</v>
      </c>
      <c r="L141" s="8" t="s">
        <v>10489</v>
      </c>
      <c r="M141" s="10" t="s">
        <v>1456</v>
      </c>
      <c r="N141" s="8" t="s">
        <v>87</v>
      </c>
      <c r="O141" s="10" t="s">
        <v>44</v>
      </c>
      <c r="P141" s="8" t="s">
        <v>10490</v>
      </c>
      <c r="Q141" s="10" t="s">
        <v>246</v>
      </c>
      <c r="R141" s="10" t="s">
        <v>2841</v>
      </c>
      <c r="S141" s="8" t="s">
        <v>220</v>
      </c>
      <c r="T141" s="10" t="s">
        <v>10322</v>
      </c>
      <c r="U141" s="10" t="s">
        <v>87</v>
      </c>
      <c r="V141" s="10" t="s">
        <v>87</v>
      </c>
    </row>
    <row r="142" spans="1:22" s="10" customFormat="1" x14ac:dyDescent="0.25">
      <c r="A142" s="10" t="s">
        <v>10491</v>
      </c>
      <c r="B142" s="10" t="s">
        <v>10492</v>
      </c>
      <c r="C142" s="11" t="s">
        <v>346</v>
      </c>
      <c r="D142" s="10" t="s">
        <v>10493</v>
      </c>
      <c r="E142" s="8" t="s">
        <v>10494</v>
      </c>
      <c r="F142" s="8" t="s">
        <v>10495</v>
      </c>
      <c r="G142" s="10" t="s">
        <v>3</v>
      </c>
      <c r="H142" s="8" t="s">
        <v>10496</v>
      </c>
      <c r="I142" s="10" t="s">
        <v>919</v>
      </c>
      <c r="J142" s="8" t="s">
        <v>10497</v>
      </c>
      <c r="K142" s="8" t="s">
        <v>1435</v>
      </c>
      <c r="L142" s="8" t="s">
        <v>9588</v>
      </c>
      <c r="M142" s="10" t="s">
        <v>1436</v>
      </c>
      <c r="N142" s="8" t="s">
        <v>87</v>
      </c>
      <c r="O142" s="10" t="s">
        <v>46</v>
      </c>
      <c r="P142" s="8" t="s">
        <v>10498</v>
      </c>
      <c r="Q142" s="10" t="s">
        <v>223</v>
      </c>
      <c r="R142" s="10" t="s">
        <v>2841</v>
      </c>
      <c r="S142" s="8" t="s">
        <v>10499</v>
      </c>
      <c r="T142" s="10" t="s">
        <v>10500</v>
      </c>
      <c r="U142" s="10" t="s">
        <v>87</v>
      </c>
      <c r="V142" s="10" t="s">
        <v>87</v>
      </c>
    </row>
    <row r="143" spans="1:22" s="10" customFormat="1" x14ac:dyDescent="0.25">
      <c r="A143" s="10" t="s">
        <v>10501</v>
      </c>
      <c r="B143" s="10" t="s">
        <v>10492</v>
      </c>
      <c r="C143" s="11" t="s">
        <v>346</v>
      </c>
      <c r="D143" s="10" t="s">
        <v>10502</v>
      </c>
      <c r="E143" s="8" t="s">
        <v>10503</v>
      </c>
      <c r="F143" s="8" t="s">
        <v>10504</v>
      </c>
      <c r="G143" s="10" t="s">
        <v>3</v>
      </c>
      <c r="H143" s="8" t="s">
        <v>10505</v>
      </c>
      <c r="I143" s="10" t="s">
        <v>938</v>
      </c>
      <c r="J143" s="8" t="s">
        <v>10497</v>
      </c>
      <c r="K143" s="8" t="s">
        <v>1435</v>
      </c>
      <c r="L143" s="8" t="s">
        <v>9588</v>
      </c>
      <c r="M143" s="10" t="s">
        <v>1436</v>
      </c>
      <c r="N143" s="8" t="s">
        <v>87</v>
      </c>
      <c r="O143" s="10" t="s">
        <v>47</v>
      </c>
      <c r="P143" s="8" t="s">
        <v>10506</v>
      </c>
      <c r="Q143" s="10" t="s">
        <v>223</v>
      </c>
      <c r="R143" s="10" t="s">
        <v>2841</v>
      </c>
      <c r="S143" s="8" t="s">
        <v>10507</v>
      </c>
      <c r="T143" s="10" t="s">
        <v>10500</v>
      </c>
      <c r="U143" s="10" t="s">
        <v>87</v>
      </c>
      <c r="V143" s="10" t="s">
        <v>87</v>
      </c>
    </row>
    <row r="144" spans="1:22" s="10" customFormat="1" x14ac:dyDescent="0.25">
      <c r="A144" s="10" t="s">
        <v>10508</v>
      </c>
      <c r="B144" s="10" t="s">
        <v>10492</v>
      </c>
      <c r="C144" s="10" t="s">
        <v>215</v>
      </c>
      <c r="D144" s="10" t="s">
        <v>10509</v>
      </c>
      <c r="E144" s="8" t="s">
        <v>10510</v>
      </c>
      <c r="F144" s="8" t="s">
        <v>10511</v>
      </c>
      <c r="G144" s="10" t="s">
        <v>3</v>
      </c>
      <c r="H144" s="8" t="s">
        <v>10512</v>
      </c>
      <c r="I144" s="10" t="s">
        <v>919</v>
      </c>
      <c r="J144" s="8" t="s">
        <v>10497</v>
      </c>
      <c r="K144" s="8" t="s">
        <v>1435</v>
      </c>
      <c r="L144" s="8" t="s">
        <v>9671</v>
      </c>
      <c r="M144" s="10" t="s">
        <v>1436</v>
      </c>
      <c r="N144" s="8" t="s">
        <v>87</v>
      </c>
      <c r="O144" s="10" t="s">
        <v>46</v>
      </c>
      <c r="P144" s="8" t="s">
        <v>10513</v>
      </c>
      <c r="Q144" s="10" t="s">
        <v>223</v>
      </c>
      <c r="R144" s="10" t="s">
        <v>2841</v>
      </c>
      <c r="S144" s="8" t="s">
        <v>220</v>
      </c>
      <c r="T144" s="10" t="s">
        <v>10500</v>
      </c>
      <c r="U144" s="10" t="s">
        <v>87</v>
      </c>
      <c r="V144" s="10" t="s">
        <v>87</v>
      </c>
    </row>
    <row r="145" spans="1:22" s="10" customFormat="1" x14ac:dyDescent="0.25">
      <c r="A145" s="10" t="s">
        <v>10514</v>
      </c>
      <c r="B145" s="10" t="s">
        <v>10492</v>
      </c>
      <c r="C145" s="11" t="s">
        <v>346</v>
      </c>
      <c r="D145" s="10" t="s">
        <v>10515</v>
      </c>
      <c r="E145" s="8" t="s">
        <v>10516</v>
      </c>
      <c r="F145" s="8" t="s">
        <v>10517</v>
      </c>
      <c r="G145" s="10" t="s">
        <v>3</v>
      </c>
      <c r="H145" s="8" t="s">
        <v>10512</v>
      </c>
      <c r="I145" s="10" t="s">
        <v>5301</v>
      </c>
      <c r="J145" s="8" t="s">
        <v>10497</v>
      </c>
      <c r="K145" s="8" t="s">
        <v>1435</v>
      </c>
      <c r="L145" s="8" t="s">
        <v>10518</v>
      </c>
      <c r="M145" s="10" t="s">
        <v>1436</v>
      </c>
      <c r="N145" s="8" t="s">
        <v>87</v>
      </c>
      <c r="O145" s="10" t="s">
        <v>46</v>
      </c>
      <c r="P145" s="8" t="s">
        <v>10519</v>
      </c>
      <c r="Q145" s="10" t="s">
        <v>1447</v>
      </c>
      <c r="R145" s="10" t="s">
        <v>2841</v>
      </c>
      <c r="S145" s="8" t="s">
        <v>10520</v>
      </c>
      <c r="T145" s="10" t="s">
        <v>10500</v>
      </c>
      <c r="U145" s="10" t="s">
        <v>87</v>
      </c>
      <c r="V145" s="10" t="s">
        <v>87</v>
      </c>
    </row>
    <row r="146" spans="1:22" s="10" customFormat="1" x14ac:dyDescent="0.25">
      <c r="A146" s="10" t="s">
        <v>10521</v>
      </c>
      <c r="B146" s="10" t="s">
        <v>10492</v>
      </c>
      <c r="C146" s="11" t="s">
        <v>346</v>
      </c>
      <c r="D146" s="10" t="s">
        <v>10522</v>
      </c>
      <c r="E146" s="8" t="s">
        <v>10523</v>
      </c>
      <c r="F146" s="8" t="s">
        <v>10524</v>
      </c>
      <c r="G146" s="10" t="s">
        <v>3</v>
      </c>
      <c r="H146" s="8" t="s">
        <v>10512</v>
      </c>
      <c r="I146" s="10" t="s">
        <v>919</v>
      </c>
      <c r="J146" s="8" t="s">
        <v>10497</v>
      </c>
      <c r="K146" s="8" t="s">
        <v>1435</v>
      </c>
      <c r="L146" s="8" t="s">
        <v>10518</v>
      </c>
      <c r="M146" s="10" t="s">
        <v>1436</v>
      </c>
      <c r="N146" s="8" t="s">
        <v>87</v>
      </c>
      <c r="O146" s="10" t="s">
        <v>46</v>
      </c>
      <c r="P146" s="8" t="s">
        <v>10525</v>
      </c>
      <c r="Q146" s="10" t="s">
        <v>223</v>
      </c>
      <c r="R146" s="10" t="s">
        <v>2841</v>
      </c>
      <c r="S146" s="8" t="s">
        <v>10526</v>
      </c>
      <c r="T146" s="10" t="s">
        <v>10500</v>
      </c>
      <c r="U146" s="10" t="s">
        <v>87</v>
      </c>
      <c r="V146" s="10" t="s">
        <v>87</v>
      </c>
    </row>
    <row r="147" spans="1:22" s="10" customFormat="1" x14ac:dyDescent="0.25">
      <c r="A147" s="10" t="s">
        <v>10527</v>
      </c>
      <c r="B147" s="10" t="s">
        <v>10492</v>
      </c>
      <c r="C147" s="11" t="s">
        <v>346</v>
      </c>
      <c r="D147" s="10" t="s">
        <v>10528</v>
      </c>
      <c r="E147" s="8" t="s">
        <v>10529</v>
      </c>
      <c r="F147" s="8" t="s">
        <v>10530</v>
      </c>
      <c r="G147" s="10" t="s">
        <v>3</v>
      </c>
      <c r="H147" s="8" t="s">
        <v>10512</v>
      </c>
      <c r="I147" s="10" t="s">
        <v>5425</v>
      </c>
      <c r="J147" s="8" t="s">
        <v>10497</v>
      </c>
      <c r="K147" s="8" t="s">
        <v>1435</v>
      </c>
      <c r="L147" s="8" t="s">
        <v>9361</v>
      </c>
      <c r="M147" s="10" t="s">
        <v>1436</v>
      </c>
      <c r="N147" s="8" t="s">
        <v>87</v>
      </c>
      <c r="O147" s="10" t="s">
        <v>46</v>
      </c>
      <c r="P147" s="8" t="s">
        <v>10531</v>
      </c>
      <c r="Q147" s="10" t="s">
        <v>1447</v>
      </c>
      <c r="R147" s="10" t="s">
        <v>2841</v>
      </c>
      <c r="S147" s="8" t="s">
        <v>10532</v>
      </c>
      <c r="T147" s="10" t="s">
        <v>10500</v>
      </c>
      <c r="U147" s="10" t="s">
        <v>87</v>
      </c>
      <c r="V147" s="10" t="s">
        <v>87</v>
      </c>
    </row>
    <row r="148" spans="1:22" s="10" customFormat="1" x14ac:dyDescent="0.25">
      <c r="A148" s="10" t="s">
        <v>10533</v>
      </c>
      <c r="B148" s="10" t="s">
        <v>10492</v>
      </c>
      <c r="C148" s="11" t="s">
        <v>346</v>
      </c>
      <c r="D148" s="10" t="s">
        <v>10534</v>
      </c>
      <c r="E148" s="8" t="s">
        <v>10535</v>
      </c>
      <c r="F148" s="8" t="s">
        <v>10536</v>
      </c>
      <c r="G148" s="10" t="s">
        <v>3</v>
      </c>
      <c r="H148" s="8" t="s">
        <v>10512</v>
      </c>
      <c r="I148" s="10" t="s">
        <v>5301</v>
      </c>
      <c r="J148" s="8" t="s">
        <v>10497</v>
      </c>
      <c r="K148" s="8" t="s">
        <v>1435</v>
      </c>
      <c r="L148" s="8" t="s">
        <v>10537</v>
      </c>
      <c r="M148" s="10" t="s">
        <v>1436</v>
      </c>
      <c r="N148" s="8" t="s">
        <v>87</v>
      </c>
      <c r="O148" s="10" t="s">
        <v>46</v>
      </c>
      <c r="P148" s="8" t="s">
        <v>10538</v>
      </c>
      <c r="Q148" s="10" t="s">
        <v>223</v>
      </c>
      <c r="R148" s="10" t="s">
        <v>2841</v>
      </c>
      <c r="S148" s="8" t="s">
        <v>10539</v>
      </c>
      <c r="T148" s="10" t="s">
        <v>10500</v>
      </c>
      <c r="U148" s="10" t="s">
        <v>87</v>
      </c>
      <c r="V148" s="10" t="s">
        <v>87</v>
      </c>
    </row>
    <row r="149" spans="1:22" s="10" customFormat="1" x14ac:dyDescent="0.25">
      <c r="A149" s="10" t="s">
        <v>10540</v>
      </c>
      <c r="B149" s="10" t="s">
        <v>10492</v>
      </c>
      <c r="C149" s="10" t="s">
        <v>215</v>
      </c>
      <c r="D149" s="10" t="s">
        <v>10541</v>
      </c>
      <c r="E149" s="8" t="s">
        <v>10542</v>
      </c>
      <c r="F149" s="8" t="s">
        <v>10543</v>
      </c>
      <c r="G149" s="10" t="s">
        <v>3</v>
      </c>
      <c r="H149" s="8" t="s">
        <v>10544</v>
      </c>
      <c r="I149" s="10" t="s">
        <v>5301</v>
      </c>
      <c r="J149" s="8" t="s">
        <v>10497</v>
      </c>
      <c r="K149" s="8" t="s">
        <v>1435</v>
      </c>
      <c r="L149" s="8" t="s">
        <v>10545</v>
      </c>
      <c r="M149" s="10" t="s">
        <v>1436</v>
      </c>
      <c r="N149" s="8" t="s">
        <v>87</v>
      </c>
      <c r="O149" s="10" t="s">
        <v>46</v>
      </c>
      <c r="P149" s="8" t="s">
        <v>10546</v>
      </c>
      <c r="Q149" s="10" t="s">
        <v>223</v>
      </c>
      <c r="R149" s="10" t="s">
        <v>2841</v>
      </c>
      <c r="S149" s="8" t="s">
        <v>10547</v>
      </c>
      <c r="T149" s="10" t="s">
        <v>10500</v>
      </c>
      <c r="U149" s="10" t="s">
        <v>87</v>
      </c>
      <c r="V149" s="10" t="s">
        <v>87</v>
      </c>
    </row>
    <row r="150" spans="1:22" s="10" customFormat="1" x14ac:dyDescent="0.25">
      <c r="A150" s="10" t="s">
        <v>10548</v>
      </c>
      <c r="B150" s="10" t="s">
        <v>10492</v>
      </c>
      <c r="C150" s="11" t="s">
        <v>346</v>
      </c>
      <c r="D150" s="10" t="s">
        <v>10549</v>
      </c>
      <c r="E150" s="8" t="s">
        <v>10550</v>
      </c>
      <c r="F150" s="8" t="s">
        <v>10551</v>
      </c>
      <c r="G150" s="10" t="s">
        <v>3</v>
      </c>
      <c r="H150" s="8" t="s">
        <v>10552</v>
      </c>
      <c r="I150" s="10" t="s">
        <v>5301</v>
      </c>
      <c r="J150" s="8" t="s">
        <v>10497</v>
      </c>
      <c r="K150" s="8" t="s">
        <v>1435</v>
      </c>
      <c r="L150" s="8" t="s">
        <v>10252</v>
      </c>
      <c r="M150" s="10" t="s">
        <v>1436</v>
      </c>
      <c r="N150" s="8" t="s">
        <v>87</v>
      </c>
      <c r="O150" s="10" t="s">
        <v>46</v>
      </c>
      <c r="P150" s="8" t="s">
        <v>10553</v>
      </c>
      <c r="Q150" s="10" t="s">
        <v>239</v>
      </c>
      <c r="R150" s="10" t="s">
        <v>2841</v>
      </c>
      <c r="S150" s="8" t="s">
        <v>10554</v>
      </c>
      <c r="T150" s="10" t="s">
        <v>10500</v>
      </c>
      <c r="U150" s="10" t="s">
        <v>87</v>
      </c>
      <c r="V150" s="10" t="s">
        <v>87</v>
      </c>
    </row>
    <row r="151" spans="1:22" s="10" customFormat="1" x14ac:dyDescent="0.25">
      <c r="A151" s="10" t="s">
        <v>10555</v>
      </c>
      <c r="B151" s="10" t="s">
        <v>10492</v>
      </c>
      <c r="C151" s="11" t="s">
        <v>346</v>
      </c>
      <c r="D151" s="10" t="s">
        <v>10556</v>
      </c>
      <c r="E151" s="8" t="s">
        <v>10557</v>
      </c>
      <c r="F151" s="8" t="s">
        <v>10558</v>
      </c>
      <c r="G151" s="10" t="s">
        <v>3</v>
      </c>
      <c r="H151" s="8" t="s">
        <v>10552</v>
      </c>
      <c r="I151" s="10" t="s">
        <v>919</v>
      </c>
      <c r="J151" s="8" t="s">
        <v>10497</v>
      </c>
      <c r="K151" s="8" t="s">
        <v>1435</v>
      </c>
      <c r="L151" s="8" t="s">
        <v>10184</v>
      </c>
      <c r="M151" s="10" t="s">
        <v>1436</v>
      </c>
      <c r="N151" s="8" t="s">
        <v>87</v>
      </c>
      <c r="O151" s="10" t="s">
        <v>46</v>
      </c>
      <c r="P151" s="8" t="s">
        <v>10559</v>
      </c>
      <c r="Q151" s="10" t="s">
        <v>239</v>
      </c>
      <c r="R151" s="10" t="s">
        <v>2841</v>
      </c>
      <c r="S151" s="8" t="s">
        <v>10554</v>
      </c>
      <c r="T151" s="10" t="s">
        <v>10500</v>
      </c>
      <c r="U151" s="10" t="s">
        <v>87</v>
      </c>
      <c r="V151" s="10" t="s">
        <v>87</v>
      </c>
    </row>
    <row r="152" spans="1:22" s="10" customFormat="1" x14ac:dyDescent="0.25">
      <c r="A152" s="10" t="s">
        <v>10560</v>
      </c>
      <c r="B152" s="10" t="s">
        <v>10492</v>
      </c>
      <c r="C152" s="10" t="s">
        <v>215</v>
      </c>
      <c r="D152" s="10" t="s">
        <v>10561</v>
      </c>
      <c r="E152" s="8" t="s">
        <v>10562</v>
      </c>
      <c r="F152" s="8" t="s">
        <v>10563</v>
      </c>
      <c r="G152" s="10" t="s">
        <v>3</v>
      </c>
      <c r="H152" s="8" t="s">
        <v>10564</v>
      </c>
      <c r="I152" s="10" t="s">
        <v>919</v>
      </c>
      <c r="J152" s="8" t="s">
        <v>10497</v>
      </c>
      <c r="K152" s="8" t="s">
        <v>1435</v>
      </c>
      <c r="L152" s="8" t="s">
        <v>10537</v>
      </c>
      <c r="M152" s="10" t="s">
        <v>1436</v>
      </c>
      <c r="N152" s="8" t="s">
        <v>87</v>
      </c>
      <c r="O152" s="10" t="s">
        <v>46</v>
      </c>
      <c r="P152" s="8" t="s">
        <v>10565</v>
      </c>
      <c r="Q152" s="10" t="s">
        <v>246</v>
      </c>
      <c r="R152" s="10" t="s">
        <v>2841</v>
      </c>
      <c r="S152" s="8" t="s">
        <v>10566</v>
      </c>
      <c r="T152" s="10" t="s">
        <v>10500</v>
      </c>
      <c r="U152" s="10" t="s">
        <v>87</v>
      </c>
      <c r="V152" s="10" t="s">
        <v>87</v>
      </c>
    </row>
    <row r="153" spans="1:22" s="10" customFormat="1" x14ac:dyDescent="0.25">
      <c r="A153" s="10" t="s">
        <v>10567</v>
      </c>
      <c r="B153" s="10" t="s">
        <v>10492</v>
      </c>
      <c r="C153" s="11" t="s">
        <v>346</v>
      </c>
      <c r="D153" s="10" t="s">
        <v>10568</v>
      </c>
      <c r="E153" s="8" t="s">
        <v>10569</v>
      </c>
      <c r="F153" s="8" t="s">
        <v>10570</v>
      </c>
      <c r="G153" s="10" t="s">
        <v>3</v>
      </c>
      <c r="H153" s="8" t="s">
        <v>10512</v>
      </c>
      <c r="I153" s="10" t="s">
        <v>5301</v>
      </c>
      <c r="J153" s="8" t="s">
        <v>10497</v>
      </c>
      <c r="K153" s="8" t="s">
        <v>1435</v>
      </c>
      <c r="L153" s="8" t="s">
        <v>10571</v>
      </c>
      <c r="M153" s="10" t="s">
        <v>1436</v>
      </c>
      <c r="N153" s="8" t="s">
        <v>87</v>
      </c>
      <c r="O153" s="10" t="s">
        <v>46</v>
      </c>
      <c r="P153" s="8" t="s">
        <v>10572</v>
      </c>
      <c r="Q153" s="10" t="s">
        <v>246</v>
      </c>
      <c r="R153" s="10" t="s">
        <v>2841</v>
      </c>
      <c r="S153" s="8" t="s">
        <v>10573</v>
      </c>
      <c r="T153" s="10" t="s">
        <v>10500</v>
      </c>
      <c r="U153" s="10" t="s">
        <v>87</v>
      </c>
      <c r="V153" s="10" t="s">
        <v>87</v>
      </c>
    </row>
    <row r="154" spans="1:22" s="10" customFormat="1" x14ac:dyDescent="0.25">
      <c r="A154" s="10" t="s">
        <v>10574</v>
      </c>
      <c r="B154" s="10" t="s">
        <v>10492</v>
      </c>
      <c r="C154" s="11" t="s">
        <v>346</v>
      </c>
      <c r="D154" s="10" t="s">
        <v>10575</v>
      </c>
      <c r="E154" s="8" t="s">
        <v>10576</v>
      </c>
      <c r="F154" s="8" t="s">
        <v>10577</v>
      </c>
      <c r="G154" s="10" t="s">
        <v>3</v>
      </c>
      <c r="H154" s="8" t="s">
        <v>10512</v>
      </c>
      <c r="I154" s="10" t="s">
        <v>919</v>
      </c>
      <c r="J154" s="8" t="s">
        <v>10497</v>
      </c>
      <c r="K154" s="8" t="s">
        <v>1435</v>
      </c>
      <c r="L154" s="8" t="s">
        <v>10518</v>
      </c>
      <c r="M154" s="10" t="s">
        <v>1436</v>
      </c>
      <c r="N154" s="8" t="s">
        <v>87</v>
      </c>
      <c r="O154" s="10" t="s">
        <v>46</v>
      </c>
      <c r="P154" s="8" t="s">
        <v>10578</v>
      </c>
      <c r="Q154" s="10" t="s">
        <v>1447</v>
      </c>
      <c r="R154" s="10" t="s">
        <v>2841</v>
      </c>
      <c r="S154" s="8" t="s">
        <v>10579</v>
      </c>
      <c r="T154" s="10" t="s">
        <v>10500</v>
      </c>
      <c r="U154" s="10" t="s">
        <v>87</v>
      </c>
      <c r="V154" s="10" t="s">
        <v>87</v>
      </c>
    </row>
    <row r="155" spans="1:22" s="10" customFormat="1" x14ac:dyDescent="0.25">
      <c r="A155" s="10" t="s">
        <v>10580</v>
      </c>
      <c r="B155" s="10" t="s">
        <v>10492</v>
      </c>
      <c r="C155" s="10" t="s">
        <v>215</v>
      </c>
      <c r="D155" s="10" t="s">
        <v>10581</v>
      </c>
      <c r="E155" s="8" t="s">
        <v>10582</v>
      </c>
      <c r="F155" s="8" t="s">
        <v>10583</v>
      </c>
      <c r="G155" s="10" t="s">
        <v>3</v>
      </c>
      <c r="H155" s="8" t="s">
        <v>10584</v>
      </c>
      <c r="I155" s="10" t="s">
        <v>919</v>
      </c>
      <c r="J155" s="8" t="s">
        <v>10497</v>
      </c>
      <c r="K155" s="8" t="s">
        <v>1435</v>
      </c>
      <c r="L155" s="8" t="s">
        <v>9361</v>
      </c>
      <c r="M155" s="10" t="s">
        <v>1436</v>
      </c>
      <c r="N155" s="8" t="s">
        <v>87</v>
      </c>
      <c r="O155" s="10" t="s">
        <v>46</v>
      </c>
      <c r="P155" s="8" t="s">
        <v>10585</v>
      </c>
      <c r="Q155" s="10" t="s">
        <v>223</v>
      </c>
      <c r="R155" s="10" t="s">
        <v>2841</v>
      </c>
      <c r="S155" s="8" t="s">
        <v>10586</v>
      </c>
      <c r="T155" s="10" t="s">
        <v>10500</v>
      </c>
      <c r="U155" s="10" t="s">
        <v>87</v>
      </c>
      <c r="V155" s="10" t="s">
        <v>87</v>
      </c>
    </row>
    <row r="156" spans="1:22" s="10" customFormat="1" x14ac:dyDescent="0.25">
      <c r="A156" s="10" t="s">
        <v>10587</v>
      </c>
      <c r="B156" s="10" t="s">
        <v>10492</v>
      </c>
      <c r="C156" s="11" t="s">
        <v>346</v>
      </c>
      <c r="D156" s="10" t="s">
        <v>10588</v>
      </c>
      <c r="E156" s="8" t="s">
        <v>10589</v>
      </c>
      <c r="F156" s="8" t="s">
        <v>10590</v>
      </c>
      <c r="G156" s="10" t="s">
        <v>3</v>
      </c>
      <c r="H156" s="8" t="s">
        <v>10591</v>
      </c>
      <c r="I156" s="10" t="s">
        <v>5761</v>
      </c>
      <c r="J156" s="8" t="s">
        <v>10497</v>
      </c>
      <c r="K156" s="8" t="s">
        <v>1435</v>
      </c>
      <c r="L156" s="8" t="s">
        <v>10537</v>
      </c>
      <c r="M156" s="10" t="s">
        <v>1436</v>
      </c>
      <c r="N156" s="8" t="s">
        <v>87</v>
      </c>
      <c r="O156" s="10" t="s">
        <v>47</v>
      </c>
      <c r="P156" s="8" t="s">
        <v>10592</v>
      </c>
      <c r="Q156" s="10" t="s">
        <v>1447</v>
      </c>
      <c r="R156" s="10" t="s">
        <v>2841</v>
      </c>
      <c r="S156" s="8" t="s">
        <v>10593</v>
      </c>
      <c r="T156" s="10" t="s">
        <v>10500</v>
      </c>
      <c r="U156" s="10" t="s">
        <v>87</v>
      </c>
      <c r="V156" s="10" t="s">
        <v>87</v>
      </c>
    </row>
    <row r="157" spans="1:22" s="10" customFormat="1" x14ac:dyDescent="0.25">
      <c r="A157" s="10" t="s">
        <v>10594</v>
      </c>
      <c r="B157" s="10" t="s">
        <v>10492</v>
      </c>
      <c r="C157" s="11" t="s">
        <v>346</v>
      </c>
      <c r="D157" s="10" t="s">
        <v>10595</v>
      </c>
      <c r="E157" s="8" t="s">
        <v>10596</v>
      </c>
      <c r="F157" s="8" t="s">
        <v>10597</v>
      </c>
      <c r="G157" s="10" t="s">
        <v>3</v>
      </c>
      <c r="H157" s="8" t="s">
        <v>10598</v>
      </c>
      <c r="I157" s="10" t="s">
        <v>10599</v>
      </c>
      <c r="J157" s="8" t="s">
        <v>10497</v>
      </c>
      <c r="K157" s="8" t="s">
        <v>1435</v>
      </c>
      <c r="L157" s="8" t="s">
        <v>10537</v>
      </c>
      <c r="M157" s="10" t="s">
        <v>1436</v>
      </c>
      <c r="N157" s="8" t="s">
        <v>87</v>
      </c>
      <c r="O157" s="10" t="s">
        <v>47</v>
      </c>
      <c r="P157" s="8" t="s">
        <v>10600</v>
      </c>
      <c r="Q157" s="10" t="s">
        <v>239</v>
      </c>
      <c r="R157" s="10" t="s">
        <v>2841</v>
      </c>
      <c r="S157" s="8" t="s">
        <v>10601</v>
      </c>
      <c r="T157" s="10" t="s">
        <v>10500</v>
      </c>
      <c r="U157" s="10" t="s">
        <v>87</v>
      </c>
      <c r="V157" s="10" t="s">
        <v>87</v>
      </c>
    </row>
    <row r="158" spans="1:22" s="10" customFormat="1" x14ac:dyDescent="0.25">
      <c r="A158" s="10" t="s">
        <v>10602</v>
      </c>
      <c r="B158" s="10" t="s">
        <v>10492</v>
      </c>
      <c r="C158" s="11" t="s">
        <v>346</v>
      </c>
      <c r="D158" s="10" t="s">
        <v>10603</v>
      </c>
      <c r="E158" s="8" t="s">
        <v>10604</v>
      </c>
      <c r="F158" s="8" t="s">
        <v>10605</v>
      </c>
      <c r="G158" s="10" t="s">
        <v>3</v>
      </c>
      <c r="H158" s="8" t="s">
        <v>10606</v>
      </c>
      <c r="I158" s="10" t="s">
        <v>10599</v>
      </c>
      <c r="J158" s="8" t="s">
        <v>10497</v>
      </c>
      <c r="K158" s="8" t="s">
        <v>1435</v>
      </c>
      <c r="L158" s="8" t="s">
        <v>10518</v>
      </c>
      <c r="M158" s="10" t="s">
        <v>1436</v>
      </c>
      <c r="N158" s="8" t="s">
        <v>87</v>
      </c>
      <c r="O158" s="10" t="s">
        <v>47</v>
      </c>
      <c r="P158" s="8" t="s">
        <v>10607</v>
      </c>
      <c r="Q158" s="10" t="s">
        <v>239</v>
      </c>
      <c r="R158" s="10" t="s">
        <v>2841</v>
      </c>
      <c r="S158" s="8" t="s">
        <v>10608</v>
      </c>
      <c r="T158" s="10" t="s">
        <v>10500</v>
      </c>
      <c r="U158" s="10" t="s">
        <v>87</v>
      </c>
      <c r="V158" s="10" t="s">
        <v>87</v>
      </c>
    </row>
    <row r="159" spans="1:22" s="10" customFormat="1" x14ac:dyDescent="0.25">
      <c r="A159" s="10" t="s">
        <v>10609</v>
      </c>
      <c r="B159" s="10" t="s">
        <v>10492</v>
      </c>
      <c r="C159" s="11" t="s">
        <v>346</v>
      </c>
      <c r="D159" s="10" t="s">
        <v>10610</v>
      </c>
      <c r="E159" s="8" t="s">
        <v>10611</v>
      </c>
      <c r="F159" s="8" t="s">
        <v>10612</v>
      </c>
      <c r="G159" s="10" t="s">
        <v>3</v>
      </c>
      <c r="H159" s="8" t="s">
        <v>10613</v>
      </c>
      <c r="I159" s="10" t="s">
        <v>10599</v>
      </c>
      <c r="J159" s="8" t="s">
        <v>10497</v>
      </c>
      <c r="K159" s="8" t="s">
        <v>1435</v>
      </c>
      <c r="L159" s="8" t="s">
        <v>10518</v>
      </c>
      <c r="M159" s="10" t="s">
        <v>1436</v>
      </c>
      <c r="N159" s="8" t="s">
        <v>87</v>
      </c>
      <c r="O159" s="10" t="s">
        <v>47</v>
      </c>
      <c r="P159" s="8" t="s">
        <v>10614</v>
      </c>
      <c r="Q159" s="10" t="s">
        <v>246</v>
      </c>
      <c r="R159" s="10" t="s">
        <v>2841</v>
      </c>
      <c r="S159" s="8" t="s">
        <v>10615</v>
      </c>
      <c r="T159" s="10" t="s">
        <v>10500</v>
      </c>
      <c r="U159" s="10" t="s">
        <v>87</v>
      </c>
      <c r="V159" s="10" t="s">
        <v>87</v>
      </c>
    </row>
    <row r="160" spans="1:22" s="10" customFormat="1" x14ac:dyDescent="0.25">
      <c r="A160" s="10" t="s">
        <v>10616</v>
      </c>
      <c r="B160" s="10" t="s">
        <v>10492</v>
      </c>
      <c r="C160" s="11" t="s">
        <v>346</v>
      </c>
      <c r="D160" s="10" t="s">
        <v>10617</v>
      </c>
      <c r="E160" s="8" t="s">
        <v>10618</v>
      </c>
      <c r="F160" s="8" t="s">
        <v>10619</v>
      </c>
      <c r="G160" s="10" t="s">
        <v>4</v>
      </c>
      <c r="H160" s="8" t="s">
        <v>10620</v>
      </c>
      <c r="I160" s="10" t="s">
        <v>938</v>
      </c>
      <c r="J160" s="8" t="s">
        <v>10497</v>
      </c>
      <c r="K160" s="8" t="s">
        <v>9866</v>
      </c>
      <c r="L160" s="8" t="s">
        <v>87</v>
      </c>
      <c r="M160" s="10" t="s">
        <v>1456</v>
      </c>
      <c r="N160" s="8" t="s">
        <v>87</v>
      </c>
      <c r="O160" s="10" t="s">
        <v>47</v>
      </c>
      <c r="P160" s="8" t="s">
        <v>10621</v>
      </c>
      <c r="Q160" s="10" t="s">
        <v>239</v>
      </c>
      <c r="R160" s="10" t="s">
        <v>2841</v>
      </c>
      <c r="S160" s="8" t="s">
        <v>10622</v>
      </c>
      <c r="T160" s="10" t="s">
        <v>10500</v>
      </c>
      <c r="U160" s="10" t="s">
        <v>87</v>
      </c>
      <c r="V160" s="10" t="s">
        <v>87</v>
      </c>
    </row>
    <row r="161" spans="1:22" s="10" customFormat="1" x14ac:dyDescent="0.25">
      <c r="A161" s="10" t="s">
        <v>10623</v>
      </c>
      <c r="B161" s="10" t="s">
        <v>10492</v>
      </c>
      <c r="C161" s="10" t="s">
        <v>215</v>
      </c>
      <c r="D161" s="10" t="s">
        <v>10624</v>
      </c>
      <c r="E161" s="8" t="s">
        <v>10625</v>
      </c>
      <c r="F161" s="8" t="s">
        <v>10626</v>
      </c>
      <c r="G161" s="10" t="s">
        <v>4</v>
      </c>
      <c r="H161" s="8" t="s">
        <v>10627</v>
      </c>
      <c r="I161" s="10" t="s">
        <v>938</v>
      </c>
      <c r="J161" s="8" t="s">
        <v>10497</v>
      </c>
      <c r="K161" s="8" t="s">
        <v>10628</v>
      </c>
      <c r="L161" s="8" t="s">
        <v>9588</v>
      </c>
      <c r="M161" s="10" t="s">
        <v>1456</v>
      </c>
      <c r="N161" s="8" t="s">
        <v>87</v>
      </c>
      <c r="O161" s="10" t="s">
        <v>46</v>
      </c>
      <c r="P161" s="8" t="s">
        <v>10629</v>
      </c>
      <c r="Q161" s="10" t="s">
        <v>239</v>
      </c>
      <c r="R161" s="10" t="s">
        <v>2841</v>
      </c>
      <c r="S161" s="8" t="s">
        <v>10630</v>
      </c>
      <c r="T161" s="10" t="s">
        <v>10500</v>
      </c>
      <c r="U161" s="10" t="s">
        <v>87</v>
      </c>
      <c r="V161" s="10" t="s">
        <v>87</v>
      </c>
    </row>
    <row r="162" spans="1:22" s="10" customFormat="1" x14ac:dyDescent="0.25">
      <c r="A162" s="10" t="s">
        <v>10631</v>
      </c>
      <c r="B162" s="10" t="s">
        <v>10492</v>
      </c>
      <c r="C162" s="11" t="s">
        <v>346</v>
      </c>
      <c r="D162" s="10" t="s">
        <v>10632</v>
      </c>
      <c r="E162" s="8" t="s">
        <v>10633</v>
      </c>
      <c r="F162" s="8" t="s">
        <v>10634</v>
      </c>
      <c r="G162" s="10" t="s">
        <v>3</v>
      </c>
      <c r="H162" s="8" t="s">
        <v>10512</v>
      </c>
      <c r="I162" s="10" t="s">
        <v>10635</v>
      </c>
      <c r="J162" s="8" t="s">
        <v>10497</v>
      </c>
      <c r="K162" s="8" t="s">
        <v>1435</v>
      </c>
      <c r="L162" s="8" t="s">
        <v>9361</v>
      </c>
      <c r="M162" s="10" t="s">
        <v>1436</v>
      </c>
      <c r="N162" s="8" t="s">
        <v>87</v>
      </c>
      <c r="O162" s="10" t="s">
        <v>46</v>
      </c>
      <c r="P162" s="8" t="s">
        <v>10636</v>
      </c>
      <c r="Q162" s="10" t="s">
        <v>1447</v>
      </c>
      <c r="R162" s="10" t="s">
        <v>2841</v>
      </c>
      <c r="S162" s="8" t="s">
        <v>10637</v>
      </c>
      <c r="T162" s="10" t="s">
        <v>10500</v>
      </c>
      <c r="U162" s="10" t="s">
        <v>87</v>
      </c>
      <c r="V162" s="10" t="s">
        <v>87</v>
      </c>
    </row>
    <row r="163" spans="1:22" s="10" customFormat="1" x14ac:dyDescent="0.25">
      <c r="A163" s="10" t="s">
        <v>10638</v>
      </c>
      <c r="B163" s="10" t="s">
        <v>10492</v>
      </c>
      <c r="C163" s="11" t="s">
        <v>346</v>
      </c>
      <c r="D163" s="10" t="s">
        <v>10639</v>
      </c>
      <c r="E163" s="8" t="s">
        <v>10640</v>
      </c>
      <c r="F163" s="8" t="s">
        <v>10641</v>
      </c>
      <c r="G163" s="10" t="s">
        <v>4</v>
      </c>
      <c r="H163" s="8" t="s">
        <v>10642</v>
      </c>
      <c r="I163" s="10" t="s">
        <v>919</v>
      </c>
      <c r="J163" s="8" t="s">
        <v>10497</v>
      </c>
      <c r="K163" s="8" t="s">
        <v>10225</v>
      </c>
      <c r="L163" s="8" t="s">
        <v>10537</v>
      </c>
      <c r="M163" s="10" t="s">
        <v>1456</v>
      </c>
      <c r="N163" s="8" t="s">
        <v>87</v>
      </c>
      <c r="O163" s="10" t="s">
        <v>46</v>
      </c>
      <c r="P163" s="8" t="s">
        <v>10643</v>
      </c>
      <c r="Q163" s="10" t="s">
        <v>825</v>
      </c>
      <c r="R163" s="10" t="s">
        <v>7127</v>
      </c>
      <c r="S163" s="8" t="s">
        <v>10644</v>
      </c>
      <c r="T163" s="10" t="s">
        <v>10500</v>
      </c>
      <c r="U163" s="10" t="s">
        <v>87</v>
      </c>
      <c r="V163" s="10" t="s">
        <v>87</v>
      </c>
    </row>
    <row r="164" spans="1:22" s="10" customFormat="1" x14ac:dyDescent="0.25">
      <c r="A164" s="10" t="s">
        <v>10645</v>
      </c>
      <c r="B164" s="10" t="s">
        <v>10646</v>
      </c>
      <c r="C164" s="11" t="s">
        <v>346</v>
      </c>
      <c r="D164" s="10" t="s">
        <v>10647</v>
      </c>
      <c r="E164" s="8" t="s">
        <v>10648</v>
      </c>
      <c r="F164" s="8" t="s">
        <v>10649</v>
      </c>
      <c r="G164" s="10" t="s">
        <v>3</v>
      </c>
      <c r="H164" s="8" t="s">
        <v>10650</v>
      </c>
      <c r="I164" s="10" t="s">
        <v>1628</v>
      </c>
      <c r="J164" s="8" t="s">
        <v>10651</v>
      </c>
      <c r="K164" s="8" t="s">
        <v>1435</v>
      </c>
      <c r="L164" s="8" t="s">
        <v>10184</v>
      </c>
      <c r="M164" s="10" t="s">
        <v>1436</v>
      </c>
      <c r="N164" s="8" t="s">
        <v>87</v>
      </c>
      <c r="O164" s="10" t="s">
        <v>35</v>
      </c>
      <c r="P164" s="8" t="s">
        <v>10652</v>
      </c>
      <c r="Q164" s="10" t="s">
        <v>1447</v>
      </c>
      <c r="R164" s="10" t="s">
        <v>1438</v>
      </c>
      <c r="S164" s="8" t="s">
        <v>10653</v>
      </c>
      <c r="T164" s="10" t="s">
        <v>10654</v>
      </c>
      <c r="U164" s="10" t="s">
        <v>87</v>
      </c>
      <c r="V164" s="10" t="s">
        <v>87</v>
      </c>
    </row>
    <row r="165" spans="1:22" s="10" customFormat="1" x14ac:dyDescent="0.25">
      <c r="A165" s="10" t="s">
        <v>10655</v>
      </c>
      <c r="B165" s="10" t="s">
        <v>10646</v>
      </c>
      <c r="C165" s="11" t="s">
        <v>346</v>
      </c>
      <c r="D165" s="10" t="s">
        <v>10656</v>
      </c>
      <c r="E165" s="8" t="s">
        <v>10657</v>
      </c>
      <c r="F165" s="8" t="s">
        <v>10658</v>
      </c>
      <c r="G165" s="10" t="s">
        <v>3</v>
      </c>
      <c r="H165" s="8" t="s">
        <v>9865</v>
      </c>
      <c r="I165" s="10" t="s">
        <v>539</v>
      </c>
      <c r="J165" s="8" t="s">
        <v>10651</v>
      </c>
      <c r="K165" s="8" t="s">
        <v>1435</v>
      </c>
      <c r="L165" s="8" t="s">
        <v>10184</v>
      </c>
      <c r="M165" s="10" t="s">
        <v>1436</v>
      </c>
      <c r="N165" s="8" t="s">
        <v>87</v>
      </c>
      <c r="O165" s="10" t="s">
        <v>35</v>
      </c>
      <c r="P165" s="8" t="s">
        <v>10659</v>
      </c>
      <c r="Q165" s="10" t="s">
        <v>223</v>
      </c>
      <c r="R165" s="10" t="s">
        <v>1438</v>
      </c>
      <c r="S165" s="8" t="s">
        <v>10660</v>
      </c>
      <c r="T165" s="10" t="s">
        <v>10654</v>
      </c>
      <c r="U165" s="10" t="s">
        <v>87</v>
      </c>
      <c r="V165" s="10" t="s">
        <v>87</v>
      </c>
    </row>
    <row r="166" spans="1:22" s="10" customFormat="1" x14ac:dyDescent="0.25">
      <c r="A166" s="10" t="s">
        <v>10661</v>
      </c>
      <c r="B166" s="10" t="s">
        <v>10646</v>
      </c>
      <c r="C166" s="11" t="s">
        <v>346</v>
      </c>
      <c r="D166" s="10" t="s">
        <v>10662</v>
      </c>
      <c r="E166" s="8" t="s">
        <v>10663</v>
      </c>
      <c r="F166" s="8" t="s">
        <v>10664</v>
      </c>
      <c r="G166" s="10" t="s">
        <v>3</v>
      </c>
      <c r="H166" s="8" t="s">
        <v>9582</v>
      </c>
      <c r="I166" s="10" t="s">
        <v>539</v>
      </c>
      <c r="J166" s="8" t="s">
        <v>10651</v>
      </c>
      <c r="K166" s="8" t="s">
        <v>1435</v>
      </c>
      <c r="L166" s="8" t="s">
        <v>10184</v>
      </c>
      <c r="M166" s="10" t="s">
        <v>1436</v>
      </c>
      <c r="N166" s="8" t="s">
        <v>87</v>
      </c>
      <c r="O166" s="10" t="s">
        <v>35</v>
      </c>
      <c r="P166" s="8" t="s">
        <v>10665</v>
      </c>
      <c r="Q166" s="10" t="s">
        <v>223</v>
      </c>
      <c r="R166" s="10" t="s">
        <v>1438</v>
      </c>
      <c r="S166" s="8" t="s">
        <v>10666</v>
      </c>
      <c r="T166" s="10" t="s">
        <v>10654</v>
      </c>
      <c r="U166" s="10" t="s">
        <v>87</v>
      </c>
      <c r="V166" s="10" t="s">
        <v>87</v>
      </c>
    </row>
    <row r="167" spans="1:22" s="10" customFormat="1" x14ac:dyDescent="0.25">
      <c r="A167" s="10" t="s">
        <v>10667</v>
      </c>
      <c r="B167" s="10" t="s">
        <v>10646</v>
      </c>
      <c r="C167" s="11" t="s">
        <v>346</v>
      </c>
      <c r="D167" s="10" t="s">
        <v>10668</v>
      </c>
      <c r="E167" s="8" t="s">
        <v>10669</v>
      </c>
      <c r="F167" s="8" t="s">
        <v>10670</v>
      </c>
      <c r="G167" s="10" t="s">
        <v>3</v>
      </c>
      <c r="H167" s="8" t="s">
        <v>9582</v>
      </c>
      <c r="I167" s="10" t="s">
        <v>539</v>
      </c>
      <c r="J167" s="8" t="s">
        <v>10651</v>
      </c>
      <c r="K167" s="8" t="s">
        <v>1435</v>
      </c>
      <c r="L167" s="8" t="s">
        <v>10671</v>
      </c>
      <c r="M167" s="10" t="s">
        <v>1436</v>
      </c>
      <c r="N167" s="8" t="s">
        <v>87</v>
      </c>
      <c r="O167" s="10" t="s">
        <v>35</v>
      </c>
      <c r="P167" s="8" t="s">
        <v>10672</v>
      </c>
      <c r="Q167" s="10" t="s">
        <v>246</v>
      </c>
      <c r="R167" s="10" t="s">
        <v>1438</v>
      </c>
      <c r="S167" s="8" t="s">
        <v>10673</v>
      </c>
      <c r="T167" s="10" t="s">
        <v>10654</v>
      </c>
      <c r="U167" s="10" t="s">
        <v>87</v>
      </c>
      <c r="V167" s="10" t="s">
        <v>87</v>
      </c>
    </row>
    <row r="168" spans="1:22" s="10" customFormat="1" x14ac:dyDescent="0.25">
      <c r="A168" s="10" t="s">
        <v>10674</v>
      </c>
      <c r="B168" s="10" t="s">
        <v>10646</v>
      </c>
      <c r="C168" s="11" t="s">
        <v>346</v>
      </c>
      <c r="D168" s="10" t="s">
        <v>10675</v>
      </c>
      <c r="E168" s="8" t="s">
        <v>10676</v>
      </c>
      <c r="F168" s="8" t="s">
        <v>10677</v>
      </c>
      <c r="G168" s="10" t="s">
        <v>4</v>
      </c>
      <c r="H168" s="8" t="s">
        <v>9865</v>
      </c>
      <c r="I168" s="10" t="s">
        <v>539</v>
      </c>
      <c r="J168" s="8" t="s">
        <v>10651</v>
      </c>
      <c r="K168" s="8" t="s">
        <v>10678</v>
      </c>
      <c r="L168" s="8" t="s">
        <v>10252</v>
      </c>
      <c r="M168" s="10" t="s">
        <v>1456</v>
      </c>
      <c r="N168" s="8" t="s">
        <v>87</v>
      </c>
      <c r="O168" s="10" t="s">
        <v>35</v>
      </c>
      <c r="P168" s="8" t="s">
        <v>10679</v>
      </c>
      <c r="Q168" s="10" t="s">
        <v>246</v>
      </c>
      <c r="R168" s="10" t="s">
        <v>1438</v>
      </c>
      <c r="S168" s="8" t="s">
        <v>10680</v>
      </c>
      <c r="T168" s="10" t="s">
        <v>10654</v>
      </c>
      <c r="U168" s="10" t="s">
        <v>87</v>
      </c>
      <c r="V168" s="10" t="s">
        <v>87</v>
      </c>
    </row>
    <row r="169" spans="1:22" s="10" customFormat="1" x14ac:dyDescent="0.25">
      <c r="A169" s="10" t="s">
        <v>10681</v>
      </c>
      <c r="B169" s="10" t="s">
        <v>10646</v>
      </c>
      <c r="C169" s="11" t="s">
        <v>346</v>
      </c>
      <c r="D169" s="10" t="s">
        <v>10682</v>
      </c>
      <c r="E169" s="8" t="s">
        <v>10683</v>
      </c>
      <c r="F169" s="8" t="s">
        <v>10684</v>
      </c>
      <c r="G169" s="10" t="s">
        <v>3</v>
      </c>
      <c r="H169" s="8" t="s">
        <v>9582</v>
      </c>
      <c r="I169" s="10" t="s">
        <v>1537</v>
      </c>
      <c r="J169" s="8" t="s">
        <v>10651</v>
      </c>
      <c r="K169" s="8" t="s">
        <v>1435</v>
      </c>
      <c r="L169" s="8" t="s">
        <v>10184</v>
      </c>
      <c r="M169" s="10" t="s">
        <v>1436</v>
      </c>
      <c r="N169" s="8" t="s">
        <v>87</v>
      </c>
      <c r="O169" s="10" t="s">
        <v>35</v>
      </c>
      <c r="P169" s="8" t="s">
        <v>10685</v>
      </c>
      <c r="Q169" s="10" t="s">
        <v>1447</v>
      </c>
      <c r="R169" s="10" t="s">
        <v>1438</v>
      </c>
      <c r="S169" s="8" t="s">
        <v>10686</v>
      </c>
      <c r="T169" s="10" t="s">
        <v>10654</v>
      </c>
      <c r="U169" s="10" t="s">
        <v>87</v>
      </c>
      <c r="V169" s="10" t="s">
        <v>87</v>
      </c>
    </row>
    <row r="170" spans="1:22" s="10" customFormat="1" x14ac:dyDescent="0.25">
      <c r="A170" s="10" t="s">
        <v>10687</v>
      </c>
      <c r="B170" s="10" t="s">
        <v>10646</v>
      </c>
      <c r="C170" s="11" t="s">
        <v>346</v>
      </c>
      <c r="D170" s="10" t="s">
        <v>10688</v>
      </c>
      <c r="E170" s="8" t="s">
        <v>10689</v>
      </c>
      <c r="F170" s="8" t="s">
        <v>10690</v>
      </c>
      <c r="G170" s="10" t="s">
        <v>3</v>
      </c>
      <c r="H170" s="8" t="s">
        <v>9582</v>
      </c>
      <c r="I170" s="10" t="s">
        <v>1628</v>
      </c>
      <c r="J170" s="8" t="s">
        <v>10651</v>
      </c>
      <c r="K170" s="8" t="s">
        <v>1435</v>
      </c>
      <c r="L170" s="8" t="s">
        <v>9361</v>
      </c>
      <c r="M170" s="10" t="s">
        <v>1436</v>
      </c>
      <c r="N170" s="8" t="s">
        <v>87</v>
      </c>
      <c r="O170" s="10" t="s">
        <v>35</v>
      </c>
      <c r="P170" s="8" t="s">
        <v>10691</v>
      </c>
      <c r="Q170" s="10" t="s">
        <v>223</v>
      </c>
      <c r="R170" s="10" t="s">
        <v>1438</v>
      </c>
      <c r="S170" s="8" t="s">
        <v>10692</v>
      </c>
      <c r="T170" s="10" t="s">
        <v>10654</v>
      </c>
      <c r="U170" s="10" t="s">
        <v>87</v>
      </c>
      <c r="V170" s="10" t="s">
        <v>87</v>
      </c>
    </row>
    <row r="171" spans="1:22" s="10" customFormat="1" x14ac:dyDescent="0.25">
      <c r="A171" s="10" t="s">
        <v>10693</v>
      </c>
      <c r="B171" s="10" t="s">
        <v>10646</v>
      </c>
      <c r="C171" s="11" t="s">
        <v>346</v>
      </c>
      <c r="D171" s="10" t="s">
        <v>10694</v>
      </c>
      <c r="E171" s="8" t="s">
        <v>10695</v>
      </c>
      <c r="F171" s="8" t="s">
        <v>10696</v>
      </c>
      <c r="G171" s="10" t="s">
        <v>4</v>
      </c>
      <c r="H171" s="8" t="s">
        <v>9601</v>
      </c>
      <c r="I171" s="10" t="s">
        <v>1628</v>
      </c>
      <c r="J171" s="8" t="s">
        <v>10651</v>
      </c>
      <c r="K171" s="8" t="s">
        <v>10225</v>
      </c>
      <c r="L171" s="8" t="s">
        <v>10697</v>
      </c>
      <c r="M171" s="10" t="s">
        <v>1456</v>
      </c>
      <c r="N171" s="8" t="s">
        <v>87</v>
      </c>
      <c r="O171" s="10" t="s">
        <v>35</v>
      </c>
      <c r="P171" s="8" t="s">
        <v>10698</v>
      </c>
      <c r="Q171" s="10" t="s">
        <v>246</v>
      </c>
      <c r="R171" s="10" t="s">
        <v>1438</v>
      </c>
      <c r="S171" s="8" t="s">
        <v>10699</v>
      </c>
      <c r="T171" s="10" t="s">
        <v>10654</v>
      </c>
      <c r="U171" s="10" t="s">
        <v>87</v>
      </c>
      <c r="V171" s="10" t="s">
        <v>87</v>
      </c>
    </row>
    <row r="172" spans="1:22" s="10" customFormat="1" x14ac:dyDescent="0.25">
      <c r="A172" s="10" t="s">
        <v>10700</v>
      </c>
      <c r="B172" s="10" t="s">
        <v>10646</v>
      </c>
      <c r="C172" s="11" t="s">
        <v>346</v>
      </c>
      <c r="D172" s="10" t="s">
        <v>10701</v>
      </c>
      <c r="E172" s="8" t="s">
        <v>10702</v>
      </c>
      <c r="F172" s="8" t="s">
        <v>10703</v>
      </c>
      <c r="G172" s="10" t="s">
        <v>3</v>
      </c>
      <c r="H172" s="8" t="s">
        <v>9865</v>
      </c>
      <c r="I172" s="10" t="s">
        <v>539</v>
      </c>
      <c r="J172" s="8" t="s">
        <v>10651</v>
      </c>
      <c r="K172" s="8" t="s">
        <v>1435</v>
      </c>
      <c r="L172" s="8" t="s">
        <v>9671</v>
      </c>
      <c r="M172" s="10" t="s">
        <v>1436</v>
      </c>
      <c r="N172" s="8" t="s">
        <v>87</v>
      </c>
      <c r="O172" s="10" t="s">
        <v>35</v>
      </c>
      <c r="P172" s="8" t="s">
        <v>10704</v>
      </c>
      <c r="Q172" s="10" t="s">
        <v>223</v>
      </c>
      <c r="R172" s="10" t="s">
        <v>1438</v>
      </c>
      <c r="S172" s="8" t="s">
        <v>10705</v>
      </c>
      <c r="T172" s="10" t="s">
        <v>10654</v>
      </c>
      <c r="U172" s="10" t="s">
        <v>87</v>
      </c>
      <c r="V172" s="10" t="s">
        <v>87</v>
      </c>
    </row>
    <row r="173" spans="1:22" s="10" customFormat="1" x14ac:dyDescent="0.25">
      <c r="A173" s="10" t="s">
        <v>10706</v>
      </c>
      <c r="B173" s="10" t="s">
        <v>10646</v>
      </c>
      <c r="C173" s="11" t="s">
        <v>346</v>
      </c>
      <c r="D173" s="10" t="s">
        <v>10707</v>
      </c>
      <c r="E173" s="8" t="s">
        <v>10708</v>
      </c>
      <c r="F173" s="8" t="s">
        <v>10709</v>
      </c>
      <c r="G173" s="10" t="s">
        <v>3</v>
      </c>
      <c r="H173" s="8" t="s">
        <v>10710</v>
      </c>
      <c r="I173" s="10" t="s">
        <v>1628</v>
      </c>
      <c r="J173" s="8" t="s">
        <v>10651</v>
      </c>
      <c r="K173" s="8" t="s">
        <v>1435</v>
      </c>
      <c r="L173" s="8" t="s">
        <v>9588</v>
      </c>
      <c r="M173" s="10" t="s">
        <v>1436</v>
      </c>
      <c r="N173" s="8" t="s">
        <v>87</v>
      </c>
      <c r="O173" s="10" t="s">
        <v>35</v>
      </c>
      <c r="P173" s="8" t="s">
        <v>10711</v>
      </c>
      <c r="Q173" s="10" t="s">
        <v>223</v>
      </c>
      <c r="R173" s="10" t="s">
        <v>1438</v>
      </c>
      <c r="S173" s="8" t="s">
        <v>10712</v>
      </c>
      <c r="T173" s="10" t="s">
        <v>10654</v>
      </c>
      <c r="U173" s="10" t="s">
        <v>87</v>
      </c>
      <c r="V173" s="10" t="s">
        <v>87</v>
      </c>
    </row>
    <row r="174" spans="1:22" s="10" customFormat="1" x14ac:dyDescent="0.25">
      <c r="A174" s="10" t="s">
        <v>10713</v>
      </c>
      <c r="B174" s="10" t="s">
        <v>10646</v>
      </c>
      <c r="C174" s="10" t="s">
        <v>215</v>
      </c>
      <c r="D174" s="10" t="s">
        <v>10714</v>
      </c>
      <c r="E174" s="8" t="s">
        <v>10715</v>
      </c>
      <c r="F174" s="8" t="s">
        <v>10716</v>
      </c>
      <c r="G174" s="10" t="s">
        <v>3</v>
      </c>
      <c r="H174" s="8" t="s">
        <v>10717</v>
      </c>
      <c r="I174" s="10" t="s">
        <v>1628</v>
      </c>
      <c r="J174" s="8" t="s">
        <v>10651</v>
      </c>
      <c r="K174" s="8" t="s">
        <v>1435</v>
      </c>
      <c r="L174" s="8" t="s">
        <v>9588</v>
      </c>
      <c r="M174" s="10" t="s">
        <v>1436</v>
      </c>
      <c r="N174" s="8" t="s">
        <v>87</v>
      </c>
      <c r="O174" s="10" t="s">
        <v>35</v>
      </c>
      <c r="P174" s="8" t="s">
        <v>10718</v>
      </c>
      <c r="Q174" s="10" t="s">
        <v>223</v>
      </c>
      <c r="R174" s="10" t="s">
        <v>1438</v>
      </c>
      <c r="S174" s="8" t="s">
        <v>10719</v>
      </c>
      <c r="T174" s="10" t="s">
        <v>10654</v>
      </c>
      <c r="U174" s="10" t="s">
        <v>87</v>
      </c>
      <c r="V174" s="10" t="s">
        <v>87</v>
      </c>
    </row>
    <row r="175" spans="1:22" s="10" customFormat="1" x14ac:dyDescent="0.25">
      <c r="A175" s="10" t="s">
        <v>10720</v>
      </c>
      <c r="B175" s="10" t="s">
        <v>10646</v>
      </c>
      <c r="C175" s="11" t="s">
        <v>346</v>
      </c>
      <c r="D175" s="10" t="s">
        <v>10721</v>
      </c>
      <c r="E175" s="8" t="s">
        <v>10722</v>
      </c>
      <c r="F175" s="8" t="s">
        <v>10723</v>
      </c>
      <c r="G175" s="10" t="s">
        <v>4</v>
      </c>
      <c r="H175" s="8" t="s">
        <v>10724</v>
      </c>
      <c r="I175" s="10" t="s">
        <v>539</v>
      </c>
      <c r="J175" s="8" t="s">
        <v>10651</v>
      </c>
      <c r="K175" s="8" t="s">
        <v>10725</v>
      </c>
      <c r="L175" s="8" t="s">
        <v>10726</v>
      </c>
      <c r="M175" s="10" t="s">
        <v>1456</v>
      </c>
      <c r="N175" s="8" t="s">
        <v>87</v>
      </c>
      <c r="O175" s="10" t="s">
        <v>55</v>
      </c>
      <c r="P175" s="8" t="s">
        <v>10727</v>
      </c>
      <c r="Q175" s="10" t="s">
        <v>246</v>
      </c>
      <c r="R175" s="10" t="s">
        <v>1438</v>
      </c>
      <c r="S175" s="8" t="s">
        <v>10728</v>
      </c>
      <c r="T175" s="10" t="s">
        <v>10654</v>
      </c>
      <c r="U175" s="10" t="s">
        <v>87</v>
      </c>
      <c r="V175" s="10" t="s">
        <v>87</v>
      </c>
    </row>
    <row r="176" spans="1:22" s="10" customFormat="1" x14ac:dyDescent="0.25">
      <c r="A176" s="10" t="s">
        <v>10729</v>
      </c>
      <c r="B176" s="10" t="s">
        <v>10646</v>
      </c>
      <c r="C176" s="11" t="s">
        <v>346</v>
      </c>
      <c r="D176" s="10" t="s">
        <v>10730</v>
      </c>
      <c r="E176" s="8" t="s">
        <v>10731</v>
      </c>
      <c r="F176" s="8" t="s">
        <v>10732</v>
      </c>
      <c r="G176" s="10" t="s">
        <v>4</v>
      </c>
      <c r="H176" s="8" t="s">
        <v>10733</v>
      </c>
      <c r="I176" s="10" t="s">
        <v>539</v>
      </c>
      <c r="J176" s="8" t="s">
        <v>10651</v>
      </c>
      <c r="K176" s="8" t="s">
        <v>10734</v>
      </c>
      <c r="L176" s="8" t="s">
        <v>10184</v>
      </c>
      <c r="M176" s="10" t="s">
        <v>1456</v>
      </c>
      <c r="N176" s="8" t="s">
        <v>87</v>
      </c>
      <c r="O176" s="10" t="s">
        <v>55</v>
      </c>
      <c r="P176" s="8" t="s">
        <v>10735</v>
      </c>
      <c r="Q176" s="10" t="s">
        <v>239</v>
      </c>
      <c r="R176" s="10" t="s">
        <v>1438</v>
      </c>
      <c r="S176" s="8" t="s">
        <v>10736</v>
      </c>
      <c r="T176" s="10" t="s">
        <v>10654</v>
      </c>
      <c r="U176" s="10" t="s">
        <v>87</v>
      </c>
      <c r="V176" s="10" t="s">
        <v>87</v>
      </c>
    </row>
    <row r="177" spans="1:22" s="10" customFormat="1" x14ac:dyDescent="0.25">
      <c r="A177" s="10" t="s">
        <v>10737</v>
      </c>
      <c r="B177" s="10" t="s">
        <v>10646</v>
      </c>
      <c r="C177" s="10" t="s">
        <v>215</v>
      </c>
      <c r="D177" s="10" t="s">
        <v>10738</v>
      </c>
      <c r="E177" s="8" t="s">
        <v>10739</v>
      </c>
      <c r="F177" s="8" t="s">
        <v>10740</v>
      </c>
      <c r="G177" s="10" t="s">
        <v>3</v>
      </c>
      <c r="H177" s="8" t="s">
        <v>10741</v>
      </c>
      <c r="I177" s="10" t="s">
        <v>539</v>
      </c>
      <c r="J177" s="8" t="s">
        <v>10651</v>
      </c>
      <c r="K177" s="8" t="s">
        <v>1435</v>
      </c>
      <c r="L177" s="8" t="s">
        <v>10742</v>
      </c>
      <c r="M177" s="10" t="s">
        <v>1436</v>
      </c>
      <c r="N177" s="8" t="s">
        <v>87</v>
      </c>
      <c r="O177" s="10" t="s">
        <v>55</v>
      </c>
      <c r="P177" s="8" t="s">
        <v>10743</v>
      </c>
      <c r="Q177" s="10" t="s">
        <v>223</v>
      </c>
      <c r="R177" s="10" t="s">
        <v>1438</v>
      </c>
      <c r="S177" s="8" t="s">
        <v>10744</v>
      </c>
      <c r="T177" s="10" t="s">
        <v>10654</v>
      </c>
      <c r="U177" s="10" t="s">
        <v>87</v>
      </c>
      <c r="V177" s="10" t="s">
        <v>87</v>
      </c>
    </row>
    <row r="178" spans="1:22" s="10" customFormat="1" x14ac:dyDescent="0.25">
      <c r="A178" s="10" t="s">
        <v>10745</v>
      </c>
      <c r="B178" s="10" t="s">
        <v>10646</v>
      </c>
      <c r="C178" s="11" t="s">
        <v>346</v>
      </c>
      <c r="D178" s="10" t="s">
        <v>10746</v>
      </c>
      <c r="E178" s="8" t="s">
        <v>10747</v>
      </c>
      <c r="F178" s="8" t="s">
        <v>10748</v>
      </c>
      <c r="G178" s="10" t="s">
        <v>3</v>
      </c>
      <c r="H178" s="8" t="s">
        <v>10749</v>
      </c>
      <c r="I178" s="10" t="s">
        <v>539</v>
      </c>
      <c r="J178" s="8" t="s">
        <v>10651</v>
      </c>
      <c r="K178" s="8" t="s">
        <v>1435</v>
      </c>
      <c r="L178" s="8" t="s">
        <v>87</v>
      </c>
      <c r="M178" s="10" t="s">
        <v>1436</v>
      </c>
      <c r="N178" s="8" t="s">
        <v>87</v>
      </c>
      <c r="O178" s="10" t="s">
        <v>54</v>
      </c>
      <c r="P178" s="8" t="s">
        <v>10750</v>
      </c>
      <c r="Q178" s="10" t="s">
        <v>223</v>
      </c>
      <c r="R178" s="10" t="s">
        <v>1438</v>
      </c>
      <c r="S178" s="8" t="s">
        <v>10751</v>
      </c>
      <c r="T178" s="10" t="s">
        <v>10654</v>
      </c>
      <c r="U178" s="10" t="s">
        <v>87</v>
      </c>
      <c r="V178" s="10" t="s">
        <v>87</v>
      </c>
    </row>
    <row r="179" spans="1:22" s="10" customFormat="1" x14ac:dyDescent="0.25">
      <c r="A179" s="10" t="s">
        <v>10752</v>
      </c>
      <c r="B179" s="10" t="s">
        <v>10646</v>
      </c>
      <c r="C179" s="11" t="s">
        <v>346</v>
      </c>
      <c r="D179" s="10" t="s">
        <v>10753</v>
      </c>
      <c r="E179" s="8" t="s">
        <v>10754</v>
      </c>
      <c r="F179" s="8" t="s">
        <v>10755</v>
      </c>
      <c r="G179" s="10" t="s">
        <v>2647</v>
      </c>
      <c r="H179" s="8" t="s">
        <v>10756</v>
      </c>
      <c r="I179" s="10" t="s">
        <v>539</v>
      </c>
      <c r="J179" s="8" t="s">
        <v>10651</v>
      </c>
      <c r="K179" s="8" t="s">
        <v>2649</v>
      </c>
      <c r="L179" s="8" t="s">
        <v>9361</v>
      </c>
      <c r="M179" s="10" t="s">
        <v>1436</v>
      </c>
      <c r="N179" s="8" t="s">
        <v>87</v>
      </c>
      <c r="O179" s="10" t="s">
        <v>54</v>
      </c>
      <c r="P179" s="8" t="s">
        <v>10757</v>
      </c>
      <c r="Q179" s="10" t="s">
        <v>223</v>
      </c>
      <c r="R179" s="10" t="s">
        <v>1438</v>
      </c>
      <c r="S179" s="8" t="s">
        <v>10758</v>
      </c>
      <c r="T179" s="10" t="s">
        <v>10654</v>
      </c>
      <c r="U179" s="10" t="s">
        <v>87</v>
      </c>
      <c r="V179" s="10" t="s">
        <v>87</v>
      </c>
    </row>
    <row r="180" spans="1:22" s="10" customFormat="1" x14ac:dyDescent="0.25">
      <c r="A180" s="10" t="s">
        <v>10759</v>
      </c>
      <c r="B180" s="10" t="s">
        <v>10646</v>
      </c>
      <c r="C180" s="11" t="s">
        <v>346</v>
      </c>
      <c r="D180" s="10" t="s">
        <v>10760</v>
      </c>
      <c r="E180" s="8" t="s">
        <v>10761</v>
      </c>
      <c r="F180" s="8" t="s">
        <v>10762</v>
      </c>
      <c r="G180" s="10" t="s">
        <v>2647</v>
      </c>
      <c r="H180" s="8" t="s">
        <v>10756</v>
      </c>
      <c r="I180" s="10" t="s">
        <v>1628</v>
      </c>
      <c r="J180" s="8" t="s">
        <v>10651</v>
      </c>
      <c r="K180" s="8" t="s">
        <v>2649</v>
      </c>
      <c r="L180" s="8" t="s">
        <v>10252</v>
      </c>
      <c r="M180" s="10" t="s">
        <v>1436</v>
      </c>
      <c r="N180" s="8" t="s">
        <v>87</v>
      </c>
      <c r="O180" s="10" t="s">
        <v>54</v>
      </c>
      <c r="P180" s="8" t="s">
        <v>10763</v>
      </c>
      <c r="Q180" s="10" t="s">
        <v>223</v>
      </c>
      <c r="R180" s="10" t="s">
        <v>1438</v>
      </c>
      <c r="S180" s="8" t="s">
        <v>10764</v>
      </c>
      <c r="T180" s="10" t="s">
        <v>10654</v>
      </c>
      <c r="U180" s="10" t="s">
        <v>87</v>
      </c>
      <c r="V180" s="10" t="s">
        <v>87</v>
      </c>
    </row>
    <row r="181" spans="1:22" s="10" customFormat="1" x14ac:dyDescent="0.25">
      <c r="A181" s="10" t="s">
        <v>10765</v>
      </c>
      <c r="B181" s="10" t="s">
        <v>10646</v>
      </c>
      <c r="C181" s="11" t="s">
        <v>346</v>
      </c>
      <c r="D181" s="10" t="s">
        <v>10766</v>
      </c>
      <c r="E181" s="8" t="s">
        <v>10767</v>
      </c>
      <c r="F181" s="8" t="s">
        <v>10768</v>
      </c>
      <c r="G181" s="10" t="s">
        <v>4</v>
      </c>
      <c r="H181" s="8" t="s">
        <v>10769</v>
      </c>
      <c r="I181" s="10" t="s">
        <v>539</v>
      </c>
      <c r="J181" s="8" t="s">
        <v>10651</v>
      </c>
      <c r="K181" s="8" t="s">
        <v>10225</v>
      </c>
      <c r="L181" s="8" t="s">
        <v>9361</v>
      </c>
      <c r="M181" s="10" t="s">
        <v>1456</v>
      </c>
      <c r="N181" s="8" t="s">
        <v>87</v>
      </c>
      <c r="O181" s="10" t="s">
        <v>54</v>
      </c>
      <c r="P181" s="8" t="s">
        <v>10770</v>
      </c>
      <c r="Q181" s="10" t="s">
        <v>246</v>
      </c>
      <c r="R181" s="10" t="s">
        <v>1438</v>
      </c>
      <c r="S181" s="8" t="s">
        <v>10771</v>
      </c>
      <c r="T181" s="10" t="s">
        <v>10654</v>
      </c>
      <c r="U181" s="10" t="s">
        <v>87</v>
      </c>
      <c r="V181" s="10" t="s">
        <v>87</v>
      </c>
    </row>
    <row r="182" spans="1:22" s="10" customFormat="1" x14ac:dyDescent="0.25">
      <c r="A182" s="10" t="s">
        <v>10772</v>
      </c>
      <c r="B182" s="10" t="s">
        <v>10646</v>
      </c>
      <c r="C182" s="11" t="s">
        <v>346</v>
      </c>
      <c r="D182" s="10" t="s">
        <v>10773</v>
      </c>
      <c r="E182" s="8" t="s">
        <v>10774</v>
      </c>
      <c r="F182" s="8" t="s">
        <v>10775</v>
      </c>
      <c r="G182" s="10" t="s">
        <v>4</v>
      </c>
      <c r="H182" s="8" t="s">
        <v>10776</v>
      </c>
      <c r="I182" s="10" t="s">
        <v>539</v>
      </c>
      <c r="J182" s="8" t="s">
        <v>10651</v>
      </c>
      <c r="K182" s="8" t="s">
        <v>10225</v>
      </c>
      <c r="L182" s="8" t="s">
        <v>10777</v>
      </c>
      <c r="M182" s="10" t="s">
        <v>1456</v>
      </c>
      <c r="N182" s="8" t="s">
        <v>87</v>
      </c>
      <c r="O182" s="10" t="s">
        <v>54</v>
      </c>
      <c r="P182" s="8" t="s">
        <v>10778</v>
      </c>
      <c r="Q182" s="10" t="s">
        <v>246</v>
      </c>
      <c r="R182" s="10" t="s">
        <v>1438</v>
      </c>
      <c r="S182" s="8" t="s">
        <v>10779</v>
      </c>
      <c r="T182" s="10" t="s">
        <v>10654</v>
      </c>
      <c r="U182" s="10" t="s">
        <v>87</v>
      </c>
      <c r="V182" s="10" t="s">
        <v>87</v>
      </c>
    </row>
    <row r="183" spans="1:22" s="10" customFormat="1" x14ac:dyDescent="0.25">
      <c r="A183" s="10" t="s">
        <v>10780</v>
      </c>
      <c r="B183" s="10" t="s">
        <v>10646</v>
      </c>
      <c r="C183" s="11" t="s">
        <v>346</v>
      </c>
      <c r="D183" s="10" t="s">
        <v>10781</v>
      </c>
      <c r="E183" s="8" t="s">
        <v>10782</v>
      </c>
      <c r="F183" s="8" t="s">
        <v>10783</v>
      </c>
      <c r="G183" s="10" t="s">
        <v>4</v>
      </c>
      <c r="H183" s="8" t="s">
        <v>10756</v>
      </c>
      <c r="I183" s="10" t="s">
        <v>539</v>
      </c>
      <c r="J183" s="8" t="s">
        <v>10651</v>
      </c>
      <c r="K183" s="8" t="s">
        <v>10225</v>
      </c>
      <c r="L183" s="8" t="s">
        <v>10777</v>
      </c>
      <c r="M183" s="10" t="s">
        <v>1456</v>
      </c>
      <c r="N183" s="8" t="s">
        <v>87</v>
      </c>
      <c r="O183" s="10" t="s">
        <v>54</v>
      </c>
      <c r="P183" s="8" t="s">
        <v>10784</v>
      </c>
      <c r="Q183" s="10" t="s">
        <v>223</v>
      </c>
      <c r="R183" s="10" t="s">
        <v>1438</v>
      </c>
      <c r="S183" s="8" t="s">
        <v>10785</v>
      </c>
      <c r="T183" s="10" t="s">
        <v>10654</v>
      </c>
      <c r="U183" s="10" t="s">
        <v>87</v>
      </c>
      <c r="V183" s="10" t="s">
        <v>87</v>
      </c>
    </row>
    <row r="184" spans="1:22" s="10" customFormat="1" x14ac:dyDescent="0.25">
      <c r="A184" s="10" t="s">
        <v>10786</v>
      </c>
      <c r="B184" s="10" t="s">
        <v>10646</v>
      </c>
      <c r="C184" s="11" t="s">
        <v>346</v>
      </c>
      <c r="D184" s="10" t="s">
        <v>10787</v>
      </c>
      <c r="E184" s="8" t="s">
        <v>10788</v>
      </c>
      <c r="F184" s="8" t="s">
        <v>10789</v>
      </c>
      <c r="G184" s="10" t="s">
        <v>4</v>
      </c>
      <c r="H184" s="8" t="s">
        <v>10790</v>
      </c>
      <c r="I184" s="10" t="s">
        <v>539</v>
      </c>
      <c r="J184" s="8" t="s">
        <v>10651</v>
      </c>
      <c r="K184" s="8" t="s">
        <v>10225</v>
      </c>
      <c r="L184" s="8" t="s">
        <v>10777</v>
      </c>
      <c r="M184" s="10" t="s">
        <v>1456</v>
      </c>
      <c r="N184" s="8" t="s">
        <v>87</v>
      </c>
      <c r="O184" s="10" t="s">
        <v>54</v>
      </c>
      <c r="P184" s="8" t="s">
        <v>10791</v>
      </c>
      <c r="Q184" s="10" t="s">
        <v>239</v>
      </c>
      <c r="R184" s="10" t="s">
        <v>1438</v>
      </c>
      <c r="S184" s="8" t="s">
        <v>10792</v>
      </c>
      <c r="T184" s="10" t="s">
        <v>10654</v>
      </c>
      <c r="U184" s="10" t="s">
        <v>87</v>
      </c>
      <c r="V184" s="10" t="s">
        <v>87</v>
      </c>
    </row>
    <row r="185" spans="1:22" s="10" customFormat="1" x14ac:dyDescent="0.25">
      <c r="A185" s="10" t="s">
        <v>10793</v>
      </c>
      <c r="B185" s="10" t="s">
        <v>10646</v>
      </c>
      <c r="C185" s="11" t="s">
        <v>346</v>
      </c>
      <c r="D185" s="10" t="s">
        <v>10794</v>
      </c>
      <c r="E185" s="8" t="s">
        <v>10795</v>
      </c>
      <c r="F185" s="8" t="s">
        <v>10796</v>
      </c>
      <c r="G185" s="10" t="s">
        <v>2647</v>
      </c>
      <c r="H185" s="8" t="s">
        <v>10797</v>
      </c>
      <c r="I185" s="10" t="s">
        <v>539</v>
      </c>
      <c r="J185" s="8" t="s">
        <v>10651</v>
      </c>
      <c r="K185" s="8" t="s">
        <v>2649</v>
      </c>
      <c r="L185" s="8" t="s">
        <v>10252</v>
      </c>
      <c r="M185" s="10" t="s">
        <v>1436</v>
      </c>
      <c r="N185" s="8" t="s">
        <v>87</v>
      </c>
      <c r="O185" s="10" t="s">
        <v>54</v>
      </c>
      <c r="P185" s="8" t="s">
        <v>10798</v>
      </c>
      <c r="Q185" s="10" t="s">
        <v>223</v>
      </c>
      <c r="R185" s="10" t="s">
        <v>1438</v>
      </c>
      <c r="S185" s="8" t="s">
        <v>10799</v>
      </c>
      <c r="T185" s="10" t="s">
        <v>10654</v>
      </c>
      <c r="U185" s="10" t="s">
        <v>87</v>
      </c>
      <c r="V185" s="10" t="s">
        <v>87</v>
      </c>
    </row>
    <row r="186" spans="1:22" s="10" customFormat="1" x14ac:dyDescent="0.25">
      <c r="A186" s="10" t="s">
        <v>10800</v>
      </c>
      <c r="B186" s="10" t="s">
        <v>10646</v>
      </c>
      <c r="C186" s="11" t="s">
        <v>346</v>
      </c>
      <c r="D186" s="10" t="s">
        <v>10801</v>
      </c>
      <c r="E186" s="8" t="s">
        <v>10802</v>
      </c>
      <c r="F186" s="8" t="s">
        <v>10803</v>
      </c>
      <c r="G186" s="10" t="s">
        <v>4</v>
      </c>
      <c r="H186" s="8" t="s">
        <v>10804</v>
      </c>
      <c r="I186" s="10" t="s">
        <v>539</v>
      </c>
      <c r="J186" s="8" t="s">
        <v>10651</v>
      </c>
      <c r="K186" s="8" t="s">
        <v>10225</v>
      </c>
      <c r="L186" s="8" t="s">
        <v>10742</v>
      </c>
      <c r="M186" s="10" t="s">
        <v>1436</v>
      </c>
      <c r="N186" s="8" t="s">
        <v>87</v>
      </c>
      <c r="O186" s="10" t="s">
        <v>54</v>
      </c>
      <c r="P186" s="8" t="s">
        <v>10805</v>
      </c>
      <c r="Q186" s="10" t="s">
        <v>246</v>
      </c>
      <c r="R186" s="10" t="s">
        <v>1438</v>
      </c>
      <c r="S186" s="8" t="s">
        <v>10806</v>
      </c>
      <c r="T186" s="10" t="s">
        <v>10654</v>
      </c>
      <c r="U186" s="10" t="s">
        <v>87</v>
      </c>
      <c r="V186" s="10" t="s">
        <v>87</v>
      </c>
    </row>
    <row r="187" spans="1:22" s="10" customFormat="1" x14ac:dyDescent="0.25">
      <c r="A187" s="10" t="s">
        <v>10807</v>
      </c>
      <c r="B187" s="10" t="s">
        <v>10646</v>
      </c>
      <c r="C187" s="11" t="s">
        <v>346</v>
      </c>
      <c r="D187" s="10" t="s">
        <v>10808</v>
      </c>
      <c r="E187" s="8" t="s">
        <v>10809</v>
      </c>
      <c r="F187" s="8" t="s">
        <v>10810</v>
      </c>
      <c r="G187" s="10" t="s">
        <v>4</v>
      </c>
      <c r="H187" s="8" t="s">
        <v>10811</v>
      </c>
      <c r="I187" s="10" t="s">
        <v>539</v>
      </c>
      <c r="J187" s="8" t="s">
        <v>10651</v>
      </c>
      <c r="K187" s="8" t="s">
        <v>10225</v>
      </c>
      <c r="L187" s="8" t="s">
        <v>10742</v>
      </c>
      <c r="M187" s="10" t="s">
        <v>1456</v>
      </c>
      <c r="N187" s="8" t="s">
        <v>87</v>
      </c>
      <c r="O187" s="10" t="s">
        <v>54</v>
      </c>
      <c r="P187" s="8" t="s">
        <v>10812</v>
      </c>
      <c r="Q187" s="10" t="s">
        <v>246</v>
      </c>
      <c r="R187" s="10" t="s">
        <v>1438</v>
      </c>
      <c r="S187" s="8" t="s">
        <v>10813</v>
      </c>
      <c r="T187" s="10" t="s">
        <v>10654</v>
      </c>
      <c r="U187" s="10" t="s">
        <v>87</v>
      </c>
      <c r="V187" s="10" t="s">
        <v>87</v>
      </c>
    </row>
    <row r="188" spans="1:22" s="10" customFormat="1" x14ac:dyDescent="0.25">
      <c r="A188" s="10" t="s">
        <v>10814</v>
      </c>
      <c r="B188" s="10" t="s">
        <v>10646</v>
      </c>
      <c r="C188" s="11" t="s">
        <v>346</v>
      </c>
      <c r="D188" s="10" t="s">
        <v>10815</v>
      </c>
      <c r="E188" s="8" t="s">
        <v>10816</v>
      </c>
      <c r="F188" s="8" t="s">
        <v>10817</v>
      </c>
      <c r="G188" s="10" t="s">
        <v>4</v>
      </c>
      <c r="H188" s="8" t="s">
        <v>10818</v>
      </c>
      <c r="I188" s="10" t="s">
        <v>539</v>
      </c>
      <c r="J188" s="8" t="s">
        <v>10651</v>
      </c>
      <c r="K188" s="8" t="s">
        <v>10819</v>
      </c>
      <c r="L188" s="8" t="s">
        <v>10777</v>
      </c>
      <c r="M188" s="10" t="s">
        <v>1456</v>
      </c>
      <c r="N188" s="8" t="s">
        <v>87</v>
      </c>
      <c r="O188" s="10" t="s">
        <v>54</v>
      </c>
      <c r="P188" s="8" t="s">
        <v>10820</v>
      </c>
      <c r="Q188" s="10" t="s">
        <v>239</v>
      </c>
      <c r="R188" s="10" t="s">
        <v>1438</v>
      </c>
      <c r="S188" s="8" t="s">
        <v>10821</v>
      </c>
      <c r="T188" s="10" t="s">
        <v>10654</v>
      </c>
      <c r="U188" s="10" t="s">
        <v>87</v>
      </c>
      <c r="V188" s="10" t="s">
        <v>87</v>
      </c>
    </row>
    <row r="189" spans="1:22" s="10" customFormat="1" x14ac:dyDescent="0.25">
      <c r="A189" s="10" t="s">
        <v>10822</v>
      </c>
      <c r="B189" s="10" t="s">
        <v>10646</v>
      </c>
      <c r="C189" s="11" t="s">
        <v>346</v>
      </c>
      <c r="D189" s="10" t="s">
        <v>10823</v>
      </c>
      <c r="E189" s="8" t="s">
        <v>10824</v>
      </c>
      <c r="F189" s="8" t="s">
        <v>10825</v>
      </c>
      <c r="G189" s="10" t="s">
        <v>4</v>
      </c>
      <c r="H189" s="8" t="s">
        <v>10826</v>
      </c>
      <c r="I189" s="10" t="s">
        <v>1628</v>
      </c>
      <c r="J189" s="8" t="s">
        <v>10651</v>
      </c>
      <c r="K189" s="8" t="s">
        <v>10225</v>
      </c>
      <c r="L189" s="8" t="s">
        <v>10777</v>
      </c>
      <c r="M189" s="10" t="s">
        <v>1456</v>
      </c>
      <c r="N189" s="8" t="s">
        <v>87</v>
      </c>
      <c r="O189" s="10" t="s">
        <v>54</v>
      </c>
      <c r="P189" s="8" t="s">
        <v>10827</v>
      </c>
      <c r="Q189" s="10" t="s">
        <v>246</v>
      </c>
      <c r="R189" s="10" t="s">
        <v>1438</v>
      </c>
      <c r="S189" s="8" t="s">
        <v>10828</v>
      </c>
      <c r="T189" s="10" t="s">
        <v>10654</v>
      </c>
      <c r="U189" s="10" t="s">
        <v>87</v>
      </c>
      <c r="V189" s="10" t="s">
        <v>87</v>
      </c>
    </row>
    <row r="190" spans="1:22" s="10" customFormat="1" x14ac:dyDescent="0.25">
      <c r="A190" s="10" t="s">
        <v>10829</v>
      </c>
      <c r="B190" s="10" t="s">
        <v>10646</v>
      </c>
      <c r="C190" s="10" t="s">
        <v>215</v>
      </c>
      <c r="D190" s="10" t="s">
        <v>10830</v>
      </c>
      <c r="E190" s="8" t="s">
        <v>10831</v>
      </c>
      <c r="F190" s="8" t="s">
        <v>10832</v>
      </c>
      <c r="G190" s="10" t="s">
        <v>4</v>
      </c>
      <c r="H190" s="8" t="s">
        <v>10833</v>
      </c>
      <c r="I190" s="10" t="s">
        <v>539</v>
      </c>
      <c r="J190" s="8" t="s">
        <v>10651</v>
      </c>
      <c r="K190" s="8" t="s">
        <v>10225</v>
      </c>
      <c r="L190" s="8" t="s">
        <v>10742</v>
      </c>
      <c r="M190" s="10" t="s">
        <v>1456</v>
      </c>
      <c r="N190" s="8" t="s">
        <v>87</v>
      </c>
      <c r="O190" s="10" t="s">
        <v>54</v>
      </c>
      <c r="P190" s="8" t="s">
        <v>10834</v>
      </c>
      <c r="Q190" s="10" t="s">
        <v>239</v>
      </c>
      <c r="R190" s="10" t="s">
        <v>1438</v>
      </c>
      <c r="S190" s="8" t="s">
        <v>10835</v>
      </c>
      <c r="T190" s="10" t="s">
        <v>10654</v>
      </c>
      <c r="U190" s="10" t="s">
        <v>87</v>
      </c>
      <c r="V190" s="10" t="s">
        <v>87</v>
      </c>
    </row>
    <row r="191" spans="1:22" s="10" customFormat="1" x14ac:dyDescent="0.25">
      <c r="A191" s="10" t="s">
        <v>10836</v>
      </c>
      <c r="B191" s="10" t="s">
        <v>10646</v>
      </c>
      <c r="C191" s="11" t="s">
        <v>346</v>
      </c>
      <c r="D191" s="10" t="s">
        <v>10837</v>
      </c>
      <c r="E191" s="8" t="s">
        <v>10838</v>
      </c>
      <c r="F191" s="8" t="s">
        <v>10839</v>
      </c>
      <c r="G191" s="10" t="s">
        <v>4</v>
      </c>
      <c r="H191" s="8" t="s">
        <v>10790</v>
      </c>
      <c r="I191" s="10" t="s">
        <v>539</v>
      </c>
      <c r="J191" s="8" t="s">
        <v>10651</v>
      </c>
      <c r="K191" s="8" t="s">
        <v>10225</v>
      </c>
      <c r="L191" s="8" t="s">
        <v>10777</v>
      </c>
      <c r="M191" s="10" t="s">
        <v>1456</v>
      </c>
      <c r="N191" s="8" t="s">
        <v>87</v>
      </c>
      <c r="O191" s="10" t="s">
        <v>54</v>
      </c>
      <c r="P191" s="8" t="s">
        <v>10840</v>
      </c>
      <c r="Q191" s="10" t="s">
        <v>239</v>
      </c>
      <c r="R191" s="10" t="s">
        <v>1438</v>
      </c>
      <c r="S191" s="8" t="s">
        <v>10779</v>
      </c>
      <c r="T191" s="10" t="s">
        <v>10654</v>
      </c>
      <c r="U191" s="10" t="s">
        <v>87</v>
      </c>
      <c r="V191" s="10" t="s">
        <v>87</v>
      </c>
    </row>
    <row r="192" spans="1:22" s="10" customFormat="1" x14ac:dyDescent="0.25">
      <c r="A192" s="10" t="s">
        <v>10841</v>
      </c>
      <c r="B192" s="10" t="s">
        <v>10842</v>
      </c>
      <c r="C192" s="10" t="s">
        <v>215</v>
      </c>
      <c r="D192" s="10" t="s">
        <v>10843</v>
      </c>
      <c r="E192" s="8" t="s">
        <v>10844</v>
      </c>
      <c r="F192" s="8" t="s">
        <v>10845</v>
      </c>
      <c r="G192" s="10" t="s">
        <v>3</v>
      </c>
      <c r="H192" s="8" t="s">
        <v>9582</v>
      </c>
      <c r="I192" s="10" t="s">
        <v>479</v>
      </c>
      <c r="J192" s="8" t="s">
        <v>10846</v>
      </c>
      <c r="K192" s="8" t="s">
        <v>1435</v>
      </c>
      <c r="L192" s="8" t="s">
        <v>9588</v>
      </c>
      <c r="M192" s="10" t="s">
        <v>1436</v>
      </c>
      <c r="N192" s="8" t="s">
        <v>87</v>
      </c>
      <c r="O192" s="10" t="s">
        <v>49</v>
      </c>
      <c r="P192" s="8" t="s">
        <v>10847</v>
      </c>
      <c r="Q192" s="10" t="s">
        <v>223</v>
      </c>
      <c r="R192" s="10" t="s">
        <v>2841</v>
      </c>
      <c r="S192" s="8" t="s">
        <v>220</v>
      </c>
      <c r="T192" s="10" t="s">
        <v>10848</v>
      </c>
      <c r="U192" s="10" t="s">
        <v>87</v>
      </c>
      <c r="V192" s="10" t="s">
        <v>87</v>
      </c>
    </row>
    <row r="193" spans="1:22" s="10" customFormat="1" x14ac:dyDescent="0.25">
      <c r="A193" s="10" t="s">
        <v>10849</v>
      </c>
      <c r="B193" s="10" t="s">
        <v>10842</v>
      </c>
      <c r="C193" s="10" t="s">
        <v>215</v>
      </c>
      <c r="D193" s="10" t="s">
        <v>10850</v>
      </c>
      <c r="E193" s="8" t="s">
        <v>10851</v>
      </c>
      <c r="F193" s="8" t="s">
        <v>10852</v>
      </c>
      <c r="G193" s="10" t="s">
        <v>3</v>
      </c>
      <c r="H193" s="8" t="s">
        <v>9582</v>
      </c>
      <c r="I193" s="10" t="s">
        <v>479</v>
      </c>
      <c r="J193" s="8" t="s">
        <v>10846</v>
      </c>
      <c r="K193" s="8" t="s">
        <v>1435</v>
      </c>
      <c r="L193" s="8" t="s">
        <v>9588</v>
      </c>
      <c r="M193" s="10" t="s">
        <v>1436</v>
      </c>
      <c r="N193" s="8" t="s">
        <v>87</v>
      </c>
      <c r="O193" s="10" t="s">
        <v>49</v>
      </c>
      <c r="P193" s="8" t="s">
        <v>10853</v>
      </c>
      <c r="Q193" s="10" t="s">
        <v>223</v>
      </c>
      <c r="R193" s="10" t="s">
        <v>2841</v>
      </c>
      <c r="S193" s="8" t="s">
        <v>220</v>
      </c>
      <c r="T193" s="10" t="s">
        <v>10848</v>
      </c>
      <c r="U193" s="10" t="s">
        <v>87</v>
      </c>
      <c r="V193" s="10" t="s">
        <v>87</v>
      </c>
    </row>
    <row r="194" spans="1:22" s="10" customFormat="1" x14ac:dyDescent="0.25">
      <c r="A194" s="10" t="s">
        <v>10854</v>
      </c>
      <c r="B194" s="10" t="s">
        <v>10842</v>
      </c>
      <c r="C194" s="11" t="s">
        <v>346</v>
      </c>
      <c r="D194" s="10" t="s">
        <v>10855</v>
      </c>
      <c r="E194" s="8" t="s">
        <v>10856</v>
      </c>
      <c r="F194" s="8" t="s">
        <v>10857</v>
      </c>
      <c r="G194" s="10" t="s">
        <v>3</v>
      </c>
      <c r="H194" s="8" t="s">
        <v>9582</v>
      </c>
      <c r="I194" s="10" t="s">
        <v>2918</v>
      </c>
      <c r="J194" s="8" t="s">
        <v>10846</v>
      </c>
      <c r="K194" s="8" t="s">
        <v>1435</v>
      </c>
      <c r="L194" s="8" t="s">
        <v>9671</v>
      </c>
      <c r="M194" s="10" t="s">
        <v>1436</v>
      </c>
      <c r="N194" s="8" t="s">
        <v>87</v>
      </c>
      <c r="O194" s="10" t="s">
        <v>49</v>
      </c>
      <c r="P194" s="8" t="s">
        <v>10858</v>
      </c>
      <c r="Q194" s="10" t="s">
        <v>223</v>
      </c>
      <c r="R194" s="10" t="s">
        <v>2841</v>
      </c>
      <c r="S194" s="8" t="s">
        <v>220</v>
      </c>
      <c r="T194" s="10" t="s">
        <v>10848</v>
      </c>
      <c r="U194" s="10" t="s">
        <v>87</v>
      </c>
      <c r="V194" s="10" t="s">
        <v>87</v>
      </c>
    </row>
    <row r="195" spans="1:22" s="10" customFormat="1" x14ac:dyDescent="0.25">
      <c r="A195" s="10" t="s">
        <v>10859</v>
      </c>
      <c r="B195" s="10" t="s">
        <v>10842</v>
      </c>
      <c r="C195" s="11" t="s">
        <v>346</v>
      </c>
      <c r="D195" s="10" t="s">
        <v>10860</v>
      </c>
      <c r="E195" s="8" t="s">
        <v>10861</v>
      </c>
      <c r="F195" s="8" t="s">
        <v>10862</v>
      </c>
      <c r="G195" s="10" t="s">
        <v>3</v>
      </c>
      <c r="H195" s="8" t="s">
        <v>10863</v>
      </c>
      <c r="I195" s="10" t="s">
        <v>2918</v>
      </c>
      <c r="J195" s="8" t="s">
        <v>10846</v>
      </c>
      <c r="K195" s="8" t="s">
        <v>1435</v>
      </c>
      <c r="L195" s="8" t="s">
        <v>9588</v>
      </c>
      <c r="M195" s="10" t="s">
        <v>1436</v>
      </c>
      <c r="N195" s="8" t="s">
        <v>87</v>
      </c>
      <c r="O195" s="10" t="s">
        <v>49</v>
      </c>
      <c r="P195" s="8" t="s">
        <v>10864</v>
      </c>
      <c r="Q195" s="10" t="s">
        <v>223</v>
      </c>
      <c r="R195" s="10" t="s">
        <v>2841</v>
      </c>
      <c r="S195" s="8" t="s">
        <v>10865</v>
      </c>
      <c r="T195" s="10" t="s">
        <v>10848</v>
      </c>
      <c r="U195" s="10" t="s">
        <v>87</v>
      </c>
      <c r="V195" s="10" t="s">
        <v>87</v>
      </c>
    </row>
    <row r="196" spans="1:22" s="10" customFormat="1" x14ac:dyDescent="0.25">
      <c r="A196" s="10" t="s">
        <v>10866</v>
      </c>
      <c r="B196" s="10" t="s">
        <v>10842</v>
      </c>
      <c r="C196" s="10" t="s">
        <v>215</v>
      </c>
      <c r="D196" s="10" t="s">
        <v>10867</v>
      </c>
      <c r="E196" s="8" t="s">
        <v>10868</v>
      </c>
      <c r="F196" s="8" t="s">
        <v>10869</v>
      </c>
      <c r="G196" s="10" t="s">
        <v>2647</v>
      </c>
      <c r="H196" s="8" t="s">
        <v>10642</v>
      </c>
      <c r="I196" s="10" t="s">
        <v>10870</v>
      </c>
      <c r="J196" s="8" t="s">
        <v>10846</v>
      </c>
      <c r="K196" s="8" t="s">
        <v>2649</v>
      </c>
      <c r="L196" s="8" t="s">
        <v>10537</v>
      </c>
      <c r="M196" s="10" t="s">
        <v>1436</v>
      </c>
      <c r="N196" s="8" t="s">
        <v>87</v>
      </c>
      <c r="O196" s="10" t="s">
        <v>49</v>
      </c>
      <c r="P196" s="8" t="s">
        <v>10871</v>
      </c>
      <c r="Q196" s="10" t="s">
        <v>1447</v>
      </c>
      <c r="R196" s="10" t="s">
        <v>2841</v>
      </c>
      <c r="S196" s="8" t="s">
        <v>10872</v>
      </c>
      <c r="T196" s="10" t="s">
        <v>10848</v>
      </c>
      <c r="U196" s="10" t="s">
        <v>87</v>
      </c>
      <c r="V196" s="10" t="s">
        <v>87</v>
      </c>
    </row>
    <row r="197" spans="1:22" s="10" customFormat="1" x14ac:dyDescent="0.25">
      <c r="A197" s="10" t="s">
        <v>10873</v>
      </c>
      <c r="B197" s="10" t="s">
        <v>10842</v>
      </c>
      <c r="C197" s="10" t="s">
        <v>215</v>
      </c>
      <c r="D197" s="10" t="s">
        <v>10874</v>
      </c>
      <c r="E197" s="8" t="s">
        <v>10875</v>
      </c>
      <c r="F197" s="8" t="s">
        <v>10876</v>
      </c>
      <c r="G197" s="10" t="s">
        <v>3</v>
      </c>
      <c r="H197" s="8" t="s">
        <v>10877</v>
      </c>
      <c r="I197" s="10" t="s">
        <v>2884</v>
      </c>
      <c r="J197" s="8" t="s">
        <v>10846</v>
      </c>
      <c r="K197" s="8" t="s">
        <v>1435</v>
      </c>
      <c r="L197" s="8" t="s">
        <v>10252</v>
      </c>
      <c r="M197" s="10" t="s">
        <v>1436</v>
      </c>
      <c r="N197" s="8" t="s">
        <v>87</v>
      </c>
      <c r="O197" s="10" t="s">
        <v>49</v>
      </c>
      <c r="P197" s="8" t="s">
        <v>10878</v>
      </c>
      <c r="Q197" s="10" t="s">
        <v>1447</v>
      </c>
      <c r="R197" s="10" t="s">
        <v>2841</v>
      </c>
      <c r="S197" s="8" t="s">
        <v>10879</v>
      </c>
      <c r="T197" s="10" t="s">
        <v>10848</v>
      </c>
      <c r="U197" s="10" t="s">
        <v>87</v>
      </c>
      <c r="V197" s="10" t="s">
        <v>87</v>
      </c>
    </row>
    <row r="198" spans="1:22" s="10" customFormat="1" x14ac:dyDescent="0.25">
      <c r="A198" s="10" t="s">
        <v>10880</v>
      </c>
      <c r="B198" s="10" t="s">
        <v>10842</v>
      </c>
      <c r="C198" s="11" t="s">
        <v>346</v>
      </c>
      <c r="D198" s="10" t="s">
        <v>10881</v>
      </c>
      <c r="E198" s="8" t="s">
        <v>10882</v>
      </c>
      <c r="F198" s="8" t="s">
        <v>10883</v>
      </c>
      <c r="G198" s="10" t="s">
        <v>2647</v>
      </c>
      <c r="H198" s="8" t="s">
        <v>10863</v>
      </c>
      <c r="I198" s="10" t="s">
        <v>2918</v>
      </c>
      <c r="J198" s="8" t="s">
        <v>10846</v>
      </c>
      <c r="K198" s="8" t="s">
        <v>2649</v>
      </c>
      <c r="L198" s="8" t="s">
        <v>9671</v>
      </c>
      <c r="M198" s="10" t="s">
        <v>1436</v>
      </c>
      <c r="N198" s="8" t="s">
        <v>87</v>
      </c>
      <c r="O198" s="10" t="s">
        <v>49</v>
      </c>
      <c r="P198" s="8" t="s">
        <v>10884</v>
      </c>
      <c r="Q198" s="10" t="s">
        <v>1447</v>
      </c>
      <c r="R198" s="10" t="s">
        <v>2841</v>
      </c>
      <c r="S198" s="8" t="s">
        <v>10885</v>
      </c>
      <c r="T198" s="10" t="s">
        <v>10848</v>
      </c>
      <c r="U198" s="10" t="s">
        <v>87</v>
      </c>
      <c r="V198" s="10" t="s">
        <v>87</v>
      </c>
    </row>
    <row r="199" spans="1:22" s="10" customFormat="1" x14ac:dyDescent="0.25">
      <c r="A199" s="10" t="s">
        <v>10886</v>
      </c>
      <c r="B199" s="10" t="s">
        <v>10842</v>
      </c>
      <c r="C199" s="10" t="s">
        <v>215</v>
      </c>
      <c r="D199" s="10" t="s">
        <v>10887</v>
      </c>
      <c r="E199" s="8" t="s">
        <v>10888</v>
      </c>
      <c r="F199" s="8" t="s">
        <v>10889</v>
      </c>
      <c r="G199" s="10" t="s">
        <v>3</v>
      </c>
      <c r="H199" s="8" t="s">
        <v>9582</v>
      </c>
      <c r="I199" s="10" t="s">
        <v>10890</v>
      </c>
      <c r="J199" s="8" t="s">
        <v>10846</v>
      </c>
      <c r="K199" s="8" t="s">
        <v>1435</v>
      </c>
      <c r="L199" s="8" t="s">
        <v>10184</v>
      </c>
      <c r="M199" s="10" t="s">
        <v>1436</v>
      </c>
      <c r="N199" s="8" t="s">
        <v>87</v>
      </c>
      <c r="O199" s="10" t="s">
        <v>49</v>
      </c>
      <c r="P199" s="8" t="s">
        <v>10891</v>
      </c>
      <c r="Q199" s="10" t="s">
        <v>223</v>
      </c>
      <c r="R199" s="10" t="s">
        <v>2841</v>
      </c>
      <c r="S199" s="8" t="s">
        <v>10892</v>
      </c>
      <c r="T199" s="10" t="s">
        <v>10848</v>
      </c>
      <c r="U199" s="10" t="s">
        <v>87</v>
      </c>
      <c r="V199" s="10" t="s">
        <v>87</v>
      </c>
    </row>
    <row r="200" spans="1:22" s="10" customFormat="1" x14ac:dyDescent="0.25">
      <c r="A200" s="10" t="s">
        <v>10893</v>
      </c>
      <c r="B200" s="10" t="s">
        <v>10842</v>
      </c>
      <c r="C200" s="10" t="s">
        <v>215</v>
      </c>
      <c r="D200" s="10" t="s">
        <v>10894</v>
      </c>
      <c r="E200" s="8" t="s">
        <v>10895</v>
      </c>
      <c r="F200" s="8" t="s">
        <v>10896</v>
      </c>
      <c r="G200" s="10" t="s">
        <v>3</v>
      </c>
      <c r="H200" s="8" t="s">
        <v>10897</v>
      </c>
      <c r="I200" s="10" t="s">
        <v>10898</v>
      </c>
      <c r="J200" s="8" t="s">
        <v>220</v>
      </c>
      <c r="K200" s="8" t="s">
        <v>1435</v>
      </c>
      <c r="L200" s="8" t="s">
        <v>9588</v>
      </c>
      <c r="M200" s="10" t="s">
        <v>1436</v>
      </c>
      <c r="N200" s="8" t="s">
        <v>87</v>
      </c>
      <c r="O200" s="10" t="s">
        <v>50</v>
      </c>
      <c r="P200" s="8" t="s">
        <v>10899</v>
      </c>
      <c r="Q200" s="10" t="s">
        <v>223</v>
      </c>
      <c r="R200" s="10" t="s">
        <v>2841</v>
      </c>
      <c r="S200" s="8" t="s">
        <v>220</v>
      </c>
      <c r="T200" s="10" t="s">
        <v>10848</v>
      </c>
      <c r="U200" s="10" t="s">
        <v>87</v>
      </c>
      <c r="V200" s="10" t="s">
        <v>87</v>
      </c>
    </row>
    <row r="201" spans="1:22" s="10" customFormat="1" x14ac:dyDescent="0.25">
      <c r="A201" s="10" t="s">
        <v>10900</v>
      </c>
      <c r="B201" s="10" t="s">
        <v>10842</v>
      </c>
      <c r="C201" s="11" t="s">
        <v>346</v>
      </c>
      <c r="D201" s="10" t="s">
        <v>10901</v>
      </c>
      <c r="E201" s="8" t="s">
        <v>10902</v>
      </c>
      <c r="F201" s="8" t="s">
        <v>10903</v>
      </c>
      <c r="G201" s="10" t="s">
        <v>3</v>
      </c>
      <c r="H201" s="8" t="s">
        <v>10904</v>
      </c>
      <c r="I201" s="10" t="s">
        <v>10898</v>
      </c>
      <c r="J201" s="8" t="s">
        <v>220</v>
      </c>
      <c r="K201" s="8" t="s">
        <v>1435</v>
      </c>
      <c r="L201" s="8" t="s">
        <v>9588</v>
      </c>
      <c r="M201" s="10" t="s">
        <v>1436</v>
      </c>
      <c r="N201" s="8" t="s">
        <v>87</v>
      </c>
      <c r="O201" s="10" t="s">
        <v>50</v>
      </c>
      <c r="P201" s="8" t="s">
        <v>10905</v>
      </c>
      <c r="Q201" s="10" t="s">
        <v>1447</v>
      </c>
      <c r="R201" s="10" t="s">
        <v>2841</v>
      </c>
      <c r="S201" s="8" t="s">
        <v>10906</v>
      </c>
      <c r="T201" s="10" t="s">
        <v>10848</v>
      </c>
      <c r="U201" s="10" t="s">
        <v>87</v>
      </c>
      <c r="V201" s="10" t="s">
        <v>87</v>
      </c>
    </row>
    <row r="202" spans="1:22" s="10" customFormat="1" x14ac:dyDescent="0.25">
      <c r="A202" s="10" t="s">
        <v>10907</v>
      </c>
      <c r="B202" s="10" t="s">
        <v>10842</v>
      </c>
      <c r="C202" s="10" t="s">
        <v>215</v>
      </c>
      <c r="D202" s="10" t="s">
        <v>10908</v>
      </c>
      <c r="E202" s="8" t="s">
        <v>10909</v>
      </c>
      <c r="F202" s="8" t="s">
        <v>10910</v>
      </c>
      <c r="G202" s="10" t="s">
        <v>3</v>
      </c>
      <c r="H202" s="8" t="s">
        <v>10911</v>
      </c>
      <c r="I202" s="10" t="s">
        <v>10898</v>
      </c>
      <c r="J202" s="8" t="s">
        <v>220</v>
      </c>
      <c r="K202" s="8" t="s">
        <v>1435</v>
      </c>
      <c r="L202" s="8" t="s">
        <v>9588</v>
      </c>
      <c r="M202" s="10" t="s">
        <v>1436</v>
      </c>
      <c r="N202" s="8" t="s">
        <v>87</v>
      </c>
      <c r="O202" s="10" t="s">
        <v>50</v>
      </c>
      <c r="P202" s="8" t="s">
        <v>10912</v>
      </c>
      <c r="Q202" s="10" t="s">
        <v>223</v>
      </c>
      <c r="R202" s="10" t="s">
        <v>2841</v>
      </c>
      <c r="S202" s="8" t="s">
        <v>10913</v>
      </c>
      <c r="T202" s="10" t="s">
        <v>10848</v>
      </c>
      <c r="U202" s="10" t="s">
        <v>87</v>
      </c>
      <c r="V202" s="10" t="s">
        <v>87</v>
      </c>
    </row>
    <row r="203" spans="1:22" s="10" customFormat="1" x14ac:dyDescent="0.25">
      <c r="A203" s="10" t="s">
        <v>10914</v>
      </c>
      <c r="B203" s="10" t="s">
        <v>10842</v>
      </c>
      <c r="C203" s="10" t="s">
        <v>215</v>
      </c>
      <c r="D203" s="10" t="s">
        <v>10915</v>
      </c>
      <c r="E203" s="8" t="s">
        <v>10916</v>
      </c>
      <c r="F203" s="8" t="s">
        <v>10917</v>
      </c>
      <c r="G203" s="10" t="s">
        <v>3</v>
      </c>
      <c r="H203" s="8" t="s">
        <v>10904</v>
      </c>
      <c r="I203" s="10" t="s">
        <v>10918</v>
      </c>
      <c r="J203" s="8" t="s">
        <v>220</v>
      </c>
      <c r="K203" s="8" t="s">
        <v>1435</v>
      </c>
      <c r="L203" s="8" t="s">
        <v>9361</v>
      </c>
      <c r="M203" s="10" t="s">
        <v>1436</v>
      </c>
      <c r="N203" s="8" t="s">
        <v>87</v>
      </c>
      <c r="O203" s="10" t="s">
        <v>50</v>
      </c>
      <c r="P203" s="8" t="s">
        <v>10919</v>
      </c>
      <c r="Q203" s="10" t="s">
        <v>1447</v>
      </c>
      <c r="R203" s="10" t="s">
        <v>2841</v>
      </c>
      <c r="S203" s="8" t="s">
        <v>10920</v>
      </c>
      <c r="T203" s="10" t="s">
        <v>10848</v>
      </c>
      <c r="U203" s="10" t="s">
        <v>87</v>
      </c>
      <c r="V203" s="10" t="s">
        <v>87</v>
      </c>
    </row>
    <row r="204" spans="1:22" s="10" customFormat="1" x14ac:dyDescent="0.25">
      <c r="A204" s="10" t="s">
        <v>10921</v>
      </c>
      <c r="B204" s="10" t="s">
        <v>10842</v>
      </c>
      <c r="C204" s="10" t="s">
        <v>215</v>
      </c>
      <c r="D204" s="10" t="s">
        <v>10922</v>
      </c>
      <c r="E204" s="8" t="s">
        <v>10923</v>
      </c>
      <c r="F204" s="8" t="s">
        <v>10924</v>
      </c>
      <c r="G204" s="10" t="s">
        <v>3</v>
      </c>
      <c r="H204" s="8" t="s">
        <v>10904</v>
      </c>
      <c r="I204" s="10" t="s">
        <v>10898</v>
      </c>
      <c r="J204" s="8" t="s">
        <v>220</v>
      </c>
      <c r="K204" s="8" t="s">
        <v>1435</v>
      </c>
      <c r="L204" s="8" t="s">
        <v>9588</v>
      </c>
      <c r="M204" s="10" t="s">
        <v>1436</v>
      </c>
      <c r="N204" s="8" t="s">
        <v>87</v>
      </c>
      <c r="O204" s="10" t="s">
        <v>50</v>
      </c>
      <c r="P204" s="8" t="s">
        <v>10925</v>
      </c>
      <c r="Q204" s="10" t="s">
        <v>223</v>
      </c>
      <c r="R204" s="10" t="s">
        <v>2841</v>
      </c>
      <c r="S204" s="8" t="s">
        <v>10926</v>
      </c>
      <c r="T204" s="10" t="s">
        <v>10848</v>
      </c>
      <c r="U204" s="10" t="s">
        <v>87</v>
      </c>
      <c r="V204" s="10" t="s">
        <v>87</v>
      </c>
    </row>
    <row r="205" spans="1:22" s="10" customFormat="1" x14ac:dyDescent="0.25">
      <c r="A205" s="10" t="s">
        <v>10927</v>
      </c>
      <c r="B205" s="10" t="s">
        <v>10842</v>
      </c>
      <c r="C205" s="10" t="s">
        <v>215</v>
      </c>
      <c r="D205" s="10" t="s">
        <v>10928</v>
      </c>
      <c r="E205" s="8" t="s">
        <v>10929</v>
      </c>
      <c r="F205" s="8" t="s">
        <v>10930</v>
      </c>
      <c r="G205" s="10" t="s">
        <v>3</v>
      </c>
      <c r="H205" s="8" t="s">
        <v>10931</v>
      </c>
      <c r="I205" s="10" t="s">
        <v>6635</v>
      </c>
      <c r="J205" s="8" t="s">
        <v>220</v>
      </c>
      <c r="K205" s="8" t="s">
        <v>1435</v>
      </c>
      <c r="L205" s="8" t="s">
        <v>9671</v>
      </c>
      <c r="M205" s="10" t="s">
        <v>1436</v>
      </c>
      <c r="N205" s="8" t="s">
        <v>87</v>
      </c>
      <c r="O205" s="10" t="s">
        <v>50</v>
      </c>
      <c r="P205" s="8" t="s">
        <v>10932</v>
      </c>
      <c r="Q205" s="10" t="s">
        <v>223</v>
      </c>
      <c r="R205" s="10" t="s">
        <v>2841</v>
      </c>
      <c r="S205" s="8" t="s">
        <v>220</v>
      </c>
      <c r="T205" s="10" t="s">
        <v>10848</v>
      </c>
      <c r="U205" s="10" t="s">
        <v>87</v>
      </c>
      <c r="V205" s="10" t="s">
        <v>87</v>
      </c>
    </row>
    <row r="206" spans="1:22" s="10" customFormat="1" x14ac:dyDescent="0.25">
      <c r="A206" s="10" t="s">
        <v>10933</v>
      </c>
      <c r="B206" s="10" t="s">
        <v>10842</v>
      </c>
      <c r="C206" s="11" t="s">
        <v>346</v>
      </c>
      <c r="D206" s="10" t="s">
        <v>10934</v>
      </c>
      <c r="E206" s="8" t="s">
        <v>10935</v>
      </c>
      <c r="F206" s="8" t="s">
        <v>10367</v>
      </c>
      <c r="G206" s="10" t="s">
        <v>3</v>
      </c>
      <c r="H206" s="8" t="s">
        <v>10362</v>
      </c>
      <c r="I206" s="10" t="s">
        <v>907</v>
      </c>
      <c r="J206" s="8" t="s">
        <v>10936</v>
      </c>
      <c r="K206" s="8" t="s">
        <v>1435</v>
      </c>
      <c r="L206" s="8" t="s">
        <v>10937</v>
      </c>
      <c r="M206" s="10" t="s">
        <v>1436</v>
      </c>
      <c r="N206" s="8" t="s">
        <v>87</v>
      </c>
      <c r="O206" s="10" t="s">
        <v>48</v>
      </c>
      <c r="P206" s="8" t="s">
        <v>10938</v>
      </c>
      <c r="Q206" s="10" t="s">
        <v>1447</v>
      </c>
      <c r="R206" s="10" t="s">
        <v>2841</v>
      </c>
      <c r="S206" s="8" t="s">
        <v>10370</v>
      </c>
      <c r="T206" s="10" t="s">
        <v>10848</v>
      </c>
      <c r="U206" s="10" t="s">
        <v>87</v>
      </c>
      <c r="V206" s="10" t="s">
        <v>87</v>
      </c>
    </row>
    <row r="207" spans="1:22" s="10" customFormat="1" x14ac:dyDescent="0.25">
      <c r="A207" s="10" t="s">
        <v>10939</v>
      </c>
      <c r="B207" s="10" t="s">
        <v>10842</v>
      </c>
      <c r="C207" s="10" t="s">
        <v>215</v>
      </c>
      <c r="D207" s="10" t="s">
        <v>10940</v>
      </c>
      <c r="E207" s="8" t="s">
        <v>10941</v>
      </c>
      <c r="F207" s="8" t="s">
        <v>10942</v>
      </c>
      <c r="G207" s="10" t="s">
        <v>3</v>
      </c>
      <c r="H207" s="8" t="s">
        <v>10943</v>
      </c>
      <c r="I207" s="10" t="s">
        <v>907</v>
      </c>
      <c r="J207" s="8" t="s">
        <v>10936</v>
      </c>
      <c r="K207" s="8" t="s">
        <v>1435</v>
      </c>
      <c r="L207" s="8" t="s">
        <v>10368</v>
      </c>
      <c r="M207" s="10" t="s">
        <v>1436</v>
      </c>
      <c r="N207" s="8" t="s">
        <v>87</v>
      </c>
      <c r="O207" s="10" t="s">
        <v>48</v>
      </c>
      <c r="P207" s="8" t="s">
        <v>10944</v>
      </c>
      <c r="Q207" s="10" t="s">
        <v>223</v>
      </c>
      <c r="R207" s="10" t="s">
        <v>2841</v>
      </c>
      <c r="S207" s="8" t="s">
        <v>10945</v>
      </c>
      <c r="T207" s="10" t="s">
        <v>10848</v>
      </c>
      <c r="U207" s="10" t="s">
        <v>87</v>
      </c>
      <c r="V207" s="10" t="s">
        <v>87</v>
      </c>
    </row>
    <row r="208" spans="1:22" s="10" customFormat="1" x14ac:dyDescent="0.25">
      <c r="A208" s="10" t="s">
        <v>10946</v>
      </c>
      <c r="B208" s="10" t="s">
        <v>10842</v>
      </c>
      <c r="C208" s="11" t="s">
        <v>346</v>
      </c>
      <c r="D208" s="10" t="s">
        <v>10947</v>
      </c>
      <c r="E208" s="8" t="s">
        <v>10948</v>
      </c>
      <c r="F208" s="8" t="s">
        <v>10949</v>
      </c>
      <c r="G208" s="10" t="s">
        <v>3</v>
      </c>
      <c r="H208" s="8" t="s">
        <v>10950</v>
      </c>
      <c r="I208" s="10" t="s">
        <v>907</v>
      </c>
      <c r="J208" s="8" t="s">
        <v>10936</v>
      </c>
      <c r="K208" s="8" t="s">
        <v>1435</v>
      </c>
      <c r="L208" s="8" t="s">
        <v>10951</v>
      </c>
      <c r="M208" s="10" t="s">
        <v>1436</v>
      </c>
      <c r="N208" s="8" t="s">
        <v>87</v>
      </c>
      <c r="O208" s="10" t="s">
        <v>48</v>
      </c>
      <c r="P208" s="8" t="s">
        <v>10952</v>
      </c>
      <c r="Q208" s="10" t="s">
        <v>825</v>
      </c>
      <c r="R208" s="10" t="s">
        <v>8363</v>
      </c>
      <c r="S208" s="8" t="s">
        <v>10953</v>
      </c>
      <c r="T208" s="10" t="s">
        <v>10848</v>
      </c>
      <c r="U208" s="10" t="s">
        <v>87</v>
      </c>
      <c r="V208" s="10" t="s">
        <v>87</v>
      </c>
    </row>
    <row r="209" spans="1:22" s="10" customFormat="1" x14ac:dyDescent="0.25">
      <c r="A209" s="10" t="s">
        <v>10954</v>
      </c>
      <c r="B209" s="10" t="s">
        <v>10842</v>
      </c>
      <c r="C209" s="11" t="s">
        <v>346</v>
      </c>
      <c r="D209" s="10" t="s">
        <v>10955</v>
      </c>
      <c r="E209" s="8" t="s">
        <v>10956</v>
      </c>
      <c r="F209" s="8" t="s">
        <v>10957</v>
      </c>
      <c r="G209" s="10" t="s">
        <v>3</v>
      </c>
      <c r="H209" s="8" t="s">
        <v>10958</v>
      </c>
      <c r="I209" s="10" t="s">
        <v>5574</v>
      </c>
      <c r="J209" s="8" t="s">
        <v>10936</v>
      </c>
      <c r="K209" s="8" t="s">
        <v>1435</v>
      </c>
      <c r="L209" s="8" t="s">
        <v>87</v>
      </c>
      <c r="M209" s="10" t="s">
        <v>1436</v>
      </c>
      <c r="N209" s="8" t="s">
        <v>87</v>
      </c>
      <c r="O209" s="10" t="s">
        <v>48</v>
      </c>
      <c r="P209" s="8" t="s">
        <v>10959</v>
      </c>
      <c r="Q209" s="10" t="s">
        <v>223</v>
      </c>
      <c r="R209" s="10" t="s">
        <v>2841</v>
      </c>
      <c r="S209" s="8" t="s">
        <v>10960</v>
      </c>
      <c r="T209" s="10" t="s">
        <v>10848</v>
      </c>
      <c r="U209" s="10" t="s">
        <v>87</v>
      </c>
      <c r="V209" s="10" t="s">
        <v>87</v>
      </c>
    </row>
    <row r="210" spans="1:22" s="10" customFormat="1" x14ac:dyDescent="0.25">
      <c r="A210" s="10" t="s">
        <v>10961</v>
      </c>
      <c r="B210" s="10" t="s">
        <v>10842</v>
      </c>
      <c r="C210" s="11" t="s">
        <v>346</v>
      </c>
      <c r="D210" s="10" t="s">
        <v>10962</v>
      </c>
      <c r="E210" s="8" t="s">
        <v>10963</v>
      </c>
      <c r="F210" s="8" t="s">
        <v>10964</v>
      </c>
      <c r="G210" s="10" t="s">
        <v>3</v>
      </c>
      <c r="H210" s="8" t="s">
        <v>10965</v>
      </c>
      <c r="I210" s="10" t="s">
        <v>907</v>
      </c>
      <c r="J210" s="8" t="s">
        <v>10936</v>
      </c>
      <c r="K210" s="8" t="s">
        <v>1435</v>
      </c>
      <c r="L210" s="8" t="s">
        <v>87</v>
      </c>
      <c r="M210" s="10" t="s">
        <v>1436</v>
      </c>
      <c r="N210" s="8" t="s">
        <v>87</v>
      </c>
      <c r="O210" s="10" t="s">
        <v>48</v>
      </c>
      <c r="P210" s="8" t="s">
        <v>10966</v>
      </c>
      <c r="Q210" s="10" t="s">
        <v>246</v>
      </c>
      <c r="R210" s="10" t="s">
        <v>2841</v>
      </c>
      <c r="S210" s="8" t="s">
        <v>10967</v>
      </c>
      <c r="T210" s="10" t="s">
        <v>10848</v>
      </c>
      <c r="U210" s="10" t="s">
        <v>87</v>
      </c>
      <c r="V210" s="10" t="s">
        <v>87</v>
      </c>
    </row>
    <row r="211" spans="1:22" s="10" customFormat="1" x14ac:dyDescent="0.25">
      <c r="A211" s="10" t="s">
        <v>10968</v>
      </c>
      <c r="B211" s="10" t="s">
        <v>10842</v>
      </c>
      <c r="C211" s="11" t="s">
        <v>346</v>
      </c>
      <c r="D211" s="10" t="s">
        <v>10969</v>
      </c>
      <c r="E211" s="8" t="s">
        <v>10970</v>
      </c>
      <c r="F211" s="8" t="s">
        <v>10971</v>
      </c>
      <c r="G211" s="10" t="s">
        <v>3</v>
      </c>
      <c r="H211" s="8" t="s">
        <v>9582</v>
      </c>
      <c r="I211" s="10" t="s">
        <v>479</v>
      </c>
      <c r="J211" s="8" t="s">
        <v>10972</v>
      </c>
      <c r="K211" s="8" t="s">
        <v>1435</v>
      </c>
      <c r="L211" s="8" t="s">
        <v>10973</v>
      </c>
      <c r="M211" s="10" t="s">
        <v>1436</v>
      </c>
      <c r="N211" s="8" t="s">
        <v>87</v>
      </c>
      <c r="O211" s="10" t="s">
        <v>49</v>
      </c>
      <c r="P211" s="8" t="s">
        <v>10974</v>
      </c>
      <c r="Q211" s="10" t="s">
        <v>825</v>
      </c>
      <c r="R211" s="10" t="s">
        <v>1668</v>
      </c>
      <c r="S211" s="8" t="s">
        <v>220</v>
      </c>
      <c r="T211" s="10" t="s">
        <v>10848</v>
      </c>
      <c r="U211" s="10" t="s">
        <v>87</v>
      </c>
      <c r="V211" s="10" t="s">
        <v>87</v>
      </c>
    </row>
    <row r="212" spans="1:22" s="10" customFormat="1" x14ac:dyDescent="0.25">
      <c r="A212" s="10" t="s">
        <v>10975</v>
      </c>
      <c r="B212" s="10" t="s">
        <v>10976</v>
      </c>
      <c r="C212" s="10" t="s">
        <v>215</v>
      </c>
      <c r="D212" s="10" t="s">
        <v>10977</v>
      </c>
      <c r="E212" s="8" t="s">
        <v>10978</v>
      </c>
      <c r="F212" s="8" t="s">
        <v>10979</v>
      </c>
      <c r="G212" s="10" t="s">
        <v>3</v>
      </c>
      <c r="H212" s="8" t="s">
        <v>220</v>
      </c>
      <c r="I212" s="10" t="s">
        <v>1151</v>
      </c>
      <c r="J212" s="8" t="s">
        <v>10980</v>
      </c>
      <c r="K212" s="8" t="s">
        <v>1435</v>
      </c>
      <c r="L212" s="8" t="s">
        <v>87</v>
      </c>
      <c r="M212" s="10" t="s">
        <v>1436</v>
      </c>
      <c r="N212" s="8" t="s">
        <v>87</v>
      </c>
      <c r="O212" s="10" t="s">
        <v>51</v>
      </c>
      <c r="P212" s="8" t="s">
        <v>10981</v>
      </c>
      <c r="Q212" s="10" t="s">
        <v>223</v>
      </c>
      <c r="R212" s="10" t="s">
        <v>2841</v>
      </c>
      <c r="S212" s="8" t="s">
        <v>220</v>
      </c>
      <c r="T212" s="10" t="s">
        <v>10982</v>
      </c>
      <c r="U212" s="10" t="s">
        <v>87</v>
      </c>
      <c r="V212" s="10" t="s">
        <v>87</v>
      </c>
    </row>
    <row r="213" spans="1:22" s="10" customFormat="1" x14ac:dyDescent="0.25">
      <c r="A213" s="10" t="s">
        <v>10983</v>
      </c>
      <c r="B213" s="10" t="s">
        <v>10976</v>
      </c>
      <c r="C213" s="10" t="s">
        <v>215</v>
      </c>
      <c r="D213" s="10" t="s">
        <v>10984</v>
      </c>
      <c r="E213" s="8" t="s">
        <v>10985</v>
      </c>
      <c r="F213" s="8" t="s">
        <v>10986</v>
      </c>
      <c r="G213" s="10" t="s">
        <v>3</v>
      </c>
      <c r="H213" s="8" t="s">
        <v>9582</v>
      </c>
      <c r="I213" s="10" t="s">
        <v>4043</v>
      </c>
      <c r="J213" s="8" t="s">
        <v>10980</v>
      </c>
      <c r="K213" s="8" t="s">
        <v>1435</v>
      </c>
      <c r="L213" s="8" t="s">
        <v>9588</v>
      </c>
      <c r="M213" s="10" t="s">
        <v>1436</v>
      </c>
      <c r="N213" s="8" t="s">
        <v>87</v>
      </c>
      <c r="O213" s="10" t="s">
        <v>51</v>
      </c>
      <c r="P213" s="8" t="s">
        <v>10987</v>
      </c>
      <c r="Q213" s="10" t="s">
        <v>223</v>
      </c>
      <c r="R213" s="10" t="s">
        <v>2841</v>
      </c>
      <c r="S213" s="8" t="s">
        <v>10988</v>
      </c>
      <c r="T213" s="10" t="s">
        <v>10982</v>
      </c>
      <c r="U213" s="10" t="s">
        <v>87</v>
      </c>
      <c r="V213" s="10" t="s">
        <v>87</v>
      </c>
    </row>
    <row r="214" spans="1:22" s="10" customFormat="1" x14ac:dyDescent="0.25">
      <c r="A214" s="10" t="s">
        <v>10989</v>
      </c>
      <c r="B214" s="10" t="s">
        <v>10976</v>
      </c>
      <c r="C214" s="10" t="s">
        <v>215</v>
      </c>
      <c r="D214" s="10" t="s">
        <v>10990</v>
      </c>
      <c r="E214" s="8" t="s">
        <v>10991</v>
      </c>
      <c r="F214" s="8" t="s">
        <v>10992</v>
      </c>
      <c r="G214" s="10" t="s">
        <v>3</v>
      </c>
      <c r="H214" s="8" t="s">
        <v>10993</v>
      </c>
      <c r="I214" s="10" t="s">
        <v>1151</v>
      </c>
      <c r="J214" s="8" t="s">
        <v>10980</v>
      </c>
      <c r="K214" s="8" t="s">
        <v>1435</v>
      </c>
      <c r="L214" s="8" t="s">
        <v>10994</v>
      </c>
      <c r="M214" s="10" t="s">
        <v>1436</v>
      </c>
      <c r="N214" s="8" t="s">
        <v>87</v>
      </c>
      <c r="O214" s="10" t="s">
        <v>51</v>
      </c>
      <c r="P214" s="8" t="s">
        <v>10995</v>
      </c>
      <c r="Q214" s="10" t="s">
        <v>223</v>
      </c>
      <c r="R214" s="10" t="s">
        <v>2841</v>
      </c>
      <c r="S214" s="8" t="s">
        <v>10996</v>
      </c>
      <c r="T214" s="10" t="s">
        <v>10982</v>
      </c>
      <c r="U214" s="10" t="s">
        <v>87</v>
      </c>
      <c r="V214" s="10" t="s">
        <v>87</v>
      </c>
    </row>
    <row r="215" spans="1:22" s="10" customFormat="1" x14ac:dyDescent="0.25">
      <c r="A215" s="10" t="s">
        <v>10997</v>
      </c>
      <c r="B215" s="10" t="s">
        <v>10976</v>
      </c>
      <c r="C215" s="10" t="s">
        <v>215</v>
      </c>
      <c r="D215" s="10" t="s">
        <v>10998</v>
      </c>
      <c r="E215" s="8" t="s">
        <v>10999</v>
      </c>
      <c r="F215" s="8" t="s">
        <v>11000</v>
      </c>
      <c r="G215" s="10" t="s">
        <v>3</v>
      </c>
      <c r="H215" s="8" t="s">
        <v>220</v>
      </c>
      <c r="I215" s="10" t="s">
        <v>87</v>
      </c>
      <c r="J215" s="8" t="s">
        <v>10980</v>
      </c>
      <c r="K215" s="8" t="s">
        <v>1435</v>
      </c>
      <c r="L215" s="8" t="s">
        <v>87</v>
      </c>
      <c r="M215" s="10" t="s">
        <v>1436</v>
      </c>
      <c r="N215" s="8" t="s">
        <v>87</v>
      </c>
      <c r="O215" s="10" t="s">
        <v>51</v>
      </c>
      <c r="P215" s="8" t="s">
        <v>11001</v>
      </c>
      <c r="Q215" s="10" t="s">
        <v>223</v>
      </c>
      <c r="R215" s="10" t="s">
        <v>2841</v>
      </c>
      <c r="S215" s="8" t="s">
        <v>11002</v>
      </c>
      <c r="T215" s="10" t="s">
        <v>10982</v>
      </c>
      <c r="U215" s="10" t="s">
        <v>87</v>
      </c>
      <c r="V215" s="10" t="s">
        <v>87</v>
      </c>
    </row>
    <row r="216" spans="1:22" s="10" customFormat="1" x14ac:dyDescent="0.25">
      <c r="A216" s="10" t="s">
        <v>11003</v>
      </c>
      <c r="B216" s="10" t="s">
        <v>10976</v>
      </c>
      <c r="C216" s="11" t="s">
        <v>346</v>
      </c>
      <c r="D216" s="10" t="s">
        <v>11004</v>
      </c>
      <c r="E216" s="8" t="s">
        <v>11005</v>
      </c>
      <c r="F216" s="8" t="s">
        <v>11006</v>
      </c>
      <c r="G216" s="10" t="s">
        <v>3</v>
      </c>
      <c r="H216" s="8" t="s">
        <v>11007</v>
      </c>
      <c r="I216" s="10" t="s">
        <v>87</v>
      </c>
      <c r="J216" s="8" t="s">
        <v>10980</v>
      </c>
      <c r="K216" s="8" t="s">
        <v>1435</v>
      </c>
      <c r="L216" s="8" t="s">
        <v>87</v>
      </c>
      <c r="M216" s="10" t="s">
        <v>1436</v>
      </c>
      <c r="N216" s="8" t="s">
        <v>87</v>
      </c>
      <c r="O216" s="10" t="s">
        <v>51</v>
      </c>
      <c r="P216" s="8" t="s">
        <v>11008</v>
      </c>
      <c r="Q216" s="10" t="s">
        <v>223</v>
      </c>
      <c r="R216" s="10" t="s">
        <v>2841</v>
      </c>
      <c r="S216" s="8" t="s">
        <v>220</v>
      </c>
      <c r="T216" s="10" t="s">
        <v>10982</v>
      </c>
      <c r="U216" s="10" t="s">
        <v>87</v>
      </c>
      <c r="V216" s="10" t="s">
        <v>87</v>
      </c>
    </row>
    <row r="217" spans="1:22" s="10" customFormat="1" x14ac:dyDescent="0.25">
      <c r="A217" s="10" t="s">
        <v>11009</v>
      </c>
      <c r="B217" s="10" t="s">
        <v>10976</v>
      </c>
      <c r="C217" s="11" t="s">
        <v>346</v>
      </c>
      <c r="D217" s="10" t="s">
        <v>11010</v>
      </c>
      <c r="E217" s="8" t="s">
        <v>11011</v>
      </c>
      <c r="F217" s="8" t="s">
        <v>11012</v>
      </c>
      <c r="G217" s="10" t="s">
        <v>3</v>
      </c>
      <c r="H217" s="8" t="s">
        <v>11013</v>
      </c>
      <c r="I217" s="10" t="s">
        <v>907</v>
      </c>
      <c r="J217" s="8" t="s">
        <v>10980</v>
      </c>
      <c r="K217" s="8" t="s">
        <v>1435</v>
      </c>
      <c r="L217" s="8" t="s">
        <v>11014</v>
      </c>
      <c r="M217" s="10" t="s">
        <v>1436</v>
      </c>
      <c r="N217" s="8" t="s">
        <v>87</v>
      </c>
      <c r="O217" s="10" t="s">
        <v>51</v>
      </c>
      <c r="P217" s="8" t="s">
        <v>11015</v>
      </c>
      <c r="Q217" s="10" t="s">
        <v>1447</v>
      </c>
      <c r="R217" s="10" t="s">
        <v>2841</v>
      </c>
      <c r="S217" s="8" t="s">
        <v>11016</v>
      </c>
      <c r="T217" s="10" t="s">
        <v>10982</v>
      </c>
      <c r="U217" s="10" t="s">
        <v>87</v>
      </c>
      <c r="V217" s="10" t="s">
        <v>87</v>
      </c>
    </row>
    <row r="218" spans="1:22" s="10" customFormat="1" x14ac:dyDescent="0.25">
      <c r="A218" s="10" t="s">
        <v>11017</v>
      </c>
      <c r="B218" s="10" t="s">
        <v>10976</v>
      </c>
      <c r="C218" s="10" t="s">
        <v>215</v>
      </c>
      <c r="D218" s="10" t="s">
        <v>11018</v>
      </c>
      <c r="E218" s="8" t="s">
        <v>11019</v>
      </c>
      <c r="F218" s="8" t="s">
        <v>11020</v>
      </c>
      <c r="G218" s="10" t="s">
        <v>3</v>
      </c>
      <c r="H218" s="8" t="s">
        <v>9582</v>
      </c>
      <c r="I218" s="10" t="s">
        <v>539</v>
      </c>
      <c r="J218" s="8" t="s">
        <v>10980</v>
      </c>
      <c r="K218" s="8" t="s">
        <v>1435</v>
      </c>
      <c r="L218" s="8" t="s">
        <v>9588</v>
      </c>
      <c r="M218" s="10" t="s">
        <v>1436</v>
      </c>
      <c r="N218" s="8" t="s">
        <v>87</v>
      </c>
      <c r="O218" s="10" t="s">
        <v>51</v>
      </c>
      <c r="P218" s="8" t="s">
        <v>11021</v>
      </c>
      <c r="Q218" s="10" t="s">
        <v>1447</v>
      </c>
      <c r="R218" s="10" t="s">
        <v>2841</v>
      </c>
      <c r="S218" s="8" t="s">
        <v>11022</v>
      </c>
      <c r="T218" s="10" t="s">
        <v>10982</v>
      </c>
      <c r="U218" s="10" t="s">
        <v>87</v>
      </c>
      <c r="V218" s="10" t="s">
        <v>87</v>
      </c>
    </row>
    <row r="219" spans="1:22" s="10" customFormat="1" x14ac:dyDescent="0.25">
      <c r="A219" s="10" t="s">
        <v>11023</v>
      </c>
      <c r="B219" s="10" t="s">
        <v>10976</v>
      </c>
      <c r="C219" s="10" t="s">
        <v>215</v>
      </c>
      <c r="D219" s="10" t="s">
        <v>11024</v>
      </c>
      <c r="E219" s="8" t="s">
        <v>11025</v>
      </c>
      <c r="F219" s="8" t="s">
        <v>11026</v>
      </c>
      <c r="G219" s="10" t="s">
        <v>2647</v>
      </c>
      <c r="H219" s="8" t="s">
        <v>11027</v>
      </c>
      <c r="I219" s="10" t="s">
        <v>907</v>
      </c>
      <c r="J219" s="8" t="s">
        <v>10980</v>
      </c>
      <c r="K219" s="8" t="s">
        <v>2649</v>
      </c>
      <c r="L219" s="8" t="s">
        <v>87</v>
      </c>
      <c r="M219" s="10" t="s">
        <v>1436</v>
      </c>
      <c r="N219" s="8" t="s">
        <v>87</v>
      </c>
      <c r="O219" s="10" t="s">
        <v>51</v>
      </c>
      <c r="P219" s="8" t="s">
        <v>11028</v>
      </c>
      <c r="Q219" s="10" t="s">
        <v>223</v>
      </c>
      <c r="R219" s="10" t="s">
        <v>2841</v>
      </c>
      <c r="S219" s="8" t="s">
        <v>11029</v>
      </c>
      <c r="T219" s="10" t="s">
        <v>10982</v>
      </c>
      <c r="U219" s="10" t="s">
        <v>87</v>
      </c>
      <c r="V219" s="10" t="s">
        <v>87</v>
      </c>
    </row>
    <row r="220" spans="1:22" s="10" customFormat="1" x14ac:dyDescent="0.25">
      <c r="A220" s="10" t="s">
        <v>11030</v>
      </c>
      <c r="B220" s="10" t="s">
        <v>10976</v>
      </c>
      <c r="C220" s="11" t="s">
        <v>346</v>
      </c>
      <c r="D220" s="10" t="s">
        <v>11031</v>
      </c>
      <c r="E220" s="8" t="s">
        <v>11032</v>
      </c>
      <c r="F220" s="8" t="s">
        <v>11033</v>
      </c>
      <c r="G220" s="10" t="s">
        <v>3</v>
      </c>
      <c r="H220" s="8" t="s">
        <v>9582</v>
      </c>
      <c r="I220" s="10" t="s">
        <v>87</v>
      </c>
      <c r="J220" s="8" t="s">
        <v>9545</v>
      </c>
      <c r="K220" s="8" t="s">
        <v>1435</v>
      </c>
      <c r="L220" s="8" t="s">
        <v>9588</v>
      </c>
      <c r="M220" s="10" t="s">
        <v>1436</v>
      </c>
      <c r="N220" s="8" t="s">
        <v>87</v>
      </c>
      <c r="O220" s="10" t="s">
        <v>52</v>
      </c>
      <c r="P220" s="8" t="s">
        <v>11034</v>
      </c>
      <c r="Q220" s="10" t="s">
        <v>223</v>
      </c>
      <c r="R220" s="10" t="s">
        <v>2841</v>
      </c>
      <c r="S220" s="8" t="s">
        <v>220</v>
      </c>
      <c r="T220" s="10" t="s">
        <v>10982</v>
      </c>
      <c r="U220" s="10" t="s">
        <v>87</v>
      </c>
      <c r="V220" s="10" t="s">
        <v>87</v>
      </c>
    </row>
    <row r="221" spans="1:22" s="10" customFormat="1" x14ac:dyDescent="0.25">
      <c r="A221" s="10" t="s">
        <v>11035</v>
      </c>
      <c r="B221" s="10" t="s">
        <v>10976</v>
      </c>
      <c r="C221" s="11" t="s">
        <v>346</v>
      </c>
      <c r="D221" s="10" t="s">
        <v>11036</v>
      </c>
      <c r="E221" s="8" t="s">
        <v>11037</v>
      </c>
      <c r="F221" s="8" t="s">
        <v>11038</v>
      </c>
      <c r="G221" s="10" t="s">
        <v>3</v>
      </c>
      <c r="H221" s="8" t="s">
        <v>220</v>
      </c>
      <c r="I221" s="10" t="s">
        <v>87</v>
      </c>
      <c r="J221" s="8" t="s">
        <v>220</v>
      </c>
      <c r="K221" s="8" t="s">
        <v>1435</v>
      </c>
      <c r="L221" s="8" t="s">
        <v>87</v>
      </c>
      <c r="M221" s="10" t="s">
        <v>1436</v>
      </c>
      <c r="N221" s="8" t="s">
        <v>87</v>
      </c>
      <c r="O221" s="10" t="s">
        <v>52</v>
      </c>
      <c r="P221" s="8" t="s">
        <v>11039</v>
      </c>
      <c r="Q221" s="10" t="s">
        <v>223</v>
      </c>
      <c r="R221" s="10" t="s">
        <v>2841</v>
      </c>
      <c r="S221" s="8" t="s">
        <v>220</v>
      </c>
      <c r="T221" s="10" t="s">
        <v>10982</v>
      </c>
      <c r="U221" s="10" t="s">
        <v>87</v>
      </c>
      <c r="V221" s="10" t="s">
        <v>87</v>
      </c>
    </row>
    <row r="222" spans="1:22" s="10" customFormat="1" x14ac:dyDescent="0.25">
      <c r="A222" s="10" t="s">
        <v>11040</v>
      </c>
      <c r="B222" s="10" t="s">
        <v>10976</v>
      </c>
      <c r="C222" s="11" t="s">
        <v>346</v>
      </c>
      <c r="D222" s="10" t="s">
        <v>11041</v>
      </c>
      <c r="E222" s="8" t="s">
        <v>11042</v>
      </c>
      <c r="F222" s="8" t="s">
        <v>11043</v>
      </c>
      <c r="G222" s="10" t="s">
        <v>2647</v>
      </c>
      <c r="H222" s="8" t="s">
        <v>11044</v>
      </c>
      <c r="I222" s="10" t="s">
        <v>1000</v>
      </c>
      <c r="J222" s="8" t="s">
        <v>9545</v>
      </c>
      <c r="K222" s="8" t="s">
        <v>2649</v>
      </c>
      <c r="L222" s="8" t="s">
        <v>87</v>
      </c>
      <c r="M222" s="10" t="s">
        <v>1436</v>
      </c>
      <c r="N222" s="8" t="s">
        <v>87</v>
      </c>
      <c r="O222" s="10" t="s">
        <v>52</v>
      </c>
      <c r="P222" s="8" t="s">
        <v>11045</v>
      </c>
      <c r="Q222" s="10" t="s">
        <v>223</v>
      </c>
      <c r="R222" s="10" t="s">
        <v>2841</v>
      </c>
      <c r="S222" s="8" t="s">
        <v>11046</v>
      </c>
      <c r="T222" s="10" t="s">
        <v>10982</v>
      </c>
      <c r="U222" s="10" t="s">
        <v>87</v>
      </c>
      <c r="V222" s="10" t="s">
        <v>87</v>
      </c>
    </row>
    <row r="223" spans="1:22" s="10" customFormat="1" x14ac:dyDescent="0.25">
      <c r="A223" s="10" t="s">
        <v>11047</v>
      </c>
      <c r="B223" s="10" t="s">
        <v>10976</v>
      </c>
      <c r="C223" s="11" t="s">
        <v>346</v>
      </c>
      <c r="D223" s="10" t="s">
        <v>11048</v>
      </c>
      <c r="E223" s="8" t="s">
        <v>11049</v>
      </c>
      <c r="F223" s="8" t="s">
        <v>11050</v>
      </c>
      <c r="G223" s="10" t="s">
        <v>2647</v>
      </c>
      <c r="H223" s="8" t="s">
        <v>11051</v>
      </c>
      <c r="I223" s="10" t="s">
        <v>907</v>
      </c>
      <c r="J223" s="8" t="s">
        <v>9545</v>
      </c>
      <c r="K223" s="8" t="s">
        <v>2649</v>
      </c>
      <c r="L223" s="8" t="s">
        <v>87</v>
      </c>
      <c r="M223" s="10" t="s">
        <v>1436</v>
      </c>
      <c r="N223" s="8" t="s">
        <v>87</v>
      </c>
      <c r="O223" s="10" t="s">
        <v>52</v>
      </c>
      <c r="P223" s="8" t="s">
        <v>11052</v>
      </c>
      <c r="Q223" s="10" t="s">
        <v>223</v>
      </c>
      <c r="R223" s="10" t="s">
        <v>2841</v>
      </c>
      <c r="S223" s="8" t="s">
        <v>11053</v>
      </c>
      <c r="T223" s="10" t="s">
        <v>10982</v>
      </c>
      <c r="U223" s="10" t="s">
        <v>87</v>
      </c>
      <c r="V223" s="10" t="s">
        <v>87</v>
      </c>
    </row>
    <row r="224" spans="1:22" s="10" customFormat="1" x14ac:dyDescent="0.25">
      <c r="A224" s="10" t="s">
        <v>11054</v>
      </c>
      <c r="B224" s="10" t="s">
        <v>10976</v>
      </c>
      <c r="C224" s="11" t="s">
        <v>346</v>
      </c>
      <c r="D224" s="10" t="s">
        <v>11055</v>
      </c>
      <c r="E224" s="8" t="s">
        <v>11056</v>
      </c>
      <c r="F224" s="8" t="s">
        <v>11057</v>
      </c>
      <c r="G224" s="10" t="s">
        <v>2647</v>
      </c>
      <c r="H224" s="8" t="s">
        <v>11058</v>
      </c>
      <c r="I224" s="10" t="s">
        <v>907</v>
      </c>
      <c r="J224" s="8" t="s">
        <v>9545</v>
      </c>
      <c r="K224" s="8" t="s">
        <v>2649</v>
      </c>
      <c r="L224" s="8" t="s">
        <v>87</v>
      </c>
      <c r="M224" s="10" t="s">
        <v>1436</v>
      </c>
      <c r="N224" s="8" t="s">
        <v>87</v>
      </c>
      <c r="O224" s="10" t="s">
        <v>52</v>
      </c>
      <c r="P224" s="8" t="s">
        <v>11059</v>
      </c>
      <c r="Q224" s="10" t="s">
        <v>246</v>
      </c>
      <c r="R224" s="10" t="s">
        <v>2841</v>
      </c>
      <c r="S224" s="8" t="s">
        <v>11060</v>
      </c>
      <c r="T224" s="10" t="s">
        <v>10982</v>
      </c>
      <c r="U224" s="10" t="s">
        <v>87</v>
      </c>
      <c r="V224" s="10" t="s">
        <v>87</v>
      </c>
    </row>
    <row r="225" spans="1:22" s="10" customFormat="1" x14ac:dyDescent="0.25">
      <c r="A225" s="10" t="s">
        <v>11061</v>
      </c>
      <c r="B225" s="10" t="s">
        <v>10976</v>
      </c>
      <c r="C225" s="10" t="s">
        <v>215</v>
      </c>
      <c r="D225" s="10" t="s">
        <v>11062</v>
      </c>
      <c r="E225" s="8" t="s">
        <v>11063</v>
      </c>
      <c r="F225" s="8" t="s">
        <v>11064</v>
      </c>
      <c r="G225" s="10" t="s">
        <v>2647</v>
      </c>
      <c r="H225" s="8" t="s">
        <v>11065</v>
      </c>
      <c r="I225" s="10" t="s">
        <v>1000</v>
      </c>
      <c r="J225" s="8" t="s">
        <v>9545</v>
      </c>
      <c r="K225" s="8" t="s">
        <v>2649</v>
      </c>
      <c r="L225" s="8" t="s">
        <v>87</v>
      </c>
      <c r="M225" s="10" t="s">
        <v>1436</v>
      </c>
      <c r="N225" s="8" t="s">
        <v>87</v>
      </c>
      <c r="O225" s="10" t="s">
        <v>52</v>
      </c>
      <c r="P225" s="8" t="s">
        <v>11066</v>
      </c>
      <c r="Q225" s="10" t="s">
        <v>246</v>
      </c>
      <c r="R225" s="10" t="s">
        <v>2841</v>
      </c>
      <c r="S225" s="8" t="s">
        <v>11067</v>
      </c>
      <c r="T225" s="10" t="s">
        <v>10982</v>
      </c>
      <c r="U225" s="10" t="s">
        <v>87</v>
      </c>
      <c r="V225" s="10" t="s">
        <v>87</v>
      </c>
    </row>
    <row r="226" spans="1:22" s="10" customFormat="1" x14ac:dyDescent="0.25">
      <c r="A226" s="10" t="s">
        <v>11068</v>
      </c>
      <c r="B226" s="10" t="s">
        <v>11069</v>
      </c>
      <c r="C226" s="10" t="s">
        <v>215</v>
      </c>
      <c r="D226" s="10" t="s">
        <v>11070</v>
      </c>
      <c r="E226" s="8" t="s">
        <v>11071</v>
      </c>
      <c r="F226" s="8" t="s">
        <v>11072</v>
      </c>
      <c r="G226" s="10" t="s">
        <v>3</v>
      </c>
      <c r="H226" s="8" t="s">
        <v>11073</v>
      </c>
      <c r="I226" s="10" t="s">
        <v>539</v>
      </c>
      <c r="J226" s="8" t="s">
        <v>9545</v>
      </c>
      <c r="K226" s="8" t="s">
        <v>1435</v>
      </c>
      <c r="L226" s="8" t="s">
        <v>11074</v>
      </c>
      <c r="M226" s="10" t="s">
        <v>1436</v>
      </c>
      <c r="N226" s="8" t="s">
        <v>87</v>
      </c>
      <c r="O226" s="10" t="s">
        <v>53</v>
      </c>
      <c r="P226" s="8" t="s">
        <v>11075</v>
      </c>
      <c r="Q226" s="10" t="s">
        <v>223</v>
      </c>
      <c r="R226" s="10" t="s">
        <v>1438</v>
      </c>
      <c r="S226" s="8" t="s">
        <v>11076</v>
      </c>
      <c r="T226" s="10" t="s">
        <v>11077</v>
      </c>
      <c r="U226" s="10" t="s">
        <v>87</v>
      </c>
      <c r="V226" s="10" t="s">
        <v>87</v>
      </c>
    </row>
    <row r="227" spans="1:22" s="10" customFormat="1" x14ac:dyDescent="0.25">
      <c r="A227" s="10" t="s">
        <v>11078</v>
      </c>
      <c r="B227" s="10" t="s">
        <v>11069</v>
      </c>
      <c r="C227" s="11" t="s">
        <v>346</v>
      </c>
      <c r="D227" s="10" t="s">
        <v>11079</v>
      </c>
      <c r="E227" s="8" t="s">
        <v>11080</v>
      </c>
      <c r="F227" s="8" t="s">
        <v>11081</v>
      </c>
      <c r="G227" s="10" t="s">
        <v>3</v>
      </c>
      <c r="H227" s="8" t="s">
        <v>11082</v>
      </c>
      <c r="I227" s="10" t="s">
        <v>539</v>
      </c>
      <c r="J227" s="8" t="s">
        <v>9545</v>
      </c>
      <c r="K227" s="8" t="s">
        <v>1435</v>
      </c>
      <c r="L227" s="8" t="s">
        <v>9588</v>
      </c>
      <c r="M227" s="10" t="s">
        <v>1436</v>
      </c>
      <c r="N227" s="8" t="s">
        <v>87</v>
      </c>
      <c r="O227" s="10" t="s">
        <v>53</v>
      </c>
      <c r="P227" s="8" t="s">
        <v>11083</v>
      </c>
      <c r="Q227" s="10" t="s">
        <v>239</v>
      </c>
      <c r="R227" s="10" t="s">
        <v>1438</v>
      </c>
      <c r="S227" s="8" t="s">
        <v>11084</v>
      </c>
      <c r="T227" s="10" t="s">
        <v>11077</v>
      </c>
      <c r="U227" s="10" t="s">
        <v>87</v>
      </c>
      <c r="V227" s="10" t="s">
        <v>87</v>
      </c>
    </row>
    <row r="228" spans="1:22" s="10" customFormat="1" x14ac:dyDescent="0.25">
      <c r="A228" s="10" t="s">
        <v>11085</v>
      </c>
      <c r="B228" s="10" t="s">
        <v>11069</v>
      </c>
      <c r="C228" s="10" t="s">
        <v>215</v>
      </c>
      <c r="D228" s="10" t="s">
        <v>11086</v>
      </c>
      <c r="E228" s="8" t="s">
        <v>11087</v>
      </c>
      <c r="F228" s="8" t="s">
        <v>11088</v>
      </c>
      <c r="G228" s="10" t="s">
        <v>3</v>
      </c>
      <c r="H228" s="8" t="s">
        <v>11082</v>
      </c>
      <c r="I228" s="10" t="s">
        <v>539</v>
      </c>
      <c r="J228" s="8" t="s">
        <v>9545</v>
      </c>
      <c r="K228" s="8" t="s">
        <v>1435</v>
      </c>
      <c r="L228" s="8" t="s">
        <v>9671</v>
      </c>
      <c r="M228" s="10" t="s">
        <v>1436</v>
      </c>
      <c r="N228" s="8" t="s">
        <v>87</v>
      </c>
      <c r="O228" s="10" t="s">
        <v>53</v>
      </c>
      <c r="P228" s="8" t="s">
        <v>11089</v>
      </c>
      <c r="Q228" s="10" t="s">
        <v>223</v>
      </c>
      <c r="R228" s="10" t="s">
        <v>1438</v>
      </c>
      <c r="S228" s="8" t="s">
        <v>220</v>
      </c>
      <c r="T228" s="10" t="s">
        <v>11077</v>
      </c>
      <c r="U228" s="10" t="s">
        <v>87</v>
      </c>
      <c r="V228" s="10" t="s">
        <v>87</v>
      </c>
    </row>
    <row r="229" spans="1:22" s="10" customFormat="1" x14ac:dyDescent="0.25">
      <c r="A229" s="10" t="s">
        <v>11090</v>
      </c>
      <c r="B229" s="10" t="s">
        <v>11069</v>
      </c>
      <c r="C229" s="11" t="s">
        <v>346</v>
      </c>
      <c r="D229" s="10" t="s">
        <v>11091</v>
      </c>
      <c r="E229" s="8" t="s">
        <v>11092</v>
      </c>
      <c r="F229" s="8" t="s">
        <v>11093</v>
      </c>
      <c r="G229" s="10" t="s">
        <v>4</v>
      </c>
      <c r="H229" s="8" t="s">
        <v>11094</v>
      </c>
      <c r="I229" s="10" t="s">
        <v>1628</v>
      </c>
      <c r="J229" s="8" t="s">
        <v>9545</v>
      </c>
      <c r="K229" s="8" t="s">
        <v>10225</v>
      </c>
      <c r="L229" s="8" t="s">
        <v>11095</v>
      </c>
      <c r="M229" s="10" t="s">
        <v>1456</v>
      </c>
      <c r="N229" s="8" t="s">
        <v>87</v>
      </c>
      <c r="O229" s="10" t="s">
        <v>53</v>
      </c>
      <c r="P229" s="8" t="s">
        <v>11096</v>
      </c>
      <c r="Q229" s="10" t="s">
        <v>1447</v>
      </c>
      <c r="R229" s="10" t="s">
        <v>1438</v>
      </c>
      <c r="S229" s="8" t="s">
        <v>11097</v>
      </c>
      <c r="T229" s="10" t="s">
        <v>11077</v>
      </c>
      <c r="U229" s="10" t="s">
        <v>87</v>
      </c>
      <c r="V229" s="10" t="s">
        <v>87</v>
      </c>
    </row>
    <row r="230" spans="1:22" s="10" customFormat="1" x14ac:dyDescent="0.25">
      <c r="A230" s="10" t="s">
        <v>11098</v>
      </c>
      <c r="B230" s="10" t="s">
        <v>11069</v>
      </c>
      <c r="C230" s="11" t="s">
        <v>346</v>
      </c>
      <c r="D230" s="10" t="s">
        <v>11099</v>
      </c>
      <c r="E230" s="8" t="s">
        <v>11100</v>
      </c>
      <c r="F230" s="8" t="s">
        <v>11101</v>
      </c>
      <c r="G230" s="10" t="s">
        <v>4</v>
      </c>
      <c r="H230" s="8" t="s">
        <v>11082</v>
      </c>
      <c r="I230" s="10" t="s">
        <v>1537</v>
      </c>
      <c r="J230" s="8" t="s">
        <v>9545</v>
      </c>
      <c r="K230" s="8" t="s">
        <v>10225</v>
      </c>
      <c r="L230" s="8" t="s">
        <v>11102</v>
      </c>
      <c r="M230" s="10" t="s">
        <v>1456</v>
      </c>
      <c r="N230" s="8" t="s">
        <v>87</v>
      </c>
      <c r="O230" s="10" t="s">
        <v>53</v>
      </c>
      <c r="P230" s="8" t="s">
        <v>11103</v>
      </c>
      <c r="Q230" s="10" t="s">
        <v>246</v>
      </c>
      <c r="R230" s="10" t="s">
        <v>1438</v>
      </c>
      <c r="S230" s="8" t="s">
        <v>11104</v>
      </c>
      <c r="T230" s="10" t="s">
        <v>11077</v>
      </c>
      <c r="U230" s="10" t="s">
        <v>87</v>
      </c>
      <c r="V230" s="10" t="s">
        <v>87</v>
      </c>
    </row>
    <row r="231" spans="1:22" s="10" customFormat="1" x14ac:dyDescent="0.25">
      <c r="A231" s="10" t="s">
        <v>11105</v>
      </c>
      <c r="B231" s="10" t="s">
        <v>11069</v>
      </c>
      <c r="C231" s="11" t="s">
        <v>346</v>
      </c>
      <c r="D231" s="10" t="s">
        <v>11106</v>
      </c>
      <c r="E231" s="8" t="s">
        <v>11107</v>
      </c>
      <c r="F231" s="8" t="s">
        <v>11108</v>
      </c>
      <c r="G231" s="10" t="s">
        <v>4</v>
      </c>
      <c r="H231" s="8" t="s">
        <v>11109</v>
      </c>
      <c r="I231" s="10" t="s">
        <v>539</v>
      </c>
      <c r="J231" s="8" t="s">
        <v>9545</v>
      </c>
      <c r="K231" s="8" t="s">
        <v>10225</v>
      </c>
      <c r="L231" s="8" t="s">
        <v>11110</v>
      </c>
      <c r="M231" s="10" t="s">
        <v>1456</v>
      </c>
      <c r="N231" s="8" t="s">
        <v>87</v>
      </c>
      <c r="O231" s="10" t="s">
        <v>53</v>
      </c>
      <c r="P231" s="8" t="s">
        <v>11111</v>
      </c>
      <c r="Q231" s="10" t="s">
        <v>246</v>
      </c>
      <c r="R231" s="10" t="s">
        <v>1438</v>
      </c>
      <c r="S231" s="8" t="s">
        <v>11112</v>
      </c>
      <c r="T231" s="10" t="s">
        <v>11077</v>
      </c>
      <c r="U231" s="10" t="s">
        <v>87</v>
      </c>
      <c r="V231" s="10" t="s">
        <v>87</v>
      </c>
    </row>
    <row r="232" spans="1:22" s="10" customFormat="1" x14ac:dyDescent="0.25">
      <c r="A232" s="10" t="s">
        <v>11113</v>
      </c>
      <c r="B232" s="10" t="s">
        <v>11069</v>
      </c>
      <c r="C232" s="10" t="s">
        <v>215</v>
      </c>
      <c r="D232" s="10" t="s">
        <v>11114</v>
      </c>
      <c r="E232" s="8" t="s">
        <v>11115</v>
      </c>
      <c r="F232" s="8" t="s">
        <v>11116</v>
      </c>
      <c r="G232" s="10" t="s">
        <v>3</v>
      </c>
      <c r="H232" s="8" t="s">
        <v>11082</v>
      </c>
      <c r="I232" s="10" t="s">
        <v>87</v>
      </c>
      <c r="J232" s="8" t="s">
        <v>9545</v>
      </c>
      <c r="K232" s="8" t="s">
        <v>1435</v>
      </c>
      <c r="L232" s="8" t="s">
        <v>11117</v>
      </c>
      <c r="M232" s="10" t="s">
        <v>1436</v>
      </c>
      <c r="N232" s="8" t="s">
        <v>87</v>
      </c>
      <c r="O232" s="10" t="s">
        <v>53</v>
      </c>
      <c r="P232" s="8" t="s">
        <v>11118</v>
      </c>
      <c r="Q232" s="10" t="s">
        <v>246</v>
      </c>
      <c r="R232" s="10" t="s">
        <v>1438</v>
      </c>
      <c r="S232" s="8" t="s">
        <v>11119</v>
      </c>
      <c r="T232" s="10" t="s">
        <v>11077</v>
      </c>
      <c r="U232" s="10" t="s">
        <v>87</v>
      </c>
      <c r="V232" s="10" t="s">
        <v>87</v>
      </c>
    </row>
    <row r="233" spans="1:22" s="10" customFormat="1" x14ac:dyDescent="0.25">
      <c r="A233" s="10" t="s">
        <v>11120</v>
      </c>
      <c r="B233" s="10" t="s">
        <v>11069</v>
      </c>
      <c r="C233" s="10" t="s">
        <v>215</v>
      </c>
      <c r="D233" s="10" t="s">
        <v>11121</v>
      </c>
      <c r="E233" s="8" t="s">
        <v>11122</v>
      </c>
      <c r="F233" s="8" t="s">
        <v>11123</v>
      </c>
      <c r="G233" s="10" t="s">
        <v>3</v>
      </c>
      <c r="H233" s="8" t="s">
        <v>11082</v>
      </c>
      <c r="I233" s="10" t="s">
        <v>87</v>
      </c>
      <c r="J233" s="8" t="s">
        <v>9545</v>
      </c>
      <c r="K233" s="8" t="s">
        <v>1435</v>
      </c>
      <c r="L233" s="8" t="s">
        <v>11117</v>
      </c>
      <c r="M233" s="10" t="s">
        <v>1436</v>
      </c>
      <c r="N233" s="8" t="s">
        <v>87</v>
      </c>
      <c r="O233" s="10" t="s">
        <v>53</v>
      </c>
      <c r="P233" s="8" t="s">
        <v>11124</v>
      </c>
      <c r="Q233" s="10" t="s">
        <v>223</v>
      </c>
      <c r="R233" s="10" t="s">
        <v>1438</v>
      </c>
      <c r="S233" s="8" t="s">
        <v>11125</v>
      </c>
      <c r="T233" s="10" t="s">
        <v>11077</v>
      </c>
      <c r="U233" s="10" t="s">
        <v>87</v>
      </c>
      <c r="V233" s="10" t="s">
        <v>87</v>
      </c>
    </row>
    <row r="234" spans="1:22" s="10" customFormat="1" x14ac:dyDescent="0.25">
      <c r="A234" s="10" t="s">
        <v>11126</v>
      </c>
      <c r="B234" s="10" t="s">
        <v>11069</v>
      </c>
      <c r="C234" s="11" t="s">
        <v>346</v>
      </c>
      <c r="D234" s="10" t="s">
        <v>11127</v>
      </c>
      <c r="E234" s="8" t="s">
        <v>9676</v>
      </c>
      <c r="F234" s="8" t="s">
        <v>11128</v>
      </c>
      <c r="G234" s="10" t="s">
        <v>3</v>
      </c>
      <c r="H234" s="8" t="s">
        <v>9678</v>
      </c>
      <c r="I234" s="10" t="s">
        <v>9679</v>
      </c>
      <c r="J234" s="8" t="s">
        <v>9545</v>
      </c>
      <c r="K234" s="8" t="s">
        <v>1435</v>
      </c>
      <c r="L234" s="8" t="s">
        <v>9671</v>
      </c>
      <c r="M234" s="10" t="s">
        <v>1436</v>
      </c>
      <c r="N234" s="8" t="s">
        <v>87</v>
      </c>
      <c r="O234" s="10" t="s">
        <v>57</v>
      </c>
      <c r="P234" s="8" t="s">
        <v>11129</v>
      </c>
      <c r="Q234" s="10" t="s">
        <v>223</v>
      </c>
      <c r="R234" s="10" t="s">
        <v>1438</v>
      </c>
      <c r="S234" s="8" t="s">
        <v>9681</v>
      </c>
      <c r="T234" s="10" t="s">
        <v>11077</v>
      </c>
      <c r="U234" s="10" t="s">
        <v>87</v>
      </c>
      <c r="V234" s="10" t="s">
        <v>87</v>
      </c>
    </row>
    <row r="235" spans="1:22" s="10" customFormat="1" x14ac:dyDescent="0.25">
      <c r="A235" s="10" t="s">
        <v>11130</v>
      </c>
      <c r="B235" s="10" t="s">
        <v>11069</v>
      </c>
      <c r="C235" s="11" t="s">
        <v>346</v>
      </c>
      <c r="D235" s="10" t="s">
        <v>11131</v>
      </c>
      <c r="E235" s="8" t="s">
        <v>11132</v>
      </c>
      <c r="F235" s="8" t="s">
        <v>11133</v>
      </c>
      <c r="G235" s="10" t="s">
        <v>3</v>
      </c>
      <c r="H235" s="8" t="s">
        <v>11134</v>
      </c>
      <c r="I235" s="10" t="s">
        <v>1000</v>
      </c>
      <c r="J235" s="8" t="s">
        <v>9545</v>
      </c>
      <c r="K235" s="8" t="s">
        <v>1435</v>
      </c>
      <c r="L235" s="8" t="s">
        <v>10184</v>
      </c>
      <c r="M235" s="10" t="s">
        <v>1436</v>
      </c>
      <c r="N235" s="8" t="s">
        <v>87</v>
      </c>
      <c r="O235" s="10" t="s">
        <v>57</v>
      </c>
      <c r="P235" s="8" t="s">
        <v>11135</v>
      </c>
      <c r="Q235" s="10" t="s">
        <v>246</v>
      </c>
      <c r="R235" s="10" t="s">
        <v>1438</v>
      </c>
      <c r="S235" s="8" t="s">
        <v>11136</v>
      </c>
      <c r="T235" s="10" t="s">
        <v>11077</v>
      </c>
      <c r="U235" s="10" t="s">
        <v>87</v>
      </c>
      <c r="V235" s="10" t="s">
        <v>87</v>
      </c>
    </row>
    <row r="236" spans="1:22" s="10" customFormat="1" x14ac:dyDescent="0.25">
      <c r="A236" s="10" t="s">
        <v>11137</v>
      </c>
      <c r="B236" s="10" t="s">
        <v>11069</v>
      </c>
      <c r="C236" s="11" t="s">
        <v>346</v>
      </c>
      <c r="D236" s="10" t="s">
        <v>11138</v>
      </c>
      <c r="E236" s="8" t="s">
        <v>11139</v>
      </c>
      <c r="F236" s="8" t="s">
        <v>11140</v>
      </c>
      <c r="G236" s="10" t="s">
        <v>4</v>
      </c>
      <c r="H236" s="8" t="s">
        <v>11141</v>
      </c>
      <c r="I236" s="10" t="s">
        <v>706</v>
      </c>
      <c r="J236" s="8" t="s">
        <v>9545</v>
      </c>
      <c r="K236" s="8" t="s">
        <v>11142</v>
      </c>
      <c r="L236" s="8" t="s">
        <v>87</v>
      </c>
      <c r="M236" s="10" t="s">
        <v>1456</v>
      </c>
      <c r="N236" s="8" t="s">
        <v>87</v>
      </c>
      <c r="O236" s="10" t="s">
        <v>56</v>
      </c>
      <c r="P236" s="8" t="s">
        <v>11143</v>
      </c>
      <c r="Q236" s="10" t="s">
        <v>239</v>
      </c>
      <c r="R236" s="10" t="s">
        <v>1438</v>
      </c>
      <c r="S236" s="8" t="s">
        <v>11144</v>
      </c>
      <c r="T236" s="10" t="s">
        <v>11077</v>
      </c>
      <c r="U236" s="10" t="s">
        <v>87</v>
      </c>
      <c r="V236" s="10" t="s">
        <v>87</v>
      </c>
    </row>
    <row r="237" spans="1:22" s="10" customFormat="1" x14ac:dyDescent="0.25">
      <c r="A237" s="10" t="s">
        <v>11145</v>
      </c>
      <c r="B237" s="10" t="s">
        <v>11069</v>
      </c>
      <c r="C237" s="11" t="s">
        <v>346</v>
      </c>
      <c r="D237" s="10" t="s">
        <v>11146</v>
      </c>
      <c r="E237" s="8" t="s">
        <v>11147</v>
      </c>
      <c r="F237" s="8" t="s">
        <v>11148</v>
      </c>
      <c r="G237" s="10" t="s">
        <v>4</v>
      </c>
      <c r="H237" s="8" t="s">
        <v>11141</v>
      </c>
      <c r="I237" s="10" t="s">
        <v>706</v>
      </c>
      <c r="J237" s="8" t="s">
        <v>9545</v>
      </c>
      <c r="K237" s="8" t="s">
        <v>11149</v>
      </c>
      <c r="L237" s="8" t="s">
        <v>87</v>
      </c>
      <c r="M237" s="10" t="s">
        <v>1456</v>
      </c>
      <c r="N237" s="8" t="s">
        <v>87</v>
      </c>
      <c r="O237" s="10" t="s">
        <v>56</v>
      </c>
      <c r="P237" s="8" t="s">
        <v>11150</v>
      </c>
      <c r="Q237" s="10" t="s">
        <v>223</v>
      </c>
      <c r="R237" s="10" t="s">
        <v>1438</v>
      </c>
      <c r="S237" s="8" t="s">
        <v>220</v>
      </c>
      <c r="T237" s="10" t="s">
        <v>11077</v>
      </c>
      <c r="U237" s="10" t="s">
        <v>87</v>
      </c>
      <c r="V237" s="10" t="s">
        <v>87</v>
      </c>
    </row>
    <row r="238" spans="1:22" s="10" customFormat="1" x14ac:dyDescent="0.25">
      <c r="A238" s="10" t="s">
        <v>11151</v>
      </c>
      <c r="B238" s="10" t="s">
        <v>11069</v>
      </c>
      <c r="C238" s="10" t="s">
        <v>215</v>
      </c>
      <c r="D238" s="10" t="s">
        <v>11152</v>
      </c>
      <c r="E238" s="8" t="s">
        <v>11153</v>
      </c>
      <c r="F238" s="8" t="s">
        <v>11154</v>
      </c>
      <c r="G238" s="10" t="s">
        <v>4</v>
      </c>
      <c r="H238" s="8" t="s">
        <v>9582</v>
      </c>
      <c r="I238" s="10" t="s">
        <v>706</v>
      </c>
      <c r="J238" s="8" t="s">
        <v>9545</v>
      </c>
      <c r="K238" s="8" t="s">
        <v>11155</v>
      </c>
      <c r="L238" s="8" t="s">
        <v>87</v>
      </c>
      <c r="M238" s="10" t="s">
        <v>1456</v>
      </c>
      <c r="N238" s="8" t="s">
        <v>87</v>
      </c>
      <c r="O238" s="10" t="s">
        <v>56</v>
      </c>
      <c r="P238" s="8" t="s">
        <v>11156</v>
      </c>
      <c r="Q238" s="10" t="s">
        <v>223</v>
      </c>
      <c r="R238" s="10" t="s">
        <v>1438</v>
      </c>
      <c r="S238" s="8" t="s">
        <v>220</v>
      </c>
      <c r="T238" s="10" t="s">
        <v>11077</v>
      </c>
      <c r="U238" s="10" t="s">
        <v>87</v>
      </c>
      <c r="V238" s="10" t="s">
        <v>87</v>
      </c>
    </row>
    <row r="239" spans="1:22" s="10" customFormat="1" x14ac:dyDescent="0.25">
      <c r="A239" s="10" t="s">
        <v>11157</v>
      </c>
      <c r="B239" s="10" t="s">
        <v>11069</v>
      </c>
      <c r="C239" s="11" t="s">
        <v>346</v>
      </c>
      <c r="D239" s="10" t="s">
        <v>11158</v>
      </c>
      <c r="E239" s="8" t="s">
        <v>11159</v>
      </c>
      <c r="F239" s="8" t="s">
        <v>11160</v>
      </c>
      <c r="G239" s="10" t="s">
        <v>4</v>
      </c>
      <c r="H239" s="8" t="s">
        <v>9582</v>
      </c>
      <c r="I239" s="10" t="s">
        <v>706</v>
      </c>
      <c r="J239" s="8" t="s">
        <v>9545</v>
      </c>
      <c r="K239" s="8" t="s">
        <v>11161</v>
      </c>
      <c r="L239" s="8" t="s">
        <v>87</v>
      </c>
      <c r="M239" s="10" t="s">
        <v>1456</v>
      </c>
      <c r="N239" s="8" t="s">
        <v>87</v>
      </c>
      <c r="O239" s="10" t="s">
        <v>56</v>
      </c>
      <c r="P239" s="8" t="s">
        <v>11162</v>
      </c>
      <c r="Q239" s="10" t="s">
        <v>223</v>
      </c>
      <c r="R239" s="10" t="s">
        <v>1438</v>
      </c>
      <c r="S239" s="8" t="s">
        <v>11163</v>
      </c>
      <c r="T239" s="10" t="s">
        <v>11077</v>
      </c>
      <c r="U239" s="10" t="s">
        <v>87</v>
      </c>
      <c r="V239" s="10" t="s">
        <v>87</v>
      </c>
    </row>
    <row r="240" spans="1:22" s="10" customFormat="1" x14ac:dyDescent="0.25">
      <c r="A240" s="10" t="s">
        <v>11164</v>
      </c>
      <c r="B240" s="10" t="s">
        <v>11069</v>
      </c>
      <c r="C240" s="10" t="s">
        <v>215</v>
      </c>
      <c r="D240" s="10" t="s">
        <v>11165</v>
      </c>
      <c r="E240" s="8" t="s">
        <v>11166</v>
      </c>
      <c r="F240" s="8" t="s">
        <v>11167</v>
      </c>
      <c r="G240" s="10" t="s">
        <v>2647</v>
      </c>
      <c r="H240" s="8" t="s">
        <v>9582</v>
      </c>
      <c r="I240" s="10" t="s">
        <v>6744</v>
      </c>
      <c r="J240" s="8" t="s">
        <v>9545</v>
      </c>
      <c r="K240" s="8" t="s">
        <v>2649</v>
      </c>
      <c r="L240" s="8" t="s">
        <v>9671</v>
      </c>
      <c r="M240" s="10" t="s">
        <v>1436</v>
      </c>
      <c r="N240" s="8" t="s">
        <v>87</v>
      </c>
      <c r="O240" s="10" t="s">
        <v>58</v>
      </c>
      <c r="P240" s="8" t="s">
        <v>11168</v>
      </c>
      <c r="Q240" s="10" t="s">
        <v>223</v>
      </c>
      <c r="R240" s="10" t="s">
        <v>1438</v>
      </c>
      <c r="S240" s="8" t="s">
        <v>11169</v>
      </c>
      <c r="T240" s="10" t="s">
        <v>11077</v>
      </c>
      <c r="U240" s="10" t="s">
        <v>87</v>
      </c>
      <c r="V240" s="10" t="s">
        <v>87</v>
      </c>
    </row>
    <row r="241" spans="1:22" s="10" customFormat="1" x14ac:dyDescent="0.25">
      <c r="A241" s="10" t="s">
        <v>11170</v>
      </c>
      <c r="B241" s="10" t="s">
        <v>11069</v>
      </c>
      <c r="C241" s="10" t="s">
        <v>215</v>
      </c>
      <c r="D241" s="10" t="s">
        <v>11171</v>
      </c>
      <c r="E241" s="8" t="s">
        <v>11172</v>
      </c>
      <c r="F241" s="8" t="s">
        <v>11173</v>
      </c>
      <c r="G241" s="10" t="s">
        <v>3</v>
      </c>
      <c r="H241" s="8" t="s">
        <v>9582</v>
      </c>
      <c r="I241" s="10" t="s">
        <v>87</v>
      </c>
      <c r="J241" s="8" t="s">
        <v>9545</v>
      </c>
      <c r="K241" s="8" t="s">
        <v>1435</v>
      </c>
      <c r="L241" s="8" t="s">
        <v>9588</v>
      </c>
      <c r="M241" s="10" t="s">
        <v>1436</v>
      </c>
      <c r="N241" s="8" t="s">
        <v>87</v>
      </c>
      <c r="O241" s="10" t="s">
        <v>58</v>
      </c>
      <c r="P241" s="8" t="s">
        <v>11174</v>
      </c>
      <c r="Q241" s="10" t="s">
        <v>246</v>
      </c>
      <c r="R241" s="10" t="s">
        <v>1438</v>
      </c>
      <c r="S241" s="8" t="s">
        <v>11175</v>
      </c>
      <c r="T241" s="10" t="s">
        <v>11077</v>
      </c>
      <c r="U241" s="10" t="s">
        <v>87</v>
      </c>
      <c r="V241" s="10" t="s">
        <v>87</v>
      </c>
    </row>
    <row r="242" spans="1:22" s="10" customFormat="1" x14ac:dyDescent="0.25">
      <c r="A242" s="10" t="s">
        <v>11176</v>
      </c>
      <c r="B242" s="10" t="s">
        <v>11069</v>
      </c>
      <c r="C242" s="11" t="s">
        <v>346</v>
      </c>
      <c r="D242" s="10" t="s">
        <v>11177</v>
      </c>
      <c r="E242" s="8" t="s">
        <v>11178</v>
      </c>
      <c r="F242" s="8" t="s">
        <v>11179</v>
      </c>
      <c r="G242" s="10" t="s">
        <v>3</v>
      </c>
      <c r="H242" s="8" t="s">
        <v>9582</v>
      </c>
      <c r="I242" s="10" t="s">
        <v>5926</v>
      </c>
      <c r="J242" s="8" t="s">
        <v>9545</v>
      </c>
      <c r="K242" s="8" t="s">
        <v>1435</v>
      </c>
      <c r="L242" s="8" t="s">
        <v>9588</v>
      </c>
      <c r="M242" s="10" t="s">
        <v>1436</v>
      </c>
      <c r="N242" s="8" t="s">
        <v>87</v>
      </c>
      <c r="O242" s="10" t="s">
        <v>58</v>
      </c>
      <c r="P242" s="8" t="s">
        <v>11180</v>
      </c>
      <c r="Q242" s="10" t="s">
        <v>239</v>
      </c>
      <c r="R242" s="10" t="s">
        <v>1438</v>
      </c>
      <c r="S242" s="8" t="s">
        <v>11181</v>
      </c>
      <c r="T242" s="10" t="s">
        <v>11077</v>
      </c>
      <c r="U242" s="10" t="s">
        <v>87</v>
      </c>
      <c r="V242" s="10" t="s">
        <v>87</v>
      </c>
    </row>
    <row r="243" spans="1:22" s="10" customFormat="1" x14ac:dyDescent="0.25">
      <c r="A243" s="10" t="s">
        <v>11182</v>
      </c>
      <c r="B243" s="10" t="s">
        <v>11069</v>
      </c>
      <c r="C243" s="11" t="s">
        <v>346</v>
      </c>
      <c r="D243" s="10" t="s">
        <v>11183</v>
      </c>
      <c r="E243" s="8" t="s">
        <v>11184</v>
      </c>
      <c r="F243" s="8" t="s">
        <v>11185</v>
      </c>
      <c r="G243" s="10" t="s">
        <v>3</v>
      </c>
      <c r="H243" s="8" t="s">
        <v>9582</v>
      </c>
      <c r="I243" s="10" t="s">
        <v>539</v>
      </c>
      <c r="J243" s="8" t="s">
        <v>9545</v>
      </c>
      <c r="K243" s="8" t="s">
        <v>1435</v>
      </c>
      <c r="L243" s="8" t="s">
        <v>9671</v>
      </c>
      <c r="M243" s="10" t="s">
        <v>1436</v>
      </c>
      <c r="N243" s="8" t="s">
        <v>87</v>
      </c>
      <c r="O243" s="10" t="s">
        <v>58</v>
      </c>
      <c r="P243" s="8" t="s">
        <v>11186</v>
      </c>
      <c r="Q243" s="10" t="s">
        <v>239</v>
      </c>
      <c r="R243" s="10" t="s">
        <v>1438</v>
      </c>
      <c r="S243" s="8" t="s">
        <v>11187</v>
      </c>
      <c r="T243" s="10" t="s">
        <v>11077</v>
      </c>
      <c r="U243" s="10" t="s">
        <v>87</v>
      </c>
      <c r="V243" s="10" t="s">
        <v>87</v>
      </c>
    </row>
    <row r="244" spans="1:22" s="10" customFormat="1" x14ac:dyDescent="0.25">
      <c r="A244" s="10" t="s">
        <v>11188</v>
      </c>
      <c r="B244" s="10" t="s">
        <v>11069</v>
      </c>
      <c r="C244" s="10" t="s">
        <v>215</v>
      </c>
      <c r="D244" s="10" t="s">
        <v>11189</v>
      </c>
      <c r="E244" s="8" t="s">
        <v>11190</v>
      </c>
      <c r="F244" s="8" t="s">
        <v>11191</v>
      </c>
      <c r="G244" s="10" t="s">
        <v>3</v>
      </c>
      <c r="H244" s="8" t="s">
        <v>11192</v>
      </c>
      <c r="I244" s="10" t="s">
        <v>87</v>
      </c>
      <c r="J244" s="8" t="s">
        <v>9545</v>
      </c>
      <c r="K244" s="8" t="s">
        <v>1435</v>
      </c>
      <c r="L244" s="8" t="s">
        <v>87</v>
      </c>
      <c r="M244" s="10" t="s">
        <v>1436</v>
      </c>
      <c r="N244" s="8" t="s">
        <v>87</v>
      </c>
      <c r="O244" s="10" t="s">
        <v>58</v>
      </c>
      <c r="P244" s="8" t="s">
        <v>11193</v>
      </c>
      <c r="Q244" s="10" t="s">
        <v>246</v>
      </c>
      <c r="R244" s="10" t="s">
        <v>1438</v>
      </c>
      <c r="S244" s="8" t="s">
        <v>11194</v>
      </c>
      <c r="T244" s="10" t="s">
        <v>11077</v>
      </c>
      <c r="U244" s="10" t="s">
        <v>87</v>
      </c>
      <c r="V244" s="10" t="s">
        <v>87</v>
      </c>
    </row>
    <row r="245" spans="1:22" s="10" customFormat="1" x14ac:dyDescent="0.25">
      <c r="A245" s="10" t="s">
        <v>11195</v>
      </c>
      <c r="B245" s="10" t="s">
        <v>11069</v>
      </c>
      <c r="C245" s="11" t="s">
        <v>346</v>
      </c>
      <c r="D245" s="10" t="s">
        <v>11196</v>
      </c>
      <c r="E245" s="8" t="s">
        <v>11197</v>
      </c>
      <c r="F245" s="8" t="s">
        <v>11198</v>
      </c>
      <c r="G245" s="10" t="s">
        <v>3</v>
      </c>
      <c r="H245" s="8" t="s">
        <v>9582</v>
      </c>
      <c r="I245" s="10" t="s">
        <v>539</v>
      </c>
      <c r="J245" s="8" t="s">
        <v>9545</v>
      </c>
      <c r="K245" s="8" t="s">
        <v>1435</v>
      </c>
      <c r="L245" s="8" t="s">
        <v>9588</v>
      </c>
      <c r="M245" s="10" t="s">
        <v>1436</v>
      </c>
      <c r="N245" s="8" t="s">
        <v>87</v>
      </c>
      <c r="O245" s="10" t="s">
        <v>55</v>
      </c>
      <c r="P245" s="8" t="s">
        <v>11199</v>
      </c>
      <c r="Q245" s="10" t="s">
        <v>1447</v>
      </c>
      <c r="R245" s="10" t="s">
        <v>1438</v>
      </c>
      <c r="S245" s="8" t="s">
        <v>11022</v>
      </c>
      <c r="T245" s="10" t="s">
        <v>11077</v>
      </c>
      <c r="U245" s="10" t="s">
        <v>87</v>
      </c>
      <c r="V245" s="10" t="s">
        <v>87</v>
      </c>
    </row>
    <row r="246" spans="1:22" s="10" customFormat="1" x14ac:dyDescent="0.25">
      <c r="A246" s="10" t="s">
        <v>11200</v>
      </c>
      <c r="B246" s="10" t="s">
        <v>11201</v>
      </c>
      <c r="C246" s="11" t="s">
        <v>346</v>
      </c>
      <c r="D246" s="10" t="s">
        <v>11202</v>
      </c>
      <c r="E246" s="8" t="s">
        <v>11203</v>
      </c>
      <c r="F246" s="8" t="s">
        <v>11204</v>
      </c>
      <c r="G246" s="10" t="s">
        <v>3</v>
      </c>
      <c r="H246" s="8" t="s">
        <v>220</v>
      </c>
      <c r="I246" s="10" t="s">
        <v>87</v>
      </c>
      <c r="J246" s="8" t="s">
        <v>11205</v>
      </c>
      <c r="K246" s="8" t="s">
        <v>1435</v>
      </c>
      <c r="L246" s="8" t="s">
        <v>87</v>
      </c>
      <c r="M246" s="10" t="s">
        <v>1436</v>
      </c>
      <c r="N246" s="8" t="s">
        <v>87</v>
      </c>
      <c r="O246" s="10" t="s">
        <v>35</v>
      </c>
      <c r="P246" s="8" t="s">
        <v>11206</v>
      </c>
      <c r="Q246" s="10" t="s">
        <v>825</v>
      </c>
      <c r="R246" s="10" t="s">
        <v>2841</v>
      </c>
      <c r="S246" s="8" t="s">
        <v>220</v>
      </c>
      <c r="T246" s="10" t="s">
        <v>11207</v>
      </c>
      <c r="U246" s="10" t="s">
        <v>87</v>
      </c>
      <c r="V246" s="10" t="s">
        <v>87</v>
      </c>
    </row>
    <row r="247" spans="1:22" s="10" customFormat="1" x14ac:dyDescent="0.25">
      <c r="A247" s="10" t="s">
        <v>11208</v>
      </c>
      <c r="B247" s="10" t="s">
        <v>11201</v>
      </c>
      <c r="C247" s="11" t="s">
        <v>346</v>
      </c>
      <c r="D247" s="10" t="s">
        <v>11209</v>
      </c>
      <c r="E247" s="8" t="s">
        <v>11210</v>
      </c>
      <c r="F247" s="8" t="s">
        <v>11211</v>
      </c>
      <c r="G247" s="10" t="s">
        <v>3</v>
      </c>
      <c r="H247" s="8" t="s">
        <v>220</v>
      </c>
      <c r="I247" s="10" t="s">
        <v>87</v>
      </c>
      <c r="J247" s="8" t="s">
        <v>11205</v>
      </c>
      <c r="K247" s="8" t="s">
        <v>1435</v>
      </c>
      <c r="L247" s="8" t="s">
        <v>87</v>
      </c>
      <c r="M247" s="10" t="s">
        <v>1436</v>
      </c>
      <c r="N247" s="8" t="s">
        <v>87</v>
      </c>
      <c r="O247" s="10" t="s">
        <v>35</v>
      </c>
      <c r="P247" s="8" t="s">
        <v>11212</v>
      </c>
      <c r="Q247" s="10" t="s">
        <v>825</v>
      </c>
      <c r="R247" s="10" t="s">
        <v>2188</v>
      </c>
      <c r="S247" s="8" t="s">
        <v>220</v>
      </c>
      <c r="T247" s="10" t="s">
        <v>11207</v>
      </c>
      <c r="U247" s="10" t="s">
        <v>87</v>
      </c>
      <c r="V247" s="10" t="s">
        <v>87</v>
      </c>
    </row>
    <row r="248" spans="1:22" s="10" customFormat="1" x14ac:dyDescent="0.25">
      <c r="A248" s="10" t="s">
        <v>11213</v>
      </c>
      <c r="B248" s="10" t="s">
        <v>11201</v>
      </c>
      <c r="C248" s="10" t="s">
        <v>215</v>
      </c>
      <c r="D248" s="10" t="s">
        <v>11214</v>
      </c>
      <c r="E248" s="8" t="s">
        <v>11215</v>
      </c>
      <c r="F248" s="8" t="s">
        <v>11216</v>
      </c>
      <c r="G248" s="10" t="s">
        <v>4</v>
      </c>
      <c r="H248" s="8" t="s">
        <v>220</v>
      </c>
      <c r="I248" s="10" t="s">
        <v>11217</v>
      </c>
      <c r="J248" s="8" t="s">
        <v>11205</v>
      </c>
      <c r="K248" s="8" t="s">
        <v>11218</v>
      </c>
      <c r="L248" s="8" t="s">
        <v>2367</v>
      </c>
      <c r="M248" s="10" t="s">
        <v>1456</v>
      </c>
      <c r="N248" s="8" t="s">
        <v>87</v>
      </c>
      <c r="O248" s="10" t="s">
        <v>35</v>
      </c>
      <c r="P248" s="8" t="s">
        <v>11219</v>
      </c>
      <c r="Q248" s="10" t="s">
        <v>825</v>
      </c>
      <c r="R248" s="10" t="s">
        <v>1668</v>
      </c>
      <c r="S248" s="8" t="s">
        <v>220</v>
      </c>
      <c r="T248" s="10" t="s">
        <v>11207</v>
      </c>
      <c r="U248" s="10" t="s">
        <v>87</v>
      </c>
      <c r="V248" s="10" t="s">
        <v>87</v>
      </c>
    </row>
    <row r="249" spans="1:22" s="10" customFormat="1" x14ac:dyDescent="0.25">
      <c r="A249" s="10" t="s">
        <v>11220</v>
      </c>
      <c r="B249" s="10" t="s">
        <v>11201</v>
      </c>
      <c r="C249" s="11" t="s">
        <v>346</v>
      </c>
      <c r="D249" s="10" t="s">
        <v>11221</v>
      </c>
      <c r="E249" s="8" t="s">
        <v>11222</v>
      </c>
      <c r="F249" s="8" t="s">
        <v>11223</v>
      </c>
      <c r="G249" s="10" t="s">
        <v>3</v>
      </c>
      <c r="H249" s="8" t="s">
        <v>11224</v>
      </c>
      <c r="I249" s="10" t="s">
        <v>87</v>
      </c>
      <c r="J249" s="8" t="s">
        <v>11205</v>
      </c>
      <c r="K249" s="8" t="s">
        <v>1435</v>
      </c>
      <c r="L249" s="8" t="s">
        <v>9588</v>
      </c>
      <c r="M249" s="10" t="s">
        <v>1436</v>
      </c>
      <c r="N249" s="8" t="s">
        <v>87</v>
      </c>
      <c r="O249" s="10" t="s">
        <v>35</v>
      </c>
      <c r="P249" s="8" t="s">
        <v>11225</v>
      </c>
      <c r="Q249" s="10" t="s">
        <v>825</v>
      </c>
      <c r="R249" s="10" t="s">
        <v>2841</v>
      </c>
      <c r="S249" s="8" t="s">
        <v>11226</v>
      </c>
      <c r="T249" s="10" t="s">
        <v>11207</v>
      </c>
      <c r="U249" s="10" t="s">
        <v>87</v>
      </c>
      <c r="V249" s="10" t="s">
        <v>87</v>
      </c>
    </row>
    <row r="250" spans="1:22" s="10" customFormat="1" x14ac:dyDescent="0.25">
      <c r="A250" s="10" t="s">
        <v>11227</v>
      </c>
      <c r="B250" s="10" t="s">
        <v>11201</v>
      </c>
      <c r="C250" s="11" t="s">
        <v>346</v>
      </c>
      <c r="D250" s="10" t="s">
        <v>11228</v>
      </c>
      <c r="E250" s="8" t="s">
        <v>11229</v>
      </c>
      <c r="F250" s="8" t="s">
        <v>11230</v>
      </c>
      <c r="G250" s="10" t="s">
        <v>3</v>
      </c>
      <c r="H250" s="8" t="s">
        <v>11231</v>
      </c>
      <c r="I250" s="10" t="s">
        <v>87</v>
      </c>
      <c r="J250" s="8" t="s">
        <v>11205</v>
      </c>
      <c r="K250" s="8" t="s">
        <v>1435</v>
      </c>
      <c r="L250" s="8" t="s">
        <v>9588</v>
      </c>
      <c r="M250" s="10" t="s">
        <v>1436</v>
      </c>
      <c r="N250" s="8" t="s">
        <v>87</v>
      </c>
      <c r="O250" s="10" t="s">
        <v>35</v>
      </c>
      <c r="P250" s="8" t="s">
        <v>11232</v>
      </c>
      <c r="Q250" s="10" t="s">
        <v>825</v>
      </c>
      <c r="R250" s="10" t="s">
        <v>2841</v>
      </c>
      <c r="S250" s="8" t="s">
        <v>11233</v>
      </c>
      <c r="T250" s="10" t="s">
        <v>11207</v>
      </c>
      <c r="U250" s="10" t="s">
        <v>87</v>
      </c>
      <c r="V250" s="10" t="s">
        <v>87</v>
      </c>
    </row>
    <row r="251" spans="1:22" s="10" customFormat="1" x14ac:dyDescent="0.25">
      <c r="A251" s="10" t="s">
        <v>11234</v>
      </c>
      <c r="B251" s="10" t="s">
        <v>11201</v>
      </c>
      <c r="C251" s="11" t="s">
        <v>346</v>
      </c>
      <c r="D251" s="10" t="s">
        <v>11235</v>
      </c>
      <c r="E251" s="8" t="s">
        <v>11236</v>
      </c>
      <c r="F251" s="8" t="s">
        <v>11237</v>
      </c>
      <c r="G251" s="10" t="s">
        <v>3</v>
      </c>
      <c r="H251" s="8" t="s">
        <v>9582</v>
      </c>
      <c r="I251" s="10" t="s">
        <v>539</v>
      </c>
      <c r="J251" s="8" t="s">
        <v>11238</v>
      </c>
      <c r="K251" s="8" t="s">
        <v>1435</v>
      </c>
      <c r="L251" s="8" t="s">
        <v>10973</v>
      </c>
      <c r="M251" s="10" t="s">
        <v>1436</v>
      </c>
      <c r="N251" s="8" t="s">
        <v>87</v>
      </c>
      <c r="O251" s="10" t="s">
        <v>35</v>
      </c>
      <c r="P251" s="8" t="s">
        <v>11239</v>
      </c>
      <c r="Q251" s="10" t="s">
        <v>825</v>
      </c>
      <c r="R251" s="10" t="s">
        <v>1668</v>
      </c>
      <c r="S251" s="8" t="s">
        <v>220</v>
      </c>
      <c r="T251" s="10" t="s">
        <v>11207</v>
      </c>
      <c r="U251" s="10" t="s">
        <v>87</v>
      </c>
      <c r="V251" s="10" t="s">
        <v>87</v>
      </c>
    </row>
    <row r="252" spans="1:22" s="10" customFormat="1" x14ac:dyDescent="0.25">
      <c r="A252" s="10" t="s">
        <v>11240</v>
      </c>
      <c r="B252" s="10" t="s">
        <v>11201</v>
      </c>
      <c r="C252" s="11" t="s">
        <v>346</v>
      </c>
      <c r="D252" s="10" t="s">
        <v>11241</v>
      </c>
      <c r="E252" s="8" t="s">
        <v>11242</v>
      </c>
      <c r="F252" s="8" t="s">
        <v>10971</v>
      </c>
      <c r="G252" s="10" t="s">
        <v>3</v>
      </c>
      <c r="H252" s="8" t="s">
        <v>9582</v>
      </c>
      <c r="I252" s="10" t="s">
        <v>479</v>
      </c>
      <c r="J252" s="8" t="s">
        <v>10972</v>
      </c>
      <c r="K252" s="8" t="s">
        <v>1435</v>
      </c>
      <c r="L252" s="8" t="s">
        <v>11243</v>
      </c>
      <c r="M252" s="10" t="s">
        <v>1436</v>
      </c>
      <c r="N252" s="8" t="s">
        <v>87</v>
      </c>
      <c r="O252" s="10" t="s">
        <v>49</v>
      </c>
      <c r="P252" s="8" t="s">
        <v>11244</v>
      </c>
      <c r="Q252" s="10" t="s">
        <v>825</v>
      </c>
      <c r="R252" s="10" t="s">
        <v>1668</v>
      </c>
      <c r="S252" s="8" t="s">
        <v>220</v>
      </c>
      <c r="T252" s="10" t="s">
        <v>11207</v>
      </c>
      <c r="U252" s="10" t="s">
        <v>87</v>
      </c>
      <c r="V252" s="10" t="s">
        <v>87</v>
      </c>
    </row>
    <row r="253" spans="1:22" s="10" customFormat="1" x14ac:dyDescent="0.25">
      <c r="A253" s="10" t="s">
        <v>11245</v>
      </c>
      <c r="B253" s="10" t="s">
        <v>11201</v>
      </c>
      <c r="C253" s="11" t="s">
        <v>346</v>
      </c>
      <c r="D253" s="10" t="s">
        <v>11246</v>
      </c>
      <c r="E253" s="8" t="s">
        <v>11247</v>
      </c>
      <c r="F253" s="8" t="s">
        <v>11248</v>
      </c>
      <c r="G253" s="10" t="s">
        <v>4</v>
      </c>
      <c r="H253" s="8" t="s">
        <v>9582</v>
      </c>
      <c r="I253" s="10" t="s">
        <v>539</v>
      </c>
      <c r="J253" s="8" t="s">
        <v>11249</v>
      </c>
      <c r="K253" s="8" t="s">
        <v>11250</v>
      </c>
      <c r="L253" s="8" t="s">
        <v>9588</v>
      </c>
      <c r="M253" s="10" t="s">
        <v>1456</v>
      </c>
      <c r="N253" s="8" t="s">
        <v>87</v>
      </c>
      <c r="O253" s="10" t="s">
        <v>35</v>
      </c>
      <c r="P253" s="8" t="s">
        <v>11251</v>
      </c>
      <c r="Q253" s="10" t="s">
        <v>825</v>
      </c>
      <c r="R253" s="10" t="s">
        <v>2188</v>
      </c>
      <c r="S253" s="8" t="s">
        <v>220</v>
      </c>
      <c r="T253" s="10" t="s">
        <v>11207</v>
      </c>
      <c r="U253" s="10" t="s">
        <v>87</v>
      </c>
      <c r="V253" s="10" t="s">
        <v>87</v>
      </c>
    </row>
    <row r="254" spans="1:22" s="10" customFormat="1" x14ac:dyDescent="0.25">
      <c r="A254" s="10" t="s">
        <v>11252</v>
      </c>
      <c r="B254" s="10" t="s">
        <v>11201</v>
      </c>
      <c r="C254" s="11" t="s">
        <v>346</v>
      </c>
      <c r="D254" s="10" t="s">
        <v>11253</v>
      </c>
      <c r="E254" s="8" t="s">
        <v>11254</v>
      </c>
      <c r="F254" s="8" t="s">
        <v>11255</v>
      </c>
      <c r="G254" s="10" t="s">
        <v>3</v>
      </c>
      <c r="H254" s="8" t="s">
        <v>220</v>
      </c>
      <c r="I254" s="10" t="s">
        <v>919</v>
      </c>
      <c r="J254" s="8" t="s">
        <v>11205</v>
      </c>
      <c r="K254" s="8" t="s">
        <v>1435</v>
      </c>
      <c r="L254" s="8" t="s">
        <v>87</v>
      </c>
      <c r="M254" s="10" t="s">
        <v>1436</v>
      </c>
      <c r="N254" s="8" t="s">
        <v>87</v>
      </c>
      <c r="O254" s="10" t="s">
        <v>46</v>
      </c>
      <c r="P254" s="8" t="s">
        <v>11256</v>
      </c>
      <c r="Q254" s="10" t="s">
        <v>825</v>
      </c>
      <c r="R254" s="10" t="s">
        <v>7127</v>
      </c>
      <c r="S254" s="8" t="s">
        <v>220</v>
      </c>
      <c r="T254" s="10" t="s">
        <v>11207</v>
      </c>
      <c r="U254" s="10" t="s">
        <v>87</v>
      </c>
      <c r="V254" s="10" t="s">
        <v>87</v>
      </c>
    </row>
    <row r="255" spans="1:22" s="10" customFormat="1" x14ac:dyDescent="0.25">
      <c r="A255" s="10" t="s">
        <v>11257</v>
      </c>
      <c r="B255" s="10" t="s">
        <v>11201</v>
      </c>
      <c r="C255" s="11" t="s">
        <v>346</v>
      </c>
      <c r="D255" s="10" t="s">
        <v>11258</v>
      </c>
      <c r="E255" s="8" t="s">
        <v>11259</v>
      </c>
      <c r="F255" s="8" t="s">
        <v>11255</v>
      </c>
      <c r="G255" s="10" t="s">
        <v>3</v>
      </c>
      <c r="H255" s="8" t="s">
        <v>220</v>
      </c>
      <c r="I255" s="10" t="s">
        <v>873</v>
      </c>
      <c r="J255" s="8" t="s">
        <v>11205</v>
      </c>
      <c r="K255" s="8" t="s">
        <v>1435</v>
      </c>
      <c r="L255" s="8" t="s">
        <v>87</v>
      </c>
      <c r="M255" s="10" t="s">
        <v>1436</v>
      </c>
      <c r="N255" s="8" t="s">
        <v>87</v>
      </c>
      <c r="O255" s="10" t="s">
        <v>35</v>
      </c>
      <c r="P255" s="8" t="s">
        <v>11260</v>
      </c>
      <c r="Q255" s="10" t="s">
        <v>825</v>
      </c>
      <c r="R255" s="10" t="s">
        <v>7570</v>
      </c>
      <c r="S255" s="8" t="s">
        <v>220</v>
      </c>
      <c r="T255" s="10" t="s">
        <v>11207</v>
      </c>
      <c r="U255" s="10" t="s">
        <v>87</v>
      </c>
      <c r="V255" s="10" t="s">
        <v>87</v>
      </c>
    </row>
    <row r="256" spans="1:22" s="10" customFormat="1" x14ac:dyDescent="0.25">
      <c r="A256" s="10" t="s">
        <v>11261</v>
      </c>
      <c r="B256" s="10" t="s">
        <v>11201</v>
      </c>
      <c r="C256" s="11" t="s">
        <v>346</v>
      </c>
      <c r="D256" s="10" t="s">
        <v>11262</v>
      </c>
      <c r="E256" s="8" t="s">
        <v>11263</v>
      </c>
      <c r="F256" s="8" t="s">
        <v>11264</v>
      </c>
      <c r="G256" s="10" t="s">
        <v>3</v>
      </c>
      <c r="H256" s="8" t="s">
        <v>11265</v>
      </c>
      <c r="I256" s="10" t="s">
        <v>87</v>
      </c>
      <c r="J256" s="8" t="s">
        <v>11266</v>
      </c>
      <c r="K256" s="8" t="s">
        <v>1435</v>
      </c>
      <c r="L256" s="8" t="s">
        <v>87</v>
      </c>
      <c r="M256" s="10" t="s">
        <v>1436</v>
      </c>
      <c r="N256" s="8" t="s">
        <v>87</v>
      </c>
      <c r="O256" s="10" t="s">
        <v>35</v>
      </c>
      <c r="P256" s="8" t="s">
        <v>11267</v>
      </c>
      <c r="Q256" s="10" t="s">
        <v>825</v>
      </c>
      <c r="R256" s="10" t="s">
        <v>2841</v>
      </c>
      <c r="S256" s="8" t="s">
        <v>11268</v>
      </c>
      <c r="T256" s="10" t="s">
        <v>11207</v>
      </c>
      <c r="U256" s="10" t="s">
        <v>87</v>
      </c>
      <c r="V256" s="10" t="s">
        <v>87</v>
      </c>
    </row>
    <row r="257" spans="1:22" s="10" customFormat="1" x14ac:dyDescent="0.25">
      <c r="A257" s="10" t="s">
        <v>11269</v>
      </c>
      <c r="B257" s="10" t="s">
        <v>11201</v>
      </c>
      <c r="C257" s="11" t="s">
        <v>346</v>
      </c>
      <c r="D257" s="10" t="s">
        <v>11270</v>
      </c>
      <c r="E257" s="8" t="s">
        <v>11271</v>
      </c>
      <c r="F257" s="8" t="s">
        <v>11264</v>
      </c>
      <c r="G257" s="10" t="s">
        <v>3</v>
      </c>
      <c r="H257" s="8" t="s">
        <v>11265</v>
      </c>
      <c r="I257" s="10" t="s">
        <v>1000</v>
      </c>
      <c r="J257" s="8" t="s">
        <v>11266</v>
      </c>
      <c r="K257" s="8" t="s">
        <v>1435</v>
      </c>
      <c r="L257" s="8" t="s">
        <v>87</v>
      </c>
      <c r="M257" s="10" t="s">
        <v>1436</v>
      </c>
      <c r="N257" s="8" t="s">
        <v>87</v>
      </c>
      <c r="O257" s="10" t="s">
        <v>35</v>
      </c>
      <c r="P257" s="8" t="s">
        <v>11272</v>
      </c>
      <c r="Q257" s="10" t="s">
        <v>825</v>
      </c>
      <c r="R257" s="10" t="s">
        <v>2841</v>
      </c>
      <c r="S257" s="8" t="s">
        <v>11273</v>
      </c>
      <c r="T257" s="10" t="s">
        <v>11207</v>
      </c>
      <c r="U257" s="10" t="s">
        <v>87</v>
      </c>
      <c r="V257" s="10" t="s">
        <v>87</v>
      </c>
    </row>
    <row r="258" spans="1:22" s="10" customFormat="1" x14ac:dyDescent="0.25">
      <c r="A258" s="10" t="s">
        <v>11274</v>
      </c>
      <c r="B258" s="10" t="s">
        <v>11201</v>
      </c>
      <c r="C258" s="11" t="s">
        <v>346</v>
      </c>
      <c r="D258" s="10" t="s">
        <v>11275</v>
      </c>
      <c r="E258" s="8" t="s">
        <v>11276</v>
      </c>
      <c r="F258" s="8" t="s">
        <v>11264</v>
      </c>
      <c r="G258" s="10" t="s">
        <v>3</v>
      </c>
      <c r="H258" s="8" t="s">
        <v>11265</v>
      </c>
      <c r="I258" s="10" t="s">
        <v>907</v>
      </c>
      <c r="J258" s="8" t="s">
        <v>11266</v>
      </c>
      <c r="K258" s="8" t="s">
        <v>1435</v>
      </c>
      <c r="L258" s="8" t="s">
        <v>87</v>
      </c>
      <c r="M258" s="10" t="s">
        <v>1436</v>
      </c>
      <c r="N258" s="8" t="s">
        <v>87</v>
      </c>
      <c r="O258" s="10" t="s">
        <v>35</v>
      </c>
      <c r="P258" s="8" t="s">
        <v>11277</v>
      </c>
      <c r="Q258" s="10" t="s">
        <v>825</v>
      </c>
      <c r="R258" s="10" t="s">
        <v>2841</v>
      </c>
      <c r="S258" s="8" t="s">
        <v>11278</v>
      </c>
      <c r="T258" s="10" t="s">
        <v>11207</v>
      </c>
      <c r="U258" s="10" t="s">
        <v>87</v>
      </c>
      <c r="V258" s="10" t="s">
        <v>87</v>
      </c>
    </row>
    <row r="259" spans="1:22" s="10" customFormat="1" x14ac:dyDescent="0.25">
      <c r="A259" s="10" t="s">
        <v>11279</v>
      </c>
      <c r="B259" s="10" t="s">
        <v>11201</v>
      </c>
      <c r="C259" s="11" t="s">
        <v>346</v>
      </c>
      <c r="D259" s="10" t="s">
        <v>11280</v>
      </c>
      <c r="E259" s="8" t="s">
        <v>11281</v>
      </c>
      <c r="F259" s="8" t="s">
        <v>11264</v>
      </c>
      <c r="G259" s="10" t="s">
        <v>3</v>
      </c>
      <c r="H259" s="8" t="s">
        <v>11282</v>
      </c>
      <c r="I259" s="10" t="s">
        <v>539</v>
      </c>
      <c r="J259" s="8" t="s">
        <v>11266</v>
      </c>
      <c r="K259" s="8" t="s">
        <v>1435</v>
      </c>
      <c r="L259" s="8" t="s">
        <v>87</v>
      </c>
      <c r="M259" s="10" t="s">
        <v>1436</v>
      </c>
      <c r="N259" s="8" t="s">
        <v>87</v>
      </c>
      <c r="O259" s="10" t="s">
        <v>35</v>
      </c>
      <c r="P259" s="8" t="s">
        <v>11283</v>
      </c>
      <c r="Q259" s="10" t="s">
        <v>825</v>
      </c>
      <c r="R259" s="10" t="s">
        <v>5029</v>
      </c>
      <c r="S259" s="8" t="s">
        <v>11284</v>
      </c>
      <c r="T259" s="10" t="s">
        <v>11207</v>
      </c>
      <c r="U259" s="10" t="s">
        <v>87</v>
      </c>
      <c r="V259" s="10" t="s">
        <v>87</v>
      </c>
    </row>
    <row r="260" spans="1:22" s="10" customFormat="1" x14ac:dyDescent="0.25">
      <c r="A260" s="10" t="s">
        <v>11285</v>
      </c>
      <c r="B260" s="10" t="s">
        <v>11201</v>
      </c>
      <c r="C260" s="11" t="s">
        <v>346</v>
      </c>
      <c r="D260" s="10" t="s">
        <v>11286</v>
      </c>
      <c r="E260" s="8" t="s">
        <v>11287</v>
      </c>
      <c r="F260" s="8" t="s">
        <v>11288</v>
      </c>
      <c r="G260" s="10" t="s">
        <v>3</v>
      </c>
      <c r="H260" s="8" t="s">
        <v>11289</v>
      </c>
      <c r="I260" s="10" t="s">
        <v>706</v>
      </c>
      <c r="J260" s="8" t="s">
        <v>11266</v>
      </c>
      <c r="K260" s="8" t="s">
        <v>1435</v>
      </c>
      <c r="L260" s="8" t="s">
        <v>9166</v>
      </c>
      <c r="M260" s="10" t="s">
        <v>1436</v>
      </c>
      <c r="N260" s="8" t="s">
        <v>87</v>
      </c>
      <c r="O260" s="10" t="s">
        <v>35</v>
      </c>
      <c r="P260" s="8" t="s">
        <v>11290</v>
      </c>
      <c r="Q260" s="10" t="s">
        <v>825</v>
      </c>
      <c r="R260" s="10" t="s">
        <v>2841</v>
      </c>
      <c r="S260" s="8" t="s">
        <v>11291</v>
      </c>
      <c r="T260" s="10" t="s">
        <v>11207</v>
      </c>
      <c r="U260" s="10" t="s">
        <v>87</v>
      </c>
      <c r="V260" s="10" t="s">
        <v>87</v>
      </c>
    </row>
    <row r="261" spans="1:22" s="10" customFormat="1" x14ac:dyDescent="0.25">
      <c r="A261" s="10" t="s">
        <v>11292</v>
      </c>
      <c r="B261" s="10" t="s">
        <v>11201</v>
      </c>
      <c r="C261" s="11" t="s">
        <v>346</v>
      </c>
      <c r="D261" s="10" t="s">
        <v>11293</v>
      </c>
      <c r="E261" s="8" t="s">
        <v>11294</v>
      </c>
      <c r="F261" s="8" t="s">
        <v>11295</v>
      </c>
      <c r="G261" s="10" t="s">
        <v>3</v>
      </c>
      <c r="H261" s="8" t="s">
        <v>11296</v>
      </c>
      <c r="I261" s="10" t="s">
        <v>87</v>
      </c>
      <c r="J261" s="8" t="s">
        <v>11266</v>
      </c>
      <c r="K261" s="8" t="s">
        <v>1435</v>
      </c>
      <c r="L261" s="8" t="s">
        <v>11297</v>
      </c>
      <c r="M261" s="10" t="s">
        <v>1436</v>
      </c>
      <c r="N261" s="8" t="s">
        <v>87</v>
      </c>
      <c r="O261" s="10" t="s">
        <v>35</v>
      </c>
      <c r="P261" s="8" t="s">
        <v>11298</v>
      </c>
      <c r="Q261" s="10" t="s">
        <v>825</v>
      </c>
      <c r="R261" s="10" t="s">
        <v>11299</v>
      </c>
      <c r="S261" s="8" t="s">
        <v>11300</v>
      </c>
      <c r="T261" s="10" t="s">
        <v>11207</v>
      </c>
      <c r="U261" s="10" t="s">
        <v>87</v>
      </c>
      <c r="V261" s="10" t="s">
        <v>87</v>
      </c>
    </row>
  </sheetData>
  <autoFilter ref="A1:V261"/>
  <conditionalFormatting sqref="G2:G261">
    <cfRule type="cellIs" dxfId="22" priority="1" operator="equal">
      <formula>"PASS"</formula>
    </cfRule>
    <cfRule type="cellIs" dxfId="23" priority="2" operator="equal">
      <formula>"FAIL"</formula>
    </cfRule>
    <cfRule type="cellIs" dxfId="24" priority="3" operator="equal">
      <formula>"BLOCKED"</formula>
    </cfRule>
  </conditionalFormatting>
  <conditionalFormatting sqref="A2:V261">
    <cfRule type="expression" dxfId="25" priority="10">
      <formula>$G2="FAIL"</formula>
    </cfRule>
  </conditionalFormatting>
  <dataValidations count="8">
    <dataValidation type="list" allowBlank="1" showErrorMessage="1" errorStyle="warning" errorTitle="Not a valid value" error="Choose one of: P1, P2, P3" sqref="C10:C261">
      <formula1>"P1,P2,P3"</formula1>
    </dataValidation>
    <dataValidation type="list" allowBlank="1" showErrorMessage="1" errorStyle="warning" errorTitle="Not a valid value" error="Choose one of: P1, P2, P3" sqref="C2:C261">
      <formula1>"P1,P2,P3"</formula1>
    </dataValidation>
    <dataValidation type="list" allowBlank="1" showErrorMessage="1" errorStyle="warning" errorTitle="Not a valid value" error="Choose one of: PASS, FAIL, BLOCKED, N/A" sqref="G10:G261">
      <formula1>"PASS,FAIL,BLOCKED,N/A"</formula1>
    </dataValidation>
    <dataValidation type="list" allowBlank="1" showErrorMessage="1" errorStyle="warning" errorTitle="Not a valid value" error="Choose one of: PASS, FAIL, BLOCKED, N/A" sqref="G2:G261">
      <formula1>"PASS,FAIL,BLOCKED,N/A"</formula1>
    </dataValidation>
    <dataValidation type="list" allowBlank="1" showErrorMessage="1" errorStyle="warning" errorTitle="Not a valid value" error="Choose one of: Y, N" sqref="M10:M261">
      <formula1>"Y,N"</formula1>
    </dataValidation>
    <dataValidation type="list" allowBlank="1" showErrorMessage="1" errorStyle="warning" errorTitle="Not a valid value" error="Choose one of: Y, N" sqref="M2:M261">
      <formula1>"Y,N"</formula1>
    </dataValidation>
    <dataValidation type="list" allowBlank="1" showErrorMessage="1" errorStyle="warning" errorTitle="Not a valid value" error="Choose one of: Positive, Negative, Boundary, RBAC, Cross-Module" sqref="Q10:Q261">
      <formula1>"Positive,Negative,Boundary,RBAC,Cross-Module"</formula1>
    </dataValidation>
    <dataValidation type="list" allowBlank="1" showErrorMessage="1" errorStyle="warning" errorTitle="Not a valid value" error="Choose one of: Positive, Negative, Boundary, RBAC, Cross-Module" sqref="Q2:Q261">
      <formula1>"Positive,Negative,Boundary,RBAC,Cross-Module"</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
  <sheetViews>
    <sheetView workbookViewId="0">
      <pane xSplit="1" ySplit="1" topLeftCell="B2" activePane="bottomRight" state="frozen"/>
      <selection pane="bottomRight"/>
    </sheetView>
  </sheetViews>
  <sheetFormatPr defaultRowHeight="18" outlineLevelRow="0" outlineLevelCol="0" x14ac:dyDescent="55" customHeight="1"/>
  <cols>
    <col min="1" max="1" width="16" customWidth="1"/>
    <col min="2" max="2" width="20" customWidth="1"/>
    <col min="4" max="4" width="46" customWidth="1"/>
    <col min="5" max="5" width="68" customWidth="1"/>
    <col min="6" max="6" width="52" customWidth="1"/>
    <col min="7" max="7" width="15" customWidth="1"/>
    <col min="8" max="8" width="30" customWidth="1"/>
    <col min="9" max="9" width="22" customWidth="1"/>
    <col min="10" max="10" width="30" customWidth="1"/>
    <col min="11" max="12" width="46" customWidth="1"/>
    <col min="13" max="13" width="13" customWidth="1"/>
    <col min="14" max="14" width="36" customWidth="1"/>
    <col min="15" max="15" width="16" customWidth="1"/>
    <col min="16" max="16" width="68" customWidth="1"/>
    <col min="17" max="17" width="12" customWidth="1"/>
    <col min="18" max="18" width="20" customWidth="1"/>
    <col min="19" max="19" width="40" customWidth="1"/>
    <col min="20" max="20" width="48" customWidth="1"/>
    <col min="21" max="21" width="14" customWidth="1"/>
    <col min="22" max="22" width="18" customWidth="1"/>
  </cols>
  <sheetData>
    <row r="1" ht="34" customHeight="1" spans="1:22" x14ac:dyDescent="0.25">
      <c r="A1" s="1" t="s">
        <v>192</v>
      </c>
      <c r="B1" s="1" t="s">
        <v>193</v>
      </c>
      <c r="C1" s="1" t="s">
        <v>194</v>
      </c>
      <c r="D1" s="1" t="s">
        <v>195</v>
      </c>
      <c r="E1" s="1" t="s">
        <v>196</v>
      </c>
      <c r="F1" s="1" t="s">
        <v>197</v>
      </c>
      <c r="G1" s="1" t="s">
        <v>198</v>
      </c>
      <c r="H1" s="1" t="s">
        <v>199</v>
      </c>
      <c r="I1" s="1" t="s">
        <v>200</v>
      </c>
      <c r="J1" s="1" t="s">
        <v>201</v>
      </c>
      <c r="K1" s="1" t="s">
        <v>202</v>
      </c>
      <c r="L1" s="1" t="s">
        <v>203</v>
      </c>
      <c r="M1" s="1" t="s">
        <v>204</v>
      </c>
      <c r="N1" s="1" t="s">
        <v>205</v>
      </c>
      <c r="O1" s="1" t="s">
        <v>19</v>
      </c>
      <c r="P1" s="1" t="s">
        <v>206</v>
      </c>
      <c r="Q1" s="1" t="s">
        <v>207</v>
      </c>
      <c r="R1" s="1" t="s">
        <v>208</v>
      </c>
      <c r="S1" s="1" t="s">
        <v>209</v>
      </c>
      <c r="T1" s="1" t="s">
        <v>210</v>
      </c>
      <c r="U1" s="1" t="s">
        <v>211</v>
      </c>
      <c r="V1" s="1" t="s">
        <v>212</v>
      </c>
    </row>
    <row r="2" spans="1:22" s="10" customFormat="1" x14ac:dyDescent="0.25">
      <c r="A2" s="10" t="s">
        <v>11301</v>
      </c>
      <c r="B2" s="10" t="s">
        <v>11302</v>
      </c>
      <c r="C2" s="11" t="s">
        <v>346</v>
      </c>
      <c r="D2" s="10" t="s">
        <v>11303</v>
      </c>
      <c r="E2" s="8" t="s">
        <v>11304</v>
      </c>
      <c r="F2" s="8" t="s">
        <v>11305</v>
      </c>
      <c r="G2" s="10" t="s">
        <v>4</v>
      </c>
      <c r="H2" s="8" t="s">
        <v>11306</v>
      </c>
      <c r="I2" s="10" t="s">
        <v>11307</v>
      </c>
      <c r="J2" s="8" t="s">
        <v>11308</v>
      </c>
      <c r="K2" s="8" t="s">
        <v>11309</v>
      </c>
      <c r="L2" s="8" t="s">
        <v>9361</v>
      </c>
      <c r="M2" s="10" t="s">
        <v>1456</v>
      </c>
      <c r="N2" s="8" t="s">
        <v>87</v>
      </c>
      <c r="O2" s="10" t="s">
        <v>59</v>
      </c>
      <c r="P2" s="8" t="s">
        <v>11310</v>
      </c>
      <c r="Q2" s="10" t="s">
        <v>1447</v>
      </c>
      <c r="R2" s="10" t="s">
        <v>11311</v>
      </c>
      <c r="S2" s="8" t="s">
        <v>11312</v>
      </c>
      <c r="T2" s="10" t="s">
        <v>11313</v>
      </c>
      <c r="U2" s="10" t="s">
        <v>87</v>
      </c>
      <c r="V2" s="10" t="s">
        <v>11314</v>
      </c>
    </row>
    <row r="3" spans="1:22" s="10" customFormat="1" x14ac:dyDescent="0.25">
      <c r="A3" s="10" t="s">
        <v>11315</v>
      </c>
      <c r="B3" s="10" t="s">
        <v>11302</v>
      </c>
      <c r="C3" s="11" t="s">
        <v>346</v>
      </c>
      <c r="D3" s="10" t="s">
        <v>11316</v>
      </c>
      <c r="E3" s="8" t="s">
        <v>11317</v>
      </c>
      <c r="F3" s="8" t="s">
        <v>11318</v>
      </c>
      <c r="G3" s="10" t="s">
        <v>4</v>
      </c>
      <c r="H3" s="8" t="s">
        <v>11319</v>
      </c>
      <c r="I3" s="10" t="s">
        <v>11307</v>
      </c>
      <c r="J3" s="8" t="s">
        <v>11308</v>
      </c>
      <c r="K3" s="8" t="s">
        <v>11320</v>
      </c>
      <c r="L3" s="8" t="s">
        <v>9361</v>
      </c>
      <c r="M3" s="10" t="s">
        <v>1456</v>
      </c>
      <c r="N3" s="8" t="s">
        <v>87</v>
      </c>
      <c r="O3" s="10" t="s">
        <v>62</v>
      </c>
      <c r="P3" s="8" t="s">
        <v>11321</v>
      </c>
      <c r="Q3" s="10" t="s">
        <v>246</v>
      </c>
      <c r="R3" s="10" t="s">
        <v>11322</v>
      </c>
      <c r="S3" s="8" t="s">
        <v>11323</v>
      </c>
      <c r="T3" s="10" t="s">
        <v>11313</v>
      </c>
      <c r="U3" s="10" t="s">
        <v>87</v>
      </c>
      <c r="V3" s="10" t="s">
        <v>11324</v>
      </c>
    </row>
    <row r="4" spans="1:22" s="10" customFormat="1" x14ac:dyDescent="0.25">
      <c r="A4" s="10" t="s">
        <v>11325</v>
      </c>
      <c r="B4" s="10" t="s">
        <v>11302</v>
      </c>
      <c r="C4" s="11" t="s">
        <v>346</v>
      </c>
      <c r="D4" s="10" t="s">
        <v>11326</v>
      </c>
      <c r="E4" s="8" t="s">
        <v>11327</v>
      </c>
      <c r="F4" s="8" t="s">
        <v>11328</v>
      </c>
      <c r="G4" s="10" t="s">
        <v>4</v>
      </c>
      <c r="H4" s="8" t="s">
        <v>11329</v>
      </c>
      <c r="I4" s="10" t="s">
        <v>5301</v>
      </c>
      <c r="J4" s="8" t="s">
        <v>11308</v>
      </c>
      <c r="K4" s="8" t="s">
        <v>11330</v>
      </c>
      <c r="L4" s="8" t="s">
        <v>87</v>
      </c>
      <c r="M4" s="10" t="s">
        <v>1456</v>
      </c>
      <c r="N4" s="8" t="s">
        <v>87</v>
      </c>
      <c r="O4" s="10" t="s">
        <v>59</v>
      </c>
      <c r="P4" s="8" t="s">
        <v>11331</v>
      </c>
      <c r="Q4" s="10" t="s">
        <v>239</v>
      </c>
      <c r="R4" s="10" t="s">
        <v>7127</v>
      </c>
      <c r="S4" s="8" t="s">
        <v>11332</v>
      </c>
      <c r="T4" s="10" t="s">
        <v>11313</v>
      </c>
      <c r="U4" s="10" t="s">
        <v>87</v>
      </c>
      <c r="V4" s="10" t="s">
        <v>11333</v>
      </c>
    </row>
    <row r="5" spans="1:22" s="10" customFormat="1" x14ac:dyDescent="0.25">
      <c r="A5" s="10" t="s">
        <v>11334</v>
      </c>
      <c r="B5" s="10" t="s">
        <v>11335</v>
      </c>
      <c r="C5" s="11" t="s">
        <v>346</v>
      </c>
      <c r="D5" s="10" t="s">
        <v>11336</v>
      </c>
      <c r="E5" s="8" t="s">
        <v>11337</v>
      </c>
      <c r="F5" s="8" t="s">
        <v>11338</v>
      </c>
      <c r="G5" s="10" t="s">
        <v>3</v>
      </c>
      <c r="H5" s="8" t="s">
        <v>11339</v>
      </c>
      <c r="I5" s="10" t="s">
        <v>11340</v>
      </c>
      <c r="J5" s="8" t="s">
        <v>11341</v>
      </c>
      <c r="K5" s="8" t="s">
        <v>11342</v>
      </c>
      <c r="L5" s="8" t="s">
        <v>87</v>
      </c>
      <c r="M5" s="10" t="s">
        <v>1436</v>
      </c>
      <c r="N5" s="8" t="s">
        <v>87</v>
      </c>
      <c r="O5" s="10" t="s">
        <v>60</v>
      </c>
      <c r="P5" s="8" t="s">
        <v>11343</v>
      </c>
      <c r="Q5" s="10" t="s">
        <v>1447</v>
      </c>
      <c r="R5" s="10" t="s">
        <v>11344</v>
      </c>
      <c r="S5" s="8" t="s">
        <v>11345</v>
      </c>
      <c r="T5" s="10" t="s">
        <v>11346</v>
      </c>
      <c r="U5" s="10" t="s">
        <v>87</v>
      </c>
      <c r="V5" s="10" t="s">
        <v>11347</v>
      </c>
    </row>
    <row r="6" spans="1:22" s="10" customFormat="1" x14ac:dyDescent="0.25">
      <c r="A6" s="10" t="s">
        <v>11348</v>
      </c>
      <c r="B6" s="10" t="s">
        <v>11335</v>
      </c>
      <c r="C6" s="11" t="s">
        <v>346</v>
      </c>
      <c r="D6" s="10" t="s">
        <v>11349</v>
      </c>
      <c r="E6" s="8" t="s">
        <v>11350</v>
      </c>
      <c r="F6" s="8" t="s">
        <v>11351</v>
      </c>
      <c r="G6" s="10" t="s">
        <v>4</v>
      </c>
      <c r="H6" s="8" t="s">
        <v>11352</v>
      </c>
      <c r="I6" s="10" t="s">
        <v>11340</v>
      </c>
      <c r="J6" s="8" t="s">
        <v>11353</v>
      </c>
      <c r="K6" s="8" t="s">
        <v>11354</v>
      </c>
      <c r="L6" s="8" t="s">
        <v>87</v>
      </c>
      <c r="M6" s="10" t="s">
        <v>1456</v>
      </c>
      <c r="N6" s="8" t="s">
        <v>87</v>
      </c>
      <c r="O6" s="10" t="s">
        <v>61</v>
      </c>
      <c r="P6" s="8" t="s">
        <v>11355</v>
      </c>
      <c r="Q6" s="10" t="s">
        <v>239</v>
      </c>
      <c r="R6" s="10" t="s">
        <v>11344</v>
      </c>
      <c r="S6" s="8" t="s">
        <v>11356</v>
      </c>
      <c r="T6" s="10" t="s">
        <v>11346</v>
      </c>
      <c r="U6" s="10" t="s">
        <v>87</v>
      </c>
      <c r="V6" s="10" t="s">
        <v>11357</v>
      </c>
    </row>
    <row r="7" spans="1:22" s="10" customFormat="1" x14ac:dyDescent="0.25">
      <c r="A7" s="10" t="s">
        <v>11358</v>
      </c>
      <c r="B7" s="10" t="s">
        <v>11359</v>
      </c>
      <c r="C7" s="11" t="s">
        <v>346</v>
      </c>
      <c r="D7" s="10" t="s">
        <v>11360</v>
      </c>
      <c r="E7" s="8" t="s">
        <v>11361</v>
      </c>
      <c r="F7" s="8" t="s">
        <v>11362</v>
      </c>
      <c r="G7" s="10" t="s">
        <v>4</v>
      </c>
      <c r="H7" s="8" t="s">
        <v>11363</v>
      </c>
      <c r="I7" s="10" t="s">
        <v>5301</v>
      </c>
      <c r="J7" s="8" t="s">
        <v>11308</v>
      </c>
      <c r="K7" s="8" t="s">
        <v>11364</v>
      </c>
      <c r="L7" s="8" t="s">
        <v>11365</v>
      </c>
      <c r="M7" s="10" t="s">
        <v>1456</v>
      </c>
      <c r="N7" s="8" t="s">
        <v>87</v>
      </c>
      <c r="O7" s="10" t="s">
        <v>64</v>
      </c>
      <c r="P7" s="8" t="s">
        <v>11366</v>
      </c>
      <c r="Q7" s="10" t="s">
        <v>239</v>
      </c>
      <c r="R7" s="10" t="s">
        <v>7127</v>
      </c>
      <c r="S7" s="8" t="s">
        <v>11367</v>
      </c>
      <c r="T7" s="10" t="s">
        <v>11368</v>
      </c>
      <c r="U7" s="10" t="s">
        <v>87</v>
      </c>
      <c r="V7" s="10" t="s">
        <v>11369</v>
      </c>
    </row>
    <row r="8" spans="1:22" s="10" customFormat="1" x14ac:dyDescent="0.25">
      <c r="A8" s="10" t="s">
        <v>11370</v>
      </c>
      <c r="B8" s="10" t="s">
        <v>11359</v>
      </c>
      <c r="C8" s="11" t="s">
        <v>346</v>
      </c>
      <c r="D8" s="10" t="s">
        <v>11371</v>
      </c>
      <c r="E8" s="8" t="s">
        <v>11372</v>
      </c>
      <c r="F8" s="8" t="s">
        <v>11373</v>
      </c>
      <c r="G8" s="10" t="s">
        <v>4</v>
      </c>
      <c r="H8" s="8" t="s">
        <v>11374</v>
      </c>
      <c r="I8" s="10" t="s">
        <v>919</v>
      </c>
      <c r="J8" s="8" t="s">
        <v>11308</v>
      </c>
      <c r="K8" s="8" t="s">
        <v>11375</v>
      </c>
      <c r="L8" s="8" t="s">
        <v>11376</v>
      </c>
      <c r="M8" s="10" t="s">
        <v>1456</v>
      </c>
      <c r="N8" s="8" t="s">
        <v>87</v>
      </c>
      <c r="O8" s="10" t="s">
        <v>63</v>
      </c>
      <c r="P8" s="8" t="s">
        <v>11377</v>
      </c>
      <c r="Q8" s="10" t="s">
        <v>223</v>
      </c>
      <c r="R8" s="10" t="s">
        <v>7127</v>
      </c>
      <c r="S8" s="8" t="s">
        <v>11378</v>
      </c>
      <c r="T8" s="10" t="s">
        <v>11368</v>
      </c>
      <c r="U8" s="10" t="s">
        <v>87</v>
      </c>
      <c r="V8" s="10" t="s">
        <v>11379</v>
      </c>
    </row>
    <row r="9" spans="1:22" s="10" customFormat="1" x14ac:dyDescent="0.25">
      <c r="A9" s="10" t="s">
        <v>11380</v>
      </c>
      <c r="B9" s="10" t="s">
        <v>11381</v>
      </c>
      <c r="C9" s="11" t="s">
        <v>346</v>
      </c>
      <c r="D9" s="10" t="s">
        <v>11382</v>
      </c>
      <c r="E9" s="8" t="s">
        <v>11383</v>
      </c>
      <c r="F9" s="8" t="s">
        <v>11384</v>
      </c>
      <c r="G9" s="10" t="s">
        <v>4</v>
      </c>
      <c r="H9" s="8" t="s">
        <v>11385</v>
      </c>
      <c r="I9" s="10" t="s">
        <v>5295</v>
      </c>
      <c r="J9" s="8" t="s">
        <v>11308</v>
      </c>
      <c r="K9" s="8" t="s">
        <v>11386</v>
      </c>
      <c r="L9" s="8" t="s">
        <v>11387</v>
      </c>
      <c r="M9" s="10" t="s">
        <v>1456</v>
      </c>
      <c r="N9" s="8" t="s">
        <v>87</v>
      </c>
      <c r="O9" s="10" t="s">
        <v>65</v>
      </c>
      <c r="P9" s="8" t="s">
        <v>11388</v>
      </c>
      <c r="Q9" s="10" t="s">
        <v>246</v>
      </c>
      <c r="R9" s="10" t="s">
        <v>11389</v>
      </c>
      <c r="S9" s="8" t="s">
        <v>11390</v>
      </c>
      <c r="T9" s="10" t="s">
        <v>11391</v>
      </c>
      <c r="U9" s="10" t="s">
        <v>87</v>
      </c>
      <c r="V9" s="10" t="s">
        <v>11392</v>
      </c>
    </row>
    <row r="10" spans="1:22" s="10" customFormat="1" x14ac:dyDescent="0.25">
      <c r="A10" s="10" t="s">
        <v>11393</v>
      </c>
      <c r="B10" s="10" t="s">
        <v>11381</v>
      </c>
      <c r="C10" s="11" t="s">
        <v>346</v>
      </c>
      <c r="D10" s="10" t="s">
        <v>11394</v>
      </c>
      <c r="E10" s="8" t="s">
        <v>11395</v>
      </c>
      <c r="F10" s="8" t="s">
        <v>11396</v>
      </c>
      <c r="G10" s="10" t="s">
        <v>4</v>
      </c>
      <c r="H10" s="8" t="s">
        <v>11397</v>
      </c>
      <c r="I10" s="10" t="s">
        <v>919</v>
      </c>
      <c r="J10" s="8" t="s">
        <v>11308</v>
      </c>
      <c r="K10" s="8" t="s">
        <v>11398</v>
      </c>
      <c r="L10" s="8" t="s">
        <v>11399</v>
      </c>
      <c r="M10" s="10" t="s">
        <v>1456</v>
      </c>
      <c r="N10" s="8" t="s">
        <v>87</v>
      </c>
      <c r="O10" s="10" t="s">
        <v>66</v>
      </c>
      <c r="P10" s="8" t="s">
        <v>11400</v>
      </c>
      <c r="Q10" s="10" t="s">
        <v>246</v>
      </c>
      <c r="R10" s="10" t="s">
        <v>7127</v>
      </c>
      <c r="S10" s="8" t="s">
        <v>11401</v>
      </c>
      <c r="T10" s="10" t="s">
        <v>11391</v>
      </c>
      <c r="U10" s="10" t="s">
        <v>87</v>
      </c>
      <c r="V10" s="10" t="s">
        <v>11402</v>
      </c>
    </row>
    <row r="11" spans="1:22" s="10" customFormat="1" x14ac:dyDescent="0.25">
      <c r="A11" s="10" t="s">
        <v>11403</v>
      </c>
      <c r="B11" s="10" t="s">
        <v>11381</v>
      </c>
      <c r="C11" s="10" t="s">
        <v>215</v>
      </c>
      <c r="D11" s="10" t="s">
        <v>11404</v>
      </c>
      <c r="E11" s="8" t="s">
        <v>11405</v>
      </c>
      <c r="F11" s="8" t="s">
        <v>11406</v>
      </c>
      <c r="G11" s="10" t="s">
        <v>4</v>
      </c>
      <c r="H11" s="8" t="s">
        <v>11407</v>
      </c>
      <c r="I11" s="10" t="s">
        <v>919</v>
      </c>
      <c r="J11" s="8" t="s">
        <v>11308</v>
      </c>
      <c r="K11" s="8" t="s">
        <v>11408</v>
      </c>
      <c r="L11" s="8" t="s">
        <v>11376</v>
      </c>
      <c r="M11" s="10" t="s">
        <v>1456</v>
      </c>
      <c r="N11" s="8" t="s">
        <v>87</v>
      </c>
      <c r="O11" s="10" t="s">
        <v>67</v>
      </c>
      <c r="P11" s="8" t="s">
        <v>11409</v>
      </c>
      <c r="Q11" s="10" t="s">
        <v>223</v>
      </c>
      <c r="R11" s="10" t="s">
        <v>7127</v>
      </c>
      <c r="S11" s="8" t="s">
        <v>11410</v>
      </c>
      <c r="T11" s="10" t="s">
        <v>11391</v>
      </c>
      <c r="U11" s="10" t="s">
        <v>87</v>
      </c>
      <c r="V11" s="10" t="s">
        <v>11411</v>
      </c>
    </row>
    <row r="12" spans="1:22" s="10" customFormat="1" x14ac:dyDescent="0.25">
      <c r="A12" s="10" t="s">
        <v>11412</v>
      </c>
      <c r="B12" s="10" t="s">
        <v>11413</v>
      </c>
      <c r="C12" s="11" t="s">
        <v>346</v>
      </c>
      <c r="D12" s="10" t="s">
        <v>11414</v>
      </c>
      <c r="E12" s="8" t="s">
        <v>11415</v>
      </c>
      <c r="F12" s="8" t="s">
        <v>11416</v>
      </c>
      <c r="G12" s="10" t="s">
        <v>4</v>
      </c>
      <c r="H12" s="8" t="s">
        <v>11417</v>
      </c>
      <c r="I12" s="10" t="s">
        <v>919</v>
      </c>
      <c r="J12" s="8" t="s">
        <v>11418</v>
      </c>
      <c r="K12" s="8" t="s">
        <v>11419</v>
      </c>
      <c r="L12" s="8" t="s">
        <v>11365</v>
      </c>
      <c r="M12" s="10" t="s">
        <v>1456</v>
      </c>
      <c r="N12" s="8" t="s">
        <v>87</v>
      </c>
      <c r="O12" s="10" t="s">
        <v>68</v>
      </c>
      <c r="P12" s="8" t="s">
        <v>11420</v>
      </c>
      <c r="Q12" s="10" t="s">
        <v>239</v>
      </c>
      <c r="R12" s="10" t="s">
        <v>11389</v>
      </c>
      <c r="S12" s="8" t="s">
        <v>11421</v>
      </c>
      <c r="T12" s="10" t="s">
        <v>11422</v>
      </c>
      <c r="U12" s="10" t="s">
        <v>87</v>
      </c>
      <c r="V12" s="10" t="s">
        <v>11423</v>
      </c>
    </row>
    <row r="13" spans="1:22" s="10" customFormat="1" x14ac:dyDescent="0.25">
      <c r="A13" s="10" t="s">
        <v>11424</v>
      </c>
      <c r="B13" s="10" t="s">
        <v>11413</v>
      </c>
      <c r="C13" s="11" t="s">
        <v>346</v>
      </c>
      <c r="D13" s="10" t="s">
        <v>11425</v>
      </c>
      <c r="E13" s="8" t="s">
        <v>11426</v>
      </c>
      <c r="F13" s="8" t="s">
        <v>11427</v>
      </c>
      <c r="G13" s="10" t="s">
        <v>3</v>
      </c>
      <c r="H13" s="8" t="s">
        <v>11428</v>
      </c>
      <c r="I13" s="10" t="s">
        <v>919</v>
      </c>
      <c r="J13" s="8" t="s">
        <v>11308</v>
      </c>
      <c r="K13" s="8" t="s">
        <v>11342</v>
      </c>
      <c r="L13" s="8" t="s">
        <v>11365</v>
      </c>
      <c r="M13" s="10" t="s">
        <v>1436</v>
      </c>
      <c r="N13" s="8" t="s">
        <v>87</v>
      </c>
      <c r="O13" s="10" t="s">
        <v>69</v>
      </c>
      <c r="P13" s="8" t="s">
        <v>11429</v>
      </c>
      <c r="Q13" s="10" t="s">
        <v>223</v>
      </c>
      <c r="R13" s="10" t="s">
        <v>11389</v>
      </c>
      <c r="S13" s="8" t="s">
        <v>11430</v>
      </c>
      <c r="T13" s="10" t="s">
        <v>11422</v>
      </c>
      <c r="U13" s="10" t="s">
        <v>87</v>
      </c>
      <c r="V13" s="10" t="s">
        <v>11347</v>
      </c>
    </row>
    <row r="14" spans="1:22" s="10" customFormat="1" x14ac:dyDescent="0.25">
      <c r="A14" s="10" t="s">
        <v>11431</v>
      </c>
      <c r="B14" s="10" t="s">
        <v>11432</v>
      </c>
      <c r="C14" s="10" t="s">
        <v>215</v>
      </c>
      <c r="D14" s="10" t="s">
        <v>11433</v>
      </c>
      <c r="E14" s="8" t="s">
        <v>11434</v>
      </c>
      <c r="F14" s="8" t="s">
        <v>11435</v>
      </c>
      <c r="G14" s="10" t="s">
        <v>4</v>
      </c>
      <c r="H14" s="8" t="s">
        <v>11436</v>
      </c>
      <c r="I14" s="10" t="s">
        <v>5301</v>
      </c>
      <c r="J14" s="8" t="s">
        <v>11308</v>
      </c>
      <c r="K14" s="8" t="s">
        <v>11437</v>
      </c>
      <c r="L14" s="8" t="s">
        <v>87</v>
      </c>
      <c r="M14" s="10" t="s">
        <v>1456</v>
      </c>
      <c r="N14" s="8" t="s">
        <v>87</v>
      </c>
      <c r="O14" s="10" t="s">
        <v>74</v>
      </c>
      <c r="P14" s="8" t="s">
        <v>11438</v>
      </c>
      <c r="Q14" s="10" t="s">
        <v>239</v>
      </c>
      <c r="R14" s="10" t="s">
        <v>7127</v>
      </c>
      <c r="S14" s="8" t="s">
        <v>11439</v>
      </c>
      <c r="T14" s="10" t="s">
        <v>11440</v>
      </c>
      <c r="U14" s="10" t="s">
        <v>87</v>
      </c>
      <c r="V14" s="10" t="s">
        <v>11441</v>
      </c>
    </row>
    <row r="15" spans="1:22" s="10" customFormat="1" x14ac:dyDescent="0.25">
      <c r="A15" s="10" t="s">
        <v>11442</v>
      </c>
      <c r="B15" s="10" t="s">
        <v>11443</v>
      </c>
      <c r="C15" s="11" t="s">
        <v>346</v>
      </c>
      <c r="D15" s="10" t="s">
        <v>11444</v>
      </c>
      <c r="E15" s="8" t="s">
        <v>11445</v>
      </c>
      <c r="F15" s="8" t="s">
        <v>11446</v>
      </c>
      <c r="G15" s="10" t="s">
        <v>4</v>
      </c>
      <c r="H15" s="8" t="s">
        <v>11447</v>
      </c>
      <c r="I15" s="10" t="s">
        <v>1968</v>
      </c>
      <c r="J15" s="8" t="s">
        <v>11308</v>
      </c>
      <c r="K15" s="8" t="s">
        <v>11448</v>
      </c>
      <c r="L15" s="8" t="s">
        <v>11365</v>
      </c>
      <c r="M15" s="10" t="s">
        <v>1456</v>
      </c>
      <c r="N15" s="8" t="s">
        <v>87</v>
      </c>
      <c r="O15" s="10" t="s">
        <v>75</v>
      </c>
      <c r="P15" s="8" t="s">
        <v>11449</v>
      </c>
      <c r="Q15" s="10" t="s">
        <v>239</v>
      </c>
      <c r="R15" s="10" t="s">
        <v>11389</v>
      </c>
      <c r="S15" s="8" t="s">
        <v>11450</v>
      </c>
      <c r="T15" s="10" t="s">
        <v>11451</v>
      </c>
      <c r="U15" s="10" t="s">
        <v>87</v>
      </c>
      <c r="V15" s="10" t="s">
        <v>11452</v>
      </c>
    </row>
    <row r="16" spans="1:22" s="10" customFormat="1" x14ac:dyDescent="0.25">
      <c r="A16" s="10" t="s">
        <v>11453</v>
      </c>
      <c r="B16" s="10" t="s">
        <v>11443</v>
      </c>
      <c r="C16" s="10" t="s">
        <v>215</v>
      </c>
      <c r="D16" s="10" t="s">
        <v>11454</v>
      </c>
      <c r="E16" s="8" t="s">
        <v>11455</v>
      </c>
      <c r="F16" s="8" t="s">
        <v>11456</v>
      </c>
      <c r="G16" s="10" t="s">
        <v>4</v>
      </c>
      <c r="H16" s="8" t="s">
        <v>11457</v>
      </c>
      <c r="I16" s="10" t="s">
        <v>919</v>
      </c>
      <c r="J16" s="8" t="s">
        <v>11308</v>
      </c>
      <c r="K16" s="8" t="s">
        <v>11458</v>
      </c>
      <c r="L16" s="8" t="s">
        <v>11365</v>
      </c>
      <c r="M16" s="10" t="s">
        <v>1456</v>
      </c>
      <c r="N16" s="8" t="s">
        <v>87</v>
      </c>
      <c r="O16" s="10" t="s">
        <v>76</v>
      </c>
      <c r="P16" s="8" t="s">
        <v>11459</v>
      </c>
      <c r="Q16" s="10" t="s">
        <v>223</v>
      </c>
      <c r="R16" s="10" t="s">
        <v>7127</v>
      </c>
      <c r="S16" s="8" t="s">
        <v>11460</v>
      </c>
      <c r="T16" s="10" t="s">
        <v>11451</v>
      </c>
      <c r="U16" s="10" t="s">
        <v>87</v>
      </c>
      <c r="V16" s="10" t="s">
        <v>11461</v>
      </c>
    </row>
    <row r="17" spans="1:22" s="10" customFormat="1" x14ac:dyDescent="0.25">
      <c r="A17" s="10" t="s">
        <v>11462</v>
      </c>
      <c r="B17" s="10" t="s">
        <v>11463</v>
      </c>
      <c r="C17" s="10" t="s">
        <v>215</v>
      </c>
      <c r="D17" s="10" t="s">
        <v>11464</v>
      </c>
      <c r="E17" s="8" t="s">
        <v>11465</v>
      </c>
      <c r="F17" s="8" t="s">
        <v>11466</v>
      </c>
      <c r="G17" s="10" t="s">
        <v>4</v>
      </c>
      <c r="H17" s="8" t="s">
        <v>11467</v>
      </c>
      <c r="I17" s="10" t="s">
        <v>7173</v>
      </c>
      <c r="J17" s="8" t="s">
        <v>11308</v>
      </c>
      <c r="K17" s="8" t="s">
        <v>11468</v>
      </c>
      <c r="L17" s="8" t="s">
        <v>11469</v>
      </c>
      <c r="M17" s="10" t="s">
        <v>1456</v>
      </c>
      <c r="N17" s="8" t="s">
        <v>87</v>
      </c>
      <c r="O17" s="10" t="s">
        <v>77</v>
      </c>
      <c r="P17" s="8" t="s">
        <v>11470</v>
      </c>
      <c r="Q17" s="10" t="s">
        <v>246</v>
      </c>
      <c r="R17" s="10" t="s">
        <v>7127</v>
      </c>
      <c r="S17" s="8" t="s">
        <v>11471</v>
      </c>
      <c r="T17" s="10" t="s">
        <v>11472</v>
      </c>
      <c r="U17" s="10" t="s">
        <v>87</v>
      </c>
      <c r="V17" s="10" t="s">
        <v>11473</v>
      </c>
    </row>
    <row r="18" spans="1:22" s="10" customFormat="1" x14ac:dyDescent="0.25">
      <c r="A18" s="10" t="s">
        <v>11474</v>
      </c>
      <c r="B18" s="10" t="s">
        <v>11475</v>
      </c>
      <c r="C18" s="11" t="s">
        <v>346</v>
      </c>
      <c r="D18" s="10" t="s">
        <v>11476</v>
      </c>
      <c r="E18" s="8" t="s">
        <v>11477</v>
      </c>
      <c r="F18" s="8" t="s">
        <v>11478</v>
      </c>
      <c r="G18" s="10" t="s">
        <v>2647</v>
      </c>
      <c r="H18" s="8" t="s">
        <v>11479</v>
      </c>
      <c r="I18" s="10" t="s">
        <v>938</v>
      </c>
      <c r="J18" s="8" t="s">
        <v>11308</v>
      </c>
      <c r="K18" s="8" t="s">
        <v>2649</v>
      </c>
      <c r="L18" s="8" t="s">
        <v>87</v>
      </c>
      <c r="M18" s="10" t="s">
        <v>1436</v>
      </c>
      <c r="N18" s="8" t="s">
        <v>11480</v>
      </c>
      <c r="O18" s="10" t="s">
        <v>70</v>
      </c>
      <c r="P18" s="8" t="s">
        <v>11481</v>
      </c>
      <c r="Q18" s="10" t="s">
        <v>1447</v>
      </c>
      <c r="R18" s="10" t="s">
        <v>11482</v>
      </c>
      <c r="S18" s="8" t="s">
        <v>11483</v>
      </c>
      <c r="T18" s="10" t="s">
        <v>11484</v>
      </c>
      <c r="U18" s="10" t="s">
        <v>87</v>
      </c>
      <c r="V18" s="10" t="s">
        <v>87</v>
      </c>
    </row>
    <row r="19" spans="1:22" s="10" customFormat="1" x14ac:dyDescent="0.25">
      <c r="A19" s="10" t="s">
        <v>11485</v>
      </c>
      <c r="B19" s="10" t="s">
        <v>11475</v>
      </c>
      <c r="C19" s="11" t="s">
        <v>346</v>
      </c>
      <c r="D19" s="10" t="s">
        <v>11486</v>
      </c>
      <c r="E19" s="8" t="s">
        <v>11487</v>
      </c>
      <c r="F19" s="8" t="s">
        <v>11488</v>
      </c>
      <c r="G19" s="10" t="s">
        <v>2647</v>
      </c>
      <c r="H19" s="8" t="s">
        <v>11489</v>
      </c>
      <c r="I19" s="10" t="s">
        <v>938</v>
      </c>
      <c r="J19" s="8" t="s">
        <v>11308</v>
      </c>
      <c r="K19" s="8" t="s">
        <v>2649</v>
      </c>
      <c r="L19" s="8" t="s">
        <v>87</v>
      </c>
      <c r="M19" s="10" t="s">
        <v>1436</v>
      </c>
      <c r="N19" s="8" t="s">
        <v>11480</v>
      </c>
      <c r="O19" s="10" t="s">
        <v>70</v>
      </c>
      <c r="P19" s="8" t="s">
        <v>11490</v>
      </c>
      <c r="Q19" s="10" t="s">
        <v>223</v>
      </c>
      <c r="R19" s="10" t="s">
        <v>11491</v>
      </c>
      <c r="S19" s="8" t="s">
        <v>11483</v>
      </c>
      <c r="T19" s="10" t="s">
        <v>11484</v>
      </c>
      <c r="U19" s="10" t="s">
        <v>87</v>
      </c>
      <c r="V19" s="10" t="s">
        <v>87</v>
      </c>
    </row>
    <row r="20" spans="1:22" s="10" customFormat="1" x14ac:dyDescent="0.25">
      <c r="A20" s="10" t="s">
        <v>11492</v>
      </c>
      <c r="B20" s="10" t="s">
        <v>11475</v>
      </c>
      <c r="C20" s="11" t="s">
        <v>346</v>
      </c>
      <c r="D20" s="10" t="s">
        <v>11493</v>
      </c>
      <c r="E20" s="8" t="s">
        <v>11494</v>
      </c>
      <c r="F20" s="8" t="s">
        <v>11495</v>
      </c>
      <c r="G20" s="10" t="s">
        <v>2647</v>
      </c>
      <c r="H20" s="8" t="s">
        <v>11496</v>
      </c>
      <c r="I20" s="10" t="s">
        <v>938</v>
      </c>
      <c r="J20" s="8" t="s">
        <v>11308</v>
      </c>
      <c r="K20" s="8" t="s">
        <v>2649</v>
      </c>
      <c r="L20" s="8" t="s">
        <v>87</v>
      </c>
      <c r="M20" s="10" t="s">
        <v>1436</v>
      </c>
      <c r="N20" s="8" t="s">
        <v>11480</v>
      </c>
      <c r="O20" s="10" t="s">
        <v>73</v>
      </c>
      <c r="P20" s="8" t="s">
        <v>11497</v>
      </c>
      <c r="Q20" s="10" t="s">
        <v>239</v>
      </c>
      <c r="R20" s="10" t="s">
        <v>8383</v>
      </c>
      <c r="S20" s="8" t="s">
        <v>11483</v>
      </c>
      <c r="T20" s="10" t="s">
        <v>11484</v>
      </c>
      <c r="U20" s="10" t="s">
        <v>87</v>
      </c>
      <c r="V20" s="10" t="s">
        <v>87</v>
      </c>
    </row>
    <row r="21" spans="1:22" s="10" customFormat="1" x14ac:dyDescent="0.25">
      <c r="A21" s="10" t="s">
        <v>11498</v>
      </c>
      <c r="B21" s="10" t="s">
        <v>11499</v>
      </c>
      <c r="C21" s="11" t="s">
        <v>346</v>
      </c>
      <c r="D21" s="10" t="s">
        <v>11500</v>
      </c>
      <c r="E21" s="8" t="s">
        <v>11501</v>
      </c>
      <c r="F21" s="8" t="s">
        <v>11502</v>
      </c>
      <c r="G21" s="10" t="s">
        <v>2647</v>
      </c>
      <c r="H21" s="8" t="s">
        <v>11503</v>
      </c>
      <c r="I21" s="10" t="s">
        <v>938</v>
      </c>
      <c r="J21" s="8" t="s">
        <v>11308</v>
      </c>
      <c r="K21" s="8" t="s">
        <v>2649</v>
      </c>
      <c r="L21" s="8" t="s">
        <v>87</v>
      </c>
      <c r="M21" s="10" t="s">
        <v>1436</v>
      </c>
      <c r="N21" s="8" t="s">
        <v>11480</v>
      </c>
      <c r="O21" s="10" t="s">
        <v>71</v>
      </c>
      <c r="P21" s="8" t="s">
        <v>11504</v>
      </c>
      <c r="Q21" s="10" t="s">
        <v>1447</v>
      </c>
      <c r="R21" s="10" t="s">
        <v>11505</v>
      </c>
      <c r="S21" s="8" t="s">
        <v>11483</v>
      </c>
      <c r="T21" s="10" t="s">
        <v>11506</v>
      </c>
      <c r="U21" s="10" t="s">
        <v>87</v>
      </c>
      <c r="V21" s="10" t="s">
        <v>87</v>
      </c>
    </row>
    <row r="22" spans="1:22" s="10" customFormat="1" x14ac:dyDescent="0.25">
      <c r="A22" s="10" t="s">
        <v>11507</v>
      </c>
      <c r="B22" s="10" t="s">
        <v>11499</v>
      </c>
      <c r="C22" s="11" t="s">
        <v>346</v>
      </c>
      <c r="D22" s="10" t="s">
        <v>11508</v>
      </c>
      <c r="E22" s="8" t="s">
        <v>11509</v>
      </c>
      <c r="F22" s="8" t="s">
        <v>11510</v>
      </c>
      <c r="G22" s="10" t="s">
        <v>2647</v>
      </c>
      <c r="H22" s="8" t="s">
        <v>11511</v>
      </c>
      <c r="I22" s="10" t="s">
        <v>938</v>
      </c>
      <c r="J22" s="8" t="s">
        <v>11308</v>
      </c>
      <c r="K22" s="8" t="s">
        <v>2649</v>
      </c>
      <c r="L22" s="8" t="s">
        <v>87</v>
      </c>
      <c r="M22" s="10" t="s">
        <v>1436</v>
      </c>
      <c r="N22" s="8" t="s">
        <v>11480</v>
      </c>
      <c r="O22" s="10" t="s">
        <v>72</v>
      </c>
      <c r="P22" s="8" t="s">
        <v>11512</v>
      </c>
      <c r="Q22" s="10" t="s">
        <v>239</v>
      </c>
      <c r="R22" s="10" t="s">
        <v>8383</v>
      </c>
      <c r="S22" s="8" t="s">
        <v>11483</v>
      </c>
      <c r="T22" s="10" t="s">
        <v>11506</v>
      </c>
      <c r="U22" s="10" t="s">
        <v>87</v>
      </c>
      <c r="V22" s="10" t="s">
        <v>87</v>
      </c>
    </row>
    <row r="23" spans="1:22" s="10" customFormat="1" x14ac:dyDescent="0.25">
      <c r="A23" s="10" t="s">
        <v>11513</v>
      </c>
      <c r="B23" s="10" t="s">
        <v>11514</v>
      </c>
      <c r="C23" s="11" t="s">
        <v>346</v>
      </c>
      <c r="D23" s="10" t="s">
        <v>11515</v>
      </c>
      <c r="E23" s="8" t="s">
        <v>11516</v>
      </c>
      <c r="F23" s="8" t="s">
        <v>11488</v>
      </c>
      <c r="G23" s="10" t="s">
        <v>2647</v>
      </c>
      <c r="H23" s="8" t="s">
        <v>11517</v>
      </c>
      <c r="I23" s="10" t="s">
        <v>938</v>
      </c>
      <c r="J23" s="8" t="s">
        <v>11308</v>
      </c>
      <c r="K23" s="8" t="s">
        <v>2649</v>
      </c>
      <c r="L23" s="8" t="s">
        <v>87</v>
      </c>
      <c r="M23" s="10" t="s">
        <v>1436</v>
      </c>
      <c r="N23" s="8" t="s">
        <v>11480</v>
      </c>
      <c r="O23" s="10" t="s">
        <v>78</v>
      </c>
      <c r="P23" s="8" t="s">
        <v>11518</v>
      </c>
      <c r="Q23" s="10" t="s">
        <v>825</v>
      </c>
      <c r="R23" s="10" t="s">
        <v>11519</v>
      </c>
      <c r="S23" s="8" t="s">
        <v>11483</v>
      </c>
      <c r="T23" s="10" t="s">
        <v>11520</v>
      </c>
      <c r="U23" s="10" t="s">
        <v>87</v>
      </c>
      <c r="V23" s="10" t="s">
        <v>87</v>
      </c>
    </row>
    <row r="24" spans="1:22" s="10" customFormat="1" x14ac:dyDescent="0.25">
      <c r="A24" s="10" t="s">
        <v>11521</v>
      </c>
      <c r="B24" s="10" t="s">
        <v>11514</v>
      </c>
      <c r="C24" s="11" t="s">
        <v>346</v>
      </c>
      <c r="D24" s="10" t="s">
        <v>11522</v>
      </c>
      <c r="E24" s="8" t="s">
        <v>11523</v>
      </c>
      <c r="F24" s="8" t="s">
        <v>11524</v>
      </c>
      <c r="G24" s="10" t="s">
        <v>2647</v>
      </c>
      <c r="H24" s="8" t="s">
        <v>11525</v>
      </c>
      <c r="I24" s="10" t="s">
        <v>938</v>
      </c>
      <c r="J24" s="8" t="s">
        <v>11308</v>
      </c>
      <c r="K24" s="8" t="s">
        <v>2649</v>
      </c>
      <c r="L24" s="8" t="s">
        <v>87</v>
      </c>
      <c r="M24" s="10" t="s">
        <v>1436</v>
      </c>
      <c r="N24" s="8" t="s">
        <v>11480</v>
      </c>
      <c r="O24" s="10" t="s">
        <v>78</v>
      </c>
      <c r="P24" s="8" t="s">
        <v>11526</v>
      </c>
      <c r="Q24" s="10" t="s">
        <v>1447</v>
      </c>
      <c r="R24" s="10" t="s">
        <v>7127</v>
      </c>
      <c r="S24" s="8" t="s">
        <v>11483</v>
      </c>
      <c r="T24" s="10" t="s">
        <v>11520</v>
      </c>
      <c r="U24" s="10" t="s">
        <v>87</v>
      </c>
      <c r="V24" s="10" t="s">
        <v>87</v>
      </c>
    </row>
    <row r="25" spans="1:22" s="10" customFormat="1" x14ac:dyDescent="0.25">
      <c r="A25" s="10" t="s">
        <v>11527</v>
      </c>
      <c r="B25" s="10" t="s">
        <v>11528</v>
      </c>
      <c r="C25" s="11" t="s">
        <v>346</v>
      </c>
      <c r="D25" s="10" t="s">
        <v>11529</v>
      </c>
      <c r="E25" s="8" t="s">
        <v>11530</v>
      </c>
      <c r="F25" s="8" t="s">
        <v>11531</v>
      </c>
      <c r="G25" s="10" t="s">
        <v>2647</v>
      </c>
      <c r="H25" s="8" t="s">
        <v>11532</v>
      </c>
      <c r="I25" s="10" t="s">
        <v>938</v>
      </c>
      <c r="J25" s="8" t="s">
        <v>11308</v>
      </c>
      <c r="K25" s="8" t="s">
        <v>2649</v>
      </c>
      <c r="L25" s="8" t="s">
        <v>87</v>
      </c>
      <c r="M25" s="10" t="s">
        <v>1436</v>
      </c>
      <c r="N25" s="8" t="s">
        <v>11480</v>
      </c>
      <c r="O25" s="10" t="s">
        <v>78</v>
      </c>
      <c r="P25" s="8" t="s">
        <v>11533</v>
      </c>
      <c r="Q25" s="10" t="s">
        <v>1447</v>
      </c>
      <c r="R25" s="10" t="s">
        <v>1438</v>
      </c>
      <c r="S25" s="8" t="s">
        <v>11483</v>
      </c>
      <c r="T25" s="10" t="s">
        <v>11534</v>
      </c>
      <c r="U25" s="10" t="s">
        <v>87</v>
      </c>
      <c r="V25" s="10" t="s">
        <v>87</v>
      </c>
    </row>
  </sheetData>
  <autoFilter ref="A1:V25"/>
  <conditionalFormatting sqref="G2:G25">
    <cfRule type="cellIs" dxfId="26" priority="1" operator="equal">
      <formula>"PASS"</formula>
    </cfRule>
    <cfRule type="cellIs" dxfId="27" priority="2" operator="equal">
      <formula>"FAIL"</formula>
    </cfRule>
    <cfRule type="cellIs" dxfId="28" priority="3" operator="equal">
      <formula>"BLOCKED"</formula>
    </cfRule>
  </conditionalFormatting>
  <conditionalFormatting sqref="A2:V25">
    <cfRule type="expression" dxfId="29" priority="10">
      <formula>$G2="FAIL"</formula>
    </cfRule>
  </conditionalFormatting>
  <dataValidations count="8">
    <dataValidation type="list" allowBlank="1" showErrorMessage="1" errorStyle="warning" errorTitle="Not a valid value" error="Choose one of: P1, P2, P3" sqref="C10:C25">
      <formula1>"P1,P2,P3"</formula1>
    </dataValidation>
    <dataValidation type="list" allowBlank="1" showErrorMessage="1" errorStyle="warning" errorTitle="Not a valid value" error="Choose one of: P1, P2, P3" sqref="C2:C25">
      <formula1>"P1,P2,P3"</formula1>
    </dataValidation>
    <dataValidation type="list" allowBlank="1" showErrorMessage="1" errorStyle="warning" errorTitle="Not a valid value" error="Choose one of: PASS, FAIL, BLOCKED, N/A" sqref="G10:G25">
      <formula1>"PASS,FAIL,BLOCKED,N/A"</formula1>
    </dataValidation>
    <dataValidation type="list" allowBlank="1" showErrorMessage="1" errorStyle="warning" errorTitle="Not a valid value" error="Choose one of: PASS, FAIL, BLOCKED, N/A" sqref="G2:G25">
      <formula1>"PASS,FAIL,BLOCKED,N/A"</formula1>
    </dataValidation>
    <dataValidation type="list" allowBlank="1" showErrorMessage="1" errorStyle="warning" errorTitle="Not a valid value" error="Choose one of: Y, N" sqref="M10:M25">
      <formula1>"Y,N"</formula1>
    </dataValidation>
    <dataValidation type="list" allowBlank="1" showErrorMessage="1" errorStyle="warning" errorTitle="Not a valid value" error="Choose one of: Y, N" sqref="M2:M25">
      <formula1>"Y,N"</formula1>
    </dataValidation>
    <dataValidation type="list" allowBlank="1" showErrorMessage="1" errorStyle="warning" errorTitle="Not a valid value" error="Choose one of: Positive, Negative, Boundary, RBAC, Cross-Module" sqref="Q10:Q25">
      <formula1>"Positive,Negative,Boundary,RBAC,Cross-Module"</formula1>
    </dataValidation>
    <dataValidation type="list" allowBlank="1" showErrorMessage="1" errorStyle="warning" errorTitle="Not a valid value" error="Choose one of: Positive, Negative, Boundary, RBAC, Cross-Module" sqref="Q2:Q25">
      <formula1>"Positive,Negative,Boundary,RBAC,Cross-Module"</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workbookViewId="0">
      <pane xSplit="1" ySplit="1" topLeftCell="B2" activePane="bottomRight" state="frozen"/>
      <selection pane="bottomRight"/>
    </sheetView>
  </sheetViews>
  <sheetFormatPr defaultRowHeight="18" outlineLevelRow="0" outlineLevelCol="0" x14ac:dyDescent="55" customHeight="1"/>
  <cols>
    <col min="1" max="1" width="16" customWidth="1"/>
    <col min="2" max="2" width="12" customWidth="1"/>
    <col min="3" max="3" width="10" customWidth="1"/>
    <col min="4" max="4" width="20" customWidth="1"/>
    <col min="5" max="5" width="18" customWidth="1"/>
    <col min="6" max="6" width="12" customWidth="1"/>
    <col min="7" max="7" width="50" customWidth="1"/>
    <col min="8" max="8" width="60" customWidth="1"/>
    <col min="9" max="9" width="44" customWidth="1"/>
    <col min="10" max="11" width="16" customWidth="1"/>
    <col min="12" max="12" width="14" customWidth="1"/>
    <col min="13" max="13" width="40" customWidth="1"/>
  </cols>
  <sheetData>
    <row r="1" ht="34" customHeight="1" spans="1:13" x14ac:dyDescent="0.25">
      <c r="A1" s="12" t="s">
        <v>211</v>
      </c>
      <c r="B1" s="12" t="s">
        <v>11535</v>
      </c>
      <c r="C1" s="12" t="s">
        <v>0</v>
      </c>
      <c r="D1" s="12" t="s">
        <v>193</v>
      </c>
      <c r="E1" s="12" t="s">
        <v>11536</v>
      </c>
      <c r="F1" s="12" t="s">
        <v>11537</v>
      </c>
      <c r="G1" s="12" t="s">
        <v>11538</v>
      </c>
      <c r="H1" s="12" t="s">
        <v>11539</v>
      </c>
      <c r="I1" s="12" t="s">
        <v>11540</v>
      </c>
      <c r="J1" s="12" t="s">
        <v>11541</v>
      </c>
      <c r="K1" s="12" t="s">
        <v>11542</v>
      </c>
      <c r="L1" s="12" t="s">
        <v>83</v>
      </c>
      <c r="M1" s="12" t="s">
        <v>11543</v>
      </c>
    </row>
    <row r="2" spans="6:12" x14ac:dyDescent="0.25"/>
    <row r="3" spans="6:12" x14ac:dyDescent="0.25"/>
    <row r="4" spans="6:12" x14ac:dyDescent="0.25"/>
    <row r="5" spans="6:12" x14ac:dyDescent="0.25"/>
    <row r="6" spans="6:12" x14ac:dyDescent="0.25"/>
    <row r="7" spans="6:12" x14ac:dyDescent="0.25"/>
    <row r="8" spans="6:12" x14ac:dyDescent="0.25"/>
    <row r="9" spans="6:12" x14ac:dyDescent="0.25"/>
    <row r="10" spans="6:12" x14ac:dyDescent="0.25"/>
    <row r="11" spans="6:12" x14ac:dyDescent="0.25"/>
    <row r="12" spans="6:12" x14ac:dyDescent="0.25"/>
    <row r="13" spans="6:12" x14ac:dyDescent="0.25"/>
    <row r="14" spans="6:12" x14ac:dyDescent="0.25"/>
    <row r="15" spans="6:12" x14ac:dyDescent="0.25"/>
    <row r="16" spans="6:12" x14ac:dyDescent="0.25"/>
    <row r="17" spans="6:12" x14ac:dyDescent="0.25"/>
    <row r="18" spans="6:12" x14ac:dyDescent="0.25"/>
    <row r="19" spans="6:12" x14ac:dyDescent="0.25"/>
    <row r="20" spans="6:12" x14ac:dyDescent="0.25"/>
    <row r="21" spans="6:12" x14ac:dyDescent="0.25"/>
    <row r="22" spans="6:12" x14ac:dyDescent="0.25"/>
    <row r="23" spans="6:12" x14ac:dyDescent="0.25"/>
    <row r="24" spans="6:12" x14ac:dyDescent="0.25"/>
    <row r="25" spans="6:12" x14ac:dyDescent="0.25"/>
    <row r="26" spans="6:12" x14ac:dyDescent="0.25"/>
    <row r="27" spans="6:12" x14ac:dyDescent="0.25"/>
    <row r="28" spans="6:12" x14ac:dyDescent="0.25"/>
    <row r="29" spans="6:12" x14ac:dyDescent="0.25"/>
    <row r="30" spans="6:12" x14ac:dyDescent="0.25"/>
    <row r="31" spans="6:12" x14ac:dyDescent="0.25"/>
    <row r="32" spans="6:12" x14ac:dyDescent="0.25"/>
    <row r="33" spans="6:12" x14ac:dyDescent="0.25"/>
    <row r="34" spans="6:12" x14ac:dyDescent="0.25"/>
    <row r="35" spans="6:12" x14ac:dyDescent="0.25"/>
    <row r="36" spans="6:12" x14ac:dyDescent="0.25"/>
    <row r="37" spans="6:12" x14ac:dyDescent="0.25"/>
    <row r="38" spans="6:12" x14ac:dyDescent="0.25"/>
    <row r="39" spans="6:12" x14ac:dyDescent="0.25"/>
    <row r="40" spans="6:12" x14ac:dyDescent="0.25"/>
    <row r="41" spans="6:12" x14ac:dyDescent="0.25"/>
    <row r="42" spans="6:12" x14ac:dyDescent="0.25"/>
    <row r="43" spans="6:12" x14ac:dyDescent="0.25"/>
    <row r="44" spans="6:12" x14ac:dyDescent="0.25"/>
    <row r="45" spans="6:12" x14ac:dyDescent="0.25"/>
    <row r="46" spans="6:12" x14ac:dyDescent="0.25"/>
    <row r="47" spans="6:12" x14ac:dyDescent="0.25"/>
    <row r="48" spans="6:12" x14ac:dyDescent="0.25"/>
    <row r="49" spans="6:12" x14ac:dyDescent="0.25"/>
    <row r="50" spans="6:12" x14ac:dyDescent="0.25"/>
    <row r="51" spans="6:12" x14ac:dyDescent="0.25"/>
    <row r="52" spans="6:12" x14ac:dyDescent="0.25"/>
    <row r="53" spans="6:12" x14ac:dyDescent="0.25"/>
    <row r="54" spans="6:12" x14ac:dyDescent="0.25"/>
    <row r="55" spans="6:12" x14ac:dyDescent="0.25"/>
    <row r="56" spans="6:12" x14ac:dyDescent="0.25"/>
    <row r="57" spans="6:12" x14ac:dyDescent="0.25"/>
    <row r="58" spans="6:12" x14ac:dyDescent="0.25"/>
    <row r="59" spans="6:12" x14ac:dyDescent="0.25"/>
    <row r="60" spans="6:12" x14ac:dyDescent="0.25"/>
    <row r="61" spans="6:12" x14ac:dyDescent="0.25"/>
    <row r="62" spans="6:12" x14ac:dyDescent="0.25"/>
    <row r="63" spans="6:12" x14ac:dyDescent="0.25"/>
    <row r="64" spans="6:12" x14ac:dyDescent="0.25"/>
    <row r="65" spans="6:12" x14ac:dyDescent="0.25"/>
    <row r="66" spans="6:12" x14ac:dyDescent="0.25"/>
    <row r="67" spans="6:12" x14ac:dyDescent="0.25"/>
    <row r="68" spans="6:12" x14ac:dyDescent="0.25"/>
    <row r="69" spans="6:12" x14ac:dyDescent="0.25"/>
    <row r="70" spans="6:12" x14ac:dyDescent="0.25"/>
    <row r="71" spans="6:12" x14ac:dyDescent="0.25"/>
    <row r="72" spans="6:12" x14ac:dyDescent="0.25"/>
    <row r="73" spans="6:12" x14ac:dyDescent="0.25"/>
    <row r="74" spans="6:12" x14ac:dyDescent="0.25"/>
    <row r="75" spans="6:12" x14ac:dyDescent="0.25"/>
    <row r="76" spans="6:12" x14ac:dyDescent="0.25"/>
    <row r="77" spans="6:12" x14ac:dyDescent="0.25"/>
    <row r="78" spans="6:12" x14ac:dyDescent="0.25"/>
    <row r="79" spans="6:12" x14ac:dyDescent="0.25"/>
    <row r="80" spans="6:12" x14ac:dyDescent="0.25"/>
    <row r="81" spans="6:12" x14ac:dyDescent="0.25"/>
    <row r="82" spans="6:12" x14ac:dyDescent="0.25"/>
    <row r="83" spans="6:12" x14ac:dyDescent="0.25"/>
    <row r="84" spans="6:12" x14ac:dyDescent="0.25"/>
    <row r="85" spans="6:12" x14ac:dyDescent="0.25"/>
    <row r="86" spans="6:12" x14ac:dyDescent="0.25"/>
    <row r="87" spans="6:12" x14ac:dyDescent="0.25"/>
    <row r="88" spans="6:12" x14ac:dyDescent="0.25"/>
    <row r="89" spans="6:12" x14ac:dyDescent="0.25"/>
    <row r="90" spans="6:12" x14ac:dyDescent="0.25"/>
    <row r="91" spans="6:12" x14ac:dyDescent="0.25"/>
    <row r="92" spans="6:12" x14ac:dyDescent="0.25"/>
    <row r="93" spans="6:12" x14ac:dyDescent="0.25"/>
    <row r="94" spans="6:12" x14ac:dyDescent="0.25"/>
    <row r="95" spans="6:12" x14ac:dyDescent="0.25"/>
    <row r="96" spans="6:12" x14ac:dyDescent="0.25"/>
    <row r="97" spans="6:12" x14ac:dyDescent="0.25"/>
    <row r="98" spans="6:12" x14ac:dyDescent="0.25"/>
    <row r="99" spans="6:12" x14ac:dyDescent="0.25"/>
    <row r="100" spans="6:12" x14ac:dyDescent="0.25"/>
    <row r="101" spans="6:12" x14ac:dyDescent="0.25"/>
    <row r="102" spans="6:12" x14ac:dyDescent="0.25"/>
    <row r="103" spans="6:12" x14ac:dyDescent="0.25"/>
    <row r="104" spans="6:12" x14ac:dyDescent="0.25"/>
    <row r="105" spans="6:12" x14ac:dyDescent="0.25"/>
    <row r="106" spans="6:12" x14ac:dyDescent="0.25"/>
    <row r="107" spans="6:12" x14ac:dyDescent="0.25"/>
    <row r="108" spans="6:12" x14ac:dyDescent="0.25"/>
    <row r="109" spans="6:12" x14ac:dyDescent="0.25"/>
    <row r="110" spans="6:12" x14ac:dyDescent="0.25"/>
    <row r="111" spans="6:12" x14ac:dyDescent="0.25"/>
    <row r="112" spans="6:12" x14ac:dyDescent="0.25"/>
    <row r="113" spans="6:12" x14ac:dyDescent="0.25"/>
    <row r="114" spans="6:12" x14ac:dyDescent="0.25"/>
    <row r="115" spans="6:12" x14ac:dyDescent="0.25"/>
    <row r="116" spans="6:12" x14ac:dyDescent="0.25"/>
    <row r="117" spans="6:12" x14ac:dyDescent="0.25"/>
    <row r="118" spans="6:12" x14ac:dyDescent="0.25"/>
    <row r="119" spans="6:12" x14ac:dyDescent="0.25"/>
    <row r="120" spans="6:12" x14ac:dyDescent="0.25"/>
    <row r="121" spans="6:12" x14ac:dyDescent="0.25"/>
    <row r="122" spans="6:12" x14ac:dyDescent="0.25"/>
    <row r="123" spans="6:12" x14ac:dyDescent="0.25"/>
    <row r="124" spans="6:12" x14ac:dyDescent="0.25"/>
    <row r="125" spans="6:12" x14ac:dyDescent="0.25"/>
    <row r="126" spans="6:12" x14ac:dyDescent="0.25"/>
    <row r="127" spans="6:12" x14ac:dyDescent="0.25"/>
    <row r="128" spans="6:12" x14ac:dyDescent="0.25"/>
    <row r="129" spans="6:12" x14ac:dyDescent="0.25"/>
    <row r="130" spans="6:12" x14ac:dyDescent="0.25"/>
    <row r="131" spans="6:12" x14ac:dyDescent="0.25"/>
    <row r="132" spans="6:12" x14ac:dyDescent="0.25"/>
    <row r="133" spans="6:12" x14ac:dyDescent="0.25"/>
    <row r="134" spans="6:12" x14ac:dyDescent="0.25"/>
    <row r="135" spans="6:12" x14ac:dyDescent="0.25"/>
    <row r="136" spans="6:12" x14ac:dyDescent="0.25"/>
    <row r="137" spans="6:12" x14ac:dyDescent="0.25"/>
    <row r="138" spans="6:12" x14ac:dyDescent="0.25"/>
    <row r="139" spans="6:12" x14ac:dyDescent="0.25"/>
    <row r="140" spans="6:12" x14ac:dyDescent="0.25"/>
    <row r="141" spans="6:12" x14ac:dyDescent="0.25"/>
    <row r="142" spans="6:12" x14ac:dyDescent="0.25"/>
    <row r="143" spans="6:12" x14ac:dyDescent="0.25"/>
    <row r="144" spans="6:12" x14ac:dyDescent="0.25"/>
    <row r="145" spans="6:12" x14ac:dyDescent="0.25"/>
    <row r="146" spans="6:12" x14ac:dyDescent="0.25"/>
    <row r="147" spans="6:12" x14ac:dyDescent="0.25"/>
    <row r="148" spans="6:12" x14ac:dyDescent="0.25"/>
    <row r="149" spans="6:12" x14ac:dyDescent="0.25"/>
    <row r="150" spans="6:12" x14ac:dyDescent="0.25"/>
    <row r="151" spans="6:12" x14ac:dyDescent="0.25"/>
    <row r="152" spans="6:12" x14ac:dyDescent="0.25"/>
    <row r="153" spans="6:12" x14ac:dyDescent="0.25"/>
    <row r="154" spans="6:12" x14ac:dyDescent="0.25"/>
    <row r="155" spans="6:12" x14ac:dyDescent="0.25"/>
    <row r="156" spans="6:12" x14ac:dyDescent="0.25"/>
    <row r="157" spans="6:12" x14ac:dyDescent="0.25"/>
    <row r="158" spans="6:12" x14ac:dyDescent="0.25"/>
    <row r="159" spans="6:12" x14ac:dyDescent="0.25"/>
    <row r="160" spans="6:12" x14ac:dyDescent="0.25"/>
    <row r="161" spans="6:12" x14ac:dyDescent="0.25"/>
    <row r="162" spans="6:12" x14ac:dyDescent="0.25"/>
    <row r="163" spans="6:12" x14ac:dyDescent="0.25"/>
    <row r="164" spans="6:12" x14ac:dyDescent="0.25"/>
    <row r="165" spans="6:12" x14ac:dyDescent="0.25"/>
    <row r="166" spans="6:12" x14ac:dyDescent="0.25"/>
    <row r="167" spans="6:12" x14ac:dyDescent="0.25"/>
    <row r="168" spans="6:12" x14ac:dyDescent="0.25"/>
    <row r="169" spans="6:12" x14ac:dyDescent="0.25"/>
    <row r="170" spans="6:12" x14ac:dyDescent="0.25"/>
    <row r="171" spans="6:12" x14ac:dyDescent="0.25"/>
    <row r="172" spans="6:12" x14ac:dyDescent="0.25"/>
    <row r="173" spans="6:12" x14ac:dyDescent="0.25"/>
    <row r="174" spans="6:12" x14ac:dyDescent="0.25"/>
    <row r="175" spans="6:12" x14ac:dyDescent="0.25"/>
    <row r="176" spans="6:12" x14ac:dyDescent="0.25"/>
    <row r="177" spans="6:12" x14ac:dyDescent="0.25"/>
    <row r="178" spans="6:12" x14ac:dyDescent="0.25"/>
    <row r="179" spans="6:12" x14ac:dyDescent="0.25"/>
    <row r="180" spans="6:12" x14ac:dyDescent="0.25"/>
    <row r="181" spans="6:12" x14ac:dyDescent="0.25"/>
    <row r="182" spans="6:12" x14ac:dyDescent="0.25"/>
    <row r="183" spans="6:12" x14ac:dyDescent="0.25"/>
    <row r="184" spans="6:12" x14ac:dyDescent="0.25"/>
    <row r="185" spans="6:12" x14ac:dyDescent="0.25"/>
    <row r="186" spans="6:12" x14ac:dyDescent="0.25"/>
    <row r="187" spans="6:12" x14ac:dyDescent="0.25"/>
    <row r="188" spans="6:12" x14ac:dyDescent="0.25"/>
    <row r="189" spans="6:12" x14ac:dyDescent="0.25"/>
    <row r="190" spans="6:12" x14ac:dyDescent="0.25"/>
    <row r="191" spans="6:12" x14ac:dyDescent="0.25"/>
    <row r="192" spans="6:12" x14ac:dyDescent="0.25"/>
    <row r="193" spans="6:12" x14ac:dyDescent="0.25"/>
    <row r="194" spans="6:12" x14ac:dyDescent="0.25"/>
    <row r="195" spans="6:12" x14ac:dyDescent="0.25"/>
    <row r="196" spans="6:12" x14ac:dyDescent="0.25"/>
    <row r="197" spans="6:12" x14ac:dyDescent="0.25"/>
    <row r="198" spans="6:12" x14ac:dyDescent="0.25"/>
    <row r="199" spans="6:12" x14ac:dyDescent="0.25"/>
    <row r="200" spans="6:12" x14ac:dyDescent="0.25"/>
    <row r="201" spans="6:12" x14ac:dyDescent="0.25"/>
  </sheetData>
  <conditionalFormatting sqref="L2:L201">
    <cfRule type="cellIs" dxfId="30" priority="1" operator="equal">
      <formula>"Verified"</formula>
    </cfRule>
    <cfRule type="cellIs" dxfId="31" priority="2" operator="equal">
      <formula>"Open"</formula>
    </cfRule>
    <cfRule type="cellIs" dxfId="32" priority="3" operator="equal">
      <formula>"Reopened"</formula>
    </cfRule>
  </conditionalFormatting>
  <dataValidations count="6">
    <dataValidation type="list" allowBlank="1" showErrorMessage="1" errorStyle="warning" sqref="F10:F201">
      <formula1>"P1 - Critical,P2 - Major,P3 - Minor"</formula1>
    </dataValidation>
    <dataValidation type="list" allowBlank="1" showErrorMessage="1" errorStyle="warning" sqref="F2:F201">
      <formula1>"P1 - Critical,P2 - Major,P3 - Minor"</formula1>
    </dataValidation>
    <dataValidation type="list" allowBlank="1" showErrorMessage="1" errorStyle="warning" sqref="K10:K201">
      <formula1>"Priya,Ravi,Meera,Kiran,Ananya,Arjun,Dr. Ramesh,Dr. Nalini,Sunita"</formula1>
    </dataValidation>
    <dataValidation type="list" allowBlank="1" showErrorMessage="1" errorStyle="warning" sqref="K2:K201">
      <formula1>"Priya,Ravi,Meera,Kiran,Ananya,Arjun,Dr. Ramesh,Dr. Nalini,Sunita"</formula1>
    </dataValidation>
    <dataValidation type="list" allowBlank="1" showErrorMessage="1" errorStyle="warning" sqref="L10:L201">
      <formula1>"Open,Fixing,Fixed,Verified,Reopened,Won't fix"</formula1>
    </dataValidation>
    <dataValidation type="list" allowBlank="1" showErrorMessage="1" errorStyle="warning" sqref="L2:L201">
      <formula1>"Open,Fixing,Fixed,Verified,Reopened,Won't fix"</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Scenario Status</vt:lpstr>
      <vt:lpstr>Go-Live Readiness</vt:lpstr>
      <vt:lpstr>Phase 01 Foundation &amp; Access</vt:lpstr>
      <vt:lpstr>Phase 02 Settings &amp; Masters</vt:lpstr>
      <vt:lpstr>Phase 03 Patient &amp; Records</vt:lpstr>
      <vt:lpstr>Phase 04 OPD Journey</vt:lpstr>
      <vt:lpstr>Phase 05 Lab &amp; Radiology</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Aumrti QA</dc:creator>
  <dc:title/>
  <dc:subject/>
  <dc:description/>
  <cp:keywords/>
  <cp:category/>
  <cp:lastModifiedBy>Unknown</cp:lastModifiedBy>
  <dcterms:created xsi:type="dcterms:W3CDTF">2026-09-04T09:56:11Z</dcterms:created>
  <dcterms:modified xsi:type="dcterms:W3CDTF">2026-09-04T09:56:11Z</dcterms:modified>
</cp:coreProperties>
</file>