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ummary" state="visible" r:id="rId4"/>
    <sheet sheetId="2" name="Scenario Status" state="visible" r:id="rId5"/>
    <sheet sheetId="3" name="Go-Live Readiness" state="visible" r:id="rId6"/>
    <sheet sheetId="4" name="Phase 01 Foundation &amp; Access" state="visible" r:id="rId7"/>
    <sheet sheetId="5" name="Phase 02 Settings &amp; Masters" state="visible" r:id="rId8"/>
    <sheet sheetId="6" name="Defect Log" state="visible" r:id="rId9"/>
  </sheets>
  <calcPr calcId="171027"/>
</workbook>
</file>

<file path=xl/sharedStrings.xml><?xml version="1.0" encoding="utf-8"?>
<sst xmlns="http://schemas.openxmlformats.org/spreadsheetml/2006/main" count="26260" uniqueCount="8716">
  <si>
    <t>Phase</t>
  </si>
  <si>
    <t>Cases</t>
  </si>
  <si>
    <t>Run</t>
  </si>
  <si>
    <t>PASS</t>
  </si>
  <si>
    <t>FAIL</t>
  </si>
  <si>
    <t>BLOCKED</t>
  </si>
  <si>
    <t>Not run</t>
  </si>
  <si>
    <t>% Run</t>
  </si>
  <si>
    <t>% Pass</t>
  </si>
  <si>
    <t>P1 cases</t>
  </si>
  <si>
    <t>P1 FAIL</t>
  </si>
  <si>
    <t>GATE</t>
  </si>
  <si>
    <t>Phase 01 Foundation &amp; Access</t>
  </si>
  <si>
    <t>Phase 02 Settings &amp; Masters</t>
  </si>
  <si>
    <t>TOTAL</t>
  </si>
  <si>
    <t>A phase is DONE only when: every case has a Status, zero open P1 defects, and every P1 case has a passing Playwright spec.</t>
  </si>
  <si>
    <t>Journey Scenario</t>
  </si>
  <si>
    <t>Scenario Verdict</t>
  </si>
  <si>
    <t>P1-Setup</t>
  </si>
  <si>
    <t>P2-Setup</t>
  </si>
  <si>
    <t>Scenarios for phases not yet written appear once their CSV is added. Full list of ~230 scenarios: docs/qa/JOURNEY_SCENARIOS.md</t>
  </si>
  <si>
    <t>Category</t>
  </si>
  <si>
    <t>Scenario</t>
  </si>
  <si>
    <t>What must be true</t>
  </si>
  <si>
    <t>Status</t>
  </si>
  <si>
    <t>Evidence / Notes</t>
  </si>
  <si>
    <t>Patient safety</t>
  </si>
  <si>
    <t>P4-S11</t>
  </si>
  <si>
    <t>Drug allergy prescription is blocked; override is audited</t>
  </si>
  <si>
    <t/>
  </si>
  <si>
    <t>P4-S10</t>
  </si>
  <si>
    <t>Drug interaction alert fires</t>
  </si>
  <si>
    <t>P5-S07</t>
  </si>
  <si>
    <t>Critical lab value raises an immediate alert</t>
  </si>
  <si>
    <t>P5-S06</t>
  </si>
  <si>
    <t>Rejected sample re-queues without double-charging</t>
  </si>
  <si>
    <t>P5-S10</t>
  </si>
  <si>
    <t>Dual-validation test cannot be released by one person</t>
  </si>
  <si>
    <t>P6-S04</t>
  </si>
  <si>
    <t>FEFO batch selection picks the earliest expiry</t>
  </si>
  <si>
    <t>P6-S05</t>
  </si>
  <si>
    <t>Expired batch cannot be dispensed</t>
  </si>
  <si>
    <t>P6-S07</t>
  </si>
  <si>
    <t>NDPS dispensing requires dual sign-off</t>
  </si>
  <si>
    <t>P6-S08</t>
  </si>
  <si>
    <t>NDPS with a single signature is blocked</t>
  </si>
  <si>
    <t>P7-S06</t>
  </si>
  <si>
    <t>ICU flowsheet, ventilator and sedation records save</t>
  </si>
  <si>
    <t>P10-OT</t>
  </si>
  <si>
    <t>WHO surgical checklist cannot be bypassed</t>
  </si>
  <si>
    <t>P10-BB</t>
  </si>
  <si>
    <t>Blood cross-match is traceable donor to recipient</t>
  </si>
  <si>
    <t>P10-CSSD</t>
  </si>
  <si>
    <t>Failed sterilisation cycle triggers recall</t>
  </si>
  <si>
    <t>P14-AI</t>
  </si>
  <si>
    <t>Clinical AI output can be rejected; clinician value is recorded</t>
  </si>
  <si>
    <t>Money</t>
  </si>
  <si>
    <t>P7-S14</t>
  </si>
  <si>
    <t>Discharge sweep collects every charge exactly once</t>
  </si>
  <si>
    <t>P7-S15</t>
  </si>
  <si>
    <t>Excess advance produces a refund payable</t>
  </si>
  <si>
    <t>P7-S16</t>
  </si>
  <si>
    <t>Pharmacy return restores stock and reduces the bill</t>
  </si>
  <si>
    <t>P7-S17</t>
  </si>
  <si>
    <t>Discharge blocked on unbilled OT, with audited override</t>
  </si>
  <si>
    <t>P7-S13</t>
  </si>
  <si>
    <t>Stay crossing a locked cash-closure day does not drop charges</t>
  </si>
  <si>
    <t>P7-S12</t>
  </si>
  <si>
    <t>Pre-paid and post-paid ancillary both bill correctly</t>
  </si>
  <si>
    <t>P8-S01</t>
  </si>
  <si>
    <t>Cash bill totals, rounds and receipts correctly</t>
  </si>
  <si>
    <t>P8-S09</t>
  </si>
  <si>
    <t>Advance adjusts against the final bill without double-counting</t>
  </si>
  <si>
    <t>P8-S10</t>
  </si>
  <si>
    <t>Discount below threshold applies directly</t>
  </si>
  <si>
    <t>P8-S11</t>
  </si>
  <si>
    <t>Discount above threshold enforces approval</t>
  </si>
  <si>
    <t>P8-S13</t>
  </si>
  <si>
    <t>Refund follows the approval chain</t>
  </si>
  <si>
    <t>P8-S15</t>
  </si>
  <si>
    <t>Paid bill cannot be voided without reversal</t>
  </si>
  <si>
    <t>P8-S16</t>
  </si>
  <si>
    <t>Day closure locks the day and blocks later edits</t>
  </si>
  <si>
    <t>P8-S18</t>
  </si>
  <si>
    <t>Finalised bill posts a balanced journal entry</t>
  </si>
  <si>
    <t>P8-S20</t>
  </si>
  <si>
    <t>Bill numbers have no duplicates and no gaps</t>
  </si>
  <si>
    <t>P9-S07</t>
  </si>
  <si>
    <t>Room-rent ceiling breach applies the correct deduction</t>
  </si>
  <si>
    <t>P6-S02</t>
  </si>
  <si>
    <t>Pharmacy stock decrements exactly once</t>
  </si>
  <si>
    <t>Legal</t>
  </si>
  <si>
    <t>P4-S13</t>
  </si>
  <si>
    <t>PCPNDT — obstetric USG produces a complete Form F</t>
  </si>
  <si>
    <t>P5-S13</t>
  </si>
  <si>
    <t>PCPNDT — Form F complete in the register</t>
  </si>
  <si>
    <t>P5-S14</t>
  </si>
  <si>
    <t>PCPNDT — non-obstetric USG does NOT produce a Form F</t>
  </si>
  <si>
    <t>P6-S07b</t>
  </si>
  <si>
    <t>NDPS — register entry written on dispense</t>
  </si>
  <si>
    <t>P8-S07</t>
  </si>
  <si>
    <t>GST — finalisation blocked when HSN is missing</t>
  </si>
  <si>
    <t>P8-S06</t>
  </si>
  <si>
    <t>GST — room charge bands correct; ICU exempt</t>
  </si>
  <si>
    <t>P9-S15</t>
  </si>
  <si>
    <t>CGHS — no referral means no bill finalisation</t>
  </si>
  <si>
    <t>P4-S23</t>
  </si>
  <si>
    <t>MLC record cannot be skipped</t>
  </si>
  <si>
    <t>P7-S19</t>
  </si>
  <si>
    <t>Death produces an MCCD</t>
  </si>
  <si>
    <t>P3-S10</t>
  </si>
  <si>
    <t>DPDP — erasure soft-deletes and excludes from search</t>
  </si>
  <si>
    <t>P13-NABH</t>
  </si>
  <si>
    <t>NABH evidence carries real timestamps and identities</t>
  </si>
  <si>
    <t>Security</t>
  </si>
  <si>
    <t>P3-S12</t>
  </si>
  <si>
    <t>Cross-tenant patient open by UUID is blocked</t>
  </si>
  <si>
    <t>R7</t>
  </si>
  <si>
    <t>Every module blocked cross-tenant</t>
  </si>
  <si>
    <t>P1-1H-a</t>
  </si>
  <si>
    <t>Direct API query returns no cross-tenant rows</t>
  </si>
  <si>
    <t>P1-1H-b</t>
  </si>
  <si>
    <t>Stale session after a hospital move does not leak</t>
  </si>
  <si>
    <t>P14-PHI</t>
  </si>
  <si>
    <t>No PHI in console, errors or AI logs</t>
  </si>
  <si>
    <t>Access</t>
  </si>
  <si>
    <t>P1-1E</t>
  </si>
  <si>
    <t>Every role lands correctly and is blocked correctly</t>
  </si>
  <si>
    <t>P1-1F</t>
  </si>
  <si>
    <t>Receptionist cannot Complete &amp; Bill or Admit</t>
  </si>
  <si>
    <t>P1-1G</t>
  </si>
  <si>
    <t>Starter plan cannot open a Professional module</t>
  </si>
  <si>
    <t>P1-1C</t>
  </si>
  <si>
    <t>Deactivated user is signed out and cannot return</t>
  </si>
  <si>
    <t>Regression</t>
  </si>
  <si>
    <t>R1</t>
  </si>
  <si>
    <t>Cash outpatient end to end</t>
  </si>
  <si>
    <t>R2</t>
  </si>
  <si>
    <t>Insured inpatient end to end</t>
  </si>
  <si>
    <t>R3</t>
  </si>
  <si>
    <t>PMJAY inpatient end to end</t>
  </si>
  <si>
    <t>Cross-tenant sweep</t>
  </si>
  <si>
    <t>VERDICT</t>
  </si>
  <si>
    <t>All must-pass items green AND zero open P1 defects anywhere</t>
  </si>
  <si>
    <t>TC#</t>
  </si>
  <si>
    <t>Section</t>
  </si>
  <si>
    <t>Priority</t>
  </si>
  <si>
    <t>Test Case</t>
  </si>
  <si>
    <t>Steps</t>
  </si>
  <si>
    <t>Expected Result</t>
  </si>
  <si>
    <t>Status(PASS/FAIL/BLOCKED)</t>
  </si>
  <si>
    <t>mock data</t>
  </si>
  <si>
    <t>Cross-Module Link</t>
  </si>
  <si>
    <t>Settings need to set before entering to the module</t>
  </si>
  <si>
    <t>Actual Result(What happened)</t>
  </si>
  <si>
    <t>Console Error(Copy-paste red text)</t>
  </si>
  <si>
    <t>Screenshot(Y/N)</t>
  </si>
  <si>
    <t>Notes</t>
  </si>
  <si>
    <t>Why This Exists</t>
  </si>
  <si>
    <t>Test Type</t>
  </si>
  <si>
    <t>Role/Login</t>
  </si>
  <si>
    <t>Supabase Verify</t>
  </si>
  <si>
    <t>Playwright Spec</t>
  </si>
  <si>
    <t>Defect ID</t>
  </si>
  <si>
    <t>TC-P1A-001</t>
  </si>
  <si>
    <t>1A Registration</t>
  </si>
  <si>
    <t>P2</t>
  </si>
  <si>
    <t>Registration page loads with step 1 of 5</t>
  </si>
  <si>
    <t>1) Open /register in a fresh incognito window 2) Observe the wizard</t>
  </si>
  <si>
    <t>Step 1 'Hospital Identity' renders with a 5-step progress bar. No console errors.</t>
  </si>
  <si>
    <t>Pass</t>
  </si>
  <si>
    <t>None</t>
  </si>
  <si>
    <t>None - public route</t>
  </si>
  <si>
    <t>A hospital cannot become a customer if it cannot sign up. This is the very first screen anyone outside your company ever sees.</t>
  </si>
  <si>
    <t>Positive</t>
  </si>
  <si>
    <t>Logged out</t>
  </si>
  <si>
    <t>e2e/phase-01-foundation/P1A.registration.spec.ts</t>
  </si>
  <si>
    <t>TC-P1A-002</t>
  </si>
  <si>
    <t>Step 1 accepts valid hospital identity</t>
  </si>
  <si>
    <t>1) Enter Hospital Name 'Aarogya Multispecialty Hospital' 2) Select Type 'Private Hospital' 3) Select State 'Telangana' 4) Select Bed Count '101-200 beds' 5) Enter Phone 9876500001 6) Click Next</t>
  </si>
  <si>
    <t>Next is enabled and the wizard advances to step 2.</t>
  </si>
  <si>
    <t>Hospital A identity block</t>
  </si>
  <si>
    <t>Hospital type and bed count drive plan pricing and default module selection - wrong data here mis-prices the customer.</t>
  </si>
  <si>
    <t>hospitals - after full signup</t>
  </si>
  <si>
    <t>TC-P1A-003</t>
  </si>
  <si>
    <t>Step 1 Next is disabled with any field blank</t>
  </si>
  <si>
    <t>1) Fill every field except State 2) Observe the Next button</t>
  </si>
  <si>
    <t>Next stays disabled. No way to advance with incomplete identity.</t>
  </si>
  <si>
    <t>Hospital A minus State</t>
  </si>
  <si>
    <t>A hospital record without a state breaks GST place-of-supply and state scheme eligibility downstream.</t>
  </si>
  <si>
    <t>Negative</t>
  </si>
  <si>
    <t>TC-P1A-004</t>
  </si>
  <si>
    <t>Phone accepts exactly 10 digits</t>
  </si>
  <si>
    <t>1) Enter phone 98765 2) Try Next 3) Enter 98765000011 (11 digits) 4) Try Next 5) Enter 9876500001 6) Try Next</t>
  </si>
  <si>
    <t>Only the 10-digit value is accepted. Shorter and longer are rejected.</t>
  </si>
  <si>
    <t>9876500001</t>
  </si>
  <si>
    <t>Indian mobile numbers are 10 digits. A malformed number means OTP and WhatsApp never reach the customer.</t>
  </si>
  <si>
    <t>Boundary</t>
  </si>
  <si>
    <t>TC-P1A-005</t>
  </si>
  <si>
    <t>Phone rejects letters and symbols</t>
  </si>
  <si>
    <t>1) Type 'abcdefghij' into Phone 2) Type '98765-0001'</t>
  </si>
  <si>
    <t>Non-numeric input is rejected or stripped.</t>
  </si>
  <si>
    <t>abcdefghij</t>
  </si>
  <si>
    <t>Free-text phone fields are the most common source of unusable contact data.</t>
  </si>
  <si>
    <t>MANUAL-ONLY</t>
  </si>
  <si>
    <t>TC-P1A-006</t>
  </si>
  <si>
    <t>Phone OTP is sent and verifies</t>
  </si>
  <si>
    <t>1) Complete step 1 with phone 9876500001 2) Click Verify 3) Retrieve the OTP 4) Enter it 5) Submit</t>
  </si>
  <si>
    <t>OTP accepted, phone shows verified, and a single-use token is held for the final submit.</t>
  </si>
  <si>
    <t>Platform setting: OTP required toggle (see /platform/settings)</t>
  </si>
  <si>
    <t>If OTP is not enabled on your platform settings this case is N/A - mark BLOCKED and note it</t>
  </si>
  <si>
    <t>OTP is the only thing stopping bulk fake signups from consuming your free trials.</t>
  </si>
  <si>
    <t>signup_otp_verifications</t>
  </si>
  <si>
    <t>TC-P1A-007</t>
  </si>
  <si>
    <t>Wrong OTP is rejected</t>
  </si>
  <si>
    <t>1) Request an OTP 2) Enter 000000 3) Submit</t>
  </si>
  <si>
    <t>Rejected with a clear message. Phone stays unverified. Registration cannot proceed.</t>
  </si>
  <si>
    <t>OTP 000000</t>
  </si>
  <si>
    <t>OTP required enabled</t>
  </si>
  <si>
    <t>An OTP that accepts any value is the same as having no OTP at all.</t>
  </si>
  <si>
    <t>TC-P1A-008</t>
  </si>
  <si>
    <t>Expired OTP is rejected</t>
  </si>
  <si>
    <t>1) Request an OTP 2) Wait past the expiry window 3) Enter the correct code 4) Submit</t>
  </si>
  <si>
    <t>Rejected as expired. A new OTP must be requested.</t>
  </si>
  <si>
    <t>valid but stale OTP</t>
  </si>
  <si>
    <t>An OTP with no expiry can be reused indefinitely if intercepted.</t>
  </si>
  <si>
    <t>TC-P1A-009</t>
  </si>
  <si>
    <t>Step 2 accepts a valid admin account</t>
  </si>
  <si>
    <t>1) Enter Full Name 'Dr. Ravi Shankar' 2) Email yeswanthvarma94+qa.admin.a@gmail.com 3) Password TestPass@2026 4) Confirm the same 5) Designation 'Medical Director' 6) Next</t>
  </si>
  <si>
    <t>Advances to step 3.</t>
  </si>
  <si>
    <t>Hospital A admin block</t>
  </si>
  <si>
    <t>This account becomes the hospital administrator - the only person who can create every other login.</t>
  </si>
  <si>
    <t>users after signup</t>
  </si>
  <si>
    <t>TC-P1A-010</t>
  </si>
  <si>
    <t>Malformed email is rejected</t>
  </si>
  <si>
    <t>1) Enter 'notanemail' 2) Then 'a@b' 3) Then 'a@b.c' 4) Observe each</t>
  </si>
  <si>
    <t>Only a properly formed address with a 2+ char TLD is accepted.</t>
  </si>
  <si>
    <t>notanemail / a@b / a@b.c</t>
  </si>
  <si>
    <t>The admin email is where account recovery goes. Wrong and the customer is locked out permanently.</t>
  </si>
  <si>
    <t>TC-P1A-011</t>
  </si>
  <si>
    <t>Weak password is rejected</t>
  </si>
  <si>
    <t>1) Enter 'pass' (too short) 2) Enter 'password' (no digit) 3) Enter '12345678' (no letter) 4) Enter 'TestPass@2026'</t>
  </si>
  <si>
    <t>First three rejected. Rule is 8+ characters with at least one letter and one digit.</t>
  </si>
  <si>
    <t>pass / password / 12345678 / TestPass@2026</t>
  </si>
  <si>
    <t>This account can see every patient record in the hospital. A weak password here is a data breach waiting to happen.</t>
  </si>
  <si>
    <t>TC-P1A-012</t>
  </si>
  <si>
    <t>Mismatched password confirmation is rejected</t>
  </si>
  <si>
    <t>1) Password TestPass@2026 2) Confirm TestPass@2025 3) Next</t>
  </si>
  <si>
    <t>Rejected with a mismatch message.</t>
  </si>
  <si>
    <t>TestPass@2026 / TestPass@2025</t>
  </si>
  <si>
    <t>A typo in the password the user never sees means they cannot log in and do not know why.</t>
  </si>
  <si>
    <t>TC-P1A-013</t>
  </si>
  <si>
    <t>Step 3 accepts hospital details</t>
  </si>
  <si>
    <t>1) Address 1 'Plot 42, Road No. 12, Banjara Hills' 2) Pincode 500034 3) City Hyderabad 4) GSTIN 36AABCA1234F1Z5 5) NABH Yes + NABH-QA-A-2026 6) Next</t>
  </si>
  <si>
    <t>Advances to step 4.</t>
  </si>
  <si>
    <t>Hospital A details block</t>
  </si>
  <si>
    <t>Address and GSTIN print on every bill. NABH status drives empanelment eligibility.</t>
  </si>
  <si>
    <t>hospitals</t>
  </si>
  <si>
    <t>TC-P1A-014</t>
  </si>
  <si>
    <t>Pincode must be exactly 6 digits</t>
  </si>
  <si>
    <t>1) Enter 5000 2) Try Next 3) Enter 5000345 4) Try Next 5) Enter 500034 6) Try Next</t>
  </si>
  <si>
    <t>Only the 6-digit value advances.</t>
  </si>
  <si>
    <t>5000 / 5000345 / 500034</t>
  </si>
  <si>
    <t>Indian PIN codes are 6 digits. Wrong length means undeliverable post and wrong state inference.</t>
  </si>
  <si>
    <t>TC-P1A-015</t>
  </si>
  <si>
    <t>Malformed GSTIN is caught</t>
  </si>
  <si>
    <t>1) Enter '12345' 2) Then 'ABCDEFGHIJKLMNO' 3) Then 36AABCA1234F1Z5 4) Observe</t>
  </si>
  <si>
    <t>Invalid formats flagged. Valid 15-char GSTIN accepted. NOTE: if any junk value is accepted, log it as a defect.</t>
  </si>
  <si>
    <t>12345 / ABCDEFGHIJKLMNO / 36AABCA1234F1Z5</t>
  </si>
  <si>
    <t>Billing - GST invoicing</t>
  </si>
  <si>
    <t>GSTIN format is 2-digit state + 10-char PAN + entity + Z + checksum</t>
  </si>
  <si>
    <t>A wrong GSTIN makes every tax invoice the hospital issues legally invalid, and they will not discover it until a GST audit.</t>
  </si>
  <si>
    <t>hospitals.gstin</t>
  </si>
  <si>
    <t>TC-P1A-016</t>
  </si>
  <si>
    <t>GSTIN is optional</t>
  </si>
  <si>
    <t>1) Leave GSTIN blank 2) Complete step 3</t>
  </si>
  <si>
    <t>Registration proceeds. GSTIN can be added later in Settings.</t>
  </si>
  <si>
    <t>GSTIN blank</t>
  </si>
  <si>
    <t>Billing - HSN block is inactive without GSTIN</t>
  </si>
  <si>
    <t>Small clinics below the GST threshold genuinely have no GSTIN</t>
  </si>
  <si>
    <t>Many small nursing homes are below the GST registration threshold. Forcing a GSTIN would block a whole customer segment.</t>
  </si>
  <si>
    <t>hospitals.gstin is null</t>
  </si>
  <si>
    <t>TC-P1A-017</t>
  </si>
  <si>
    <t>Step 4 plan selection</t>
  </si>
  <si>
    <t>1) Review Starter, Professional and Enterprise 2) Select Professional 3) Next</t>
  </si>
  <si>
    <t>Plan captured and shown on the confirm step. Pricing and included modules visible before choosing.</t>
  </si>
  <si>
    <t>Professional</t>
  </si>
  <si>
    <t>Settings - Plan &amp; subscription</t>
  </si>
  <si>
    <t>The plan decides which of the 69 modules the hospital can even open. Choosing blind causes immediate churn.</t>
  </si>
  <si>
    <t>hospital_subscriptions</t>
  </si>
  <si>
    <t>TC-P1A-018</t>
  </si>
  <si>
    <t>Cannot submit without accepting Terms</t>
  </si>
  <si>
    <t>1) Reach step 5 2) Leave Terms unchecked 3) Try to submit</t>
  </si>
  <si>
    <t>Submission blocked.</t>
  </si>
  <si>
    <t>Terms unchecked</t>
  </si>
  <si>
    <t>Without accepted terms you have no contract with the customer.</t>
  </si>
  <si>
    <t>TC-P1A-019</t>
  </si>
  <si>
    <t>P1</t>
  </si>
  <si>
    <t>Cannot submit without DPDP consent</t>
  </si>
  <si>
    <t>1) Reach step 5 2) Accept Terms 3) Leave DPDP consent unchecked 4) Try to submit</t>
  </si>
  <si>
    <t>DPDP consent unchecked</t>
  </si>
  <si>
    <t>DPDP Act 2023 requires explicit consent for processing personal data. Missing it is a statutory violation from day one.</t>
  </si>
  <si>
    <t>hospital_signup_consents</t>
  </si>
  <si>
    <t>TC-P1A-020</t>
  </si>
  <si>
    <t>Full registration creates the hospital</t>
  </si>
  <si>
    <t>1) Complete all 5 steps with Hospital A data 2) Submit 3) Wait for confirmation</t>
  </si>
  <si>
    <t>Success screen shown and a verification email is triggered.</t>
  </si>
  <si>
    <t>Full Hospital A block</t>
  </si>
  <si>
    <t>All modules</t>
  </si>
  <si>
    <t>This single action creates the tenant every other test depends on.</t>
  </si>
  <si>
    <t>hospitals WHERE name='Aarogya Multispecialty Hospital'; users; hospital_subscriptions; hospital_signup_consents</t>
  </si>
  <si>
    <t>TC-P1A-021</t>
  </si>
  <si>
    <t>Trial subscription is created</t>
  </si>
  <si>
    <t>1) After TC-P1A-020 2) Query hospital_subscriptions for the new hospital_id</t>
  </si>
  <si>
    <t>A subscription row exists with the chosen plan and a trial state.</t>
  </si>
  <si>
    <t>Hospital A</t>
  </si>
  <si>
    <t>Settings - Plan</t>
  </si>
  <si>
    <t>Seeded by migration 20260616000003_seed_trial_subscription</t>
  </si>
  <si>
    <t>Without a subscription row the ModuleGate blocks every route and the customer sees an empty product.</t>
  </si>
  <si>
    <t>TC-P1A-022</t>
  </si>
  <si>
    <t>Default chart of accounts is auto-seeded</t>
  </si>
  <si>
    <t>1) After TC-P1A-020 2) Query chart_of_accounts and auto_posting_rules and lab_test_master for the new hospital_id</t>
  </si>
  <si>
    <t>Rows exist. A DB trigger on hospitals seeds defaults on insert.</t>
  </si>
  <si>
    <t>Accounts - journals</t>
  </si>
  <si>
    <t>Trigger from 20260613110000_seed_hospital_defaults</t>
  </si>
  <si>
    <t>Without a chart of accounts no billing event can post to the ledger, so the P&amp;L is empty forever.</t>
  </si>
  <si>
    <t>chart_of_accounts; auto_posting_rules</t>
  </si>
  <si>
    <t>TC-P1A-023</t>
  </si>
  <si>
    <t>Duplicate hospital registration is handled</t>
  </si>
  <si>
    <t>1) Register Hospital A again with the same GSTIN and email 2) Observe</t>
  </si>
  <si>
    <t>Rejected with a clear message. NOTE: if a second hospital is created with the same GSTIN, log as P1.</t>
  </si>
  <si>
    <t>Hospital A repeated</t>
  </si>
  <si>
    <t>Two tenants with the same GSTIN means two hospitals issuing invoices under one tax registration - a serious compliance problem.</t>
  </si>
  <si>
    <t>hospitals - count by gstin must be 1</t>
  </si>
  <si>
    <t>TC-P1A-024</t>
  </si>
  <si>
    <t>P3</t>
  </si>
  <si>
    <t>Back navigation preserves entered data</t>
  </si>
  <si>
    <t>1) Fill steps 1-3 2) Click Back to step 1 3) Click Next twice</t>
  </si>
  <si>
    <t>All previously entered values are still present.</t>
  </si>
  <si>
    <t>Losing a half-filled form makes people abandon signup. It is the single biggest drop-off cause in onboarding.</t>
  </si>
  <si>
    <t>TC-P1A-025</t>
  </si>
  <si>
    <t>Register Hospital B for isolation testing</t>
  </si>
  <si>
    <t>1) Register Sanjeevani General Hospital with the Hospital B block 2) Choose the Starter plan 3) Complete</t>
  </si>
  <si>
    <t>Second tenant created with its own hospital_id, distinct from Hospital A.</t>
  </si>
  <si>
    <t>Full Hospital B block</t>
  </si>
  <si>
    <t>All - this is the isolation control</t>
  </si>
  <si>
    <t>Required before any Section 1H test can run</t>
  </si>
  <si>
    <t>Without a second hospital you cannot prove tenant isolation - and tenant isolation is the thing that ends a company if it fails.</t>
  </si>
  <si>
    <t>hospitals - 2 distinct rows</t>
  </si>
  <si>
    <t>TC-P1B-001</t>
  </si>
  <si>
    <t>1B Onboarding</t>
  </si>
  <si>
    <t>Onboarding wizard opens after first login</t>
  </si>
  <si>
    <t>1) Verify the admin email 2) Log in as +qa.admin.a 3) Observe</t>
  </si>
  <si>
    <t>Redirected to /setup/onboarding at step 1 Branding.</t>
  </si>
  <si>
    <t>Hospital A admin</t>
  </si>
  <si>
    <t>Registration complete</t>
  </si>
  <si>
    <t>A hospital that lands on an empty dashboard with no guidance abandons the product in the first hour.</t>
  </si>
  <si>
    <t>hospital_admin A</t>
  </si>
  <si>
    <t>e2e/phase-01-foundation/P1B.onboarding.spec.ts</t>
  </si>
  <si>
    <t>TC-P1B-002</t>
  </si>
  <si>
    <t>Wizard shows 14 steps in 6 sections</t>
  </si>
  <si>
    <t>1) Open /setup/onboarding 2) Count the steps and section headers</t>
  </si>
  <si>
    <t>Sections: Hospital (Branding, Departments), Structure (Wards &amp; Beds, Shifts), People (Doctors, Other Staff, OPD Schedules), Services (Fees, Payers, Lab &amp; Radiology, Payments), Integrations (WhatsApp, Modules), Launch (Go Live).</t>
  </si>
  <si>
    <t>The wizard order is the dependency order. If it is wrong, a customer configures things that silently fail.</t>
  </si>
  <si>
    <t>TC-P1B-003</t>
  </si>
  <si>
    <t>Step 1 Branding saves logo and colour</t>
  </si>
  <si>
    <t>1) Upload a logo 2) Set primary colour 3) Next</t>
  </si>
  <si>
    <t>Saved and reflected in the app header.</t>
  </si>
  <si>
    <t>any test image</t>
  </si>
  <si>
    <t>All - print headers</t>
  </si>
  <si>
    <t>Branding is marked optional in the wizard</t>
  </si>
  <si>
    <t>The hospital's logo on a bill or report is what makes the software feel like theirs rather than yours.</t>
  </si>
  <si>
    <t>hospitals.logo_url</t>
  </si>
  <si>
    <t>TC-P1B-004</t>
  </si>
  <si>
    <t>Branding can be skipped</t>
  </si>
  <si>
    <t>1) At Branding click Skip</t>
  </si>
  <si>
    <t>Advances to Departments without saving branding.</t>
  </si>
  <si>
    <t>Optional steps must be genuinely optional or the customer is stuck at signup hunting for a logo file.</t>
  </si>
  <si>
    <t>TC-P1B-005</t>
  </si>
  <si>
    <t>Step 2 Departments creates all 10 departments</t>
  </si>
  <si>
    <t>1) Add each department from the Mock Data Book 2) Save 3) Next</t>
  </si>
  <si>
    <t>All 10 saved and listed.</t>
  </si>
  <si>
    <t>10 departments from Mock Data Book</t>
  </si>
  <si>
    <t>OPD IPD Lab Radiology</t>
  </si>
  <si>
    <t>Use Indian English spellings - Anaesthesiology Gynaecology Orthopaedics Paediatrics</t>
  </si>
  <si>
    <t>No departments means no OPD token can be created and no doctor can be assigned. Nothing clinical works.</t>
  </si>
  <si>
    <t>departments - 10 rows for hospital A</t>
  </si>
  <si>
    <t>TC-P1B-006</t>
  </si>
  <si>
    <t>Departments is a mandatory step</t>
  </si>
  <si>
    <t>1) At Departments with none added try Next / Skip</t>
  </si>
  <si>
    <t>Cannot advance. The step is not optional.</t>
  </si>
  <si>
    <t>Allowing a hospital past this step guarantees a broken OPD later, with no obvious cause.</t>
  </si>
  <si>
    <t>TC-P1B-007</t>
  </si>
  <si>
    <t>Duplicate department name is rejected</t>
  </si>
  <si>
    <t>1) Add 'General Medicine' 2) Add 'General Medicine' again</t>
  </si>
  <si>
    <t>Rejected as duplicate.</t>
  </si>
  <si>
    <t>General Medicine twice</t>
  </si>
  <si>
    <t>Duplicate departments split a doctor's patients across two identical-looking queues.</t>
  </si>
  <si>
    <t>departments</t>
  </si>
  <si>
    <t>TC-P1B-008</t>
  </si>
  <si>
    <t>Step 3 creates all 6 wards with rate_per_day</t>
  </si>
  <si>
    <t>1) Add each ward from the Mock Data Book with its rate 2) Save</t>
  </si>
  <si>
    <t>All 6 wards saved WITH rate_per_day populated.</t>
  </si>
  <si>
    <t>6 wards from Mock Data Book</t>
  </si>
  <si>
    <t>IPD - room charge; Billing</t>
  </si>
  <si>
    <t>CRITICAL - a ward without rate_per_day silently bills Rs 500/day</t>
  </si>
  <si>
    <t>Room rent is the largest single line on most inpatient bills. A missing rate means the hospital under-bills every admission and never notices.</t>
  </si>
  <si>
    <t>wards - rate_per_day not null on all 6</t>
  </si>
  <si>
    <t>TC-P1B-009</t>
  </si>
  <si>
    <t>Ward saved without rate_per_day is detectable</t>
  </si>
  <si>
    <t>1) Add a ward leaving rate_per_day blank 2) Save 3) Check the row</t>
  </si>
  <si>
    <t>Either the field is mandatory, or the row saves with a null rate. If it saves null, log P1 - this is the Rs 500 silent fallback.</t>
  </si>
  <si>
    <t>ward with blank rate</t>
  </si>
  <si>
    <t>IPD room charge</t>
  </si>
  <si>
    <t>This is the single most damaging silent failure in the application. It must at minimum be visible.</t>
  </si>
  <si>
    <t>wards.rate_per_day</t>
  </si>
  <si>
    <t>TC-P1B-010</t>
  </si>
  <si>
    <t>Step 3 creates all 32 beds</t>
  </si>
  <si>
    <t>1) Add beds GW-01..10 SP-01..06 PR-01..04 DX-01..02 ICU-01..06 MW-01..04 2) Save</t>
  </si>
  <si>
    <t>All 32 beds created and linked to their wards with status available.</t>
  </si>
  <si>
    <t>32 beds from Mock Data Book</t>
  </si>
  <si>
    <t>IPD - admission</t>
  </si>
  <si>
    <t>Registration complete + wards</t>
  </si>
  <si>
    <t>With no beds the Admit Patient modal is empty and no patient can ever be admitted.</t>
  </si>
  <si>
    <t>beds - 32 rows</t>
  </si>
  <si>
    <t>TC-P1B-011</t>
  </si>
  <si>
    <t>Duplicate bed number in the same ward is rejected</t>
  </si>
  <si>
    <t>1) Add GW-01 twice to General Ward</t>
  </si>
  <si>
    <t>Rejected.</t>
  </si>
  <si>
    <t>GW-01 twice</t>
  </si>
  <si>
    <t>IPD</t>
  </si>
  <si>
    <t>Registration + wards</t>
  </si>
  <si>
    <t>Two beds with the same number means two patients can be assigned the same physical bed.</t>
  </si>
  <si>
    <t>beds</t>
  </si>
  <si>
    <t>TC-P1B-012</t>
  </si>
  <si>
    <t>Step 4 Shifts creates shift master</t>
  </si>
  <si>
    <t>1) Add Morning 08:00-16:00, Evening 16:00-00:00, Night 00:00-08:00 2) Save</t>
  </si>
  <si>
    <t>3 shifts saved.</t>
  </si>
  <si>
    <t>3 standard shifts</t>
  </si>
  <si>
    <t>HR - roster; Nursing handover</t>
  </si>
  <si>
    <t>Hospitals run 24x7 on rotating shifts. Without shift definitions there is no roster and no handover.</t>
  </si>
  <si>
    <t>shift_master</t>
  </si>
  <si>
    <t>TC-P1B-013</t>
  </si>
  <si>
    <t>Step 5 Doctors creates 3 doctors with fees</t>
  </si>
  <si>
    <t>1) Add Dr. Suresh Menon (Gen Medicine, Rs 500, follow-up Rs 0, validity 7d) 2) Dr. Kavitha Rao (Obs&amp;Gynae, Rs 700, follow-up Rs 300, validity 10d) 3) Dr. Arjun Nair (Gen Surgery, Rs 800) 4) Save</t>
  </si>
  <si>
    <t>All 3 created as users with role doctor, and matching service_master fee rows.</t>
  </si>
  <si>
    <t>3 doctors from Mock Data Book</t>
  </si>
  <si>
    <t>OPD - consultation billing</t>
  </si>
  <si>
    <t>Registration + departments</t>
  </si>
  <si>
    <t>Fee precedence is doctor then department then global then hardcoded Rs 500</t>
  </si>
  <si>
    <t>With no consultation fee configured, the app silently bills a hardcoded Rs 500 for every patient regardless of doctor or specialty.</t>
  </si>
  <si>
    <t>users WHERE role='doctor'; service_master item_type='consultation'</t>
  </si>
  <si>
    <t>TC-P1B-014</t>
  </si>
  <si>
    <t>Follow-up fee and validity days save correctly</t>
  </si>
  <si>
    <t>1) On Dr. Menon set follow_up_fee 0 and validity_days 7 2) Save 3) Verify the row</t>
  </si>
  <si>
    <t>Both values persisted exactly.</t>
  </si>
  <si>
    <t>Rs 0 / 7 days</t>
  </si>
  <si>
    <t>OPD - free revisit rule</t>
  </si>
  <si>
    <t>Drives scenarios P4-S02 and P4-S03</t>
  </si>
  <si>
    <t>The free-revisit window is a promise the hospital makes to patients. Getting it wrong means either angry patients or lost revenue.</t>
  </si>
  <si>
    <t>service_master.follow_up_fee and validity_days</t>
  </si>
  <si>
    <t>TC-P1B-015</t>
  </si>
  <si>
    <t>Step 6 Other Staff creates non-doctor staff</t>
  </si>
  <si>
    <t>1) Add nurse, receptionist, pharmacist, lab tech, billing exec per the Mock Data Book 2) Save</t>
  </si>
  <si>
    <t>All created with the correct roles.</t>
  </si>
  <si>
    <t>Staff list from Mock Data Book</t>
  </si>
  <si>
    <t>A hospital is not one admin - every role needs its own login for accountability and audit.</t>
  </si>
  <si>
    <t>users; staff_profiles</t>
  </si>
  <si>
    <t>TC-P1B-016</t>
  </si>
  <si>
    <t>Step 7 OPD Schedules creates doctor slots</t>
  </si>
  <si>
    <t>1) Set Dr. Menon Mon-Sat 09:00-13:00, 15 min slots 2) Save</t>
  </si>
  <si>
    <t>Schedule and slots generated.</t>
  </si>
  <si>
    <t>Mon-Sat 09:00-13:00</t>
  </si>
  <si>
    <t>OPD - appointments</t>
  </si>
  <si>
    <t>Registration + doctors</t>
  </si>
  <si>
    <t>Without slots no appointment can be booked and the hospital is walk-in only.</t>
  </si>
  <si>
    <t>doctor_schedules; doctor_slots</t>
  </si>
  <si>
    <t>TC-P1B-017</t>
  </si>
  <si>
    <t>Step 8 Fees creates the service master</t>
  </si>
  <si>
    <t>1) Add all 10 services from the Mock Data Book with rate, GST and HSN 2) Save</t>
  </si>
  <si>
    <t>All 10 saved with HSN codes populated.</t>
  </si>
  <si>
    <t>10 services from Mock Data Book</t>
  </si>
  <si>
    <t>Billing OPD IPD</t>
  </si>
  <si>
    <t>HSN is required or bill finalisation is blocked once GSTIN is set</t>
  </si>
  <si>
    <t>Every chargeable thing the hospital does must exist here with a price and a tax code, or it either cannot be billed or the invoice is illegal.</t>
  </si>
  <si>
    <t>service_master; service_rates</t>
  </si>
  <si>
    <t>TC-P1B-018</t>
  </si>
  <si>
    <t>Fees is a mandatory step</t>
  </si>
  <si>
    <t>1) At Fees with no services try to skip</t>
  </si>
  <si>
    <t>Cannot skip. Step is mandatory.</t>
  </si>
  <si>
    <t>Billing</t>
  </si>
  <si>
    <t>Skipping fees is what produces the hardcoded Rs 500 bill later.</t>
  </si>
  <si>
    <t>TC-P1B-019</t>
  </si>
  <si>
    <t>Step 9 Payers creates payer masters</t>
  </si>
  <si>
    <t>1) Add all 8 payers from the Mock Data Book 2) Save</t>
  </si>
  <si>
    <t>All 8 saved with their type.</t>
  </si>
  <si>
    <t>8 payers from Mock Data Book</t>
  </si>
  <si>
    <t>IPD admission; Insurance</t>
  </si>
  <si>
    <t>Half a private hospital's revenue is insured. With no payers configured every patient is forced to self-pay.</t>
  </si>
  <si>
    <t>payer_masters</t>
  </si>
  <si>
    <t>TC-P1B-020</t>
  </si>
  <si>
    <t>Step 10 creates lab test master</t>
  </si>
  <si>
    <t>1) Add all 15 lab tests with fee, sample type, unit and normal range 2) Save</t>
  </si>
  <si>
    <t>All 15 saved with fee and normal ranges populated.</t>
  </si>
  <si>
    <t>15 lab tests from Mock Data Book</t>
  </si>
  <si>
    <t>OPD Rx chips; Lab orders; Billing</t>
  </si>
  <si>
    <t>Missing normal range means no abnormal flag and NO critical alert</t>
  </si>
  <si>
    <t>The lab catalogue is what the OPD Rx tab matches prescribed test names against. Tests not in it are silently dropped from the order.</t>
  </si>
  <si>
    <t>lab_test_master - 15 rows with fee not null</t>
  </si>
  <si>
    <t>TC-P1B-021</t>
  </si>
  <si>
    <t>Step 10 creates radiology modalities then studies</t>
  </si>
  <si>
    <t>1) Add modalities X-Ray, Ultrasound, CT, MRI 2) Then add the 7 studies 3) Save</t>
  </si>
  <si>
    <t>Modalities first, then studies linked to them, all with fees.</t>
  </si>
  <si>
    <t>4 modalities + 7 studies</t>
  </si>
  <si>
    <t>OPD Rx chips; Radiology; PCPNDT</t>
  </si>
  <si>
    <t>Modalities MUST exist before studies - order matters</t>
  </si>
  <si>
    <t>Radiology studies cannot exist without a modality. Getting the order wrong produces 'No studies configured'.</t>
  </si>
  <si>
    <t>radiology_modalities; radiology_study_master</t>
  </si>
  <si>
    <t>TC-P1B-022</t>
  </si>
  <si>
    <t>Step 11 Payments configures payment modes</t>
  </si>
  <si>
    <t>1) Configure the accepted payment modes 2) Save</t>
  </si>
  <si>
    <t>Saved.</t>
  </si>
  <si>
    <t>cash/UPI/card/NEFT</t>
  </si>
  <si>
    <t>Billing - payments</t>
  </si>
  <si>
    <t>UPI is how most Indian patients pay now. Not offering it means cash queues at the counter.</t>
  </si>
  <si>
    <t>api_configurations</t>
  </si>
  <si>
    <t>TC-P1B-023</t>
  </si>
  <si>
    <t>Step 12 WhatsApp can be skipped</t>
  </si>
  <si>
    <t>1) At WhatsApp click Skip</t>
  </si>
  <si>
    <t>Advances without configuring.</t>
  </si>
  <si>
    <t>Notifications</t>
  </si>
  <si>
    <t>WARNING - unconfigured WhatsApp makes ALL notifications silently no-op</t>
  </si>
  <si>
    <t>WhatsApp is optional to configure but its absence is invisible - nothing errors, messages just never send.</t>
  </si>
  <si>
    <t>TC-P1B-024</t>
  </si>
  <si>
    <t>Step 13 Modules reflects the chosen plan</t>
  </si>
  <si>
    <t>1) At Modules observe which are enabled 2) Compare against the Professional plan</t>
  </si>
  <si>
    <t>Only modules included in the plan are enabled.</t>
  </si>
  <si>
    <t>Professional plan</t>
  </si>
  <si>
    <t>Registration + plan</t>
  </si>
  <si>
    <t>A customer seeing modules they did not pay for, or missing ones they did, is an immediate support ticket.</t>
  </si>
  <si>
    <t>hospital_module_entitlements</t>
  </si>
  <si>
    <t>TC-P1B-025</t>
  </si>
  <si>
    <t>Step 14 Go Live completes onboarding</t>
  </si>
  <si>
    <t>1) Review the checklist 2) Complete onboarding</t>
  </si>
  <si>
    <t>Redirected to /dashboard. Wizard does not reappear on next login.</t>
  </si>
  <si>
    <t>All</t>
  </si>
  <si>
    <t>All prior steps</t>
  </si>
  <si>
    <t>Onboarding that reappears after completion makes the product feel broken.</t>
  </si>
  <si>
    <t>hospitals - onboarding flag</t>
  </si>
  <si>
    <t>TC-P1B-026</t>
  </si>
  <si>
    <t>Wizard resumes at the correct step after logout</t>
  </si>
  <si>
    <t>1) Complete up to step 5 2) Log out 3) Log back in</t>
  </si>
  <si>
    <t>Resumes at step 6 with earlier data intact.</t>
  </si>
  <si>
    <t>Partial Hospital A</t>
  </si>
  <si>
    <t>Onboarding a hospital takes hours and spans sessions. Losing progress means starting over.</t>
  </si>
  <si>
    <t>TC-P1B-027</t>
  </si>
  <si>
    <t>Repeat full onboarding for Hospital B</t>
  </si>
  <si>
    <t>1) Log in as +qa.admin.b 2) Complete onboarding with a minimal Hospital B config (2 departments, 1 ward, 4 beds, 1 doctor, 1 service)</t>
  </si>
  <si>
    <t>Hospital B is usable for isolation testing.</t>
  </si>
  <si>
    <t>Hospital B minimal set</t>
  </si>
  <si>
    <t>Isolation testing</t>
  </si>
  <si>
    <t>Hospital B registered</t>
  </si>
  <si>
    <t>Only needs enough data to prove isolation</t>
  </si>
  <si>
    <t>Hospital B needs real data in it, or a cross-tenant test proves nothing - an empty result is not the same as a blocked one.</t>
  </si>
  <si>
    <t>hospital_admin B</t>
  </si>
  <si>
    <t>departments/wards/beds for hospital B</t>
  </si>
  <si>
    <t>TC-P1C-001</t>
  </si>
  <si>
    <t>1C Login</t>
  </si>
  <si>
    <t>Valid login succeeds</t>
  </si>
  <si>
    <t>1) Go to /login 2) Enter +qa.admin.a and TestPass@2026 3) Submit</t>
  </si>
  <si>
    <t>Logged in and redirected to /dashboard.</t>
  </si>
  <si>
    <t>Registration + email verified</t>
  </si>
  <si>
    <t>If login does not work nothing else matters.</t>
  </si>
  <si>
    <t>audit_log action='LOGIN'</t>
  </si>
  <si>
    <t>e2e/phase-01-foundation/P1C.login.spec.ts</t>
  </si>
  <si>
    <t>TC-P1C-002</t>
  </si>
  <si>
    <t>Wrong password is rejected</t>
  </si>
  <si>
    <t>1) Enter the correct email with password WrongPass@2026 2) Submit</t>
  </si>
  <si>
    <t>Rejected with a generic message. NOTE: the message must not reveal whether the email exists.</t>
  </si>
  <si>
    <t>WrongPass@2026</t>
  </si>
  <si>
    <t>A message distinguishing 'wrong password' from 'no such user' lets an attacker enumerate every staff email.</t>
  </si>
  <si>
    <t>audit_log</t>
  </si>
  <si>
    <t>TC-P1C-003</t>
  </si>
  <si>
    <t>Unknown email is rejected identically</t>
  </si>
  <si>
    <t>1) Enter nosuchuser@example.com with any password 2) Compare the message to TC-P1C-002</t>
  </si>
  <si>
    <t>The message is identical to the wrong-password message.</t>
  </si>
  <si>
    <t>nosuchuser@example.com</t>
  </si>
  <si>
    <t>Same reason as above - differing messages leak your entire user list.</t>
  </si>
  <si>
    <t>TC-P1C-004</t>
  </si>
  <si>
    <t>Empty credentials are rejected</t>
  </si>
  <si>
    <t>1) Submit with both fields blank</t>
  </si>
  <si>
    <t>Blocked with validation messages.</t>
  </si>
  <si>
    <t>blank</t>
  </si>
  <si>
    <t>Basic input validation - an empty submit should never reach the server.</t>
  </si>
  <si>
    <t>TC-P1C-005</t>
  </si>
  <si>
    <t>Unverified email cannot log in</t>
  </si>
  <si>
    <t>1) Register a new admin 2) Do NOT click the verification link 3) Try to log in</t>
  </si>
  <si>
    <t>Login blocked with a verify-your-email message.</t>
  </si>
  <si>
    <t>fresh unverified account</t>
  </si>
  <si>
    <t>Unverified accounts let anyone register using someone else's email address.</t>
  </si>
  <si>
    <t>auth.users email_confirmed_at</t>
  </si>
  <si>
    <t>TC-P1C-006</t>
  </si>
  <si>
    <t>Deactivated user is signed out</t>
  </si>
  <si>
    <t>1) Log in as +qa.nurse.a 2) As admin in another browser set that user is_active=false 3) Refresh the nurse session</t>
  </si>
  <si>
    <t>Nurse is force signed out. HospitalContext signs out when users.is_active is false.</t>
  </si>
  <si>
    <t>#NAME?</t>
  </si>
  <si>
    <t>Staff created</t>
  </si>
  <si>
    <t>When a staff member is terminated their access must end immediately, not at their next voluntary logout.</t>
  </si>
  <si>
    <t>nurse A</t>
  </si>
  <si>
    <t>users.is_active</t>
  </si>
  <si>
    <t>TC-P1C-007</t>
  </si>
  <si>
    <t>Deactivated user cannot log back in</t>
  </si>
  <si>
    <t>1) After TC-P1C-006 try to log in as the nurse</t>
  </si>
  <si>
    <t>Login refused.</t>
  </si>
  <si>
    <t>A terminated employee logging back in the next day is a serious security and PHI exposure.</t>
  </si>
  <si>
    <t>users.is_active=false</t>
  </si>
  <si>
    <t>TC-P1C-008</t>
  </si>
  <si>
    <t>Password reset email is sent</t>
  </si>
  <si>
    <t>1) At /login click Forgot Password 2) Enter +qa.doctor.a 3) Submit</t>
  </si>
  <si>
    <t>Confirmation shown and a reset email arrives.</t>
  </si>
  <si>
    <t>Staff forget passwords constantly. Without self-service reset every one becomes a support call.</t>
  </si>
  <si>
    <t>TC-P1C-009</t>
  </si>
  <si>
    <t>Password reset link works</t>
  </si>
  <si>
    <t>1) Open the reset link 2) Set NewTestPass@2026 3) Log in with it</t>
  </si>
  <si>
    <t>Password changed and the new one works.</t>
  </si>
  <si>
    <t>NewTestPass@2026</t>
  </si>
  <si>
    <t>Reset it back to TestPass@2026 afterwards</t>
  </si>
  <si>
    <t>A reset flow that emails a link but does not actually change the password is worse than none.</t>
  </si>
  <si>
    <t>TC-P1C-010</t>
  </si>
  <si>
    <t>Reset link cannot be reused</t>
  </si>
  <si>
    <t>1) Use a reset link successfully 2) Open the same link again</t>
  </si>
  <si>
    <t>Rejected as already used or expired.</t>
  </si>
  <si>
    <t>used reset link</t>
  </si>
  <si>
    <t>A reusable reset link in an inbox is a permanent backdoor into that account.</t>
  </si>
  <si>
    <t>TC-P1C-011</t>
  </si>
  <si>
    <t>Session persists across a refresh</t>
  </si>
  <si>
    <t>1) Log in 2) Press F5</t>
  </si>
  <si>
    <t>Still logged in on the same page.</t>
  </si>
  <si>
    <t>any login</t>
  </si>
  <si>
    <t>Being logged out by a page refresh mid-consultation loses the doctor's work.</t>
  </si>
  <si>
    <t>doctor A</t>
  </si>
  <si>
    <t>TC-P1C-012</t>
  </si>
  <si>
    <t>Session persists across a new tab</t>
  </si>
  <si>
    <t>1) Log in 2) Open /dashboard in a new tab</t>
  </si>
  <si>
    <t>Logged in in the new tab too.</t>
  </si>
  <si>
    <t>Clinical staff routinely work across several tabs.</t>
  </si>
  <si>
    <t>TC-P1C-013</t>
  </si>
  <si>
    <t>Logout clears the session and context cache</t>
  </si>
  <si>
    <t>1) Log in 2) Log out 3) Check sessionStorage for hms_ctx_* keys 4) Press browser Back</t>
  </si>
  <si>
    <t>Session ended, hms_ctx_* cleared, and Back does not restore an authenticated view.</t>
  </si>
  <si>
    <t>The context cache is only cleared on sign-out - this is why TC-P1H-012 exists</t>
  </si>
  <si>
    <t>On a shared nursing-station computer, a session that survives logout exposes the previous user's patients.</t>
  </si>
  <si>
    <t>any</t>
  </si>
  <si>
    <t>TC-P1C-014</t>
  </si>
  <si>
    <t>Protected route redirects when logged out</t>
  </si>
  <si>
    <t>1) Log out 2) Navigate directly to /patients</t>
  </si>
  <si>
    <t>Redirected to /login. Patient data never renders.</t>
  </si>
  <si>
    <t>Patients</t>
  </si>
  <si>
    <t>Direct URL entry is the first thing anyone tries. If it works logged out you have no access control at all.</t>
  </si>
  <si>
    <t>TC-P1C-015</t>
  </si>
  <si>
    <t>Every protected route redirects when logged out</t>
  </si>
  <si>
    <t>1) Logged out, try /dashboard /opd /ipd /billing /lab /radiology /pharmacy /settings /accounts /platform</t>
  </si>
  <si>
    <t>All redirect to /login. None render data.</t>
  </si>
  <si>
    <t>One unguarded route is enough to expose the whole database.</t>
  </si>
  <si>
    <t>TC-P1C-016</t>
  </si>
  <si>
    <t>Login audit row is written</t>
  </si>
  <si>
    <t>1) Log in as +qa.doctor.a 2) Query audit_log</t>
  </si>
  <si>
    <t>A LOGIN row exists with the user and timestamp.</t>
  </si>
  <si>
    <t>Quality - audit trail</t>
  </si>
  <si>
    <t>NABH and DPDP both require knowing who accessed the system and when.</t>
  </si>
  <si>
    <t>TC-P1C-017</t>
  </si>
  <si>
    <t>Landing route matches the role</t>
  </si>
  <si>
    <t>1) Log in as each of the 16 roles 2) Note where each lands</t>
  </si>
  <si>
    <t>Each role lands on a route it is permitted to see - never a blank or a 403.</t>
  </si>
  <si>
    <t>All 16 logins</t>
  </si>
  <si>
    <t>Cross-check against the Mock Data Book landing column</t>
  </si>
  <si>
    <t>A pharmacist landing on a page they cannot access looks like a broken product on day one.</t>
  </si>
  <si>
    <t>all 16</t>
  </si>
  <si>
    <t>TC-P1C-018</t>
  </si>
  <si>
    <t>Login page renders on a tablet</t>
  </si>
  <si>
    <t>1) Open /login at 768px width</t>
  </si>
  <si>
    <t>Usable without horizontal scroll.</t>
  </si>
  <si>
    <t>Tablet-first is the design target for nurse stations</t>
  </si>
  <si>
    <t>Nurse stations and ward rounds run on tablets, not desktops.</t>
  </si>
  <si>
    <t>TC-P1D-001</t>
  </si>
  <si>
    <t>1D Staff Logins</t>
  </si>
  <si>
    <t>Enable Login creates a working account</t>
  </si>
  <si>
    <t>1) Settings &gt; Staff 2) Select Dr. Suresh Menon 3) Enable Login with +qa.doctor.a 4) Save 5) Log in as that user</t>
  </si>
  <si>
    <t>Account created and login succeeds.</t>
  </si>
  <si>
    <t>Uses the create-staff-login edge function</t>
  </si>
  <si>
    <t>Every clinical action must be attributable to a named person. Shared logins destroy the audit trail and fail NABH.</t>
  </si>
  <si>
    <t>users - auth_user_id populated</t>
  </si>
  <si>
    <t>e2e/phase-01-foundation/P1D.staff-logins.spec.ts</t>
  </si>
  <si>
    <t>TC-P1D-002</t>
  </si>
  <si>
    <t>New staff user gets the correct hospital_id</t>
  </si>
  <si>
    <t>1) After TC-P1D-001 2) Query the users row</t>
  </si>
  <si>
    <t>hospital_id matches Hospital A.</t>
  </si>
  <si>
    <t>All - RLS anchor</t>
  </si>
  <si>
    <t>users.hospital_id is what every RLS policy keys off</t>
  </si>
  <si>
    <t>This one column decides everything that user can ever see. Wrong and they either see nothing or see another hospital's patients.</t>
  </si>
  <si>
    <t>users.hospital_id</t>
  </si>
  <si>
    <t>TC-P1D-003</t>
  </si>
  <si>
    <t>Create all 17 Hospital A logins</t>
  </si>
  <si>
    <t>1) Enable Login for every staff member in the Mock Data Book Hospital A table</t>
  </si>
  <si>
    <t>All 17 accounts created and each can log in.</t>
  </si>
  <si>
    <t>17 Hospital A logins</t>
  </si>
  <si>
    <t>Required before Section 1E can run</t>
  </si>
  <si>
    <t>The RBAC matrix cannot be tested without one real login per role.</t>
  </si>
  <si>
    <t>users - 17 rows with auth_user_id</t>
  </si>
  <si>
    <t>TC-P1D-004</t>
  </si>
  <si>
    <t>Create the 3 Hospital B logins</t>
  </si>
  <si>
    <t>1) As Hospital B admin enable login for its doctor and receptionist</t>
  </si>
  <si>
    <t>3 accounts for Hospital B.</t>
  </si>
  <si>
    <t>3 Hospital B logins</t>
  </si>
  <si>
    <t>Isolation</t>
  </si>
  <si>
    <t>Hospital B onboarded</t>
  </si>
  <si>
    <t>Isolation testing needs a real logged-in user on the other side, not just data.</t>
  </si>
  <si>
    <t>users WHERE hospital_id = B</t>
  </si>
  <si>
    <t>TC-P1D-005</t>
  </si>
  <si>
    <t>Duplicate email is rejected</t>
  </si>
  <si>
    <t>1) Try to enable login for a second staff member with +qa.doctor.a</t>
  </si>
  <si>
    <t>Rejected as already in use.</t>
  </si>
  <si>
    <t>Two staff sharing one email means one of them can reset the other's password.</t>
  </si>
  <si>
    <t>users</t>
  </si>
  <si>
    <t>TC-P1D-006</t>
  </si>
  <si>
    <t>Role can be changed after creation</t>
  </si>
  <si>
    <t>1) Change a staff member's role from nurse to receptionist 2) Have them log in again</t>
  </si>
  <si>
    <t>New role applies and the visible navigation changes.</t>
  </si>
  <si>
    <t>Change it back afterwards</t>
  </si>
  <si>
    <t>Staff move between departments. A role that cannot be changed means deleting and recreating the user, losing their audit history.</t>
  </si>
  <si>
    <t>users.role</t>
  </si>
  <si>
    <t>TC-P1D-007</t>
  </si>
  <si>
    <t>Staff can be deactivated</t>
  </si>
  <si>
    <t>1) Set a staff member inactive 2) Verify they cannot log in</t>
  </si>
  <si>
    <t>Deactivation is immediate and effective.</t>
  </si>
  <si>
    <t>Offboarding must actually remove access on the day it happens.</t>
  </si>
  <si>
    <t>TC-P1D-008</t>
  </si>
  <si>
    <t>Reactivated staff can log in again</t>
  </si>
  <si>
    <t>1) Reactivate the user from TC-P1D-007 2) Log in</t>
  </si>
  <si>
    <t>Access restored.</t>
  </si>
  <si>
    <t>Staff return from long leave - reactivation must work without recreating the account.</t>
  </si>
  <si>
    <t>TC-P1D-009</t>
  </si>
  <si>
    <t>Staff list is scoped to the hospital</t>
  </si>
  <si>
    <t>1) As Hospital A admin open Settings &gt; Staff 2) Search for Hospital B staff names</t>
  </si>
  <si>
    <t>Only Hospital A staff are listed. No Hospital B user appears.</t>
  </si>
  <si>
    <t>Dr. Rohan Kulkarni (B)</t>
  </si>
  <si>
    <t>Both hospitals staffed</t>
  </si>
  <si>
    <t>Seeing another hospital's staff list is itself a data leak, before you even reach patients.</t>
  </si>
  <si>
    <t>users filtered by hospital_id</t>
  </si>
  <si>
    <t>TC-P1D-010</t>
  </si>
  <si>
    <t>Staff profile fields save</t>
  </si>
  <si>
    <t>1) Add qualification, registration number and department to a doctor 2) Save</t>
  </si>
  <si>
    <t>All fields persisted.</t>
  </si>
  <si>
    <t>MBBS MD / TSMC-12345</t>
  </si>
  <si>
    <t>HR - credentialing</t>
  </si>
  <si>
    <t>NABH requires proof that the doctor performing a procedure is registered and qualified to do it.</t>
  </si>
  <si>
    <t>staff_profiles</t>
  </si>
  <si>
    <t>TC-P1D-011</t>
  </si>
  <si>
    <t>Doctor creation also creates a consultation fee row</t>
  </si>
  <si>
    <t>1) Create a new doctor with a fee of Rs 600 2) Check service_master</t>
  </si>
  <si>
    <t>A consultation row exists for that doctor at Rs 600.</t>
  </si>
  <si>
    <t>Rs 600</t>
  </si>
  <si>
    <t>OPD billing</t>
  </si>
  <si>
    <t>Departments created</t>
  </si>
  <si>
    <t>A doctor with no fee row causes the hardcoded Rs 500 fallback for every one of their patients.</t>
  </si>
  <si>
    <t>service_master WHERE doctor_id</t>
  </si>
  <si>
    <t>TC-P1D-012</t>
  </si>
  <si>
    <t>Password reset for a staff member</t>
  </si>
  <si>
    <t>1) Admin triggers a password reset for a staff member</t>
  </si>
  <si>
    <t>Reset email sent to that staff member.</t>
  </si>
  <si>
    <t>Ward staff forget passwords weekly. The admin needs to fix it without calling you.</t>
  </si>
  <si>
    <t>TC-P1D-013</t>
  </si>
  <si>
    <t>Non-admin cannot open Settings &gt; Staff</t>
  </si>
  <si>
    <t>1) Log in as +qa.nurse.a 2) Navigate to /settings/staff</t>
  </si>
  <si>
    <t>Blocked or redirected.</t>
  </si>
  <si>
    <t>A nurse who can create logins can create an admin account for themselves.</t>
  </si>
  <si>
    <t>RBAC</t>
  </si>
  <si>
    <t>TC-P1D-014</t>
  </si>
  <si>
    <t>Staff count reflects the plan limit</t>
  </si>
  <si>
    <t>1) Check whether the plan caps user count 2) Attempt to exceed it if capped</t>
  </si>
  <si>
    <t>Either enforced with a clear message or documented as uncapped.</t>
  </si>
  <si>
    <t>17 users</t>
  </si>
  <si>
    <t>Plan set</t>
  </si>
  <si>
    <t>If seats are part of your pricing, an unenforced limit is revenue you never collect.</t>
  </si>
  <si>
    <t>TC-P1D-015</t>
  </si>
  <si>
    <t>Roles offered match the app_role enum</t>
  </si>
  <si>
    <t>1) Open the role dropdown when creating a staff member 2) List every option offered</t>
  </si>
  <si>
    <t>Compare against the 16 enum values in the Mock Data Book.</t>
  </si>
  <si>
    <t>role dropdown</t>
  </si>
  <si>
    <t>Staff screen</t>
  </si>
  <si>
    <t>See the Mock Data Book warning - 32 roles are used in routing but are not in the enum</t>
  </si>
  <si>
    <t>Modules like Blood Bank and Dialysis name a specialist role as their user, but that role cannot be created. Confirm whether this is intended before logging it.</t>
  </si>
  <si>
    <t>SELECT unnest(enum_range(NULL::app_role))</t>
  </si>
  <si>
    <t>TC-P1D-016</t>
  </si>
  <si>
    <t>Creating a role outside the enum fails cleanly</t>
  </si>
  <si>
    <t>1) If the UI offers a role such as quality_officer, select it and save</t>
  </si>
  <si>
    <t>Either it saves via a permission blob rather than the enum, or it errors. It must not fail silently leaving a user with no role.</t>
  </si>
  <si>
    <t>quality_officer</t>
  </si>
  <si>
    <t>Related to TC-P1D-015</t>
  </si>
  <si>
    <t>A user saved with no usable role can log in and see nothing, which looks like a broken product.</t>
  </si>
  <si>
    <t>TC-P1E-001</t>
  </si>
  <si>
    <t>1E RBAC</t>
  </si>
  <si>
    <t>hospital_admin reaches all core routes</t>
  </si>
  <si>
    <t>1) Log in as +qa.admin.a 2) Visit /dashboard /patients /opd /ipd /lab /radiology /pharmacy /billing /accounts /insurance /hr /inventory /settings</t>
  </si>
  <si>
    <t>All load. hospital_admin is a bypass role.</t>
  </si>
  <si>
    <t>All staff created</t>
  </si>
  <si>
    <t>BYPASS_ROLES = super_admin, hospital_admin</t>
  </si>
  <si>
    <t>The admin is the person who configures everything. Blocking them anywhere makes the hospital unusable.</t>
  </si>
  <si>
    <t>e2e/phase-01-foundation/P1E.rbac-route-matrix.spec.ts</t>
  </si>
  <si>
    <t>TC-P1E-002</t>
  </si>
  <si>
    <t>doctor reaches clinical routes</t>
  </si>
  <si>
    <t>1) Log in as +qa.doctor.a 2) Visit /dashboard /opd /ipd /patients /lab /radiology /schedule</t>
  </si>
  <si>
    <t>All load.</t>
  </si>
  <si>
    <t>Clinical</t>
  </si>
  <si>
    <t>A doctor blocked from the OPD queue cannot see patients.</t>
  </si>
  <si>
    <t>TC-P1E-003</t>
  </si>
  <si>
    <t>doctor is blocked from /hr</t>
  </si>
  <si>
    <t>1) As +qa.doctor.a navigate to /hr</t>
  </si>
  <si>
    <t>Blocked or redirected. Payroll data never renders.</t>
  </si>
  <si>
    <t>HR</t>
  </si>
  <si>
    <t>A doctor seeing every colleague's salary is a serious HR incident.</t>
  </si>
  <si>
    <t>TC-P1E-004</t>
  </si>
  <si>
    <t>doctor is blocked from /accounts</t>
  </si>
  <si>
    <t>1) As +qa.doctor.a navigate to /accounts</t>
  </si>
  <si>
    <t>Accounts</t>
  </si>
  <si>
    <t>The hospital's P&amp;L is not clinical information.</t>
  </si>
  <si>
    <t>TC-P1E-005</t>
  </si>
  <si>
    <t>doctor is blocked from /settings</t>
  </si>
  <si>
    <t>1) As +qa.doctor.a navigate to /settings</t>
  </si>
  <si>
    <t>Blocked. Only /settings/profile is reachable as a core route.</t>
  </si>
  <si>
    <t>Settings</t>
  </si>
  <si>
    <t>coreRoutes includes /settings/profile for everyone</t>
  </si>
  <si>
    <t>A doctor who can change consultation fees or permissions can change their own pay and access.</t>
  </si>
  <si>
    <t>TC-P1E-006</t>
  </si>
  <si>
    <t>nurse reaches nursing and clinical routes</t>
  </si>
  <si>
    <t>1) As +qa.nurse.a visit /dashboard /nursing /ipd /patients</t>
  </si>
  <si>
    <t>Nurses are the heaviest users of the system.</t>
  </si>
  <si>
    <t>TC-P1E-007</t>
  </si>
  <si>
    <t>nurse is blocked from /billing /accounts /hr</t>
  </si>
  <si>
    <t>1) As +qa.nurse.a try each route</t>
  </si>
  <si>
    <t>All blocked.</t>
  </si>
  <si>
    <t>Finance HR</t>
  </si>
  <si>
    <t>Clinical staff must not be able to alter bills - it removes the separation between care and money.</t>
  </si>
  <si>
    <t>TC-P1E-008</t>
  </si>
  <si>
    <t>receptionist reaches front-desk routes</t>
  </si>
  <si>
    <t>1) As +qa.reception.a visit /dashboard /patients /opd /schedule</t>
  </si>
  <si>
    <t>Patients OPD</t>
  </si>
  <si>
    <t>The front desk is the entry point for every patient.</t>
  </si>
  <si>
    <t>receptionist A</t>
  </si>
  <si>
    <t>TC-P1E-009</t>
  </si>
  <si>
    <t>receptionist is blocked from /ipd /lab /pharmacy /accounts</t>
  </si>
  <si>
    <t>1) As +qa.reception.a try each</t>
  </si>
  <si>
    <t>Clinical Finance</t>
  </si>
  <si>
    <t>Front-desk staff have no clinical training and no reason to see ward or lab data.</t>
  </si>
  <si>
    <t>TC-P1E-010</t>
  </si>
  <si>
    <t>pharmacist reaches /pharmacy</t>
  </si>
  <si>
    <t>1) As +qa.pharmacist.a visit /pharmacy</t>
  </si>
  <si>
    <t>Loads with both IP and retail modes.</t>
  </si>
  <si>
    <t>Pharmacy</t>
  </si>
  <si>
    <t>Pharmacy is the pharmacist's only workplace in the app.</t>
  </si>
  <si>
    <t>pharmacist A</t>
  </si>
  <si>
    <t>TC-P1E-011</t>
  </si>
  <si>
    <t>pharmacist is blocked from /ipd /billing /hr</t>
  </si>
  <si>
    <t>1) As +qa.pharmacist.a try each</t>
  </si>
  <si>
    <t>IPD Finance</t>
  </si>
  <si>
    <t>A pharmacist who can edit bills can adjust the price of what they dispensed.</t>
  </si>
  <si>
    <t>TC-P1E-012</t>
  </si>
  <si>
    <t>lab_technician reaches /lab</t>
  </si>
  <si>
    <t>1) As +qa.labtech.a visit /lab</t>
  </si>
  <si>
    <t>Loads.</t>
  </si>
  <si>
    <t>Lab</t>
  </si>
  <si>
    <t>Lab staff need the lab.</t>
  </si>
  <si>
    <t>lab_technician A</t>
  </si>
  <si>
    <t>TC-P1E-013</t>
  </si>
  <si>
    <t>lab_tech role also reaches /lab</t>
  </si>
  <si>
    <t>1) As +qa.labtech2.a (role lab_tech) visit /lab</t>
  </si>
  <si>
    <t>Loads. Both lab_tech and lab_technician are permitted.</t>
  </si>
  <si>
    <t>Two enum values exist for the same job - worth confirming this is deliberate</t>
  </si>
  <si>
    <t>Two roles meaning the same thing is a maintenance trap - if one is missed in a permission update, half your lab staff lose access.</t>
  </si>
  <si>
    <t>lab_tech A</t>
  </si>
  <si>
    <t>TC-P1E-014</t>
  </si>
  <si>
    <t>lab_technician is blocked from /radiology /billing</t>
  </si>
  <si>
    <t>1) As +qa.labtech.a try each</t>
  </si>
  <si>
    <t>Blocked.</t>
  </si>
  <si>
    <t>Radiology Finance</t>
  </si>
  <si>
    <t>Lab and radiology are separate departments with separate staff.</t>
  </si>
  <si>
    <t>TC-P1E-015</t>
  </si>
  <si>
    <t>radiologist reaches /radiology</t>
  </si>
  <si>
    <t>1) As +qa.radiologist.a visit /radiology</t>
  </si>
  <si>
    <t>Radiology</t>
  </si>
  <si>
    <t>Reporting is the radiologist's entire job.</t>
  </si>
  <si>
    <t>radiologist A</t>
  </si>
  <si>
    <t>TC-P1E-016</t>
  </si>
  <si>
    <t>radiologist is blocked from /lab /pharmacy /hr</t>
  </si>
  <si>
    <t>1) As +qa.radiologist.a try each</t>
  </si>
  <si>
    <t>Lab Pharmacy HR</t>
  </si>
  <si>
    <t>Least privilege - access only to what the job needs.</t>
  </si>
  <si>
    <t>TC-P1E-017</t>
  </si>
  <si>
    <t>billing_executive reaches finance routes</t>
  </si>
  <si>
    <t>1) As +qa.billing.a visit /billing /billing/closure /payments /insurance /accounts</t>
  </si>
  <si>
    <t>Finance</t>
  </si>
  <si>
    <t>Billing staff need the full revenue cycle.</t>
  </si>
  <si>
    <t>billing_executive A</t>
  </si>
  <si>
    <t>TC-P1E-018</t>
  </si>
  <si>
    <t>billing_executive is blocked from /hr and /settings</t>
  </si>
  <si>
    <t>1) As +qa.billing.a try each</t>
  </si>
  <si>
    <t>HR Settings</t>
  </si>
  <si>
    <t>Billing staff changing service rates could alter prices to benefit themselves.</t>
  </si>
  <si>
    <t>TC-P1E-019</t>
  </si>
  <si>
    <t>billing_staff has narrower access than billing_executive</t>
  </si>
  <si>
    <t>1) As +qa.billing2.a visit /billing then /billing/closure</t>
  </si>
  <si>
    <t>Billing loads. Day closure is NOT in the billing_staff route list - it must be blocked.</t>
  </si>
  <si>
    <t>ROUTE_ROLES['/billing/closure'] excludes billing_staff</t>
  </si>
  <si>
    <t>Day closure locks the cash books. Only a senior person should be able to close a day.</t>
  </si>
  <si>
    <t>billing_staff A</t>
  </si>
  <si>
    <t>TC-P1E-020</t>
  </si>
  <si>
    <t>accountant reaches /accounts</t>
  </si>
  <si>
    <t>1) As +qa.accountant.a visit /accounts /accounts/chart-of-accounts /accounts/journal-workbench</t>
  </si>
  <si>
    <t>The accountant needs the ledger.</t>
  </si>
  <si>
    <t>accountant A</t>
  </si>
  <si>
    <t>TC-P1E-021</t>
  </si>
  <si>
    <t>accountant is blocked from clinical routes</t>
  </si>
  <si>
    <t>1) As +qa.accountant.a try /opd /ipd /patients /lab</t>
  </si>
  <si>
    <t>Finance staff have no clinical need and no consent basis to view patient records.</t>
  </si>
  <si>
    <t>TC-P1E-022</t>
  </si>
  <si>
    <t>cfo reaches financial reporting</t>
  </si>
  <si>
    <t>1) As +qa.cfo.a visit /accounts/financial-statements /accounts/budget /accounts/fixed-assets /analytics/revenue-intelligence</t>
  </si>
  <si>
    <t>Accounts Analytics</t>
  </si>
  <si>
    <t>The CFO's whole job is these four screens.</t>
  </si>
  <si>
    <t>cfo A</t>
  </si>
  <si>
    <t>TC-P1E-023</t>
  </si>
  <si>
    <t>cfo is blocked from clinical routes</t>
  </si>
  <si>
    <t>1) As +qa.cfo.a try /opd /ipd /patients</t>
  </si>
  <si>
    <t>Seniority is not a clinical need. DPDP purpose limitation applies to the CFO too.</t>
  </si>
  <si>
    <t>TC-P1E-024</t>
  </si>
  <si>
    <t>hr_manager reaches /hr only</t>
  </si>
  <si>
    <t>1) As +qa.hr.a visit /hr 2) Then try /opd /billing /accounts</t>
  </si>
  <si>
    <t>HR loads. The others are blocked.</t>
  </si>
  <si>
    <t>HR needs staff data, not patient or financial data.</t>
  </si>
  <si>
    <t>hr_manager A</t>
  </si>
  <si>
    <t>TC-P1E-025</t>
  </si>
  <si>
    <t>insurance_executive reaches /insurance</t>
  </si>
  <si>
    <t>1) As +qa.insurance.a visit /insurance 2) Then try /hr /accounts</t>
  </si>
  <si>
    <t>Insurance loads. The others are blocked.</t>
  </si>
  <si>
    <t>Insurance</t>
  </si>
  <si>
    <t>Insurance desk staff work claims, nothing else.</t>
  </si>
  <si>
    <t>insurance_executive A</t>
  </si>
  <si>
    <t>TC-P1E-026</t>
  </si>
  <si>
    <t>mrd_officer reaches /mrd</t>
  </si>
  <si>
    <t>1) As +qa.mrd.a visit /mrd 2) Then try /billing /hr</t>
  </si>
  <si>
    <t>MRD loads. The others are blocked.</t>
  </si>
  <si>
    <t>MRD</t>
  </si>
  <si>
    <t>MRD sees every record by definition - so everything else must be closed to them.</t>
  </si>
  <si>
    <t>mrd_officer A</t>
  </si>
  <si>
    <t>TC-P1E-027</t>
  </si>
  <si>
    <t>Everyone reaches the core routes</t>
  </si>
  <si>
    <t>1) As each of the 16 roles visit /dashboard /modules /settings/profile /inbox /my-hr</t>
  </si>
  <si>
    <t>All load for every role.</t>
  </si>
  <si>
    <t>coreRoutes are open to every authenticated user</t>
  </si>
  <si>
    <t>Every employee needs their own profile and payslips regardless of role.</t>
  </si>
  <si>
    <t>TC-P1E-028</t>
  </si>
  <si>
    <t>Non-super-admin is blocked from /platform</t>
  </si>
  <si>
    <t>1) As +qa.admin.a (hospital_admin) navigate to /platform</t>
  </si>
  <si>
    <t>Blocked. Platform is your SaaS console not the hospital's.</t>
  </si>
  <si>
    <t>Platform</t>
  </si>
  <si>
    <t>A hospital admin reaching the platform console could change their own plan or see other hospitals.</t>
  </si>
  <si>
    <t>TC-P1E-029</t>
  </si>
  <si>
    <t>Every role is blocked from /platform</t>
  </si>
  <si>
    <t>1) Try /platform as all 16 non-super-admin roles</t>
  </si>
  <si>
    <t>One role slipping through exposes every hospital on the system, not just this one.</t>
  </si>
  <si>
    <t>TC-P1E-030</t>
  </si>
  <si>
    <t>super_admin reaches /platform</t>
  </si>
  <si>
    <t>1) Log in as +qa.superadmin 2) Visit /platform and its sub-routes</t>
  </si>
  <si>
    <t>Super admin exists</t>
  </si>
  <si>
    <t>You need the console to run the business.</t>
  </si>
  <si>
    <t>super_admin</t>
  </si>
  <si>
    <t>TC-P1E-031</t>
  </si>
  <si>
    <t>Blocked route does not flash data before redirecting</t>
  </si>
  <si>
    <t>1) As +qa.nurse.a navigate to /accounts 2) Watch closely and check the network tab</t>
  </si>
  <si>
    <t>No financial data renders even briefly and no data request is made.</t>
  </si>
  <si>
    <t>A client-only redirect that still fetches is a real leak</t>
  </si>
  <si>
    <t>A screen that renders then redirects has already sent the data to the browser - it is a leak even if the user only sees it for a moment.</t>
  </si>
  <si>
    <t>TC-P1E-032</t>
  </si>
  <si>
    <t>Role change takes effect on next login</t>
  </si>
  <si>
    <t>1) Change +qa.nurse.a from nurse to billing_executive 2) Have them log out and back in 3) Try /billing</t>
  </si>
  <si>
    <t>Billing now accessible; nursing routes now blocked.</t>
  </si>
  <si>
    <t>Permissions that do not update leave a transferred employee with their old access indefinitely.</t>
  </si>
  <si>
    <t>TC-P1E-033</t>
  </si>
  <si>
    <t>Custom permission blob overrides the static role</t>
  </si>
  <si>
    <t>1) Settings &gt; Roles 2) Grant nurse view access to billing 3) As the nurse open /billing</t>
  </si>
  <si>
    <t>Access granted. When a permissions row exists it is used INSTEAD of the static role list, not in addition.</t>
  </si>
  <si>
    <t>nurse + billing view</t>
  </si>
  <si>
    <t>Roles screen</t>
  </si>
  <si>
    <t>hasAccess uses ONLY permissions when a row exists - no static fallthrough</t>
  </si>
  <si>
    <t>Hospitals genuinely need custom roles. But because the blob replaces rather than extends the defaults, a partially-filled blob silently removes access the role used to have.</t>
  </si>
  <si>
    <t>role_permissions</t>
  </si>
  <si>
    <t>TC-P1E-034</t>
  </si>
  <si>
    <t>Empty permission blob denies everything</t>
  </si>
  <si>
    <t>1) Set a role's permissions to an empty object 2) Log in as that role 3) Try any module route</t>
  </si>
  <si>
    <t>All module routes denied. Only core routes remain.</t>
  </si>
  <si>
    <t>empty permissions</t>
  </si>
  <si>
    <t>Deliberate - a role with zero permissions is denied not defaulted</t>
  </si>
  <si>
    <t>If an empty permission set fell back to defaults, revoking someone's access would silently do nothing.</t>
  </si>
  <si>
    <t>TC-P1E-035</t>
  </si>
  <si>
    <t>Revoking a permission removes access</t>
  </si>
  <si>
    <t>1) Remove billing view from the modified nurse role 2) Log in again 3) Try /billing</t>
  </si>
  <si>
    <t>Blocked again.</t>
  </si>
  <si>
    <t>nurse minus billing</t>
  </si>
  <si>
    <t>Granting access is easy. Revoking it is what matters when someone changes job or leaves.</t>
  </si>
  <si>
    <t>TC-P1E-036</t>
  </si>
  <si>
    <t>Per-user override withholds from one person</t>
  </si>
  <si>
    <t>1) Apply a user_permission_overrides withhold to one doctor 2) Log in as them 3) Compare with the other doctor</t>
  </si>
  <si>
    <t>Only the overridden user loses that access.</t>
  </si>
  <si>
    <t>Sometimes one individual needs restricting without changing the whole role - e.g. a doctor under investigation.</t>
  </si>
  <si>
    <t>user_permission_overrides</t>
  </si>
  <si>
    <t>TC-P1E-037</t>
  </si>
  <si>
    <t>URL with a query string resolves the same</t>
  </si>
  <si>
    <t>1) As +qa.nurse.a try /accounts?tab=journals</t>
  </si>
  <si>
    <t>Blocked identically to /accounts.</t>
  </si>
  <si>
    <t>Path is normalised by splitting on ?</t>
  </si>
  <si>
    <t>Appending a query string is the most obvious way to try to slip past a naive path check.</t>
  </si>
  <si>
    <t>TC-P1E-038</t>
  </si>
  <si>
    <t>Trailing slash resolves the same</t>
  </si>
  <si>
    <t>1) As +qa.nurse.a try /accounts/</t>
  </si>
  <si>
    <t>Blocked identically.</t>
  </si>
  <si>
    <t>Same reasoning - path normalisation must be complete or it is not a control.</t>
  </si>
  <si>
    <t>TC-P1E-039</t>
  </si>
  <si>
    <t>Unknown route shows 404 not a crash</t>
  </si>
  <si>
    <t>1) Visit /this-route-does-not-exist</t>
  </si>
  <si>
    <t>Clean NotFound page. No stack trace or blank screen.</t>
  </si>
  <si>
    <t>A stack trace on screen tells an attacker what framework and structure you use.</t>
  </si>
  <si>
    <t>TC-P1E-040</t>
  </si>
  <si>
    <t>Sidebar hides routes the role cannot open</t>
  </si>
  <si>
    <t>1) As each role inspect the sidebar</t>
  </si>
  <si>
    <t>Only permitted modules appear. No visible link leads to a blocked page.</t>
  </si>
  <si>
    <t>Showing a link that then denies access makes the product feel broken and generates support calls.</t>
  </si>
  <si>
    <t>TC-P1E-041</t>
  </si>
  <si>
    <t>/modules grid matches actual access</t>
  </si>
  <si>
    <t>1) As +qa.nurse.a open /modules 2) Click every tile shown</t>
  </si>
  <si>
    <t>Every tile shown actually opens.</t>
  </si>
  <si>
    <t>The modules grid is how a new user explores the product. Dead tiles destroy confidence immediately.</t>
  </si>
  <si>
    <t>TC-P1E-042</t>
  </si>
  <si>
    <t>Quality routes with non-enum roles</t>
  </si>
  <si>
    <t>1) Check whether quality_officer or quality_manager can be assigned 2) If not, verify who can open /quality /nabh/compliance /ipc/dashboard</t>
  </si>
  <si>
    <t>Document who can actually reach these. ROUTE_ROLES names roles that are not in the app_role enum.</t>
  </si>
  <si>
    <t>quality routes</t>
  </si>
  <si>
    <t>Quality</t>
  </si>
  <si>
    <t>Directly related to TC-P1D-015</t>
  </si>
  <si>
    <t>The Quality module names quality_officer as its user but that role cannot exist. Either the enum is missing values or the routing is wrong - both are real defects.</t>
  </si>
  <si>
    <t>enum_range(NULL::app_role)</t>
  </si>
  <si>
    <t>TC-P1E-043</t>
  </si>
  <si>
    <t>Blood Bank / CSSD / Dialysis role reachability</t>
  </si>
  <si>
    <t>1) Confirm blood_bank_technician, cssd_technician and dialysis_technician cannot be assigned 2) Determine who can actually open /blood-bank /cssd /dialysis</t>
  </si>
  <si>
    <t>Document the effective access.</t>
  </si>
  <si>
    <t>specialty routes</t>
  </si>
  <si>
    <t>Specialty modules</t>
  </si>
  <si>
    <t>These modules list a specialist as the intended user but only admins can reach them - meaning the actual technician cannot do their job.</t>
  </si>
  <si>
    <t>TC-P1E-044</t>
  </si>
  <si>
    <t>Direct navigation matches sidebar visibility</t>
  </si>
  <si>
    <t>1) For 5 roles compare what the sidebar shows against what direct URL entry allows</t>
  </si>
  <si>
    <t>The two agree exactly in both directions.</t>
  </si>
  <si>
    <t>5 roles</t>
  </si>
  <si>
    <t>A route hidden in the nav but reachable by URL is security by obscurity, which is no security.</t>
  </si>
  <si>
    <t>TC-P1E-045</t>
  </si>
  <si>
    <t>Browser Back after a block does not grant access</t>
  </si>
  <si>
    <t>1) As nurse open /nursing 2) Try /accounts (blocked) 3) Press Back twice</t>
  </si>
  <si>
    <t>Never lands on an accessible /accounts.</t>
  </si>
  <si>
    <t>History navigation is a classic way client-side guards get bypassed.</t>
  </si>
  <si>
    <t>TC-P1F-001</t>
  </si>
  <si>
    <t>1F Tab/Action Gates</t>
  </si>
  <si>
    <t>Receptionist cannot see Complete &amp; Bill</t>
  </si>
  <si>
    <t>1) As +qa.reception.a open an OPD consultation 2) Look for the Complete &amp; Bill action</t>
  </si>
  <si>
    <t>The action is not rendered.</t>
  </si>
  <si>
    <t>OPD Billing</t>
  </si>
  <si>
    <t>Roles configured</t>
  </si>
  <si>
    <t>hasActionAccess('opd','complete_bill')</t>
  </si>
  <si>
    <t>Only a doctor should be able to declare a consultation complete - it closes the clinical record and triggers billing.</t>
  </si>
  <si>
    <t>e2e/phase-01-foundation/P1F.action-gates.spec.ts</t>
  </si>
  <si>
    <t>TC-P1F-002</t>
  </si>
  <si>
    <t>Receptionist cannot see Admit Patient</t>
  </si>
  <si>
    <t>1) As +qa.reception.a open a consultation 2) Look for the Admit action</t>
  </si>
  <si>
    <t>Not rendered.</t>
  </si>
  <si>
    <t>OPD IPD</t>
  </si>
  <si>
    <t>hasActionAccess('opd','admit_patient')</t>
  </si>
  <si>
    <t>Admission is a clinical decision with major financial consequences for the patient.</t>
  </si>
  <si>
    <t>TC-P1F-003</t>
  </si>
  <si>
    <t>Doctor CAN see Complete &amp; Bill and Admit</t>
  </si>
  <si>
    <t>1) As +qa.doctor.a open a consultation</t>
  </si>
  <si>
    <t>Both actions are rendered.</t>
  </si>
  <si>
    <t>OPD IPD Billing</t>
  </si>
  <si>
    <t>The counterpart to the two cases above - the gate must permit as reliably as it denies.</t>
  </si>
  <si>
    <t>TC-P1F-004</t>
  </si>
  <si>
    <t>Nurse cannot approve a discount</t>
  </si>
  <si>
    <t>1) As +qa.nurse.a open the discount approvals inbox if reachable</t>
  </si>
  <si>
    <t>Either not reachable or the Approve action is absent.</t>
  </si>
  <si>
    <t>Discount rules set</t>
  </si>
  <si>
    <t>Discount approval is a financial authority. Anyone able to approve can give money away.</t>
  </si>
  <si>
    <t>TC-P1F-005</t>
  </si>
  <si>
    <t>Tabs within a module are individually gated</t>
  </si>
  <si>
    <t>1) As +qa.reception.a open OPD 2) List the visible tabs 3) Repeat as +qa.doctor.a</t>
  </si>
  <si>
    <t>The two see different tab sets appropriate to their role.</t>
  </si>
  <si>
    <t>reception vs doctor</t>
  </si>
  <si>
    <t>OPD</t>
  </si>
  <si>
    <t>hasTabAccess from src/lib/tabPermissions.ts</t>
  </si>
  <si>
    <t>A receptionist seeing the clinical examination tab can read and alter medical findings.</t>
  </si>
  <si>
    <t>receptionist vs doctor A</t>
  </si>
  <si>
    <t>TC-P1F-006</t>
  </si>
  <si>
    <t>Platform entitlement floor overrides even super_admin</t>
  </si>
  <si>
    <t>1) Identify an action gated by the platform entitlement floor 2) Attempt it as super_admin</t>
  </si>
  <si>
    <t>Still withheld. The floor cannot be overridden locally.</t>
  </si>
  <si>
    <t>Platform config</t>
  </si>
  <si>
    <t>tabPermissions.ts lines ~557-666</t>
  </si>
  <si>
    <t>This is how you enforce plan limits. If a super admin could bypass it, entitlements would be unenforceable.</t>
  </si>
  <si>
    <t>TC-P1F-007</t>
  </si>
  <si>
    <t>Hidden action cannot be triggered by other means</t>
  </si>
  <si>
    <t>1) As +qa.reception.a with Complete &amp; Bill hidden, attempt the same operation via keyboard shortcut or a crafted request</t>
  </si>
  <si>
    <t>Rejected server-side as well as hidden in the UI.</t>
  </si>
  <si>
    <t>Hiding a button is not access control unless the server also refuses</t>
  </si>
  <si>
    <t>A button hidden only in the UI is not a permission - anyone who opens DevTools can still call the underlying operation.</t>
  </si>
  <si>
    <t>opd_encounters; bills - no row created</t>
  </si>
  <si>
    <t>TC-P1F-008</t>
  </si>
  <si>
    <t>Export actions are gated</t>
  </si>
  <si>
    <t>1) As several roles look for export or download actions on patient and financial lists</t>
  </si>
  <si>
    <t>Only permitted roles see them.</t>
  </si>
  <si>
    <t>several roles</t>
  </si>
  <si>
    <t>Bulk export is how data leaves an organisation. It needs tighter control than viewing.</t>
  </si>
  <si>
    <t>several</t>
  </si>
  <si>
    <t>TC-P1F-009</t>
  </si>
  <si>
    <t>Delete actions are gated</t>
  </si>
  <si>
    <t>1) As non-admin roles look for delete actions on master data</t>
  </si>
  <si>
    <t>Not available to non-admin roles.</t>
  </si>
  <si>
    <t>non-admin roles</t>
  </si>
  <si>
    <t>Deleted master data breaks every historical record that referenced it.</t>
  </si>
  <si>
    <t>TC-P1F-010</t>
  </si>
  <si>
    <t>Granular view/create/edit/delete permissions work</t>
  </si>
  <si>
    <t>1) Grant a role view-only on a module 2) Confirm it can read but not create or edit</t>
  </si>
  <si>
    <t>Read works; write actions are absent.</t>
  </si>
  <si>
    <t>view-only role</t>
  </si>
  <si>
    <t>Many roles legitimately need to see without changing - an auditor, a trainee, a referring doctor.</t>
  </si>
  <si>
    <t>custom role</t>
  </si>
  <si>
    <t>TC-P1F-011</t>
  </si>
  <si>
    <t>Legacy string permission format still resolves</t>
  </si>
  <si>
    <t>1) If any role has a legacy 'r' or 'rw' string permission verify it resolves</t>
  </si>
  <si>
    <t>'r' grants view; 'rw' grants view/create/edit/delete.</t>
  </si>
  <si>
    <t>legacy blob</t>
  </si>
  <si>
    <t>Backward compatibility path in hasPermission</t>
  </si>
  <si>
    <t>Older hospitals will have legacy permission blobs. If they stop resolving, existing customers lose access overnight.</t>
  </si>
  <si>
    <t>TC-P1F-012</t>
  </si>
  <si>
    <t>Legacy module parent fallback works</t>
  </si>
  <si>
    <t>1) Check a specialty module such as /dialysis with a blob that only names its legacy parent</t>
  </si>
  <si>
    <t>Resolves via LEGACY_MODULE_PARENT.</t>
  </si>
  <si>
    <t>Specialty</t>
  </si>
  <si>
    <t>Specialty modules used to inherit a parent bucket. Breaking the fallback silently removes access for every existing customer.</t>
  </si>
  <si>
    <t>TC-P1G-001</t>
  </si>
  <si>
    <t>1G Plan Gating</t>
  </si>
  <si>
    <t>Professional plan opens its modules</t>
  </si>
  <si>
    <t>1) As Hospital A (Professional) open the modules included in that plan</t>
  </si>
  <si>
    <t>The customer must get what they paid for.</t>
  </si>
  <si>
    <t>e2e/phase-01-foundation/P1G.plan-gating.spec.ts</t>
  </si>
  <si>
    <t>TC-P1G-002</t>
  </si>
  <si>
    <t>Starter plan blocks higher-tier modules</t>
  </si>
  <si>
    <t>1) As Hospital B (Starter) try to open a Professional-only module</t>
  </si>
  <si>
    <t>Blocked by ModuleGate with an upgrade message rather than a raw error.</t>
  </si>
  <si>
    <t>Hospital B</t>
  </si>
  <si>
    <t>If the plan is not enforced, nobody has any reason to upgrade.</t>
  </si>
  <si>
    <t>TC-P1G-003</t>
  </si>
  <si>
    <t>Plan gate applies to direct URL entry</t>
  </si>
  <si>
    <t>1) As Hospital B paste a blocked module URL directly</t>
  </si>
  <si>
    <t>Blocked identically to clicking.</t>
  </si>
  <si>
    <t>ModuleGate wraps the AppShell Outlet so every route is enforced</t>
  </si>
  <si>
    <t>A gate that only works from the menu is not a gate.</t>
  </si>
  <si>
    <t>TC-P1G-004</t>
  </si>
  <si>
    <t>Upgrading a plan unlocks modules immediately</t>
  </si>
  <si>
    <t>1) As super admin upgrade Hospital B to Professional 2) Refresh Hospital B's session 3) Open a previously blocked module</t>
  </si>
  <si>
    <t>Now accessible.</t>
  </si>
  <si>
    <t>Hospital B upgrade</t>
  </si>
  <si>
    <t>Platform access</t>
  </si>
  <si>
    <t>Realtime channel listens on hospital_module_entitlements</t>
  </si>
  <si>
    <t>A customer who pays for an upgrade and cannot use it for a day will ask for a refund.</t>
  </si>
  <si>
    <t>super_admin then hospital_admin B</t>
  </si>
  <si>
    <t>TC-P1G-005</t>
  </si>
  <si>
    <t>Downgrading a plan re-blocks modules</t>
  </si>
  <si>
    <t>1) Downgrade Hospital B back to Starter 2) Refresh 3) Try the module again</t>
  </si>
  <si>
    <t>Blocked again. Existing data is preserved not deleted.</t>
  </si>
  <si>
    <t>Hospital B downgrade</t>
  </si>
  <si>
    <t>Data must survive a downgrade</t>
  </si>
  <si>
    <t>A downgrade that deletes data makes downgrading catastrophic and traps customers - or loses them permanently.</t>
  </si>
  <si>
    <t>TC-P1G-006</t>
  </si>
  <si>
    <t>Addon withhold hides a single AI feature</t>
  </si>
  <si>
    <t>1) Withhold one AI feature key from Hospital A 2) Open the screen that uses it</t>
  </si>
  <si>
    <t>That AI action is not rendered. Others still are.</t>
  </si>
  <si>
    <t>one AI feature key</t>
  </si>
  <si>
    <t>AI Suite</t>
  </si>
  <si>
    <t>Plan + AI settings</t>
  </si>
  <si>
    <t>AI features are actions of the pseudo-module ai_suite</t>
  </si>
  <si>
    <t>AI features are priced individually. Withholding must be surgical, not all-or-nothing.</t>
  </si>
  <si>
    <t>hospital_feature_overrides</t>
  </si>
  <si>
    <t>TC-P1G-007</t>
  </si>
  <si>
    <t>AI master toggle hides all AI features</t>
  </si>
  <si>
    <t>1) Turn off the AI Features master toggle 2) Check several AI-bearing screens</t>
  </si>
  <si>
    <t>All AI actions hidden.</t>
  </si>
  <si>
    <t>AI master off</t>
  </si>
  <si>
    <t>AI settings</t>
  </si>
  <si>
    <t>Some hospitals will not permit AI on clinical records at all. One switch must satisfy that.</t>
  </si>
  <si>
    <t>hospitals AI flags</t>
  </si>
  <si>
    <t>TC-P1G-008</t>
  </si>
  <si>
    <t>Expired subscription applies a write lock</t>
  </si>
  <si>
    <t>1) Set Hospital B's subscription to expired 2) Try to create any record</t>
  </si>
  <si>
    <t>Reads still work; writes are blocked with a clear renewal message.</t>
  </si>
  <si>
    <t>Hospital B expired</t>
  </si>
  <si>
    <t>src/lib/subscriptionLock.ts</t>
  </si>
  <si>
    <t>Non-payment must stop new work without destroying access to existing records - a hospital still needs to read its own patient history.</t>
  </si>
  <si>
    <t>TC-P1G-009</t>
  </si>
  <si>
    <t>Expired subscription still allows reads</t>
  </si>
  <si>
    <t>1) With Hospital B expired open a patient record</t>
  </si>
  <si>
    <t>Record is readable.</t>
  </si>
  <si>
    <t>Blocking read access to medical records over a billing dispute would be a patient-safety issue and probably unlawful.</t>
  </si>
  <si>
    <t>TC-P1G-010</t>
  </si>
  <si>
    <t>Trial expiry behaves like expiry</t>
  </si>
  <si>
    <t>1) Set Hospital B's trial to expired 2) Attempt a write</t>
  </si>
  <si>
    <t>Same write lock as a paid expiry.</t>
  </si>
  <si>
    <t>Hospital B trial expired</t>
  </si>
  <si>
    <t>An unlimited trial is a free product.</t>
  </si>
  <si>
    <t>TC-P1G-011</t>
  </si>
  <si>
    <t>Blocked module shows an upgrade path not an error</t>
  </si>
  <si>
    <t>1) Trigger any plan block 2) Read the message</t>
  </si>
  <si>
    <t>Clear explanation and a route to upgrade. Not a stack trace or blank page.</t>
  </si>
  <si>
    <t>A gate is also a sales opportunity. A raw error is just a bad experience.</t>
  </si>
  <si>
    <t>TC-P1G-012</t>
  </si>
  <si>
    <t>Entitlement fail-open is logged</t>
  </si>
  <si>
    <t>1) If entitlement resolution fails check entitlement_fail_open_events</t>
  </si>
  <si>
    <t>Any fail-open is recorded for review.</t>
  </si>
  <si>
    <t>Fail-open is safer than locking a hospital out but must be visible</t>
  </si>
  <si>
    <t>Failing open keeps hospitals working during an outage, but an unlogged fail-open means customers silently get free features forever.</t>
  </si>
  <si>
    <t>entitlement_fail_open_events</t>
  </si>
  <si>
    <t>TC-P1H-001</t>
  </si>
  <si>
    <t>1H Tenant Isolation</t>
  </si>
  <si>
    <t>Hospital A cannot list Hospital B patients</t>
  </si>
  <si>
    <t>1) As +qa.doctor.a open /patients 2) Search for PT-QA-0030 and 'Rohan Kulkarni'</t>
  </si>
  <si>
    <t>No result. Hospital B's patient is invisible.</t>
  </si>
  <si>
    <t>PT-QA-0030</t>
  </si>
  <si>
    <t>Both hospitals seeded</t>
  </si>
  <si>
    <t>One hospital seeing another's patients is a reportable data breach that ends the company.</t>
  </si>
  <si>
    <t>patients WHERE hospital_id = B</t>
  </si>
  <si>
    <t>e2e/phase-01-foundation/P1H.tenant-isolation.spec.ts</t>
  </si>
  <si>
    <t>TC-P1H-002</t>
  </si>
  <si>
    <t>Hospital A cannot open a Hospital B patient by UUID</t>
  </si>
  <si>
    <t>1) Get PT-QA-0030's UUID from the DB 2) As +qa.doctor.a paste /patients/&lt;uuid&gt;/summary</t>
  </si>
  <si>
    <t>Blocked or not found. NOTE: no PHI must render even briefly.</t>
  </si>
  <si>
    <t>PT-QA-0030 UUID</t>
  </si>
  <si>
    <t>The classic IDOR test</t>
  </si>
  <si>
    <t>Guessing or leaking a record ID is the most common way multi-tenant systems leak data.</t>
  </si>
  <si>
    <t>TC-P1H-003</t>
  </si>
  <si>
    <t>1) In the browser console as +qa.doctor.a run a supabase select on patients with no filter 2) Inspect the rows</t>
  </si>
  <si>
    <t>Only Hospital A rows return. RLS enforces this at the database.</t>
  </si>
  <si>
    <t>This is the real test - the UI filter is not the control, RLS is</t>
  </si>
  <si>
    <t>Anyone can open DevTools and query directly. If RLS is not the boundary, the UI filter is decoration.</t>
  </si>
  <si>
    <t>patients</t>
  </si>
  <si>
    <t>TC-P1H-004</t>
  </si>
  <si>
    <t>Cross-tenant isolation on bills</t>
  </si>
  <si>
    <t>1) As +qa.billing.a query bills directly with no filter</t>
  </si>
  <si>
    <t>Only Hospital A bills.</t>
  </si>
  <si>
    <t>Another hospital's revenue figures are commercially sensitive as well as confidential.</t>
  </si>
  <si>
    <t>bills</t>
  </si>
  <si>
    <t>TC-P1H-005</t>
  </si>
  <si>
    <t>Cross-tenant isolation on insurance_claims</t>
  </si>
  <si>
    <t>1) As +qa.insurance.a query insurance_claims directly</t>
  </si>
  <si>
    <t>Only Hospital A rows. NOTE: this query has NO hospital_id filter in the code and relies entirely on RLS.</t>
  </si>
  <si>
    <t>ClaimsStatus.tsx line 128 - highest-risk query in the app</t>
  </si>
  <si>
    <t>This is one of two places found that fetch without a hospital filter. If RLS is ever misconfigured, this leaks first.</t>
  </si>
  <si>
    <t>insurance_claims</t>
  </si>
  <si>
    <t>TC-P1H-006</t>
  </si>
  <si>
    <t>Cross-tenant isolation on denial_logs</t>
  </si>
  <si>
    <t>1) As +qa.insurance.a query denial_logs directly</t>
  </si>
  <si>
    <t>Only Hospital A rows.</t>
  </si>
  <si>
    <t>ClaimsStatus.tsx line 170 - same risk as above</t>
  </si>
  <si>
    <t>Second of the two unfiltered queries. Same exposure.</t>
  </si>
  <si>
    <t>denial_logs</t>
  </si>
  <si>
    <t>TC-P1H-007</t>
  </si>
  <si>
    <t>Cross-tenant isolation on admissions and beds</t>
  </si>
  <si>
    <t>1) As +qa.doctor.a query admissions and beds directly</t>
  </si>
  <si>
    <t>Bed occupancy is operationally sensitive and the admissions table carries diagnoses.</t>
  </si>
  <si>
    <t>admissions; beds</t>
  </si>
  <si>
    <t>TC-P1H-008</t>
  </si>
  <si>
    <t>Cross-tenant isolation on prescriptions and lab_orders</t>
  </si>
  <si>
    <t>1) As +qa.doctor.a query prescriptions and lab_orders directly</t>
  </si>
  <si>
    <t>OPD Lab</t>
  </si>
  <si>
    <t>Prescriptions and results are the most sensitive category of health data.</t>
  </si>
  <si>
    <t>prescriptions; lab_orders</t>
  </si>
  <si>
    <t>TC-P1H-009</t>
  </si>
  <si>
    <t>Cross-tenant isolation on users and staff</t>
  </si>
  <si>
    <t>1) As +qa.admin.a query users directly</t>
  </si>
  <si>
    <t>Only Hospital A staff.</t>
  </si>
  <si>
    <t>Staff names and emails of another hospital are both a privacy issue and a competitive one.</t>
  </si>
  <si>
    <t>TC-P1H-010</t>
  </si>
  <si>
    <t>Cross-tenant write is rejected</t>
  </si>
  <si>
    <t>1) As +qa.doctor.a attempt to insert a row with Hospital B's hospital_id</t>
  </si>
  <si>
    <t>Rejected by RLS.</t>
  </si>
  <si>
    <t>Hospital B hospital_id</t>
  </si>
  <si>
    <t>Reading another tenant's data is bad. Writing into it is worse - it corrupts their records.</t>
  </si>
  <si>
    <t>any table - no row created</t>
  </si>
  <si>
    <t>TC-P1H-011</t>
  </si>
  <si>
    <t>Cross-tenant update is rejected</t>
  </si>
  <si>
    <t>1) As +qa.doctor.a attempt to update a Hospital B patient row by UUID</t>
  </si>
  <si>
    <t>Rejected. Row unchanged.</t>
  </si>
  <si>
    <t>An attacker who cannot read but can write can still destroy another hospital's records.</t>
  </si>
  <si>
    <t>patients - row unchanged</t>
  </si>
  <si>
    <t>TC-P1H-012</t>
  </si>
  <si>
    <t>Stale session context after a hospital move</t>
  </si>
  <si>
    <t>1) Note the hms_ctx_* sessionStorage key as +qa.doctor.a 2) As super admin move that user to Hospital B 3) WITHOUT logging out refresh the page 4) Observe which hospital's data shows</t>
  </si>
  <si>
    <t>Must resolve to Hospital B or force a re-auth. NOTE: the cache is only cleared on sign-out, so this may show stale Hospital A data - if so, log P1.</t>
  </si>
  <si>
    <t>HospitalContext caches in sessionStorage and revalidates in the background</t>
  </si>
  <si>
    <t>A user moved between hospitals who keeps the old tenant is actively looking at the wrong hospital's patients.</t>
  </si>
  <si>
    <t>TC-P1H-013</t>
  </si>
  <si>
    <t>Service role key is not in the client bundle</t>
  </si>
  <si>
    <t>1) Build the app 2) Search dist/ for the service role key and for 'service_role'</t>
  </si>
  <si>
    <t>Not present anywhere in the client bundle.</t>
  </si>
  <si>
    <t>Build produced</t>
  </si>
  <si>
    <t>npm run build then grep dist/</t>
  </si>
  <si>
    <t>The service role key bypasses all RLS. If it ships to the browser, every tenant boundary in the product is gone.</t>
  </si>
  <si>
    <t>TC-P1H-014</t>
  </si>
  <si>
    <t>No PHI in console output</t>
  </si>
  <si>
    <t>1) Log in and walk OPD IPD and Billing with the console open 2) Review every logged line</t>
  </si>
  <si>
    <t>No patient name UHID phone or diagnosis appears in any console message.</t>
  </si>
  <si>
    <t>PT-QA-0001</t>
  </si>
  <si>
    <t>DPDP requirement - PHI must not appear in logs</t>
  </si>
  <si>
    <t>Console logs get captured by browser extensions, error trackers and screen shares. PHI there is a breach.</t>
  </si>
  <si>
    <t>TC-P1H-015</t>
  </si>
  <si>
    <t>Error messages do not leak PHI</t>
  </si>
  <si>
    <t>1) Deliberately trigger errors (bad ID, blocked action) 2) Read every message</t>
  </si>
  <si>
    <t>Messages are generic. No patient identifiers or SQL fragments.</t>
  </si>
  <si>
    <t>Error messages are shown to users and logged to third-party services. Both are places PHI must never reach.</t>
  </si>
  <si>
    <t>TC-P1H-016</t>
  </si>
  <si>
    <t>Bill number sequences are per-hospital</t>
  </si>
  <si>
    <t>1) Create a bill in Hospital A and one in Hospital B 2) Compare the numbers</t>
  </si>
  <si>
    <t>Independent sequences. Neither continues the other's numbering.</t>
  </si>
  <si>
    <t>both hospitals</t>
  </si>
  <si>
    <t>bill_sequences is keyed per hospital</t>
  </si>
  <si>
    <t>Shared invoice numbering between two hospitals means duplicate invoice numbers under different GSTINs - a tax compliance failure.</t>
  </si>
  <si>
    <t>billing_executive both</t>
  </si>
  <si>
    <t>bill_sequences</t>
  </si>
  <si>
    <t>TC-P1I-001</t>
  </si>
  <si>
    <t>1I Go Live</t>
  </si>
  <si>
    <t>Go-live checklist page loads</t>
  </si>
  <si>
    <t>1) As +qa.admin.a open /admin/go-live</t>
  </si>
  <si>
    <t>Loads with the checklist.</t>
  </si>
  <si>
    <t>Onboarding complete</t>
  </si>
  <si>
    <t>This is the hospital's own readiness gate before they start using the system for real patients.</t>
  </si>
  <si>
    <t>e2e/phase-01-foundation/P1I.go-live.spec.ts</t>
  </si>
  <si>
    <t>TC-P1I-002</t>
  </si>
  <si>
    <t>Checklist reflects actual configuration state</t>
  </si>
  <si>
    <t>1) With departments and wards configured but no drugs 2) Review the checklist</t>
  </si>
  <si>
    <t>Completed items show complete; the drug item shows incomplete.</t>
  </si>
  <si>
    <t>partial config</t>
  </si>
  <si>
    <t>Partial onboarding</t>
  </si>
  <si>
    <t>A checklist that does not check anything is theatre. It must read the real state.</t>
  </si>
  <si>
    <t>various master tables</t>
  </si>
  <si>
    <t>TC-P1I-003</t>
  </si>
  <si>
    <t>Checklist items link to the right settings screen</t>
  </si>
  <si>
    <t>1) Click an incomplete item</t>
  </si>
  <si>
    <t>Navigates to the screen that fixes it.</t>
  </si>
  <si>
    <t>Telling someone what is missing without showing them where to fix it just creates a support call.</t>
  </si>
  <si>
    <t>TC-P1I-004</t>
  </si>
  <si>
    <t>Non-admin cannot open go-live</t>
  </si>
  <si>
    <t>1) As +qa.doctor.a navigate to /admin/go-live</t>
  </si>
  <si>
    <t>Declaring a hospital live is an administrative decision.</t>
  </si>
  <si>
    <t>TC-P1I-005</t>
  </si>
  <si>
    <t>Critical prerequisites are flagged</t>
  </si>
  <si>
    <t>1) Remove rate_per_day from a ward 2) Remove all consultation fees 3) Review the checklist</t>
  </si>
  <si>
    <t>These should be flagged. NOTE: if the checklist passes without them, log P1 - these are the two silent Rs 500 fallbacks.</t>
  </si>
  <si>
    <t>ward without rate; no fees</t>
  </si>
  <si>
    <t>IPD Billing OPD</t>
  </si>
  <si>
    <t>The two most damaging silent failures in the product</t>
  </si>
  <si>
    <t>A hospital going live without consultation fees or room rates will under-bill every single patient and not know for months.</t>
  </si>
  <si>
    <t>wards.rate_per_day; service_master</t>
  </si>
  <si>
    <t>TC-P1I-006</t>
  </si>
  <si>
    <t>Data migration page loads</t>
  </si>
  <si>
    <t>1) As +qa.admin.a open /admin/data-migration</t>
  </si>
  <si>
    <t>Every hospital switching from another system needs to bring its patient list with it. This is often the deal-breaker.</t>
  </si>
  <si>
    <t>TC-P2A-001</t>
  </si>
  <si>
    <t>2A Settings Hub</t>
  </si>
  <si>
    <t>Settings hub loads with heading, subtitle and search box</t>
  </si>
  <si>
    <t>1) Log in as hospital_admin (Hospital A) 2) Open /settings 3) Observe the header</t>
  </si>
  <si>
    <t>Heading "Settings" and subtitle "Configure your hospital system" render, with a search box placeholdered "Search settings or a module…". No red console errors.</t>
  </si>
  <si>
    <t>Staff logins — hospital_admin (Hospital A)</t>
  </si>
  <si>
    <t>Tier 0: hospital_admin can reach /settings (Phase 1 §1E)</t>
  </si>
  <si>
    <t>The hub is the only doorway to all 50 configuration screens. If it fails to render, a hospital cannot configure anything and go-live stops dead.</t>
  </si>
  <si>
    <t>hospital_admin (Hospital A)</t>
  </si>
  <si>
    <t>None — pure UI render</t>
  </si>
  <si>
    <t>e2e/phase-02-settings/P2A.hub.spec.ts</t>
  </si>
  <si>
    <t>TC-P2A-002</t>
  </si>
  <si>
    <t>Every routable /settings/* route has a catalogue entry</t>
  </si>
  <si>
    <t>1) Open /settings 2) Compare the rendered card routes against the 50 settings routes registered in src/App.tsx</t>
  </si>
  <si>
    <t>All 50 App.tsx /settings/* routes appear in the catalogue. Zero routes are reachable only by typing the URL.</t>
  </si>
  <si>
    <t>settings.helpers.ts SETTINGS_SCREENS (50 routes)</t>
  </si>
  <si>
    <t>Automated: passed.</t>
  </si>
  <si>
    <t xml:space="preserve">Failed to load resource: the server responded with a status of 404 ()
Failed to load resource: the server responded with a status of 404 ()
TypeError: Failed to fetch
    at guardedFetch (http://localhost:8080/src/integrations/supabase/client.ts:22:9)
    at http://localhost:8080/node_modules/.vite/deps/@supabase_supabase-js.js?v=e6ce90e1:12801:39
    at _handleRequest (http://localhost:8080/node_modules/.vite/deps/@supabase_supabase-js.js?v=e6ce90e1:13067:18)
    at _request (http://localhost:8080/node_modules/.vite/deps/@supabase_supabase-js.js?v=e6ce90e1:13054:21)
    at http://localhost:80
…(truncated)</t>
  </si>
  <si>
    <t>N</t>
  </si>
  <si>
    <t>settingsCatalog.ts exists because six settings routes once had no card and were unreachable by browsing OR search. A screen a hospital cannot find is a screen it never configures, and every silent-fallback defect downstream starts there.</t>
  </si>
  <si>
    <t>Cross-Module</t>
  </si>
  <si>
    <t>None — compares App.tsx routes to the rendered catalogue</t>
  </si>
  <si>
    <t>TC-P2A-003</t>
  </si>
  <si>
    <t>Two alias cards point at a route another card already owns</t>
  </si>
  <si>
    <t>1) Open /settings 2) Count the rendered cards 3) Locate "Self-Service Kiosk" and "WhatsApp / WATI"</t>
  </si>
  <si>
    <t>52 cards render for 50 distinct routes. "Self-Service Kiosk" opens /settings/tv-display and "WhatsApp / WATI" opens /settings/whatsapp — the same routes as "TV Queue Display" and "WhatsApp Bot".</t>
  </si>
  <si>
    <t>settings.helpers.ts ALIAS_CARDS</t>
  </si>
  <si>
    <t>TV Display, CRM</t>
  </si>
  <si>
    <t>One route legitimately serves two jobs, so a receptionist searching "kiosk" still lands somewhere useful. Recorded deliberately so a future card count of 52 against 50 routes is not mistaken for a duplicate-registration bug.</t>
  </si>
  <si>
    <t>TC-P2A-004</t>
  </si>
  <si>
    <t>Groups render in the declared SETTINGS_GROUP_ORDER</t>
  </si>
  <si>
    <t>1) Open /settings 2) Read the group headings top to bottom</t>
  </si>
  <si>
    <t>Groups appear in order: Identity, Plan &amp; Modules, Structure, People &amp; Access, Clinical, Queue Display &amp; Kiosk, Workflows, Integrations, Inventory &amp; Stores, Audit &amp; Compliance, Go-Live &amp; Migration.</t>
  </si>
  <si>
    <t>settingsCatalog.ts SETTINGS_GROUP_ORDER</t>
  </si>
  <si>
    <t>The order is the configuration order — Identity and Structure must come before Clinical, or an administrator works the grid top to bottom and hits prerequisites that do not exist yet.</t>
  </si>
  <si>
    <t>TC-P2A-005</t>
  </si>
  <si>
    <t>Clicking the Departments card navigates to /settings/departments</t>
  </si>
  <si>
    <t>1) Open /settings 2) Click the "Departments" card</t>
  </si>
  <si>
    <t>The browser lands on /settings/departments and the Departments screen renders.</t>
  </si>
  <si>
    <t>settings.helpers.ts SETTINGS_SCREENS — /settings/departments</t>
  </si>
  <si>
    <t>OPD, IPD, HR</t>
  </si>
  <si>
    <t>Cards are buttons, not links, so navigation is JavaScript. If a card stops navigating there is no href fallback and the screen becomes unreachable by browsing.</t>
  </si>
  <si>
    <t>None — client-side navigation</t>
  </si>
  <si>
    <t>TC-P2A-006</t>
  </si>
  <si>
    <t>Searching "pharmacy" surfaces the pages that actually configure Pharmacy</t>
  </si>
  <si>
    <t>1) Open /settings 2) Type "pharmacy" into the search box</t>
  </si>
  <si>
    <t>Drug Formulary appears under direct matches, and cross-cutting pages that configure pharmacy (Configurable Dropdowns, Staff, IPD Ancillary Payment, Store Locations) appear in the separate "Also configures" bucket.</t>
  </si>
  <si>
    <t>settingsCatalog.ts MODULE_ALIASES — pharmacy</t>
  </si>
  <si>
    <t xml:space="preserve">Automated: FAILED.
Error: A nurse reached /settings by typing the URL. Settings is where consultation fees, role permissions and plan entitlements live — this is a privilege-escalation path, not a navigation inconvenience.
expect(received).toBeTruthy()
Received: false</t>
  </si>
  <si>
    <t>Y</t>
  </si>
  <si>
    <t>Module-name search was rewritten because "pharmacy" used to return almost nothing — the word appears in none of the relevant card titles. An administrator who cannot find the drug route dropdown reports "OPD prescribing is broken" instead.</t>
  </si>
  <si>
    <t>None — pure UI search</t>
  </si>
  <si>
    <t>TC-P2A-007</t>
  </si>
  <si>
    <t>Searching the alias "pathology" surfaces Lab Test Master</t>
  </si>
  <si>
    <t>1) Open /settings 2) Type "pathology" into the search box</t>
  </si>
  <si>
    <t>Lab Test Master appears in the results even though the word "pathology" is in neither its title nor its description.</t>
  </si>
  <si>
    <t>settingsCatalog.ts MODULE_ALIASES — lab</t>
  </si>
  <si>
    <t xml:space="preserve">Automated: FAILED.
Error: Settings is hidden from the receptionist sidebar but still reachable by typing the URL. That is security by obscurity — the same finding Phase 1 recorded against plan gating in TC-P1G-003.
expect(received).toBeTruthy()
Received: false</t>
  </si>
  <si>
    <t>Indian hospitals say pathology, not laboratory. Matching only the product's own vocabulary means the people who need the screen cannot find it.</t>
  </si>
  <si>
    <t>TC-P2A-008</t>
  </si>
  <si>
    <t>Searching the alias "theatre" surfaces the OT Checklist</t>
  </si>
  <si>
    <t>1) Open /settings 2) Type "theatre" into the search box</t>
  </si>
  <si>
    <t>OT Checklist appears in the results. The Indian English spelling "theatre" matches, not only "theater".</t>
  </si>
  <si>
    <t>settingsCatalog.ts MODULE_ALIASES — ot</t>
  </si>
  <si>
    <t>OT, Anaesthesia</t>
  </si>
  <si>
    <t>Indian English is the house style for this product. A search that only answers to the American spelling fails the users it was written for.</t>
  </si>
  <si>
    <t>TC-P2A-009</t>
  </si>
  <si>
    <t>Searching the alias "x-ray" surfaces Radiology Modalities</t>
  </si>
  <si>
    <t>1) Open /settings 2) Type "x-ray" into the search box</t>
  </si>
  <si>
    <t>Radiology Modalities appears in the results. The hyphenated form matches.</t>
  </si>
  <si>
    <t>settingsCatalog.ts MODULE_ALIASES — radiology</t>
  </si>
  <si>
    <t>Radiology modalities must be created before studies, or the module shows "No studies configured". Users search for the machine name they know, not the word "modality".</t>
  </si>
  <si>
    <t>TC-P2A-010</t>
  </si>
  <si>
    <t>Searching the alias "TPA" surfaces Payer Masters</t>
  </si>
  <si>
    <t>1) Open /settings 2) Type "TPA" into the search box</t>
  </si>
  <si>
    <t>Payer Masters appears in the results, matched case-insensitively on the insurance alias.</t>
  </si>
  <si>
    <t>settingsCatalog.ts MODULE_ALIASES — insurance</t>
  </si>
  <si>
    <t>Insurance, Billing</t>
  </si>
  <si>
    <t>Without a payer master there is no insurance selection at admission, so every insured patient is booked as cash. Billing staff search "TPA" — that is the only word they use.</t>
  </si>
  <si>
    <t>TC-P2A-011</t>
  </si>
  <si>
    <t>Searching the alias "ayushman" surfaces the PMJAY-related pages</t>
  </si>
  <si>
    <t>1) Open /settings 2) Type "ayushman" into the search box</t>
  </si>
  <si>
    <t>Payer Masters and Configurable Dropdowns (government_schemes) appear in the results.</t>
  </si>
  <si>
    <t>settingsCatalog.ts MODULE_ALIASES — pmjay</t>
  </si>
  <si>
    <t>PMJAY, Insurance, Billing</t>
  </si>
  <si>
    <t>PMJAY empanelment is a common sales trigger, and Ayushman Bharat is the name every Indian hospital uses. Missing it means a new customer cannot configure the scheme that made them buy.</t>
  </si>
  <si>
    <t>TC-P2A-012</t>
  </si>
  <si>
    <t>Searching the alias "payroll" surfaces the HR-related settings</t>
  </si>
  <si>
    <t>1) Open /settings 2) Type "payroll" into the search box</t>
  </si>
  <si>
    <t>Staff Members and Shifts appear in the results via the HR alias.</t>
  </si>
  <si>
    <t>settingsCatalog.ts MODULE_ALIASES — hr</t>
  </si>
  <si>
    <t>Salary fields live on the Staff screen, not on a page called Payroll. Without the alias an HR manager cannot find where to enter them.</t>
  </si>
  <si>
    <t>TC-P2A-013</t>
  </si>
  <si>
    <t>Searching the alias "nabh" surfaces the quality and retention pages</t>
  </si>
  <si>
    <t>1) Open /settings 2) Type "nabh" into the search box</t>
  </si>
  <si>
    <t>Record Retention and Record Access Log appear in the results.</t>
  </si>
  <si>
    <t>settingsCatalog.ts MODULE_ALIASES — quality</t>
  </si>
  <si>
    <t>Quality, MRD</t>
  </si>
  <si>
    <t>NABH accreditation is the reason many hospitals buy this product. During a mock assessment the quality officer needs the retention policy screen in seconds, not after browsing eleven groups.</t>
  </si>
  <si>
    <t>TC-P2A-014</t>
  </si>
  <si>
    <t>Searching a page title matches directly and highlights the matched text</t>
  </si>
  <si>
    <t>1) Open /settings 2) Type "Wards" into the search box</t>
  </si>
  <si>
    <t>The "Wards &amp; Beds" card appears and the matched substring is highlighted in the card title.</t>
  </si>
  <si>
    <t>settingsCatalog.ts — Wards &amp; Beds entry</t>
  </si>
  <si>
    <t>Title search is the path most users take. Highlighting is what tells them why a card matched when the reason is a keyword they cannot see.</t>
  </si>
  <si>
    <t>TC-P2A-015</t>
  </si>
  <si>
    <t>Searching a keyword absent from both title and description still matches</t>
  </si>
  <si>
    <t>1) Open /settings 2) Type "letterhead" into the search box</t>
  </si>
  <si>
    <t>The Branding card appears, matched on its keywords array rather than its visible text.</t>
  </si>
  <si>
    <t>settingsCatalog.ts — Branding keywords</t>
  </si>
  <si>
    <t>Billing, MRD</t>
  </si>
  <si>
    <t>Keywords exist so the search answers the words users actually type. If only visible text matched, the keywords array would be dead weight and nobody would notice it had stopped working.</t>
  </si>
  <si>
    <t>TC-P2A-016</t>
  </si>
  <si>
    <t>A search with no matches shows the empty state quoting what was typed</t>
  </si>
  <si>
    <t>1) Open /settings 2) Type "zzzznotathing" into the search box</t>
  </si>
  <si>
    <t>The message "No settings found for 'zzzznotathing'" renders. No cards are shown, and the page does not error or go blank.</t>
  </si>
  <si>
    <t>Literal search string zzzznotathing</t>
  </si>
  <si>
    <t>A blank screen reads as a crash. Quoting the term back tells the user the search worked and the word was simply wrong, which is the difference between retyping and raising a support ticket.</t>
  </si>
  <si>
    <t>TC-P2A-017</t>
  </si>
  <si>
    <t>Cross-cutting pages appear in their own bucket, not mixed into direct hits</t>
  </si>
  <si>
    <t>1) Open /settings 2) Type "lab" into the search box 3) Read the two result headings</t>
  </si>
  <si>
    <t>Direct matches appear under a "…settings (N)" heading and cross-cutting pages under a separate "Also configures … (N)" heading.</t>
  </si>
  <si>
    <t>settingsCatalog.ts crossCutting flag</t>
  </si>
  <si>
    <t>Staff, Roles and Dropdowns configure every module. Merged into the results they drown the two or three pages the user actually wanted.</t>
  </si>
  <si>
    <t>TC-P2A-018</t>
  </si>
  <si>
    <t>A module search deep-links Configurable Dropdowns to the right category</t>
  </si>
  <si>
    <t>1) Open /settings 2) Type "pharmacy" 3) Click the "Configurable Dropdowns" card in the "Also configures" bucket</t>
  </si>
  <si>
    <t>The browser lands on /settings/config-values?cat=drug_routes, not the bare /settings/config-values.</t>
  </si>
  <si>
    <t>settingsCatalog.ts moduleDeepLinks — pharmacy</t>
  </si>
  <si>
    <t>Pharmacy, OPD</t>
  </si>
  <si>
    <t>There are 23 dropdown categories. Landing on the bare page means hunting for drug_routes, and an empty route list is the single most common false "OPD is broken" report.</t>
  </si>
  <si>
    <t>None — client-side navigation with a query string</t>
  </si>
  <si>
    <t>TC-P2A-019</t>
  </si>
  <si>
    <t>Search is case-insensitive</t>
  </si>
  <si>
    <t>1) Open /settings 2) Type "PHARMACY" in capitals 3) Note the result count 4) Replace it with "pharmacy" in lower case</t>
  </si>
  <si>
    <t>Both spellings return an identical set of cards.</t>
  </si>
  <si>
    <t>Staff type with caps lock on more often than anyone designing a search box expects, and a case-sensitive miss looks exactly like a missing feature.</t>
  </si>
  <si>
    <t>TC-P2A-020</t>
  </si>
  <si>
    <t>Clearing the search box restores the full browse grid</t>
  </si>
  <si>
    <t>1) Open /settings 2) Type "pharmacy" 3) Clear the search box</t>
  </si>
  <si>
    <t>All eleven groups and all 52 cards render again, in SETTINGS_GROUP_ORDER.</t>
  </si>
  <si>
    <t>settingsCatalog.ts SETTINGS_CATALOG</t>
  </si>
  <si>
    <t>A search box that traps the user in a filtered view forces a page reload to get back, and a reload mid-configuration is where unsaved work is lost.</t>
  </si>
  <si>
    <t>TC-P2B-001</t>
  </si>
  <si>
    <t>2B Identity</t>
  </si>
  <si>
    <t>Language &amp; Region screen loads with all six controls</t>
  </si>
  <si>
    <t>1) Log in as hospital_admin (Hospital A) 2) Open /settings/language 3) Read the form</t>
  </si>
  <si>
    <t>Interface Language, Date Format, Time Format, Currency, Timezone and Number Format all render, with a Save Changes action. No red console errors.</t>
  </si>
  <si>
    <t>phase2.entry./settings/language — timeFormat 24, dateFormat DD/MM/YYYY, numberFormat indian</t>
  </si>
  <si>
    <t>All modules, Billing, MRD</t>
  </si>
  <si>
    <t>Tier 0: hospital profile created; hospital_admin can reach /settings</t>
  </si>
  <si>
    <t>These six settings decide how every date and amount in the product is rendered, including on documents a patient keeps. A screen that will not load leaves the hospital on defaults it never chose.</t>
  </si>
  <si>
    <t>e2e/phase-02-settings/P2B.identity.language.spec.ts</t>
  </si>
  <si>
    <t>TC-P2B-002</t>
  </si>
  <si>
    <t>The shipped defaults are Indian conventions</t>
  </si>
  <si>
    <t>1) Ensure no language_region row exists for Hospital A 2) Open /settings/language 3) Read every control</t>
  </si>
  <si>
    <t>Interface Language English, Date Format DD/MM/YYYY, Time Format 12-hour, Currency ₹ Indian Rupee (INR), Timezone Asia/Kolkata (IST), Number Format Indian (1,00,000).</t>
  </si>
  <si>
    <t>src/lib/languageRegion.ts DEFAULT_LANGUAGE_REGION</t>
  </si>
  <si>
    <t>A hospital that never opens this screen must still print dates a patient in Hyderabad can read. A default of MM/DD/YYYY would render 08/12/2026 as an August date on every discharge summary in the building.</t>
  </si>
  <si>
    <t>hospital_settings where hospital_id = A and key = 'language_region' → absent, and the UI shows Indian defaults</t>
  </si>
  <si>
    <t>TC-P2B-003</t>
  </si>
  <si>
    <t>Interface Language offers exactly the seven supported languages</t>
  </si>
  <si>
    <t>1) Open /settings/language 2) Open the Interface Language dropdown 3) List every option</t>
  </si>
  <si>
    <t>Exactly seven options — English, Hindi, Telugu, Tamil, Kannada, Malayalam, Marathi. No more, no fewer.</t>
  </si>
  <si>
    <t>phase2.dropdowns.interfaceLanguage — 7 values</t>
  </si>
  <si>
    <t>An option offered but unsupported downstream leaves the interface half-translated. One missing means a hospital in that state cannot use the product in the language its staff read.</t>
  </si>
  <si>
    <t>None — reads the option list</t>
  </si>
  <si>
    <t>TC-P2B-004</t>
  </si>
  <si>
    <t>Date Format offers exactly three options</t>
  </si>
  <si>
    <t>1) Open /settings/language 2) Read the Date Format radio group</t>
  </si>
  <si>
    <t>Exactly three options — DD/MM/YYYY, MM/DD/YYYY, YYYY-MM-DD.</t>
  </si>
  <si>
    <t>phase2.dropdowns.dateFormat — 3 values</t>
  </si>
  <si>
    <t>All modules, MRD, Billing</t>
  </si>
  <si>
    <t>Date format is the setting most likely to cause a clinical misreading. Every option offered must be one the renderer actually implements, or a date silently renders in a format nobody chose.</t>
  </si>
  <si>
    <t>TC-P2B-005</t>
  </si>
  <si>
    <t>Time Format offers exactly two options</t>
  </si>
  <si>
    <t>1) Open /settings/language 2) Read the Time Format radio group</t>
  </si>
  <si>
    <t>Exactly two options — 12-hour (2:30 PM) and 24-hour (14:30).</t>
  </si>
  <si>
    <t>phase2.dropdowns.timeFormat — 12 and 24</t>
  </si>
  <si>
    <t>IPD, Nursing, OT, Emergency</t>
  </si>
  <si>
    <t>Drug administration times and OT slots are recorded against the clock. Ambiguity between 2:30 and 14:30 on a medication chart is a dosing-time error.</t>
  </si>
  <si>
    <t>TC-P2B-006</t>
  </si>
  <si>
    <t>Currency offers exactly four options</t>
  </si>
  <si>
    <t>1) Open /settings/language 2) Open the Currency dropdown 3) List every option</t>
  </si>
  <si>
    <t>Exactly four options — ₹ Indian Rupee (INR), AED (UAE), USD, GBP.</t>
  </si>
  <si>
    <t>phase2.dropdowns.currency — 4 values</t>
  </si>
  <si>
    <t>Billing, Accounts, Payments</t>
  </si>
  <si>
    <t>Currency drives every money display and every printed bill. An unsupported currency offered here would render amounts with no symbol at all.</t>
  </si>
  <si>
    <t>TC-P2B-007</t>
  </si>
  <si>
    <t>Timezone offers exactly four options</t>
  </si>
  <si>
    <t>1) Open /settings/language 2) Open the Timezone dropdown 3) List every option</t>
  </si>
  <si>
    <t>Exactly four options — Asia/Kolkata (IST), Asia/Dubai (GST), America/New_York (EST), Europe/London (GMT).</t>
  </si>
  <si>
    <t>phase2.dropdowns.timezone — 4 values</t>
  </si>
  <si>
    <t>IPD, Nursing, Lab, Analytics</t>
  </si>
  <si>
    <t>Timezone decides when a day closes and which date a midnight admission is recorded against. A wrong zone moves the whole day-closure boundary and misstates daily collections.</t>
  </si>
  <si>
    <t>TC-P2B-008</t>
  </si>
  <si>
    <t>Number Format offers exactly two options</t>
  </si>
  <si>
    <t>1) Open /settings/language 2) Read the Number Format radio group</t>
  </si>
  <si>
    <t>Exactly two options — Indian (1,00,000) and International (100,000).</t>
  </si>
  <si>
    <t>phase2.dropdowns.numberFormat — indian and international</t>
  </si>
  <si>
    <t>Billing, Accounts</t>
  </si>
  <si>
    <t>Indian grouping puts the comma in a different place. ₹250,000 versus ₹2,50,000 invites a misread by a factor of ten on a bill a patient is about to pay.</t>
  </si>
  <si>
    <t>TC-P2B-009</t>
  </si>
  <si>
    <t>Saving writes the language_region row to hospital_settings</t>
  </si>
  <si>
    <t>1) Open /settings/language 2) Set Time Format to 24-hour 3) Set Number Format to Indian 4) Click "Save Changes"</t>
  </si>
  <si>
    <t>A hospital_settings row exists with key = 'language_region' and a value containing timeFormat 24 and numberFormat indian.</t>
  </si>
  <si>
    <t>REGRESSION LOCK for BUG-P2-004. This screen had no target table at all — Save ran a 500ms setTimeout and showed a green toast, so nothing a hospital chose here was ever stored anywhere.</t>
  </si>
  <si>
    <t>hospital_settings where hospital_id = A and key = 'language_region' → value.timeFormat = '24'</t>
  </si>
  <si>
    <t>TC-P2B-010</t>
  </si>
  <si>
    <t>The save spinner reflects a real request, not a fixed delay</t>
  </si>
  <si>
    <t>1) Open DevTools → Network 2) Open /settings/language 3) Change any setting 4) Click "Save Changes" 5) Watch for a Supabase request</t>
  </si>
  <si>
    <t>A PostgREST request to hospital_settings is issued. The button shows Saving… only while that request is in flight.</t>
  </si>
  <si>
    <t>phase2.entry./settings/language — timeFormat 24</t>
  </si>
  <si>
    <t>REGRESSION LOCK for BUG-P2-004. The original code ran setTimeout(…, 500) before toasting success — a fake spinner in front of a no-op, which is the most convincing possible disguise for a screen that saves nothing.</t>
  </si>
  <si>
    <t>Network tab shows a hospital_settings upsert; hospital_settings row exists afterwards</t>
  </si>
  <si>
    <t>TC-P2B-011</t>
  </si>
  <si>
    <t>The Language &amp; Region screen loads with no red console errors</t>
  </si>
  <si>
    <t>1) Open DevTools → Console 2) Open /settings/language 3) Change and save a setting 4) Read the console</t>
  </si>
  <si>
    <t>No red console text, and specifically no PostgREST error against hospital_settings.</t>
  </si>
  <si>
    <t>This screen was newly wired to hospital_settings during Phase 2. A key or column mismatch would surface only as a console error while the UI carried on looking healthy — exactly how the original defect hid.</t>
  </si>
  <si>
    <t>None — console observation</t>
  </si>
  <si>
    <t>TC-P2B-012</t>
  </si>
  <si>
    <t>Hospital A's language settings are invisible to Hospital B</t>
  </si>
  <si>
    <t>1) Sign in as the Hospital B administrator 2) Open /settings/language as Hospital B 3) Query hospital_settings through the API with no hospital filter</t>
  </si>
  <si>
    <t>Not one Hospital A hospital_settings row is returned, including the language_region key.</t>
  </si>
  <si>
    <t>MOCK_DATA_BOOK Hospitals — Hospital A (Aarogya) and Hospital B (Sanjeevani)</t>
  </si>
  <si>
    <t>Multi-tenancy, all modules</t>
  </si>
  <si>
    <t>Both QA tenants seeded</t>
  </si>
  <si>
    <t>hospital_settings has no per-role RLS — any authenticated user of a hospital can write any key via PostgREST. Tenant isolation is therefore the only protection this table has, and it must be proven rather than assumed.</t>
  </si>
  <si>
    <t>hospital_admin (Hospital B)</t>
  </si>
  <si>
    <t>hospital_settings queried as the Hospital B admin → zero rows with hospital_id = A</t>
  </si>
  <si>
    <t>TC-P2B-013</t>
  </si>
  <si>
    <t>A nurse cannot reach the Language &amp; Region screen</t>
  </si>
  <si>
    <t>1) Log in as nurse (Hospital A) 2) Navigate directly to /settings/language</t>
  </si>
  <si>
    <t>The route is blocked — redirected away, or an explicit access-denied message.</t>
  </si>
  <si>
    <t>MOCK_DATA_BOOK Staff logins — nurse (Hospital A), Sr. Mary Thomas</t>
  </si>
  <si>
    <t>Tier 0 roles configured (Phase 1 §1E)</t>
  </si>
  <si>
    <t>Changing the date format changes how every date in the hospital renders. The route guard is the only control on this screen, because hospital_settings itself has no per-role RLS.</t>
  </si>
  <si>
    <t>nurse (Hospital A)</t>
  </si>
  <si>
    <t>None — route guard behaviour</t>
  </si>
  <si>
    <t>TC-P2B-014</t>
  </si>
  <si>
    <t>Stored settings are loaded back into the form on open</t>
  </si>
  <si>
    <t>1) Set Time Format to 24-hour and save 2) Navigate away to /settings 3) Return to /settings/language</t>
  </si>
  <si>
    <t>Time Format shows 24-hour on load — the form is populated from hospital_settings, not reset to the defaults.</t>
  </si>
  <si>
    <t>A screen that saves but never reads back looks broken in a subtler way: the administrator sets the value, returns, sees the default, and sets it again — never knowing which one is live.</t>
  </si>
  <si>
    <t>TC-P2B-015</t>
  </si>
  <si>
    <t>A partially stored config merges with the shipped defaults</t>
  </si>
  <si>
    <t>1) Store a language_region value containing only timeFormat 2) Open /settings/language 3) Read every control</t>
  </si>
  <si>
    <t>Time Format shows the stored value while the other five controls show their Indian defaults. No control renders blank or undefined.</t>
  </si>
  <si>
    <t>src/lib/languageRegion.ts DEFAULT_LANGUAGE_REGION merged over a partial stored value</t>
  </si>
  <si>
    <t>A config saved before a new setting shipped will lack that key. Rendering it blank rather than defaulting means a hospital silently loses its currency or timezone on the next release.</t>
  </si>
  <si>
    <t>hospital_settings where hospital_id = A and key = 'language_region' → partial value merges without blanks</t>
  </si>
  <si>
    <t>TC-P2B-016</t>
  </si>
  <si>
    <t>Currency INR renders amounts with the rupee symbol</t>
  </si>
  <si>
    <t>1) Open /settings/language 2) Confirm Currency is ₹ Indian Rupee (INR) 3) Open /settings/wards 4) Read a ward rate</t>
  </si>
  <si>
    <t>Ward rates render as ₹3,500.00 — the rupee symbol, not a bare number and not a dollar sign.</t>
  </si>
  <si>
    <t>MOCK_DATA_BOOK Wards — General Ward ₹1,500/day</t>
  </si>
  <si>
    <t>Billing, Accounts, IPD</t>
  </si>
  <si>
    <t>Currency is chosen here and consumed by formatCurrency() everywhere else. If the two disconnect, a hospital sets INR and still sees unsymbolised numbers on every bill.</t>
  </si>
  <si>
    <t>hospital_settings language_region value.currency = 'INR', and money renders with ₹</t>
  </si>
  <si>
    <t>TC-P2B-017</t>
  </si>
  <si>
    <t>Number Format Indian renders lakh grouping</t>
  </si>
  <si>
    <t>1) Open /settings/language 2) Confirm Number Format is Indian (1,00,000) 3) Open a screen showing an amount above ₹1,00,000</t>
  </si>
  <si>
    <t>The amount renders as ₹1,25,000 — Indian grouping — not ₹125,000.</t>
  </si>
  <si>
    <t>MOCK_DATA_BOOK Values used across many tests — ₹1,25,000 example</t>
  </si>
  <si>
    <t>MOCK_DATA_BOOK states this explicitly: a screen that renders ₹125,000 instead of ₹1,25,000 is a defect. An Indian accountant reads the comma position, and the wrong one shifts the apparent value by an order of magnitude.</t>
  </si>
  <si>
    <t>hospital_settings language_region value.numberFormat = 'indian', and amounts group as 1,25,000</t>
  </si>
  <si>
    <t>TC-P2B-018</t>
  </si>
  <si>
    <t>Language &amp; region settings survive a reload</t>
  </si>
  <si>
    <t>1) Open /settings/language 2) Set Interface Language to Telugu, Time Format to 24-hour and Currency to INR 3) Click "Save Changes" 4) Hard-reload the page 5) Read every control</t>
  </si>
  <si>
    <t>All three chosen values are still selected after the reload, having been read back from hospital_settings.</t>
  </si>
  <si>
    <t>REGRESSION LOCK for BUG-P2-004. This is the case MOCK_DATA_BOOK names for this screen: every field was enterable and selectable, the toast said saved, and none of it survived a reload. A hospital in Hyderabad could set Telugu and 24-hour time, be told it worked, and find English and 12-hour back the next morning.</t>
  </si>
  <si>
    <t>hospital_settings where hospital_id = A and key = 'language_region' → value.language = 'te', timeFormat = '24', currency = 'INR'</t>
  </si>
  <si>
    <t>TC-P2B-019</t>
  </si>
  <si>
    <t>Interface Language "English" saves and survives a reload</t>
  </si>
  <si>
    <t>1) Open /settings/language 2) Set Interface Language to "English" 3) Click "Save Changes" 4) Reload the page</t>
  </si>
  <si>
    <t>hospital_settings language_region value.language = 'en' and the dropdown still shows "English" after the reload.</t>
  </si>
  <si>
    <t>phase2.dropdowns.interfaceLanguage — "English" (stored as 'en')</t>
  </si>
  <si>
    <t>Every language is tested individually because the visible label and the stored code differ — "English" stores as 'en', so a mapping error affects one language and not the others. This one matters as the default every other language falls back to.</t>
  </si>
  <si>
    <t>hospital_settings where hospital_id = A and key = 'language_region' → value.language = 'en'</t>
  </si>
  <si>
    <t>TC-P2B-020</t>
  </si>
  <si>
    <t>Interface Language "Hindi (हिन्दी)" saves and survives a reload</t>
  </si>
  <si>
    <t>1) Open /settings/language 2) Set Interface Language to "Hindi (हिन्दी)" 3) Click "Save Changes" 4) Reload the page</t>
  </si>
  <si>
    <t>hospital_settings language_region value.language = 'hi' and the dropdown still shows "Hindi (हिन्दी)" after the reload.</t>
  </si>
  <si>
    <t>phase2.dropdowns.interfaceLanguage — "Hindi (हिन्दी)" (stored as 'hi')</t>
  </si>
  <si>
    <t>Every language is tested individually because the visible label and the stored code differ — "Hindi (हिन्दी)" stores as 'hi', so a mapping error affects one language and not the others. This one matters as the largest patient population outside the south.</t>
  </si>
  <si>
    <t>hospital_settings where hospital_id = A and key = 'language_region' → value.language = 'hi'</t>
  </si>
  <si>
    <t>TC-P2B-021</t>
  </si>
  <si>
    <t>Interface Language "Telugu (తెలుగు)" saves and survives a reload</t>
  </si>
  <si>
    <t>1) Open /settings/language 2) Set Interface Language to "Telugu (తెలుగు)" 3) Click "Save Changes" 4) Reload the page</t>
  </si>
  <si>
    <t>hospital_settings language_region value.language = 'te' and the dropdown still shows "Telugu (తెలుగు)" after the reload.</t>
  </si>
  <si>
    <t>phase2.dropdowns.interfaceLanguage — "Telugu (తెలుగు)" (stored as 'te')</t>
  </si>
  <si>
    <t>Every language is tested individually because the visible label and the stored code differ — "Telugu (తెలుగు)" stores as 'te', so a mapping error affects one language and not the others. This one matters as the local language of Hospital A in Hyderabad.</t>
  </si>
  <si>
    <t>hospital_settings where hospital_id = A and key = 'language_region' → value.language = 'te'</t>
  </si>
  <si>
    <t>TC-P2B-022</t>
  </si>
  <si>
    <t>Interface Language "Tamil (தமிழ்)" saves and survives a reload</t>
  </si>
  <si>
    <t>1) Open /settings/language 2) Set Interface Language to "Tamil (தமிழ்)" 3) Click "Save Changes" 4) Reload the page</t>
  </si>
  <si>
    <t>hospital_settings language_region value.language = 'ta' and the dropdown still shows "Tamil (தமிழ்)" after the reload.</t>
  </si>
  <si>
    <t>phase2.dropdowns.interfaceLanguage — "Tamil (தமிழ்)" (stored as 'ta')</t>
  </si>
  <si>
    <t>Every language is tested individually because the visible label and the stored code differ — "Tamil (தமிழ்)" stores as 'ta', so a mapping error affects one language and not the others. This one matters as Tamil Nadu, where MLC reporting differs from Maharashtra.</t>
  </si>
  <si>
    <t>hospital_settings where hospital_id = A and key = 'language_region' → value.language = 'ta'</t>
  </si>
  <si>
    <t>TC-P2B-023</t>
  </si>
  <si>
    <t>Interface Language "Kannada (ಕನ್ನಡ)" saves and survives a reload</t>
  </si>
  <si>
    <t>1) Open /settings/language 2) Set Interface Language to "Kannada (ಕನ್ನಡ)" 3) Click "Save Changes" 4) Reload the page</t>
  </si>
  <si>
    <t>hospital_settings language_region value.language = 'kn' and the dropdown still shows "Kannada (ಕನ್ನಡ)" after the reload.</t>
  </si>
  <si>
    <t>phase2.dropdowns.interfaceLanguage — "Kannada (ಕನ್ನಡ)" (stored as 'kn')</t>
  </si>
  <si>
    <t>Every language is tested individually because the visible label and the stored code differ — "Kannada (ಕನ್ನಡ)" stores as 'kn', so a mapping error affects one language and not the others. This one matters as Karnataka, where the Arogya scheme applies.</t>
  </si>
  <si>
    <t>hospital_settings where hospital_id = A and key = 'language_region' → value.language = 'kn'</t>
  </si>
  <si>
    <t>TC-P2B-024</t>
  </si>
  <si>
    <t>Interface Language "Malayalam (മലയാളം)" saves and survives a reload</t>
  </si>
  <si>
    <t>1) Open /settings/language 2) Set Interface Language to "Malayalam (മലയാളം)" 3) Click "Save Changes" 4) Reload the page</t>
  </si>
  <si>
    <t>hospital_settings language_region value.language = 'ml' and the dropdown still shows "Malayalam (മലയാളം)" after the reload.</t>
  </si>
  <si>
    <t>phase2.dropdowns.interfaceLanguage — "Malayalam (മലയാളം)" (stored as 'ml')</t>
  </si>
  <si>
    <t>Every language is tested individually because the visible label and the stored code differ — "Malayalam (മലയാളം)" stores as 'ml', so a mapping error affects one language and not the others. This one matters as Kerala, with the highest health literacy expectations.</t>
  </si>
  <si>
    <t>hospital_settings where hospital_id = A and key = 'language_region' → value.language = 'ml'</t>
  </si>
  <si>
    <t>TC-P2B-025</t>
  </si>
  <si>
    <t>Interface Language "Marathi (मराठी)" saves and survives a reload</t>
  </si>
  <si>
    <t>1) Open /settings/language 2) Set Interface Language to "Marathi (मराठी)" 3) Click "Save Changes" 4) Reload the page</t>
  </si>
  <si>
    <t>hospital_settings language_region value.language = 'mr' and the dropdown still shows "Marathi (मराठी)" after the reload.</t>
  </si>
  <si>
    <t>phase2.dropdowns.interfaceLanguage — "Marathi (मराठी)" (stored as 'mr')</t>
  </si>
  <si>
    <t>Every language is tested individually because the visible label and the stored code differ — "Marathi (मराठी)" stores as 'mr', so a mapping error affects one language and not the others. This one matters as Maharashtra, the state Hospital B operates in.</t>
  </si>
  <si>
    <t>hospital_settings where hospital_id = A and key = 'language_region' → value.language = 'mr'</t>
  </si>
  <si>
    <t>TC-P2B-026</t>
  </si>
  <si>
    <t>Date Format "DD/MM/YYYY" saves and survives a reload</t>
  </si>
  <si>
    <t>1) Open /settings/language 2) Select Date Format "DD/MM/YYYY" 3) Click "Save Changes" 4) Reload the page</t>
  </si>
  <si>
    <t>hospital_settings language_region value.dateFormat = 'DD/MM/YYYY' and the radio is still selected after the reload.</t>
  </si>
  <si>
    <t>phase2.dropdowns.dateFormat — "DD/MM/YYYY"</t>
  </si>
  <si>
    <t>DD/MM/YYYY is the Indian convention and the product default. If it will not save, a hospital that switched away can never switch back, and every date on every document stays ambiguous.</t>
  </si>
  <si>
    <t>hospital_settings where hospital_id = A and key = 'language_region' → value.dateFormat = 'DD/MM/YYYY'</t>
  </si>
  <si>
    <t>TC-P2B-027</t>
  </si>
  <si>
    <t>Date Format "MM/DD/YYYY" saves and survives a reload</t>
  </si>
  <si>
    <t>1) Open /settings/language 2) Select Date Format "MM/DD/YYYY" 3) Click "Save Changes" 4) Reload the page</t>
  </si>
  <si>
    <t>hospital_settings language_region value.dateFormat = 'MM/DD/YYYY' and the radio is still selected after the reload.</t>
  </si>
  <si>
    <t>phase2.dropdowns.dateFormat — "MM/DD/YYYY"</t>
  </si>
  <si>
    <t>Each format is stored as a distinct string, so one can fail to persist while the others work. "MM/DD/YYYY" must round-trip exactly as chosen.</t>
  </si>
  <si>
    <t>hospital_settings where hospital_id = A and key = 'language_region' → value.dateFormat = 'MM/DD/YYYY'</t>
  </si>
  <si>
    <t>TC-P2B-028</t>
  </si>
  <si>
    <t>Date Format "YYYY-MM-DD" saves and survives a reload</t>
  </si>
  <si>
    <t>1) Open /settings/language 2) Select Date Format "YYYY-MM-DD" 3) Click "Save Changes" 4) Reload the page</t>
  </si>
  <si>
    <t>hospital_settings language_region value.dateFormat = 'YYYY-MM-DD' and the radio is still selected after the reload.</t>
  </si>
  <si>
    <t>phase2.dropdowns.dateFormat — "YYYY-MM-DD"</t>
  </si>
  <si>
    <t>Each format is stored as a distinct string, so one can fail to persist while the others work. "YYYY-MM-DD" must round-trip exactly as chosen.</t>
  </si>
  <si>
    <t>hospital_settings where hospital_id = A and key = 'language_region' → value.dateFormat = 'YYYY-MM-DD'</t>
  </si>
  <si>
    <t>TC-P2B-029</t>
  </si>
  <si>
    <t>Time Format "12-hour (2:30 PM)" saves and survives a reload</t>
  </si>
  <si>
    <t>1) Open /settings/language 2) Select Time Format "12-hour (2:30 PM)" 3) Click "Save Changes" 4) Reload the page</t>
  </si>
  <si>
    <t>hospital_settings language_region value.timeFormat = '12' and the radio is still selected after the reload.</t>
  </si>
  <si>
    <t>phase2.dropdowns.timeFormat — "12" shown as "12-hour (2:30 PM)"</t>
  </si>
  <si>
    <t>Medication administration times and OT slots are recorded against the clock. A time format that does not persist leaves the medication chart ambiguous between 2:30 and 14:30, which is a dosing-time error.</t>
  </si>
  <si>
    <t>hospital_settings where hospital_id = A and key = 'language_region' → value.timeFormat = '12'</t>
  </si>
  <si>
    <t>TC-P2B-030</t>
  </si>
  <si>
    <t>Time Format "24-hour (14:30)" saves and survives a reload</t>
  </si>
  <si>
    <t>1) Open /settings/language 2) Select Time Format "24-hour (14:30)" 3) Click "Save Changes" 4) Reload the page</t>
  </si>
  <si>
    <t>hospital_settings language_region value.timeFormat = '24' and the radio is still selected after the reload.</t>
  </si>
  <si>
    <t>phase2.dropdowns.timeFormat — "24" shown as "24-hour (14:30)"</t>
  </si>
  <si>
    <t>TC-P2B-031</t>
  </si>
  <si>
    <t>Currency "₹ Indian Rupee (INR)" saves and survives a reload</t>
  </si>
  <si>
    <t>1) Open /settings/language 2) Set Currency to "₹ Indian Rupee (INR)" 3) Click "Save Changes" 4) Reload the page</t>
  </si>
  <si>
    <t>hospital_settings language_region value.currency = 'INR' and the dropdown still shows "₹ Indian Rupee (INR)" after the reload.</t>
  </si>
  <si>
    <t>phase2.dropdowns.currency — "INR" shown as "₹ Indian Rupee (INR)"</t>
  </si>
  <si>
    <t>INR is the default and the only currency an Indian hospital bills in. If it will not persist, every amount in the product risks rendering without the rupee symbol.</t>
  </si>
  <si>
    <t>hospital_settings where hospital_id = A and key = 'language_region' → value.currency = 'INR'</t>
  </si>
  <si>
    <t>TC-P2B-032</t>
  </si>
  <si>
    <t>Currency "AED (UAE)" saves and survives a reload</t>
  </si>
  <si>
    <t>1) Open /settings/language 2) Set Currency to "AED (UAE)" 3) Click "Save Changes" 4) Reload the page</t>
  </si>
  <si>
    <t>hospital_settings language_region value.currency = 'AED' and the dropdown still shows "AED (UAE)" after the reload.</t>
  </si>
  <si>
    <t>phase2.dropdowns.currency — "AED" shown as "AED (UAE)"</t>
  </si>
  <si>
    <t>Each currency is a distinct stored code. "AED" is offered by the dropdown, so it must round-trip — an offered option that does not save leaves the hospital on a currency it did not pick.</t>
  </si>
  <si>
    <t>hospital_settings where hospital_id = A and key = 'language_region' → value.currency = 'AED'</t>
  </si>
  <si>
    <t>TC-P2B-033</t>
  </si>
  <si>
    <t>Currency "USD" saves and survives a reload</t>
  </si>
  <si>
    <t>1) Open /settings/language 2) Set Currency to "USD" 3) Click "Save Changes" 4) Reload the page</t>
  </si>
  <si>
    <t>hospital_settings language_region value.currency = 'USD' and the dropdown still shows "USD" after the reload.</t>
  </si>
  <si>
    <t>phase2.dropdowns.currency — "USD" shown as "USD"</t>
  </si>
  <si>
    <t>Each currency is a distinct stored code. "USD" is offered by the dropdown, so it must round-trip — an offered option that does not save leaves the hospital on a currency it did not pick.</t>
  </si>
  <si>
    <t>hospital_settings where hospital_id = A and key = 'language_region' → value.currency = 'USD'</t>
  </si>
  <si>
    <t>TC-P2B-034</t>
  </si>
  <si>
    <t>Currency "GBP" saves and survives a reload</t>
  </si>
  <si>
    <t>1) Open /settings/language 2) Set Currency to "GBP" 3) Click "Save Changes" 4) Reload the page</t>
  </si>
  <si>
    <t>hospital_settings language_region value.currency = 'GBP' and the dropdown still shows "GBP" after the reload.</t>
  </si>
  <si>
    <t>phase2.dropdowns.currency — "GBP" shown as "GBP"</t>
  </si>
  <si>
    <t>Each currency is a distinct stored code. "GBP" is offered by the dropdown, so it must round-trip — an offered option that does not save leaves the hospital on a currency it did not pick.</t>
  </si>
  <si>
    <t>hospital_settings where hospital_id = A and key = 'language_region' → value.currency = 'GBP'</t>
  </si>
  <si>
    <t>TC-P2B-035</t>
  </si>
  <si>
    <t>Timezone "Asia/Kolkata (IST)" saves and survives a reload</t>
  </si>
  <si>
    <t>1) Open /settings/language 2) Set Timezone to "Asia/Kolkata (IST)" 3) Click "Save Changes" 4) Reload the page</t>
  </si>
  <si>
    <t>hospital_settings language_region value.timezone = 'Asia/Kolkata' and the dropdown still shows "Asia/Kolkata (IST)" after the reload.</t>
  </si>
  <si>
    <t>phase2.dropdowns.timezone — "Asia/Kolkata" shown as "Asia/Kolkata (IST)"</t>
  </si>
  <si>
    <t>IPD, Nursing, Lab, Analytics, Day Closure</t>
  </si>
  <si>
    <t>IST decides when the day closes and which date a midnight admission belongs to. A wrong or unsaved zone moves the day-closure boundary and misstates daily collections.</t>
  </si>
  <si>
    <t>hospital_settings where hospital_id = A and key = 'language_region' → value.timezone = 'Asia/Kolkata'</t>
  </si>
  <si>
    <t>TC-P2B-036</t>
  </si>
  <si>
    <t>Timezone "Asia/Dubai (GST)" saves and survives a reload</t>
  </si>
  <si>
    <t>1) Open /settings/language 2) Set Timezone to "Asia/Dubai (GST)" 3) Click "Save Changes" 4) Reload the page</t>
  </si>
  <si>
    <t>hospital_settings language_region value.timezone = 'Asia/Dubai' and the dropdown still shows "Asia/Dubai (GST)" after the reload.</t>
  </si>
  <si>
    <t>phase2.dropdowns.timezone — "Asia/Dubai" shown as "Asia/Dubai (GST)"</t>
  </si>
  <si>
    <t>Each zone is stored verbatim as an IANA identifier. "Asia/Dubai" must round-trip exactly, because a mangled identifier makes every timestamp calculation fall back to the server zone silently.</t>
  </si>
  <si>
    <t>hospital_settings where hospital_id = A and key = 'language_region' → value.timezone = 'Asia/Dubai'</t>
  </si>
  <si>
    <t>TC-P2B-037</t>
  </si>
  <si>
    <t>Timezone "America/New_York (EST)" saves and survives a reload</t>
  </si>
  <si>
    <t>1) Open /settings/language 2) Set Timezone to "America/New_York (EST)" 3) Click "Save Changes" 4) Reload the page</t>
  </si>
  <si>
    <t>hospital_settings language_region value.timezone = 'America/New_York' and the dropdown still shows "America/New_York (EST)" after the reload.</t>
  </si>
  <si>
    <t>phase2.dropdowns.timezone — "America/New_York" shown as "America/New_York (EST)"</t>
  </si>
  <si>
    <t>Each zone is stored verbatim as an IANA identifier. "America/New_York" must round-trip exactly, because a mangled identifier makes every timestamp calculation fall back to the server zone silently.</t>
  </si>
  <si>
    <t>hospital_settings where hospital_id = A and key = 'language_region' → value.timezone = 'America/New_York'</t>
  </si>
  <si>
    <t>TC-P2B-038</t>
  </si>
  <si>
    <t>Timezone "Europe/London (GMT)" saves and survives a reload</t>
  </si>
  <si>
    <t>1) Open /settings/language 2) Set Timezone to "Europe/London (GMT)" 3) Click "Save Changes" 4) Reload the page</t>
  </si>
  <si>
    <t>hospital_settings language_region value.timezone = 'Europe/London' and the dropdown still shows "Europe/London (GMT)" after the reload.</t>
  </si>
  <si>
    <t>phase2.dropdowns.timezone — "Europe/London" shown as "Europe/London (GMT)"</t>
  </si>
  <si>
    <t>Each zone is stored verbatim as an IANA identifier. "Europe/London" must round-trip exactly, because a mangled identifier makes every timestamp calculation fall back to the server zone silently.</t>
  </si>
  <si>
    <t>hospital_settings where hospital_id = A and key = 'language_region' → value.timezone = 'Europe/London'</t>
  </si>
  <si>
    <t>TC-P2B-039</t>
  </si>
  <si>
    <t>Number Format "Indian (1,00,000)" saves and survives a reload</t>
  </si>
  <si>
    <t>1) Open /settings/language 2) Select Number Format "Indian (1,00,000)" 3) Click "Save Changes" 4) Reload the page</t>
  </si>
  <si>
    <t>hospital_settings language_region value.numberFormat = 'indian' and the radio is still selected after the reload.</t>
  </si>
  <si>
    <t>phase2.dropdowns.numberFormat — "indian" shown as "Indian (1,00,000)"</t>
  </si>
  <si>
    <t>Indian grouping is the default and what an Indian accountant reads. ₹250,000 instead of ₹2,50,000 invites a misread by a factor of ten on a bill a patient is about to pay.</t>
  </si>
  <si>
    <t>hospital_settings where hospital_id = A and key = 'language_region' → value.numberFormat = 'indian'</t>
  </si>
  <si>
    <t>TC-P2B-040</t>
  </si>
  <si>
    <t>Number Format "International (100,000)" saves and survives a reload</t>
  </si>
  <si>
    <t>1) Open /settings/language 2) Select Number Format "International (100,000)" 3) Click "Save Changes" 4) Reload the page</t>
  </si>
  <si>
    <t>hospital_settings language_region value.numberFormat = 'international' and the radio is still selected after the reload.</t>
  </si>
  <si>
    <t>phase2.dropdowns.numberFormat — "international" shown as "International (100,000)"</t>
  </si>
  <si>
    <t>The international option exists for the AED and USD deployments. If it does not persist, those hospitals see lakh grouping on currencies that never use it.</t>
  </si>
  <si>
    <t>hospital_settings where hospital_id = A and key = 'language_region' → value.numberFormat = 'international'</t>
  </si>
  <si>
    <t>TC-P2B-041</t>
  </si>
  <si>
    <t>Hospital Profile loads with the registered hospital details</t>
  </si>
  <si>
    <t>1) Log in as hospital_admin (Hospital A) 2) Open /settings/profile 3) Read the form</t>
  </si>
  <si>
    <t>Hospital Name reads "Aarogya Multispecialty Hospital", State reads Telangana, and the address and pincode from registration are populated. No red console errors.</t>
  </si>
  <si>
    <t>MOCK_DATA_BOOK Hospital A — registration block</t>
  </si>
  <si>
    <t>Billing, MRD, all printed documents</t>
  </si>
  <si>
    <t>Tier 0: hospital created via /register or the onboarding wizard</t>
  </si>
  <si>
    <t>This is Tier 0 row 1. The name, address and GSTIN here print on every bill, prescription and discharge summary the hospital ever issues.</t>
  </si>
  <si>
    <t>hospitals where name = 'Aarogya Multispecialty Hospital' → state = 'Telangana'</t>
  </si>
  <si>
    <t>e2e/phase-02-settings/P2B.identity.profile.spec.ts</t>
  </si>
  <si>
    <t>TC-P2B-042</t>
  </si>
  <si>
    <t>The hospital name cannot be cleared</t>
  </si>
  <si>
    <t>1) Open /settings/profile 2) Clear the Hospital Name field 3) Click "Save Changes"</t>
  </si>
  <si>
    <t>The save is refused, or the name is left unchanged. hospitals.name is never blank.</t>
  </si>
  <si>
    <t>None — deliberately clears the required Hospital Name</t>
  </si>
  <si>
    <t>A blank hospital name prints as an empty letterhead on every document, including medico-legal ones. It also breaks the QA seed guard, which recognises its own tenants by name prefix.</t>
  </si>
  <si>
    <t>hospitals where id = A → name is not null and name &lt;&gt; ''</t>
  </si>
  <si>
    <t>TC-P2B-043</t>
  </si>
  <si>
    <t>A valid GSTIN saves and is stored upper-cased</t>
  </si>
  <si>
    <t>1) Open /settings/profile 2) Enter GSTIN "36aaact2727q1zw" in lower case 3) Click "Save Changes"</t>
  </si>
  <si>
    <t>hospitals.gstin stores 36AAACT2727Q1ZW in capitals.</t>
  </si>
  <si>
    <t>phase2.entry./settings/profile — gstin 36AAACT2727Q1ZW</t>
  </si>
  <si>
    <t>Billing, GST, Accounts</t>
  </si>
  <si>
    <t>Setting a GSTIN turns ON the HSN hard-block at bill finalisation. A lower-case GSTIN fails validation at the NIC IRP and every e-invoice is rejected.</t>
  </si>
  <si>
    <t>hospitals where id = A → gstin = '36AAACT2727Q1ZW'</t>
  </si>
  <si>
    <t>TC-P2B-044</t>
  </si>
  <si>
    <t>A 14-character GSTIN is rejected</t>
  </si>
  <si>
    <t>1) Open /settings/profile 2) Enter GSTIN "36AAAAA0000A1Z" (14 characters) 3) Click "Save Changes"</t>
  </si>
  <si>
    <t>An error names the expected format and hospitals.gstin is not changed to the invalid value.</t>
  </si>
  <si>
    <t>phase2.invalid.gstinTooShort (36AAAAA0000A1Z)</t>
  </si>
  <si>
    <t>Billing, GST</t>
  </si>
  <si>
    <t>A GSTIN is exactly 15 characters. A short one is accepted by nothing downstream — every e-invoice request to the NIC IRP fails, and the hospital cannot raise a compliant invoice at all.</t>
  </si>
  <si>
    <t>hospitals where id = A → gstin &lt;&gt; '36AAAAA0000A1Z'</t>
  </si>
  <si>
    <t>TC-P2B-045</t>
  </si>
  <si>
    <t>A GSTIN with a malformed check structure is rejected</t>
  </si>
  <si>
    <t>1) Open /settings/profile 2) Enter GSTIN "36AAACT2727Q1ZX" 3) Click "Save Changes"</t>
  </si>
  <si>
    <t>The value is validated against the full GSTIN pattern before it is written. Anything that does not match the 15-character structure is refused.</t>
  </si>
  <si>
    <t>phase2.invalid.gstinBadCheckDigit (36AAACT2727Q1ZX)</t>
  </si>
  <si>
    <t>A format-valid but structurally wrong GSTIN is the worst case — it passes a naive length check, saves, turns on the HSN hard-block, and then fails at the IRP on the first real invoice, when there is a patient waiting at the counter.</t>
  </si>
  <si>
    <t>hospitals where id = A → gstin matches the 15-character GSTIN pattern or is unchanged</t>
  </si>
  <si>
    <t>TC-P2B-046</t>
  </si>
  <si>
    <t>A blank GSTIN is allowed and stored as null</t>
  </si>
  <si>
    <t>1) Open /settings/profile 2) Clear the GSTIN field 3) Click "Save Changes"</t>
  </si>
  <si>
    <t>The save succeeds and hospitals.gstin is null — not an empty string.</t>
  </si>
  <si>
    <t>None — deliberately clears the optional GSTIN</t>
  </si>
  <si>
    <t>Small clinics below the GST threshold have no GSTIN. Forcing one would make them invent a value; storing an empty string instead of null would switch on the HSN hard-block for a hospital that is not registered for GST at all.</t>
  </si>
  <si>
    <t>hospitals where id = A → gstin is null</t>
  </si>
  <si>
    <t>TC-P2B-047</t>
  </si>
  <si>
    <t>The GSTIN error message states the expected format</t>
  </si>
  <si>
    <t>1) Open /settings/profile 2) Enter GSTIN "36AAAAA0000A1Z" 3) Click "Save Changes" 4) Read the error</t>
  </si>
  <si>
    <t>The message shows an example of the expected format, e.g. 22AAAAA0000A1Z5.</t>
  </si>
  <si>
    <t>A bare "invalid GSTIN" leaves an administrator retyping the same wrong value. Showing the shape is what lets them spot the missing character themselves.</t>
  </si>
  <si>
    <t>None — reads the validation message</t>
  </si>
  <si>
    <t>TC-P2B-048</t>
  </si>
  <si>
    <t>A valid 6-digit pincode saves</t>
  </si>
  <si>
    <t>1) Open /settings/profile 2) Enter Pincode 500032 3) Click "Save Changes"</t>
  </si>
  <si>
    <t>hospitals.pincode = 500032.</t>
  </si>
  <si>
    <t>phase2.entry./settings/profile — pincode 500032</t>
  </si>
  <si>
    <t>Billing, GST, MRD</t>
  </si>
  <si>
    <t>The pincode prints on the letterhead and is part of the place-of-supply determination for GST. A wrong one puts the wrong address on every invoice.</t>
  </si>
  <si>
    <t>hospitals where id = A → pincode = '500032'</t>
  </si>
  <si>
    <t>TC-P2B-049</t>
  </si>
  <si>
    <t>A 5-digit pincode is rejected</t>
  </si>
  <si>
    <t>1) Open /settings/profile 2) Enter Pincode "50003" (5 digits) 3) Click "Save Changes" 4) Reload and re-read the field</t>
  </si>
  <si>
    <t>The save is refused with a message naming the 6-digit requirement, and hospitals.pincode is not set to 50003.</t>
  </si>
  <si>
    <t>phase2.invalid.pincodeTooShort (50003)</t>
  </si>
  <si>
    <t>Indian pincodes are exactly 6 digits. GSTIN is validated on this screen but the pincode is written straight through with no check, so a truncated pincode reaches the letterhead and the GST place-of-supply logic unchallenged.</t>
  </si>
  <si>
    <t>hospitals where id = A → pincode &lt;&gt; '50003'</t>
  </si>
  <si>
    <t>TC-P2B-050</t>
  </si>
  <si>
    <t>A 7-digit pincode is rejected</t>
  </si>
  <si>
    <t>1) Open /settings/profile 2) Enter Pincode "5000321" (7 digits) 3) Click "Save Changes" 4) Reload and re-read the field</t>
  </si>
  <si>
    <t>The save is refused and hospitals.pincode is not set to 5000321.</t>
  </si>
  <si>
    <t>phase2.invalid.pincodeTooLong (5000321)</t>
  </si>
  <si>
    <t>Both sides of the 6-digit boundary have to be tested. A rule that only catches short values lets a mistyped extra digit through onto every printed document.</t>
  </si>
  <si>
    <t>hospitals where id = A → pincode &lt;&gt; '5000321'</t>
  </si>
  <si>
    <t>TC-P2B-051</t>
  </si>
  <si>
    <t>A non-numeric pincode is rejected</t>
  </si>
  <si>
    <t>1) Open /settings/profile 2) Enter Pincode "5000AB" 3) Click "Save Changes"</t>
  </si>
  <si>
    <t>The save is refused and the letters are not stored.</t>
  </si>
  <si>
    <t>Literal pincode 5000AB</t>
  </si>
  <si>
    <t>A pincode with letters breaks any downstream integration that parses it as a number, including courier and government portal submissions.</t>
  </si>
  <si>
    <t>hospitals where id = A → pincode matches ^[0-9]{6}$ or is unchanged</t>
  </si>
  <si>
    <t>TC-P2B-052</t>
  </si>
  <si>
    <t>The hospital address saves</t>
  </si>
  <si>
    <t>1) Open /settings/profile 2) Enter Address "Plot 42, Road No. 12, Banjara Hills" 3) Click "Save Changes" 4) Reload</t>
  </si>
  <si>
    <t>hospitals.address holds the full address after the reload, commas intact.</t>
  </si>
  <si>
    <t>MOCK_DATA_BOOK Hospital A — Address 1 Plot 42, Road No. 12, Banjara Hills</t>
  </si>
  <si>
    <t>The address prints on every invoice and discharge summary. Commas in Indian addresses are routine, so a field that mangles them corrupts the letterhead.</t>
  </si>
  <si>
    <t>hospitals where id = A → address contains 'Banjara Hills'</t>
  </si>
  <si>
    <t>TC-P2B-053</t>
  </si>
  <si>
    <t>The state saves and matches the GSTIN state code</t>
  </si>
  <si>
    <t>1) Open /settings/profile 2) Confirm State is Telangana 3) Confirm GSTIN begins with 36 4) Click "Save Changes"</t>
  </si>
  <si>
    <t>hospitals.state = Telangana and hospitals.gstin starts with 36 — the Telangana GST state code.</t>
  </si>
  <si>
    <t>MOCK_DATA_BOOK Hospital A — Telangana, GSTIN 36AABCA1234F1Z5</t>
  </si>
  <si>
    <t>MOCK_DATA_BOOK sets the state codes deliberately — 36 Telangana, 27 Maharashtra — so a wrong place-of-supply is detectable. A state that disagrees with the GSTIN prefix produces CGST/SGST where IGST is due, and the return has to be amended.</t>
  </si>
  <si>
    <t>hospitals where id = A → state = 'Telangana' and gstin like '36%'</t>
  </si>
  <si>
    <t>TC-P2B-054</t>
  </si>
  <si>
    <t>The NABH accreditation number saves</t>
  </si>
  <si>
    <t>1) Open /settings/profile 2) Enter NABH Number "NABH-QA-A-2027" 3) Click "Save Changes" 4) Reload</t>
  </si>
  <si>
    <t>hospitals.nabh_number = NABH-QA-A-2027 after the reload.</t>
  </si>
  <si>
    <t>phase2.entry./settings/profile — nabhNumber NABH-QA-A-2027</t>
  </si>
  <si>
    <t>Quality, NABH, MRD</t>
  </si>
  <si>
    <t>The NABH number appears on accreditation evidence and on documents an assessor inspects. A hospital that cannot record it cannot demonstrate its own accreditation status.</t>
  </si>
  <si>
    <t>hospitals where id = A → nabh_number = 'NABH-QA-A-2027'</t>
  </si>
  <si>
    <t>TC-P2B-055</t>
  </si>
  <si>
    <t>The NABL accreditation number saves</t>
  </si>
  <si>
    <t>1) Open /settings/profile 2) Enter an NABL Accreditation No. 3) Click "Save Changes" 4) Reload</t>
  </si>
  <si>
    <t>hospitals.nabl_accreditation_number persists after the reload.</t>
  </si>
  <si>
    <t>Literal NABL number MC-2027-QA</t>
  </si>
  <si>
    <t>Lab, Quality</t>
  </si>
  <si>
    <t>NABL accreditation is what lets a lab report be accepted by insurers and courts. The number prints on the report footer.</t>
  </si>
  <si>
    <t>hospitals where id = A → nabl_accreditation_number is not null</t>
  </si>
  <si>
    <t>TC-P2B-056</t>
  </si>
  <si>
    <t>The NABL validity date saves and displays as DD/MM/YYYY</t>
  </si>
  <si>
    <t>1) Open /settings/profile 2) Set NABL Valid Up To to 31/12/2027 3) Click "Save Changes" 4) Reload and read the field</t>
  </si>
  <si>
    <t>The date persists and renders as 31/12/2027 in en-IN, not 12/31/2027.</t>
  </si>
  <si>
    <t>Literal NABL validity 31/12/2027</t>
  </si>
  <si>
    <t>An expired NABL accreditation invalidates lab reports. A date rendered in US order makes an expiry look eleven months away when it is not.</t>
  </si>
  <si>
    <t>hospitals where id = A → nabl_valid_upto = 2027-12-31</t>
  </si>
  <si>
    <t>TC-P2B-057</t>
  </si>
  <si>
    <t>The drug licence number saves</t>
  </si>
  <si>
    <t>1) Open /settings/profile 2) Enter Drug License No. "20B/21B-QA-0001" 3) Click "Save Changes" 4) Reload</t>
  </si>
  <si>
    <t>hospitals.drug_license_number persists after the reload.</t>
  </si>
  <si>
    <t>Literal drug licence 20B/21B-QA-0001</t>
  </si>
  <si>
    <t>Pharmacy, NDPS, Quality</t>
  </si>
  <si>
    <t>A pharmacy cannot legally dispense without a Form 20B/21B licence, and the number prints on the dispensing register a drug inspector asks to see.</t>
  </si>
  <si>
    <t>hospitals where id = A → drug_license_number is not null</t>
  </si>
  <si>
    <t>TC-P2B-058</t>
  </si>
  <si>
    <t>The drug licence validity date saves</t>
  </si>
  <si>
    <t>1) Open /settings/profile 2) Set Drug License Valid Up To to 31/03/2028 3) Click "Save Changes" 4) Reload</t>
  </si>
  <si>
    <t>hospitals.drug_license_valid_upto persists and renders as 31/03/2028.</t>
  </si>
  <si>
    <t>Literal drug licence validity 31/03/2028</t>
  </si>
  <si>
    <t>Pharmacy, NDPS</t>
  </si>
  <si>
    <t>Dispensing on an expired licence is a prosecutable offence. The system has to hold the expiry date before it can warn anyone about it.</t>
  </si>
  <si>
    <t>hospitals where id = A → drug_license_valid_upto = 2028-03-31</t>
  </si>
  <si>
    <t>TC-P2B-059</t>
  </si>
  <si>
    <t>The 80G registration number saves</t>
  </si>
  <si>
    <t>1) Open /settings/profile 2) Enter an 80G Registration No. 3) Click "Save Changes" 4) Reload</t>
  </si>
  <si>
    <t>hospitals.registration_80g persists after the reload.</t>
  </si>
  <si>
    <t>Literal 80G registration AAATH1234QF20213</t>
  </si>
  <si>
    <t>Accounts, Billing</t>
  </si>
  <si>
    <t>Charitable hospitals issue 80G receipts so donors can claim tax relief. Without the registration number on the receipt the deduction is disallowed.</t>
  </si>
  <si>
    <t>hospitals where id = A → registration_80g is not null</t>
  </si>
  <si>
    <t>TC-P2B-060</t>
  </si>
  <si>
    <t>The trust PAN saves</t>
  </si>
  <si>
    <t>1) Open /settings/profile 2) Enter Trust PAN "AAATH1234Q" 3) Click "Save Changes" 4) Reload</t>
  </si>
  <si>
    <t>hospitals.trust_pan = AAATH1234Q after the reload.</t>
  </si>
  <si>
    <t>Literal trust PAN AAATH1234Q</t>
  </si>
  <si>
    <t>The trust PAN is required on every 80G receipt alongside the registration number. One without the other makes the receipt unusable.</t>
  </si>
  <si>
    <t>hospitals where id = A → trust_pan = 'AAATH1234Q'</t>
  </si>
  <si>
    <t>TC-P2B-061</t>
  </si>
  <si>
    <t>The UHID prefix is upper-cased as it is typed</t>
  </si>
  <si>
    <t>1) Open /settings/profile 2) Type "bh" in lower case into UHID Prefix 3) Observe the field 4) Click "Save Changes"</t>
  </si>
  <si>
    <t>The field shows BH and hospitals.uhid_prefix stores BH.</t>
  </si>
  <si>
    <t>Literal UHID prefix entered as lower-case bh</t>
  </si>
  <si>
    <t>Patients, MRD, OPD</t>
  </si>
  <si>
    <t>The UHID is the patient identifier printed on every card and wristband. Mixed case makes two visually identical UHIDs that do not match on lookup.</t>
  </si>
  <si>
    <t>hospitals where id = A → uhid_prefix = 'BH'</t>
  </si>
  <si>
    <t>TC-P2B-062</t>
  </si>
  <si>
    <t>The UHID prefix strips characters that are not letters or digits</t>
  </si>
  <si>
    <t>1) Open /settings/profile 2) Type "B-H 1!" into UHID Prefix 3) Observe the field</t>
  </si>
  <si>
    <t>The field keeps only BH1 — hyphens, spaces and punctuation are removed as typed.</t>
  </si>
  <si>
    <t>Literal UHID prefix entered as B-H 1!</t>
  </si>
  <si>
    <t>Patients, MRD</t>
  </si>
  <si>
    <t>The UHID is assembled as prefix-date-serial. A prefix containing its own hyphen or a space produces an identifier that cannot be parsed back apart, and barcode scanners reject the space.</t>
  </si>
  <si>
    <t>hospitals where id = A → uhid_prefix matches ^[A-Z0-9]+$</t>
  </si>
  <si>
    <t>TC-P2B-063</t>
  </si>
  <si>
    <t>A blank UHID prefix falls back to the UHID default</t>
  </si>
  <si>
    <t>1) Open /settings/profile 2) Clear the UHID Prefix field 3) Click "Save Changes" 4) Reload</t>
  </si>
  <si>
    <t>hospitals.uhid_prefix = UHID — the documented fallback, not an empty string.</t>
  </si>
  <si>
    <t>None — deliberately clears the UHID Prefix</t>
  </si>
  <si>
    <t>An empty prefix produces UHIDs that begin with a hyphen. Falling back to a real default keeps every issued identifier well-formed even when nobody configured one.</t>
  </si>
  <si>
    <t>hospitals where id = A → uhid_prefix = 'UHID'</t>
  </si>
  <si>
    <t>TC-P2B-064</t>
  </si>
  <si>
    <t>UHID date format "YYYYMMDD" (full date) saves and drives the preview</t>
  </si>
  <si>
    <t>1) Open /settings/profile 2) Set Date in UHID to "YYYYMMDD" 3) Read the preview beside the option 4) Click "Save Changes" 5) Reload</t>
  </si>
  <si>
    <t>hospitals.uhid_date_format = 'YYYYMMDD' after the reload, and the option preview shows the shape BH-20260606-0001.</t>
  </si>
  <si>
    <t>phase2.dropdowns.uhidDateFormat — "YYYYMMDD"</t>
  </si>
  <si>
    <t>This changes the shape of every new patient UHID from the moment it saves. Each of the three values is tested because a hospital that switches format and finds the old shape still being issued ends up with two incompatible identifier series in one register.</t>
  </si>
  <si>
    <t>hospitals where id = A → uhid_date_format = 'YYYYMMDD'</t>
  </si>
  <si>
    <t>TC-P2B-065</t>
  </si>
  <si>
    <t>UHID date format "YYYY" (year only) saves and drives the preview</t>
  </si>
  <si>
    <t>1) Open /settings/profile 2) Set Date in UHID to "YYYY" 3) Read the preview beside the option 4) Click "Save Changes" 5) Reload</t>
  </si>
  <si>
    <t>hospitals.uhid_date_format = 'YYYY' after the reload, and the option preview shows the shape BH-2026-0001.</t>
  </si>
  <si>
    <t>phase2.dropdowns.uhidDateFormat — "YYYY"</t>
  </si>
  <si>
    <t>hospitals where id = A → uhid_date_format = 'YYYY'</t>
  </si>
  <si>
    <t>TC-P2B-066</t>
  </si>
  <si>
    <t>UHID date format "NONE" (no date) saves and drives the preview</t>
  </si>
  <si>
    <t>1) Open /settings/profile 2) Set Date in UHID to "NONE" 3) Read the preview beside the option 4) Click "Save Changes" 5) Reload</t>
  </si>
  <si>
    <t>hospitals.uhid_date_format = 'NONE' after the reload, and the option preview shows the shape BH-0001.</t>
  </si>
  <si>
    <t>phase2.dropdowns.uhidDateFormat — "NONE"</t>
  </si>
  <si>
    <t>hospitals where id = A → uhid_date_format = 'NONE'</t>
  </si>
  <si>
    <t>TC-P2B-067</t>
  </si>
  <si>
    <t>The UHID preview reflects the chosen prefix and date format together</t>
  </si>
  <si>
    <t>1) Open /settings/profile 2) Set UHID Prefix to "BH" 3) Set Date in UHID to "YYYY" 4) Read the preview text</t>
  </si>
  <si>
    <t>The preview reads BH-2026-0001 — it composes the live prefix with the chosen date format rather than showing a fixed example.</t>
  </si>
  <si>
    <t>Literal UHID prefix BH with date format YYYY</t>
  </si>
  <si>
    <t>The preview is the only place an administrator sees what they are about to impose on every future patient. A static example that ignores their prefix teaches them the wrong shape.</t>
  </si>
  <si>
    <t>None — reads the composed preview text</t>
  </si>
  <si>
    <t>TC-P2B-068</t>
  </si>
  <si>
    <t>Changing the UHID format affects only patients registered afterwards</t>
  </si>
  <si>
    <t>1) Note the UHID of an existing seeded patient 2) Open /settings/profile and change Date in UHID from YYYYMMDD to YYYY 3) Save 4) Register a new patient 5) Compare both UHIDs</t>
  </si>
  <si>
    <t>The existing patient keeps its original UHID unchanged; only the newly registered patient uses the new shape.</t>
  </si>
  <si>
    <t>MOCK_DATA_BOOK Patients — PT-QA-0001 Ramesh Kumar as the pre-existing record</t>
  </si>
  <si>
    <t>Patients, MRD, OPD, Billing</t>
  </si>
  <si>
    <t>Tier 0 complete; at least one patient already registered</t>
  </si>
  <si>
    <t>A UHID is printed on cards, wristbands, lab samples and old paper files. Retrospectively rewriting one detaches a patient from their own history and from every physical label already in the building.</t>
  </si>
  <si>
    <t>patients where uhid = PT-QA-0001 → unchanged after the format switch</t>
  </si>
  <si>
    <t>TC-P2B-069</t>
  </si>
  <si>
    <t>Preferred patient language "Hindi" can be selected and saves</t>
  </si>
  <si>
    <t>1) Open /settings/profile 2) Select "Hindi" under Preferred Patient Languages 3) Click "Save Changes" 4) Reload and re-read the selection</t>
  </si>
  <si>
    <t>hospitals.patient_languages contains "Hindi" after the reload.</t>
  </si>
  <si>
    <t>phase2.dropdowns.patientLanguages — "Hindi"</t>
  </si>
  <si>
    <t>Patients, OPD, Patient Portal, WhatsApp</t>
  </si>
  <si>
    <t>Patient-facing communication — discharge instructions, WhatsApp reminders, consent — is offered in these languages. Each is stored as an array element, so one can fail to persist while the others save. This one matters for the largest patient population outside the south.</t>
  </si>
  <si>
    <t>hospitals where id = A → patient_languages contains 'Hindi'</t>
  </si>
  <si>
    <t>TC-P2B-070</t>
  </si>
  <si>
    <t>Preferred patient language "Telugu" can be selected and saves</t>
  </si>
  <si>
    <t>1) Open /settings/profile 2) Select "Telugu" under Preferred Patient Languages 3) Click "Save Changes" 4) Reload and re-read the selection</t>
  </si>
  <si>
    <t>hospitals.patient_languages contains "Telugu" after the reload.</t>
  </si>
  <si>
    <t>phase2.dropdowns.patientLanguages — "Telugu"</t>
  </si>
  <si>
    <t>Patient-facing communication — discharge instructions, WhatsApp reminders, consent — is offered in these languages. Each is stored as an array element, so one can fail to persist while the others save. This one matters for the local language of Hospital A in Hyderabad.</t>
  </si>
  <si>
    <t>hospitals where id = A → patient_languages contains 'Telugu'</t>
  </si>
  <si>
    <t>TC-P2B-071</t>
  </si>
  <si>
    <t>Preferred patient language "Tamil" can be selected and saves</t>
  </si>
  <si>
    <t>1) Open /settings/profile 2) Select "Tamil" under Preferred Patient Languages 3) Click "Save Changes" 4) Reload and re-read the selection</t>
  </si>
  <si>
    <t>hospitals.patient_languages contains "Tamil" after the reload.</t>
  </si>
  <si>
    <t>phase2.dropdowns.patientLanguages — "Tamil"</t>
  </si>
  <si>
    <t>Patient-facing communication — discharge instructions, WhatsApp reminders, consent — is offered in these languages. Each is stored as an array element, so one can fail to persist while the others save. This one matters for Tamil Nadu patients, whose MLC reporting differs by state.</t>
  </si>
  <si>
    <t>hospitals where id = A → patient_languages contains 'Tamil'</t>
  </si>
  <si>
    <t>TC-P2B-072</t>
  </si>
  <si>
    <t>Preferred patient language "Kannada" can be selected and saves</t>
  </si>
  <si>
    <t>1) Open /settings/profile 2) Select "Kannada" under Preferred Patient Languages 3) Click "Save Changes" 4) Reload and re-read the selection</t>
  </si>
  <si>
    <t>hospitals.patient_languages contains "Kannada" after the reload.</t>
  </si>
  <si>
    <t>phase2.dropdowns.patientLanguages — "Kannada"</t>
  </si>
  <si>
    <t>Patient-facing communication — discharge instructions, WhatsApp reminders, consent — is offered in these languages. Each is stored as an array element, so one can fail to persist while the others save. This one matters for Karnataka patients under the Arogya scheme.</t>
  </si>
  <si>
    <t>hospitals where id = A → patient_languages contains 'Kannada'</t>
  </si>
  <si>
    <t>TC-P2B-073</t>
  </si>
  <si>
    <t>Preferred patient language "Marathi" can be selected and saves</t>
  </si>
  <si>
    <t>1) Open /settings/profile 2) Select "Marathi" under Preferred Patient Languages 3) Click "Save Changes" 4) Reload and re-read the selection</t>
  </si>
  <si>
    <t>hospitals.patient_languages contains "Marathi" after the reload.</t>
  </si>
  <si>
    <t>phase2.dropdowns.patientLanguages — "Marathi"</t>
  </si>
  <si>
    <t>Patient-facing communication — discharge instructions, WhatsApp reminders, consent — is offered in these languages. Each is stored as an array element, so one can fail to persist while the others save. This one matters for Maharashtra, the state Hospital B operates in.</t>
  </si>
  <si>
    <t>hospitals where id = A → patient_languages contains 'Marathi'</t>
  </si>
  <si>
    <t>TC-P2B-074</t>
  </si>
  <si>
    <t>Preferred patient language "Malayalam" can be selected and saves</t>
  </si>
  <si>
    <t>1) Open /settings/profile 2) Select "Malayalam" under Preferred Patient Languages 3) Click "Save Changes" 4) Reload and re-read the selection</t>
  </si>
  <si>
    <t>hospitals.patient_languages contains "Malayalam" after the reload.</t>
  </si>
  <si>
    <t>phase2.dropdowns.patientLanguages — "Malayalam"</t>
  </si>
  <si>
    <t>Patient-facing communication — discharge instructions, WhatsApp reminders, consent — is offered in these languages. Each is stored as an array element, so one can fail to persist while the others save. This one matters for Kerala, with the highest health-literacy expectations.</t>
  </si>
  <si>
    <t>hospitals where id = A → patient_languages contains 'Malayalam'</t>
  </si>
  <si>
    <t>TC-P2B-075</t>
  </si>
  <si>
    <t>Preferred patient language "Bengali" can be selected and saves</t>
  </si>
  <si>
    <t>1) Open /settings/profile 2) Select "Bengali" under Preferred Patient Languages 3) Click "Save Changes" 4) Reload and re-read the selection</t>
  </si>
  <si>
    <t>hospitals.patient_languages contains "Bengali" after the reload.</t>
  </si>
  <si>
    <t>phase2.dropdowns.patientLanguages — "Bengali"</t>
  </si>
  <si>
    <t>Patient-facing communication — discharge instructions, WhatsApp reminders, consent — is offered in these languages. Each is stored as an array element, so one can fail to persist while the others save. This one matters for migrant worker populations in most metros.</t>
  </si>
  <si>
    <t>hospitals where id = A → patient_languages contains 'Bengali'</t>
  </si>
  <si>
    <t>TC-P2B-076</t>
  </si>
  <si>
    <t>Preferred patient language "Gujarati" can be selected and saves</t>
  </si>
  <si>
    <t>1) Open /settings/profile 2) Select "Gujarati" under Preferred Patient Languages 3) Click "Save Changes" 4) Reload and re-read the selection</t>
  </si>
  <si>
    <t>hospitals.patient_languages contains "Gujarati" after the reload.</t>
  </si>
  <si>
    <t>phase2.dropdowns.patientLanguages — "Gujarati"</t>
  </si>
  <si>
    <t>Patient-facing communication — discharge instructions, WhatsApp reminders, consent — is offered in these languages. Each is stored as an array element, so one can fail to persist while the others save. This one matters for western India referrals.</t>
  </si>
  <si>
    <t>hospitals where id = A → patient_languages contains 'Gujarati'</t>
  </si>
  <si>
    <t>TC-P2B-077</t>
  </si>
  <si>
    <t>Preferred patient language "Odia" can be selected and saves</t>
  </si>
  <si>
    <t>1) Open /settings/profile 2) Select "Odia" under Preferred Patient Languages 3) Click "Save Changes" 4) Reload and re-read the selection</t>
  </si>
  <si>
    <t>hospitals.patient_languages contains "Odia" after the reload.</t>
  </si>
  <si>
    <t>phase2.dropdowns.patientLanguages — "Odia"</t>
  </si>
  <si>
    <t>Patient-facing communication — discharge instructions, WhatsApp reminders, consent — is offered in these languages. Each is stored as an array element, so one can fail to persist while the others save. This one matters for eastern migrant populations.</t>
  </si>
  <si>
    <t>hospitals where id = A → patient_languages contains 'Odia'</t>
  </si>
  <si>
    <t>TC-P2B-078</t>
  </si>
  <si>
    <t>Preferred patient language "Punjabi" can be selected and saves</t>
  </si>
  <si>
    <t>1) Open /settings/profile 2) Select "Punjabi" under Preferred Patient Languages 3) Click "Save Changes" 4) Reload and re-read the selection</t>
  </si>
  <si>
    <t>hospitals.patient_languages contains "Punjabi" after the reload.</t>
  </si>
  <si>
    <t>phase2.dropdowns.patientLanguages — "Punjabi"</t>
  </si>
  <si>
    <t>Patient-facing communication — discharge instructions, WhatsApp reminders, consent — is offered in these languages. Each is stored as an array element, so one can fail to persist while the others save. This one matters for northern referrals.</t>
  </si>
  <si>
    <t>hospitals where id = A → patient_languages contains 'Punjabi'</t>
  </si>
  <si>
    <t>TC-P2B-079</t>
  </si>
  <si>
    <t>English is always included and cannot be removed</t>
  </si>
  <si>
    <t>1) Open /settings/profile 2) Attempt to deselect English under Preferred Patient Languages 3) Click "Save Changes" 4) Reload</t>
  </si>
  <si>
    <t>English remains in hospitals.patient_languages regardless of what else is selected or deselected.</t>
  </si>
  <si>
    <t>MOCK_DATA_BOOK Preferred Patient Languages — English is always included and cannot be removed</t>
  </si>
  <si>
    <t>Patients, Patient Portal, WhatsApp</t>
  </si>
  <si>
    <t>English is the fallback every other language degrades to. Removing it would leave a patient whose language has no translated template with no message at all.</t>
  </si>
  <si>
    <t>hospitals where id = A → patient_languages contains 'English'</t>
  </si>
  <si>
    <t>TC-P2B-080</t>
  </si>
  <si>
    <t>Hospital profile changes survive a hard reload</t>
  </si>
  <si>
    <t>1) Open /settings/profile 2) Change GSTIN, pincode and NABH number to the Phase 2 values 3) Click "Save Changes" 4) Hard-reload the page 5) Re-read all three fields</t>
  </si>
  <si>
    <t>All three values are still shown after the reload, having been read back from the hospitals row.</t>
  </si>
  <si>
    <t>phase2.entry./settings/profile — gstin 36AAACT2727Q1ZW, pincode 500032, nabhNumber NABH-QA-A-2027</t>
  </si>
  <si>
    <t>Billing, GST, Quality</t>
  </si>
  <si>
    <t>Four screens in this phase showed a green toast and wrote nothing. The hospital profile is Tier 0 row 1 — if it silently fails to persist, everything configured afterwards is built on values that do not exist.</t>
  </si>
  <si>
    <t>hospitals where id = A → gstin = '36AAACT2727Q1ZW', pincode = '500032', nabh_number = 'NABH-QA-A-2027'</t>
  </si>
  <si>
    <t>TC-P2B-081</t>
  </si>
  <si>
    <t>Setting a GSTIN turns on the HSN requirement for billing</t>
  </si>
  <si>
    <t>1) Open /settings/profile 2) Set a valid GSTIN 3) Save 4) Open /settings/services 5) Confirm the HSN field is now required on billable services</t>
  </si>
  <si>
    <t>With a GSTIN set, bill finalisation is hard-blocked for any line lacking an HSN code. The Services screen reflects that HSN is now mandatory.</t>
  </si>
  <si>
    <t>phase2.entry./settings/profile — gstin 36AAACT2727Q1ZW; phase2.invalid.serviceWithoutHsn</t>
  </si>
  <si>
    <t>Billing, GST, Services</t>
  </si>
  <si>
    <t>SETTINGS_PREREQ_MATRIX flags this as a deliberate hard-block: setting the GSTIN switches it on. A hospital that sets its GSTIN and then cannot finalise any bill needs to understand the two are connected, not conclude billing is broken.</t>
  </si>
  <si>
    <t>hospitals where id = A → gstin is not null, and service_master rows lacking hsn_code block finalisation</t>
  </si>
  <si>
    <t>TC-P2B-082</t>
  </si>
  <si>
    <t>Hospital A's profile is invisible to Hospital B</t>
  </si>
  <si>
    <t>1) Sign in as the Hospital B administrator 2) Open /settings/profile as Hospital B 3) Read the hospital name and GSTIN 4) Query the hospitals table through the API with no filter</t>
  </si>
  <si>
    <t>Hospital B sees only Sanjeevani General Hospital and GSTIN 27AABTS5678K1Z9. No Hospital A row is returned.</t>
  </si>
  <si>
    <t>MOCK_DATA_BOOK Hospitals — Hospital A (GSTIN 36…) and Hospital B (GSTIN 27…)</t>
  </si>
  <si>
    <t>Multi-tenancy, Billing, GST</t>
  </si>
  <si>
    <t>A GSTIN is a legal identity. One hospital seeing or editing another's would let invoices be raised under the wrong tax registration — a tax offence, not merely a data leak.</t>
  </si>
  <si>
    <t>hospitals queried as the Hospital B admin → zero rows for Hospital A</t>
  </si>
  <si>
    <t>TC-P2B-083</t>
  </si>
  <si>
    <t>A receptionist cannot reach the Hospital Profile screen</t>
  </si>
  <si>
    <t>1) Log in as receptionist (Hospital A) 2) Navigate directly to /settings/profile</t>
  </si>
  <si>
    <t>The route is blocked — redirected away, or an explicit access-denied message. The GSTIN field must not render.</t>
  </si>
  <si>
    <t>MOCK_DATA_BOOK Staff logins — receptionist (Hospital A), Ms. Divya Sharma</t>
  </si>
  <si>
    <t>The GSTIN and drug licence on this screen are the hospital's legal identity. A receptionist able to change either could invalidate every invoice and every dispensing record issued afterwards.</t>
  </si>
  <si>
    <t>receptionist (Hospital A)</t>
  </si>
  <si>
    <t>TC-P2B-084</t>
  </si>
  <si>
    <t>The Hospital Profile screen loads with no red console errors</t>
  </si>
  <si>
    <t>1) Open DevTools → Console 2) Open /settings/profile 3) Save a change 4) Read the console</t>
  </si>
  <si>
    <t>No red console text, and specifically no PostgREST error from a hospitals column the query names and the schema lacks.</t>
  </si>
  <si>
    <t>phase2.entry./settings/profile — gstin, pincode, nabhNumber</t>
  </si>
  <si>
    <t>Several fields on this screen are written with an `as any` cast, so a column that does not exist fails only at runtime. The console is the only place that surfaces.</t>
  </si>
  <si>
    <t>TC-P2B-085</t>
  </si>
  <si>
    <t>Branding screen loads with the current logo, name and print settings</t>
  </si>
  <si>
    <t>1) Log in as hospital_admin (Hospital A) 2) Open /settings/branding 3) Read the form</t>
  </si>
  <si>
    <t>Hospital Logo, Hospital Name, Tagline, Primary Font, Base Font Size and Footer Text all render with their current values. No red console errors.</t>
  </si>
  <si>
    <t>MOCK_DATA_BOOK Hospital A — Aarogya Multispecialty Hospital</t>
  </si>
  <si>
    <t>Tier 0: hospital profile created (Settings → Hospital Profile)</t>
  </si>
  <si>
    <t>Branding is what a patient sees on the letterhead of every bill and discharge summary. It is also the first thing a hospital customises after go-live, so a broken screen is a bad first impression of the product.</t>
  </si>
  <si>
    <t>hospitals where id = A → name, logo_url and print settings match what is displayed</t>
  </si>
  <si>
    <t>e2e/phase-02-settings/P2B.identity.brand-support.spec.ts</t>
  </si>
  <si>
    <t>TC-P2B-086</t>
  </si>
  <si>
    <t>A logo under the size limit uploads and is stored</t>
  </si>
  <si>
    <t>1) Open /settings/branding 2) Upload a PNG smaller than 2MB as the Hospital Logo 3) Wait for the confirmation</t>
  </si>
  <si>
    <t>A "Logo uploaded" toast appears and the logo URL is stored against the hospital.</t>
  </si>
  <si>
    <t>A synthetic 1KB PNG generated by the spec — no real hospital branding is used</t>
  </si>
  <si>
    <t>The logo prints on every document. An upload that appears to succeed but stores nothing leaves an empty box at the top of every invoice.</t>
  </si>
  <si>
    <t>hospitals where id = A → logo_url is not null</t>
  </si>
  <si>
    <t>TC-P2B-087</t>
  </si>
  <si>
    <t>A logo over 2MB is refused</t>
  </si>
  <si>
    <t>1) Open /settings/branding 2) Attempt to upload a file larger than 2MB as the Hospital Logo</t>
  </si>
  <si>
    <t>A destructive toast reads "File too large (max 2MB)" and nothing is uploaded.</t>
  </si>
  <si>
    <t>A synthetic file just over 2MB generated by the spec</t>
  </si>
  <si>
    <t>An oversized logo embedded in every printed document slows rendering and can exceed the payload limit on PDF generation, so bills stop printing entirely.</t>
  </si>
  <si>
    <t>hospitals where id = A → logo_url unchanged after the rejected upload</t>
  </si>
  <si>
    <t>TC-P2B-088</t>
  </si>
  <si>
    <t>The branding hospital name saves</t>
  </si>
  <si>
    <t>1) Open /settings/branding 2) Confirm Hospital Name reads "Aarogya Multispecialty Hospital" 3) Click Save 4) Reload</t>
  </si>
  <si>
    <t>The name persists after the reload and matches the value on Settings → Hospital Profile.</t>
  </si>
  <si>
    <t>The name appears on two screens. If they can drift apart, the letterhead and the tax invoice header disagree, and only one of them is the registered legal name.</t>
  </si>
  <si>
    <t>hospitals where id = A → name = 'Aarogya Multispecialty Hospital'</t>
  </si>
  <si>
    <t>TC-P2B-089</t>
  </si>
  <si>
    <t>The tagline saves</t>
  </si>
  <si>
    <t>1) Open /settings/branding 2) Enter Tagline "NABH Accredited" 3) Click Save 4) Reload</t>
  </si>
  <si>
    <t>The tagline persists after the reload and appears in the print preview.</t>
  </si>
  <si>
    <t>Literal tagline NABH Accredited (the placeholder the field itself suggests)</t>
  </si>
  <si>
    <t>The tagline is where hospitals put their accreditation status. Claiming NABH accreditation on a letterhead is a statement an assessor may check, so it has to be the hospital's own words and it has to persist.</t>
  </si>
  <si>
    <t>hospitals where id = A → tagline is not null</t>
  </si>
  <si>
    <t>TC-P2B-090</t>
  </si>
  <si>
    <t>The primary print font can be changed and saves</t>
  </si>
  <si>
    <t>1) Open /settings/branding 2) Select a different Primary Font 3) Click Save 4) Reload</t>
  </si>
  <si>
    <t>The chosen font persists after the reload and the preview renders in it.</t>
  </si>
  <si>
    <t>The font list rendered by SettingsBrandingPage</t>
  </si>
  <si>
    <t>Print font affects legibility of a discharge summary an elderly patient reads at home. A font that does not persist means the hospital never actually gets the one it chose.</t>
  </si>
  <si>
    <t>hospitals where id = A → print font setting persists</t>
  </si>
  <si>
    <t>TC-P2B-091</t>
  </si>
  <si>
    <t>The base font size saves and respects the legibility floor</t>
  </si>
  <si>
    <t>1) Open /settings/branding 2) Set Base Font Size 3) Click Save 4) Reload and read the preview</t>
  </si>
  <si>
    <t>The size persists, and the preview never renders critical print text below the readable minimum.</t>
  </si>
  <si>
    <t>The base font size control on SettingsBrandingPage</t>
  </si>
  <si>
    <t>A base size set too small makes a prescription unreadable. Dosage instructions printed at an unreadable size are a medication-safety risk, not a cosmetic preference.</t>
  </si>
  <si>
    <t>hospitals where id = A → base font size persists within a legible range</t>
  </si>
  <si>
    <t>TC-P2B-092</t>
  </si>
  <si>
    <t>The three-part footer text saves</t>
  </si>
  <si>
    <t>1) Open /settings/branding 2) Enter left, centre and right footer text 3) Click Save 4) Reload</t>
  </si>
  <si>
    <t>All three footer segments persist independently after the reload.</t>
  </si>
  <si>
    <t>The footer placeholders on SettingsBrandingPage — appointments phone, website, registration number</t>
  </si>
  <si>
    <t>The footer carries the appointments number and registration number that a patient uses to contact the hospital or verify it. Losing one segment while keeping the others is a partial-save defect that is easy to miss.</t>
  </si>
  <si>
    <t>hospitals where id = A → all three footer segments persist</t>
  </si>
  <si>
    <t>TC-P2B-093</t>
  </si>
  <si>
    <t>Branding changes survive a hard reload</t>
  </si>
  <si>
    <t>1) Open /settings/branding 2) Change the tagline and footer 3) Click Save 4) Hard-reload the page</t>
  </si>
  <si>
    <t>Both values are still shown after the reload, having been read back from the hospitals row.</t>
  </si>
  <si>
    <t>Literal tagline NABH Accredited plus the three footer segments</t>
  </si>
  <si>
    <t>Four screens in this phase showed a green toast and wrote nothing. Branding claims "applies to all new printouts" in its own success message, which makes a silent failure especially misleading.</t>
  </si>
  <si>
    <t>hospitals where id = A → tagline and footer persist after reload</t>
  </si>
  <si>
    <t>TC-P2B-094</t>
  </si>
  <si>
    <t>The print preview reflects unsaved changes live</t>
  </si>
  <si>
    <t>1) Open /settings/branding 2) Change the tagline without saving 3) Read the preview panel</t>
  </si>
  <si>
    <t>The preview updates as the field is typed, before any save.</t>
  </si>
  <si>
    <t>Literal tagline NABH Accredited</t>
  </si>
  <si>
    <t>The preview exists so an administrator can see the letterhead before committing it. A preview that only updates after saving means the first real proof is a printed bill handed to a patient.</t>
  </si>
  <si>
    <t>None — live preview render</t>
  </si>
  <si>
    <t>TC-P2B-095</t>
  </si>
  <si>
    <t>The saved branding is what a printed document uses</t>
  </si>
  <si>
    <t>1) Open /settings/branding 2) Set a distinctive tagline and save 3) Open a printable document elsewhere in the product 4) Inspect the letterhead</t>
  </si>
  <si>
    <t>The document letterhead shows the hospital name, logo and tagline configured here.</t>
  </si>
  <si>
    <t>Billing, MRD, IPD</t>
  </si>
  <si>
    <t>The success toast promises the change "applies to all new printouts". If branding is stored but never read by the print layer, that promise is false and nobody discovers it until a patient is handed the wrong letterhead.</t>
  </si>
  <si>
    <t>hospitals where id = A → branding values are the ones the print layer reads</t>
  </si>
  <si>
    <t>TC-P2B-096</t>
  </si>
  <si>
    <t>Hospital A's branding is invisible to Hospital B</t>
  </si>
  <si>
    <t>1) Sign in as the Hospital B administrator 2) Open /settings/branding as Hospital B 3) Read the hospital name and logo</t>
  </si>
  <si>
    <t>Hospital B sees only its own branding — Sanjeevani General Hospital, never Aarogya.</t>
  </si>
  <si>
    <t>Multi-tenancy, Billing, MRD</t>
  </si>
  <si>
    <t>One hospital's logo appearing on another's invoice is a misrepresentation on a tax document, and it is the most visible possible tenant leak.</t>
  </si>
  <si>
    <t>TC-P2B-097</t>
  </si>
  <si>
    <t>A receptionist cannot reach the Branding screen</t>
  </si>
  <si>
    <t>1) Log in as receptionist (Hospital A) 2) Navigate directly to /settings/branding</t>
  </si>
  <si>
    <t>Branding is the hospital's public identity on legal documents. A change here alters every invoice printed afterwards, so it belongs to administrators only.</t>
  </si>
  <si>
    <t>TC-P2B-098</t>
  </si>
  <si>
    <t>The Branding screen loads with no red console errors</t>
  </si>
  <si>
    <t>1) Open DevTools → Console 2) Open /settings/branding 3) Save a change 4) Read the console</t>
  </si>
  <si>
    <t>No red console text, including from the storage upload path.</t>
  </si>
  <si>
    <t>The logo upload goes to Supabase storage rather than a table, so a bucket or policy misconfiguration fails silently in the UI and appears only in the console.</t>
  </si>
  <si>
    <t>TC-P2B-099</t>
  </si>
  <si>
    <t>White-Label Branding screen loads</t>
  </si>
  <si>
    <t>1) Open /settings/white-label 2) Read the form</t>
  </si>
  <si>
    <t>The theme colour control, Custom Domain field and DNS instructions all render. No red console errors.</t>
  </si>
  <si>
    <t>phase2.entry./settings/white-label — customDomain aarogya-qa.example.in</t>
  </si>
  <si>
    <t>Patient Portal, Branding</t>
  </si>
  <si>
    <t>White-label is what a reseller or hospital chain uses to put the product under its own domain. A broken screen blocks a partner deal, not just a preference.</t>
  </si>
  <si>
    <t>hospitals where id = A → white-label fields match what is displayed</t>
  </si>
  <si>
    <t>TC-P2B-100</t>
  </si>
  <si>
    <t>A custom theme colour saves</t>
  </si>
  <si>
    <t>1) Open /settings/white-label 2) Enter a custom hex colour 3) Click "Save Theme" 4) Reload</t>
  </si>
  <si>
    <t>The colour persists after the reload.</t>
  </si>
  <si>
    <t>phase2.entry./settings/branding — primaryColour #0E7B7B</t>
  </si>
  <si>
    <t>Branding, Patient Portal</t>
  </si>
  <si>
    <t>The theme colour carries through to the patient portal a patient logs into. A colour that resets makes the portal look unrelated to the hospital that sent the link.</t>
  </si>
  <si>
    <t>hospitals where id = A → theme colour persists</t>
  </si>
  <si>
    <t>TC-P2B-101</t>
  </si>
  <si>
    <t>Save Theme and Save Domain are independent actions</t>
  </si>
  <si>
    <t>1) Open /settings/white-label 2) Change the theme colour only 3) Click "Save Theme" 4) Reload and check the custom domain</t>
  </si>
  <si>
    <t>Saving the theme leaves the custom domain untouched, and vice versa. Neither save clears the other's field.</t>
  </si>
  <si>
    <t>phase2.entry./settings/white-label — customDomain aarogya-qa.example.in with a separate theme colour</t>
  </si>
  <si>
    <t>This screen has three separate save buttons writing to the same hospitals row. If one save sends a partial payload it silently nulls whatever the others set — a classic multi-form data-loss bug.</t>
  </si>
  <si>
    <t>hospitals where id = A → theme and custom domain both retained after either save</t>
  </si>
  <si>
    <t>TC-P2B-102</t>
  </si>
  <si>
    <t>A custom domain saves</t>
  </si>
  <si>
    <t>1) Open /settings/white-label 2) Enter Custom Domain "aarogya-qa.example.in" 3) Click "Save Domain" 4) Reload</t>
  </si>
  <si>
    <t>The domain persists after the reload.</t>
  </si>
  <si>
    <t>Patient Portal</t>
  </si>
  <si>
    <t>The custom domain is where patients are sent for the portal. A domain that does not save means every portal link points at the generic product URL instead of the hospital.</t>
  </si>
  <si>
    <t>hospitals where id = A → custom domain = 'aarogya-qa.example.in'</t>
  </si>
  <si>
    <t>TC-P2B-103</t>
  </si>
  <si>
    <t>A malformed custom domain is rejected</t>
  </si>
  <si>
    <t>1) Open /settings/white-label 2) Enter Custom Domain "not a domain!" 3) Click "Save Domain"</t>
  </si>
  <si>
    <t>The save is refused with a message naming the expected format. The malformed value is not stored.</t>
  </si>
  <si>
    <t>Literal malformed domain "not a domain!"</t>
  </si>
  <si>
    <t>A malformed domain cannot have a DNS record or an SSL certificate issued against it, so the setup silently stalls at a step the hospital cannot diagnose.</t>
  </si>
  <si>
    <t>hospitals where id = A → custom domain &lt;&gt; 'not a domain!'</t>
  </si>
  <si>
    <t>TC-P2B-104</t>
  </si>
  <si>
    <t>The DNS record to create is displayed for the entered domain</t>
  </si>
  <si>
    <t>1) Open /settings/white-label 2) Enter a custom domain 3) Read the DNS instructions</t>
  </si>
  <si>
    <t>A CNAME or A record is shown with the exact value to add at the registrar.</t>
  </si>
  <si>
    <t>The hospital's IT contact has to create this record at their registrar. Showing the exact value is the difference between a five-minute task and a support ticket.</t>
  </si>
  <si>
    <t>None — reads the displayed DNS instructions</t>
  </si>
  <si>
    <t>TC-P2B-105</t>
  </si>
  <si>
    <t>The DNS value can be copied to the clipboard</t>
  </si>
  <si>
    <t>1) Open /settings/white-label 2) Enter a custom domain 3) Click the copy control beside the DNS value</t>
  </si>
  <si>
    <t>A "Copied to clipboard" confirmation appears.</t>
  </si>
  <si>
    <t>A DNS value mistyped by one character fails verification with no useful error. Copy-to-clipboard removes the most common cause of a stalled domain setup.</t>
  </si>
  <si>
    <t>None — clipboard interaction</t>
  </si>
  <si>
    <t>TC-P2B-106</t>
  </si>
  <si>
    <t>DNS verification reports its outcome</t>
  </si>
  <si>
    <t>1) Open /settings/white-label 2) Enter a custom domain and save 3) Click the verify action 4) Read the result</t>
  </si>
  <si>
    <t>The screen states the verification outcome and what happens next, including the SSL issuance timeline.</t>
  </si>
  <si>
    <t>Without an explicit outcome the hospital cannot tell whether it is waiting on DNS propagation or on a mistake it made. Silence here generates the support ticket the screen exists to prevent.</t>
  </si>
  <si>
    <t>None — reads the verification result message</t>
  </si>
  <si>
    <t>TC-P2B-107</t>
  </si>
  <si>
    <t>White-label settings survive a hard reload</t>
  </si>
  <si>
    <t>1) Open /settings/white-label 2) Set a theme colour and a custom domain 3) Save both 4) Hard-reload</t>
  </si>
  <si>
    <t>Both values are still shown after the reload.</t>
  </si>
  <si>
    <t>Four screens in this phase persisted nothing behind a green toast. This one writes to hospitals through an `as any` cast, which suppresses the type checking that would otherwise catch a wrong column name.</t>
  </si>
  <si>
    <t>hospitals where id = A → theme and custom domain both persist</t>
  </si>
  <si>
    <t>TC-P2B-108</t>
  </si>
  <si>
    <t>Hospital A's white-label settings are invisible to Hospital B</t>
  </si>
  <si>
    <t>1) Sign in as the Hospital B administrator 2) Open /settings/white-label as Hospital B 3) Read the custom domain</t>
  </si>
  <si>
    <t>Hospital B sees no trace of Hospital A's domain or theme.</t>
  </si>
  <si>
    <t>Multi-tenancy, Patient Portal</t>
  </si>
  <si>
    <t>A custom domain is a routing instruction. One tenant reading or writing another's could redirect a hospital's patient portal traffic to a domain it does not control.</t>
  </si>
  <si>
    <t>TC-P2B-109</t>
  </si>
  <si>
    <t>A receptionist cannot reach the White-Label screen</t>
  </si>
  <si>
    <t>1) Log in as receptionist (Hospital A) 2) Navigate directly to /settings/white-label</t>
  </si>
  <si>
    <t>Changing the custom domain changes where patients are sent. That is an infrastructure decision, not a front-desk one.</t>
  </si>
  <si>
    <t>TC-P2B-110</t>
  </si>
  <si>
    <t>The White-Label screen loads with no red console errors</t>
  </si>
  <si>
    <t>1) Open DevTools → Console 2) Open /settings/white-label 3) Save the theme and the domain 4) Read the console</t>
  </si>
  <si>
    <t>No red console text from either save path.</t>
  </si>
  <si>
    <t>Both saves write to hospitals through an `as any` cast, so a column that does not exist produces a PostgREST error that never reaches the UI and appears only in the console.</t>
  </si>
  <si>
    <t>TC-P2B-111</t>
  </si>
  <si>
    <t>Support screen loads with the ticket form and existing tickets</t>
  </si>
  <si>
    <t>1) Open /settings/support 2) Read the page</t>
  </si>
  <si>
    <t>Subject, Category and "Describe the issue" render, along with any existing tickets for this hospital. No red console errors.</t>
  </si>
  <si>
    <t>phase2.entry./settings/support — subject "QA Phase 2 smoke"</t>
  </si>
  <si>
    <t>This is the hospital's only in-product route to the vendor. If it will not load, a hospital in trouble has no way to reach anyone from inside the system.</t>
  </si>
  <si>
    <t>platform_support_tickets where hospital_id = A → matches the tickets displayed</t>
  </si>
  <si>
    <t>TC-P2B-112</t>
  </si>
  <si>
    <t>A support ticket submits and is stored</t>
  </si>
  <si>
    <t>1) Open /settings/support 2) Enter Subject "QA Phase 2 smoke" 3) Select a Category 4) Enter the description 5) Submit</t>
  </si>
  <si>
    <t>A "Support ticket submitted" toast appears and a platform_support_tickets row exists for Hospital A with that subject.</t>
  </si>
  <si>
    <t>phase2.entry./settings/support — subject "QA Phase 2 smoke", body "Raised by the Phase 2 data-entry suite. Safe to close."</t>
  </si>
  <si>
    <t>A ticket that appears to submit and writes nothing is worse than no support form: the hospital believes help is coming and waits.</t>
  </si>
  <si>
    <t>platform_support_tickets where hospital_id = A and subject = 'QA Phase 2 smoke' → 1 row</t>
  </si>
  <si>
    <t>TC-P2B-113</t>
  </si>
  <si>
    <t>A ticket cannot be submitted without a subject</t>
  </si>
  <si>
    <t>1) Open /settings/support 2) Leave Subject blank 3) Enter a description 4) Submit</t>
  </si>
  <si>
    <t>The submission is refused and no platform_support_tickets row is written.</t>
  </si>
  <si>
    <t>None — deliberately omits the required Subject</t>
  </si>
  <si>
    <t>A subjectless ticket cannot be triaged or prioritised, so it sits at the bottom of the queue while the hospital waits.</t>
  </si>
  <si>
    <t>platform_support_tickets where hospital_id = A and (subject is null or subject = '') → 0 rows</t>
  </si>
  <si>
    <t>TC-P2B-114</t>
  </si>
  <si>
    <t>A ticket cannot be submitted without a description</t>
  </si>
  <si>
    <t>1) Open /settings/support 2) Enter a Subject 3) Leave "Describe the issue" blank 4) Submit</t>
  </si>
  <si>
    <t>The submission is refused and no row is written.</t>
  </si>
  <si>
    <t>None — deliberately omits the required description</t>
  </si>
  <si>
    <t>A ticket with only a subject forces a round trip before anyone can even begin, which doubles the time to resolution on an issue that may be blocking clinical work.</t>
  </si>
  <si>
    <t>platform_support_tickets where hospital_id = A and body is null → 0 rows</t>
  </si>
  <si>
    <t>TC-P2B-115</t>
  </si>
  <si>
    <t>Support ticket category "Billing" saves</t>
  </si>
  <si>
    <t>1) Open /settings/support 2) Enter a Subject and description 3) Select Category "Billing" 4) Submit</t>
  </si>
  <si>
    <t>A platform_support_tickets row is written with category = 'billing'.</t>
  </si>
  <si>
    <t>The Category options on SettingsSupportPage — "billing"</t>
  </si>
  <si>
    <t>Category is what routes a ticket to the right team and sets its urgency. Each value is tested because one failing to save silently sends every such ticket to the default queue. This one covers a disputed invoice or a subscription question.</t>
  </si>
  <si>
    <t>platform_support_tickets where hospital_id = A → category = 'billing'</t>
  </si>
  <si>
    <t>TC-P2B-116</t>
  </si>
  <si>
    <t>Support ticket category "Technical" saves</t>
  </si>
  <si>
    <t>1) Open /settings/support 2) Enter a Subject and description 3) Select Category "Technical" 4) Submit</t>
  </si>
  <si>
    <t>A platform_support_tickets row is written with category = 'technical'.</t>
  </si>
  <si>
    <t>The Category options on SettingsSupportPage — "technical"</t>
  </si>
  <si>
    <t>Category is what routes a ticket to the right team and sets its urgency. Each value is tested because one failing to save silently sends every such ticket to the default queue. This one covers the system being down, which is the most time-critical category.</t>
  </si>
  <si>
    <t>platform_support_tickets where hospital_id = A → category = 'technical'</t>
  </si>
  <si>
    <t>TC-P2B-117</t>
  </si>
  <si>
    <t>Support ticket category "Clinical Workflow" saves</t>
  </si>
  <si>
    <t>1) Open /settings/support 2) Enter a Subject and description 3) Select Category "Clinical Workflow" 4) Submit</t>
  </si>
  <si>
    <t>A platform_support_tickets row is written with category = 'clinical_workflow'.</t>
  </si>
  <si>
    <t>The Category options on SettingsSupportPage — "clinical_workflow"</t>
  </si>
  <si>
    <t>Category is what routes a ticket to the right team and sets its urgency. Each value is tested because one failing to save silently sends every such ticket to the default queue. This one covers a workflow that does not match how the hospital actually works.</t>
  </si>
  <si>
    <t>platform_support_tickets where hospital_id = A → category = 'clinical_workflow'</t>
  </si>
  <si>
    <t>TC-P2B-118</t>
  </si>
  <si>
    <t>Support ticket category "Training" saves</t>
  </si>
  <si>
    <t>1) Open /settings/support 2) Enter a Subject and description 3) Select Category "Training" 4) Submit</t>
  </si>
  <si>
    <t>A platform_support_tickets row is written with category = 'training'.</t>
  </si>
  <si>
    <t>The Category options on SettingsSupportPage — "training"</t>
  </si>
  <si>
    <t>Category is what routes a ticket to the right team and sets its urgency. Each value is tested because one failing to save silently sends every such ticket to the default queue. This one covers a staff member who cannot use a screen.</t>
  </si>
  <si>
    <t>platform_support_tickets where hospital_id = A → category = 'training'</t>
  </si>
  <si>
    <t>TC-P2B-119</t>
  </si>
  <si>
    <t>A submitted ticket appears in the hospital's ticket list</t>
  </si>
  <si>
    <t>1) Open /settings/support 2) Submit a ticket 3) Reload the page 4) Read the ticket list</t>
  </si>
  <si>
    <t>The ticket is listed with its subject and status after the reload.</t>
  </si>
  <si>
    <t>Without a visible list the hospital cannot tell whether a ticket was raised, and submits it again — creating duplicates that slow the queue for everyone.</t>
  </si>
  <si>
    <t>platform_support_tickets where hospital_id = A and subject = 'QA Phase 2 smoke' → visible in the list</t>
  </si>
  <si>
    <t>TC-P2B-120</t>
  </si>
  <si>
    <t>A reply can be added to an existing ticket</t>
  </si>
  <si>
    <t>1) Open /settings/support 2) Open an existing ticket 3) Enter a reply 4) Send</t>
  </si>
  <si>
    <t>A "Reply sent" confirmation appears and the reply is stored against the ticket.</t>
  </si>
  <si>
    <t>phase2.entry./settings/support — a reply on the "QA Phase 2 smoke" ticket</t>
  </si>
  <si>
    <t>Support is a conversation. A reply that is not stored means the vendor never sees the extra detail and asks for it again by email, outside the system.</t>
  </si>
  <si>
    <t>the ticket replies table → 1 reply row against the QA ticket</t>
  </si>
  <si>
    <t>TC-P2B-121</t>
  </si>
  <si>
    <t>A submitted ticket survives a hard reload</t>
  </si>
  <si>
    <t>1) Open /settings/support 2) Submit a ticket 3) Hard-reload the page</t>
  </si>
  <si>
    <t>The ticket is still listed after the reload.</t>
  </si>
  <si>
    <t>A green toast is not a save. On a support form specifically, a false success means the hospital stops chasing an issue that nobody has received.</t>
  </si>
  <si>
    <t>TC-P2B-122</t>
  </si>
  <si>
    <t>Hospital A's support tickets are invisible to Hospital B</t>
  </si>
  <si>
    <t>1) Sign in as the Hospital B administrator 2) Open /settings/support as Hospital B 3) Query platform_support_tickets through the API with no hospital filter</t>
  </si>
  <si>
    <t>Not one Hospital A ticket is returned.</t>
  </si>
  <si>
    <t>Multi-tenancy, Platform</t>
  </si>
  <si>
    <t>Support tickets describe what is broken at a hospital and often quote real operational detail. One customer reading another's is a confidentiality breach that would end an enterprise contract.</t>
  </si>
  <si>
    <t>platform_support_tickets queried as the Hospital B admin → zero rows with hospital_id = A</t>
  </si>
  <si>
    <t>TC-P2B-123</t>
  </si>
  <si>
    <t>The Support screen is reachable by hospital_admin</t>
  </si>
  <si>
    <t>1) Log in as hospital_admin (Hospital A) 2) Navigate to /settings/support</t>
  </si>
  <si>
    <t>The screen loads and the ticket form is usable.</t>
  </si>
  <si>
    <t>MOCK_DATA_BOOK Staff logins — hospital_admin (Hospital A), Dr. Ravi Shankar</t>
  </si>
  <si>
    <t>Unlike the rest of Settings, support must be easy to reach in a crisis. A gate that is too tight here means the person who needs help cannot ask for it.</t>
  </si>
  <si>
    <t>TC-P2B-124</t>
  </si>
  <si>
    <t>The Support screen loads with no red console errors</t>
  </si>
  <si>
    <t>1) Open DevTools → Console 2) Open /settings/support 3) Submit a ticket 4) Read the console</t>
  </si>
  <si>
    <t>No red console text from the insert or the ticket list query.</t>
  </si>
  <si>
    <t>The insert uses an `as any` cast, so a column mismatch fails at runtime only. On the one screen a hospital uses to report problems, a silent failure is self-defeating.</t>
  </si>
  <si>
    <t>TC-P2B-125</t>
  </si>
  <si>
    <t>Training Videos screen loads</t>
  </si>
  <si>
    <t>1) Open /settings/training 2) Read the page</t>
  </si>
  <si>
    <t>The video list and a search box placeholdered "Search videos…" render. No red console errors.</t>
  </si>
  <si>
    <t>phase2.entry./settings/training — search term OPD</t>
  </si>
  <si>
    <t>LMS, all modules</t>
  </si>
  <si>
    <t>Training videos are how a ward nurse in a Tier-2 town learns a screen without a trainer on site. An unreachable library is a direct adoption risk in the first 30 days after go-live.</t>
  </si>
  <si>
    <t>platform_training_videos → matches the videos displayed</t>
  </si>
  <si>
    <t>TC-P2B-126</t>
  </si>
  <si>
    <t>Training videos are listed</t>
  </si>
  <si>
    <t>1) Open /settings/training 2) Count the videos shown</t>
  </si>
  <si>
    <t>At least one training video renders with a title.</t>
  </si>
  <si>
    <t>platform_training_videos — the seeded platform library</t>
  </si>
  <si>
    <t>LMS</t>
  </si>
  <si>
    <t>An empty library on a screen that promises "short how-to videos for every role" tells a new hospital the product is unfinished.</t>
  </si>
  <si>
    <t>platform_training_videos → at least 1 row</t>
  </si>
  <si>
    <t>TC-P2B-127</t>
  </si>
  <si>
    <t>Searching filters the video list</t>
  </si>
  <si>
    <t>1) Open /settings/training 2) Type "OPD" into the search box 3) Read the results</t>
  </si>
  <si>
    <t>Only videos matching OPD remain listed.</t>
  </si>
  <si>
    <t>LMS, OPD</t>
  </si>
  <si>
    <t>A receptionist looking for the OPD token video should not have to scroll every video in the library. Search is what makes the library usable during a shift.</t>
  </si>
  <si>
    <t>None — client-side filter</t>
  </si>
  <si>
    <t>TC-P2B-128</t>
  </si>
  <si>
    <t>A search with no matches shows an empty state rather than a blank page</t>
  </si>
  <si>
    <t>1) Open /settings/training 2) Type "zzzznotathing" into the search box</t>
  </si>
  <si>
    <t>A message explains that no videos matched. The page does not go blank or error.</t>
  </si>
  <si>
    <t>A blank result area reads as a broken page, and a user who thinks training is broken stops looking for help entirely.</t>
  </si>
  <si>
    <t>TC-P2B-129</t>
  </si>
  <si>
    <t>The Training screen offers no save action</t>
  </si>
  <si>
    <t>1) Open /settings/training 2) Look for a Save control</t>
  </si>
  <si>
    <t>No Save button renders — the screen is read-only, and the video library is platform-managed.</t>
  </si>
  <si>
    <t>None — asserts the absence of a save control</t>
  </si>
  <si>
    <t>The library belongs to the vendor, not the hospital. A save control here would imply a hospital can edit content it cannot, which is a promise the screen must not make.</t>
  </si>
  <si>
    <t>None — asserts no write path exists</t>
  </si>
  <si>
    <t>TC-P2B-130</t>
  </si>
  <si>
    <t>A training video can be opened</t>
  </si>
  <si>
    <t>1) Open /settings/training 2) Click a video</t>
  </si>
  <si>
    <t>The video opens in a player or a new tab without a console error.</t>
  </si>
  <si>
    <t>platform_training_videos — the first seeded video</t>
  </si>
  <si>
    <t>A library that lists videos nobody can play is worse than no library — the hospital concludes training does not exist and stops checking.</t>
  </si>
  <si>
    <t>None — playback interaction</t>
  </si>
  <si>
    <t>TC-P2B-131</t>
  </si>
  <si>
    <t>Videos carry the role they are aimed at</t>
  </si>
  <si>
    <t>1) Open /settings/training 2) Read the video metadata</t>
  </si>
  <si>
    <t>Videos indicate the role or module they cover, so a nurse can find nursing content.</t>
  </si>
  <si>
    <t>platform_training_videos — role metadata on the seeded library</t>
  </si>
  <si>
    <t>LMS, HR</t>
  </si>
  <si>
    <t>The catalogue promises "short how-to videos for every role". Without role metadata a pharmacist has to watch billing videos to find out they are not relevant.</t>
  </si>
  <si>
    <t>platform_training_videos → role or module metadata is present</t>
  </si>
  <si>
    <t>TC-P2B-132</t>
  </si>
  <si>
    <t>The training library is shared platform content, not tenant data</t>
  </si>
  <si>
    <t>1) Open /settings/training as Hospital A and note the videos 2) Sign in as the Hospital B administrator 3) Open /settings/training as Hospital B</t>
  </si>
  <si>
    <t>Both hospitals see the same platform-managed library. No hospital-specific rows leak between them.</t>
  </si>
  <si>
    <t>Multi-tenancy, LMS</t>
  </si>
  <si>
    <t>This table is deliberately shared, which makes it the one place where seeing the same rows in both tenants is correct. Recorded explicitly so it is never "fixed" into a tenant-scoped table by mistake.</t>
  </si>
  <si>
    <t>platform_training_videos → identical rows visible to both tenants</t>
  </si>
  <si>
    <t>TC-P2B-133</t>
  </si>
  <si>
    <t>The Training screen is reachable by hospital_admin</t>
  </si>
  <si>
    <t>1) Log in as hospital_admin (Hospital A) 2) Navigate to /settings/training</t>
  </si>
  <si>
    <t>The screen loads and videos are listed.</t>
  </si>
  <si>
    <t>Training is read-only vendor content with no patient data in it, so the gate here should be permissive. A gate that is too tight blocks the adoption the videos exist to drive.</t>
  </si>
  <si>
    <t>TC-P2B-134</t>
  </si>
  <si>
    <t>The Training screen loads with no red console errors</t>
  </si>
  <si>
    <t>1) Open DevTools → Console 2) Open /settings/training 3) Search and open a video 4) Read the console</t>
  </si>
  <si>
    <t>No red console text, including from the video embed.</t>
  </si>
  <si>
    <t>Video embeds pull from an external host. A blocked embed shows as an empty player with the real cause visible only in the console.</t>
  </si>
  <si>
    <t>TC-P2C-001</t>
  </si>
  <si>
    <t>2C Plan &amp; Entitlement</t>
  </si>
  <si>
    <t>Plan &amp; Billing screen loads</t>
  </si>
  <si>
    <t>1) Log in as hospital_admin (Hospital A) 2) Open /settings/plan 3) Read the page</t>
  </si>
  <si>
    <t>The current plan, usage statistics and invoice history render. No red console errors.</t>
  </si>
  <si>
    <t>MOCK_DATA_BOOK Hospital A — Professional plan</t>
  </si>
  <si>
    <t>All modules, Billing</t>
  </si>
  <si>
    <t>Tier 0: hospital profile created; a subscription row exists for the tenant</t>
  </si>
  <si>
    <t>The plan determines which of the 39 modules exist at all. If this screen will not load, a hospital cannot see what it is paying for or discover why a module is missing.</t>
  </si>
  <si>
    <t>hospital_subscriptions where hospital_id = A → 1 row matching the plan displayed</t>
  </si>
  <si>
    <t>e2e/phase-02-settings/P2C.plan-entitlement.spec.ts</t>
  </si>
  <si>
    <t>TC-P2C-002</t>
  </si>
  <si>
    <t>The current plan shown matches the subscription row</t>
  </si>
  <si>
    <t>1) Open /settings/plan 2) Read the plan name 3) Compare against hospital_subscriptions</t>
  </si>
  <si>
    <t>The screen shows the Professional plan, matching hospital_subscriptions for Hospital A.</t>
  </si>
  <si>
    <t>SETTINGS_PREREQ_MATRIX puts the plan in Tier 0 because whole sections of the app disappear without it. A screen showing a different plan from the one enforced means every access denial looks like a bug.</t>
  </si>
  <si>
    <t>hospital_subscriptions where hospital_id = A → plan matches 'Professional'</t>
  </si>
  <si>
    <t>TC-P2C-003</t>
  </si>
  <si>
    <t>Staff usage is counted against the plan</t>
  </si>
  <si>
    <t>1) Open /settings/plan 2) Read the staff usage figure 3) Compare against the active users for Hospital A</t>
  </si>
  <si>
    <t>The staff count matches the number of active users in the tenant.</t>
  </si>
  <si>
    <t>MOCK_DATA_BOOK Staff logins — 17 Hospital A accounts</t>
  </si>
  <si>
    <t>HR, Plan gating</t>
  </si>
  <si>
    <t>Staff count drives seat billing. A figure that drifts from reality means the hospital is either over-charged or silently exceeding what it pays for.</t>
  </si>
  <si>
    <t>users where hospital_id = A and is_active = true → count matches the displayed figure</t>
  </si>
  <si>
    <t>TC-P2C-004</t>
  </si>
  <si>
    <t>Bed usage is counted against the plan bed limit</t>
  </si>
  <si>
    <t>1) Open /settings/wards and note the total beds 2) Open /settings/plan 3) Read the bed usage figure</t>
  </si>
  <si>
    <t>The bed usage matches the count of beds rows for Hospital A, and is shown against the plan maximum.</t>
  </si>
  <si>
    <t>MOCK_DATA_BOOK Wards &amp; beds — 32 seeded beds across six wards</t>
  </si>
  <si>
    <t>IPD, Plan gating</t>
  </si>
  <si>
    <t>The bed limit is enforced when creating a ward (TC-P2D-054). If the count shown here disagrees with the count the gate uses, a hospital is blocked from adding a bed while this screen says it has room.</t>
  </si>
  <si>
    <t>beds where hospital_id = A → count matches the displayed bed usage</t>
  </si>
  <si>
    <t>TC-P2C-005</t>
  </si>
  <si>
    <t>Encounter usage for the billing cycle renders</t>
  </si>
  <si>
    <t>1) Open /settings/plan 2) Read the encounter usage figure</t>
  </si>
  <si>
    <t>Encounter usage for the current billing cycle renders from hospital_encounter_usage without error.</t>
  </si>
  <si>
    <t>hospital_encounter_usage — the current cycle for Hospital A</t>
  </si>
  <si>
    <t>OPD, IPD, Billing</t>
  </si>
  <si>
    <t>Encounter volume is the metered dimension on usage-based plans. A hospital that cannot see it has no warning before an overage lands on the invoice.</t>
  </si>
  <si>
    <t>hospital_encounter_usage where hospital_id = A → matches the displayed figure</t>
  </si>
  <si>
    <t>TC-P2C-006</t>
  </si>
  <si>
    <t>AI usage for the calendar month renders as observability only</t>
  </si>
  <si>
    <t>1) Open /settings/plan 2) Locate the AI usage figure 3) Confirm it is presented as information, not as a gate</t>
  </si>
  <si>
    <t>AI spend for the current calendar month renders. It is labelled as observability and does not itself block anything.</t>
  </si>
  <si>
    <t>ai_cost_daily — the current month for Hospital A</t>
  </si>
  <si>
    <t>AI budget is enforced separately in hospital_ai_wallet. Presenting this figure as a limit would make an administrator think AI is blocked when the real gate is elsewhere — SETTINGS_PREREQ_MATRIX warns there are three independent AI gates.</t>
  </si>
  <si>
    <t>ai_cost_daily where hospital_id = A → matches the displayed spend</t>
  </si>
  <si>
    <t>TC-P2C-007</t>
  </si>
  <si>
    <t>Storage usage renders from the per-tenant RPC</t>
  </si>
  <si>
    <t>1) Open /settings/plan 2) Read the storage usage figure</t>
  </si>
  <si>
    <t>Storage usage renders as a size, without a console error from the get_storage_usage RPC.</t>
  </si>
  <si>
    <t>get_storage_usage RPC for Hospital A</t>
  </si>
  <si>
    <t>MRD, Radiology</t>
  </si>
  <si>
    <t>Storage fills up with scanned records and DICOM images. A hospital that cannot see the figure gets no warning before uploads start failing mid-clinic.</t>
  </si>
  <si>
    <t>get_storage_usage RPC returns a value for Hospital A</t>
  </si>
  <si>
    <t>TC-P2C-008</t>
  </si>
  <si>
    <t>The upgrade dialog opens</t>
  </si>
  <si>
    <t>1) Open /settings/plan 2) Click the upgrade action 3) Observe the dialog</t>
  </si>
  <si>
    <t>The upgrade dialog opens listing the plans available above the current one.</t>
  </si>
  <si>
    <t>subscription_plans — the plans above Professional</t>
  </si>
  <si>
    <t>Plan gating, Billing</t>
  </si>
  <si>
    <t>Every plan gate elsewhere in the product points the user here. A gate that leads to a dialog that will not open turns a sales opportunity into a dead end.</t>
  </si>
  <si>
    <t>subscription_plans → the plans offered match what the dialog lists</t>
  </si>
  <si>
    <t>TC-P2C-009</t>
  </si>
  <si>
    <t>Other available plans are listed for comparison</t>
  </si>
  <si>
    <t>1) Open /settings/plan 2) Read the plan comparison section</t>
  </si>
  <si>
    <t>Plans other than the current one are listed with their prices.</t>
  </si>
  <si>
    <t>subscription_plans — the full plan catalogue</t>
  </si>
  <si>
    <t>Plan gating</t>
  </si>
  <si>
    <t>A hospital deciding whether to upgrade needs to see what it would get. Showing only the current plan makes the upgrade decision impossible without contacting sales.</t>
  </si>
  <si>
    <t>subscription_plans → more than one plan is listed</t>
  </si>
  <si>
    <t>TC-P2C-010</t>
  </si>
  <si>
    <t>The add-on catalogue lists purchasable add-ons</t>
  </si>
  <si>
    <t>1) Open /settings/plan 2) Read the add-on section</t>
  </si>
  <si>
    <t>Add-ons from addon_skus render with their names and monthly prices.</t>
  </si>
  <si>
    <t>addon_skus — the platform add-on catalogue</t>
  </si>
  <si>
    <t>Plan gating, AI Suite</t>
  </si>
  <si>
    <t>Add-ons carry the ai_feature_keys that unlock AI features. SETTINGS_PREREQ_MATRIX names plan entitlement as the first of three gates on any AI button — if the catalogue does not render, the hospital cannot buy the entitlement it needs.</t>
  </si>
  <si>
    <t>addon_skus → the catalogue rows match what is displayed</t>
  </si>
  <si>
    <t>TC-P2C-011</t>
  </si>
  <si>
    <t>Add-ons the hospital already owns are distinguished from the catalogue</t>
  </si>
  <si>
    <t>1) Open /settings/plan 2) Compare the add-on list against hospital_addons for Hospital A</t>
  </si>
  <si>
    <t>Owned add-ons are marked as owned and are not offered for purchase again.</t>
  </si>
  <si>
    <t>hospital_addons — the add-ons granted to Hospital A</t>
  </si>
  <si>
    <t>Offering an add-on the hospital already pays for invites a duplicate purchase, and a duplicate grant makes the entitlement calculation ambiguous.</t>
  </si>
  <si>
    <t>hospital_addons where hospital_id = A → each owned SKU is marked owned in the UI</t>
  </si>
  <si>
    <t>TC-P2C-012</t>
  </si>
  <si>
    <t>Add-on prices render in en-IN grouping with the rupee symbol</t>
  </si>
  <si>
    <t>1) Open /settings/plan 2) Read an add-on monthly price</t>
  </si>
  <si>
    <t>Prices render as ₹ amounts with Indian digit grouping, via formatCurrency().</t>
  </si>
  <si>
    <t>addon_skus — price_monthly on the catalogue rows</t>
  </si>
  <si>
    <t>This is a purchase decision screen. A price rendered as a bare number or with international grouping misstates what the hospital is committing to.</t>
  </si>
  <si>
    <t>addon_skus.price_monthly → rendered with ₹ and Indian grouping</t>
  </si>
  <si>
    <t>TC-P2C-013</t>
  </si>
  <si>
    <t>Subscription invoices are listed</t>
  </si>
  <si>
    <t>1) Open /settings/plan 2) Read the invoice history</t>
  </si>
  <si>
    <t>Rows from subscription_invoices render with their dates and amounts, or an empty state if there are none.</t>
  </si>
  <si>
    <t>subscription_invoices — the invoice history for Hospital A</t>
  </si>
  <si>
    <t>The hospital's finance team reconciles the software spend against these invoices. Missing history means the spend cannot be verified at audit.</t>
  </si>
  <si>
    <t>subscription_invoices where hospital_id = A → match the rows displayed</t>
  </si>
  <si>
    <t>TC-P2C-014</t>
  </si>
  <si>
    <t>An invoice can be downloaded</t>
  </si>
  <si>
    <t>1) Open /settings/plan 2) Click download on an invoice 3) Observe the result</t>
  </si>
  <si>
    <t>An invoice document is produced, or a clear message explains why it is unavailable. No unhandled error.</t>
  </si>
  <si>
    <t>subscription_invoices — the most recent invoice for Hospital A</t>
  </si>
  <si>
    <t>The invoice is a tax document the hospital needs for its own books. A download that fails silently forces a support ticket for something that should be self-service.</t>
  </si>
  <si>
    <t>None — download interaction</t>
  </si>
  <si>
    <t>TC-P2C-015</t>
  </si>
  <si>
    <t>Payment history renders</t>
  </si>
  <si>
    <t>1) Open /settings/plan 2) Read the payment history table</t>
  </si>
  <si>
    <t>Past payments render with dates and amounts, or an empty state.</t>
  </si>
  <si>
    <t>subscription_invoices — payment records for Hospital A</t>
  </si>
  <si>
    <t>Accounts, Payments</t>
  </si>
  <si>
    <t>A hospital disputing a charge needs to see what was actually taken and when. Without it the conversation starts with the vendor's word against theirs.</t>
  </si>
  <si>
    <t>None — reads the payment history table</t>
  </si>
  <si>
    <t>TC-P2C-016</t>
  </si>
  <si>
    <t>An unlimited limit renders as unlimited, not as zero percent</t>
  </si>
  <si>
    <t>1) Open /settings/plan 2) Find a usage meter whose plan limit is null 3) Read how it is presented</t>
  </si>
  <si>
    <t>A null limit renders as "unlimited" and its meter reads 0% used — never as a limit of zero.</t>
  </si>
  <si>
    <t>subscription_plans — a plan dimension with a null limit</t>
  </si>
  <si>
    <t>A null limit meaning "unlimited" and a limit of zero meaning "none allowed" are opposites. Confusing them shows a hospital on an unlimited plan as permanently at capacity.</t>
  </si>
  <si>
    <t>subscription_plans → a null limit renders as unlimited</t>
  </si>
  <si>
    <t>TC-P2C-017</t>
  </si>
  <si>
    <t>A dimension over its limit renders as fully consumed</t>
  </si>
  <si>
    <t>1) Open /settings/plan 2) Find a usage dimension at or beyond its plan limit 3) Read the meter</t>
  </si>
  <si>
    <t>The meter caps at 100% and the over-limit state is visibly flagged rather than overflowing the bar.</t>
  </si>
  <si>
    <t>MOCK_DATA_BOOK Hospital A — usage against the Professional plan limits</t>
  </si>
  <si>
    <t>Plan gating, IPD</t>
  </si>
  <si>
    <t>Being over a limit is exactly when the hospital needs to notice. A meter that renders past 100% or wraps hides the one state that requires action.</t>
  </si>
  <si>
    <t>None — reads the usage meter presentation</t>
  </si>
  <si>
    <t>TC-P2C-018</t>
  </si>
  <si>
    <t>Hospital B on the Starter plan sees a different plan and different limits</t>
  </si>
  <si>
    <t>1) Sign in as the Hospital B administrator 2) Open /settings/plan 3) Read the plan and limits</t>
  </si>
  <si>
    <t>Hospital B shows the Starter/trial plan with its own limits — never Hospital A's Professional plan.</t>
  </si>
  <si>
    <t>MOCK_DATA_BOOK Hospitals — Hospital A Professional, Hospital B Starter (trial)</t>
  </si>
  <si>
    <t>Multi-tenancy, Plan gating</t>
  </si>
  <si>
    <t>The plan decides which modules exist. A tenant reading the wrong subscription row would be granted or denied modules according to another hospital's contract.</t>
  </si>
  <si>
    <t>hospital_subscriptions queried as the Hospital B admin → only the Hospital B row</t>
  </si>
  <si>
    <t>TC-P2C-019</t>
  </si>
  <si>
    <t>Hospital A's subscription and invoices are invisible to Hospital B</t>
  </si>
  <si>
    <t>1) Sign in as the Hospital B administrator 2) Open /settings/plan as Hospital B 3) Query hospital_subscriptions and subscription_invoices through the API with no hospital filter</t>
  </si>
  <si>
    <t>No Hospital A subscription or invoice row is returned.</t>
  </si>
  <si>
    <t>Multi-tenancy, Accounts</t>
  </si>
  <si>
    <t>Invoices reveal what another hospital pays. In a market where the same consultant advises several hospitals, a pricing leak between tenants is commercially damaging and a contract breach.</t>
  </si>
  <si>
    <t>subscription_invoices queried as the Hospital B admin → zero rows for Hospital A</t>
  </si>
  <si>
    <t>TC-P2C-020</t>
  </si>
  <si>
    <t>A receptionist cannot reach the Plan &amp; Billing screen</t>
  </si>
  <si>
    <t>1) Log in as receptionist (Hospital A) 2) Navigate directly to /settings/plan</t>
  </si>
  <si>
    <t>The route is blocked — redirected away, or an explicit access-denied message. No invoice amounts render.</t>
  </si>
  <si>
    <t>Accounts, Plan gating</t>
  </si>
  <si>
    <t>This screen exposes what the hospital pays and can trigger an upgrade purchase. Both belong to the administrator, not the front desk.</t>
  </si>
  <si>
    <t>TC-P2C-021</t>
  </si>
  <si>
    <t>AI Features screen loads with all seven feature toggles</t>
  </si>
  <si>
    <t>1) Open /settings/ai-features 2) Count the feature toggles</t>
  </si>
  <si>
    <t>Seven toggles render — Clinical Note Drafting, Discharge Summary, Differential Diagnosis, ICD-10 Code Suggestions, Radiology Impression, Voice Dictation and Executive Digest. No red console errors.</t>
  </si>
  <si>
    <t>AI_FEATURES in SettingsAIFeaturesPage — 7 keys</t>
  </si>
  <si>
    <t>AI Suite, OPD, IPD, Radiology</t>
  </si>
  <si>
    <t>This is the second of the three gates SETTINGS_PREREQ_MATRIX names on every AI button — plan entitlement, this hospital toggle, and the AI budget. A missing toggle means a feature that can never be switched on.</t>
  </si>
  <si>
    <t>hospitals where id = A → ai_feature_flags holds all 7 keys</t>
  </si>
  <si>
    <t>TC-P2C-022</t>
  </si>
  <si>
    <t>The enabled-feature count reflects the toggles</t>
  </si>
  <si>
    <t>1) Open /settings/ai-features 2) Read the "N of 7 AI features enabled" summary 3) Toggle one feature off 4) Re-read the summary</t>
  </si>
  <si>
    <t>The count updates immediately to match the number of enabled toggles.</t>
  </si>
  <si>
    <t>The count is the at-a-glance answer to "how much AI is switched on here", which is the first question a DPDP or CDSCO reviewer asks. A stale count misrepresents the hospital's own posture.</t>
  </si>
  <si>
    <t>None — reads the live count</t>
  </si>
  <si>
    <t>TC-P2C-023</t>
  </si>
  <si>
    <t>The doctor attestation policy is stated on the screen</t>
  </si>
  <si>
    <t>1) Open /settings/ai-features 2) Read the policy text</t>
  </si>
  <si>
    <t>The screen states that all AI-generated clinical content requires doctor attestation before it is saved, and that attestations are logged with the doctor's identity.</t>
  </si>
  <si>
    <t>The attestation policy text on SettingsAIFeaturesPage</t>
  </si>
  <si>
    <t>AI Suite, Quality, MRD</t>
  </si>
  <si>
    <t>Human-in-the-loop attestation is what keeps these features below the CDSCO SaMD threshold that would require device registration. The policy has to be visible to the person switching the features on, not buried in a contract.</t>
  </si>
  <si>
    <t>None — reads the policy text</t>
  </si>
  <si>
    <t>TC-P2C-024</t>
  </si>
  <si>
    <t>Features on a clinical decision path are marked as critical</t>
  </si>
  <si>
    <t>1) Open /settings/ai-features 2) Identify which features carry a critical marker</t>
  </si>
  <si>
    <t>Clinical Note Drafting, Discharge Summary, Differential Diagnosis and Radiology Impression are marked critical. Executive Digest is not.</t>
  </si>
  <si>
    <t>AI_FEATURES in SettingsAIFeaturesPage — the critical flag</t>
  </si>
  <si>
    <t>AI Suite, Quality</t>
  </si>
  <si>
    <t>An administrator switching on Differential Diagnosis is making a patient-safety decision; switching on Executive Digest is not. Presenting them identically invites the clinical ones to be enabled without thought.</t>
  </si>
  <si>
    <t>None — reads the critical markers</t>
  </si>
  <si>
    <t>TC-P2C-025</t>
  </si>
  <si>
    <t>Saving writes ai_feature_flags to the hospital row</t>
  </si>
  <si>
    <t>1) Open /settings/ai-features 2) Toggle Executive Digest off 3) Click Save 4) Check the hospital row</t>
  </si>
  <si>
    <t>hospitals.ai_feature_flags reflects the toggle state, with executive_digest false.</t>
  </si>
  <si>
    <t>AI_FEATURES — executive_digest toggled off</t>
  </si>
  <si>
    <t>This toggle is a real gate on whether an AI button renders at all. A save that does not persist means a hospital believes it has disabled a clinical AI feature while doctors continue to see it.</t>
  </si>
  <si>
    <t>hospitals where id = A → ai_feature_flags-&gt;&gt;'executive_digest' = 'false'</t>
  </si>
  <si>
    <t>TC-P2C-026</t>
  </si>
  <si>
    <t>A failed AI settings save does not report success</t>
  </si>
  <si>
    <t>1) Open DevTools → Network 2) Open /settings/ai-features 3) Toggle a feature 4) Click Save 5) Compare the toast against the actual response</t>
  </si>
  <si>
    <t>A success toast appears only when the update succeeded. If the update is rejected, a destructive message says so.</t>
  </si>
  <si>
    <t>AI_FEATURES — any feature toggled</t>
  </si>
  <si>
    <t>handleSave awaits the Supabase update but never inspects its error, then toasts success unconditionally. If RLS rejects the write or the column is missing, the hospital is told its AI configuration saved when it did not — and on a clinical AI gate that is a safety-relevant false confirmation, not a cosmetic one.</t>
  </si>
  <si>
    <t>hospitals where id = A → ai_feature_flags actually changed whenever success was reported</t>
  </si>
  <si>
    <t>TC-P2C-027</t>
  </si>
  <si>
    <t>AI feature "Clinical Note Drafting" can be toggled off and stays off after a reload</t>
  </si>
  <si>
    <t>1) Open /settings/ai-features 2) Toggle "Clinical Note Drafting" off 3) Click Save 4) Hard-reload the page 5) Re-read the toggle</t>
  </si>
  <si>
    <t>hospitals.ai_feature_flags.clinical_note = false and the toggle still reads off after the reload.</t>
  </si>
  <si>
    <t>AI_FEATURES in SettingsAIFeaturesPage — key "clinical_note"</t>
  </si>
  <si>
    <t>Each key is stored as its own flag, so one can fail to persist while the others save. Switching this feature off must actually stop it: a drafted note becomes the legal clinical record once a doctor signs it.</t>
  </si>
  <si>
    <t>hospitals where id = A → ai_feature_flags-&gt;&gt;'clinical_note' = 'false'</t>
  </si>
  <si>
    <t>TC-P2C-028</t>
  </si>
  <si>
    <t>AI feature "Discharge Summary" can be toggled off and stays off after a reload</t>
  </si>
  <si>
    <t>1) Open /settings/ai-features 2) Toggle "Discharge Summary" off 3) Click Save 4) Hard-reload the page 5) Re-read the toggle</t>
  </si>
  <si>
    <t>hospitals.ai_feature_flags.discharge_summary = false and the toggle still reads off after the reload.</t>
  </si>
  <si>
    <t>AI_FEATURES in SettingsAIFeaturesPage — key "discharge_summary"</t>
  </si>
  <si>
    <t>Each key is stored as its own flag, so one can fail to persist while the others save. Switching this feature off must actually stop it: the discharge summary is what the next treating doctor reads, often the only handover a patient carries.</t>
  </si>
  <si>
    <t>hospitals where id = A → ai_feature_flags-&gt;&gt;'discharge_summary' = 'false'</t>
  </si>
  <si>
    <t>TC-P2C-029</t>
  </si>
  <si>
    <t>AI feature "Differential Diagnosis" can be toggled off and stays off after a reload</t>
  </si>
  <si>
    <t>1) Open /settings/ai-features 2) Toggle "Differential Diagnosis" off 3) Click Save 4) Hard-reload the page 5) Re-read the toggle</t>
  </si>
  <si>
    <t>hospitals.ai_feature_flags.differential_dx = false and the toggle still reads off after the reload.</t>
  </si>
  <si>
    <t>AI_FEATURES in SettingsAIFeaturesPage — key "differential_dx"</t>
  </si>
  <si>
    <t>Each key is stored as its own flag, so one can fail to persist while the others save. Switching this feature off must actually stop it: a suggested differential can anchor a clinician on the wrong diagnosis — the classic AI harm in this setting.</t>
  </si>
  <si>
    <t>hospitals where id = A → ai_feature_flags-&gt;&gt;'differential_dx' = 'false'</t>
  </si>
  <si>
    <t>TC-P2C-030</t>
  </si>
  <si>
    <t>AI feature "ICD-10 Code Suggestions" can be toggled off and stays off after a reload</t>
  </si>
  <si>
    <t>1) Open /settings/ai-features 2) Toggle "ICD-10 Code Suggestions" off 3) Click Save 4) Hard-reload the page 5) Re-read the toggle</t>
  </si>
  <si>
    <t>hospitals.ai_feature_flags.icd_suggest = false and the toggle still reads off after the reload.</t>
  </si>
  <si>
    <t>AI_FEATURES in SettingsAIFeaturesPage — key "icd_suggest"</t>
  </si>
  <si>
    <t>Each key is stored as its own flag, so one can fail to persist while the others save. Switching this feature off must actually stop it: a wrong ICD code is a rejected insurance claim and a distorted morbidity return.</t>
  </si>
  <si>
    <t>hospitals where id = A → ai_feature_flags-&gt;&gt;'icd_suggest' = 'false'</t>
  </si>
  <si>
    <t>TC-P2C-031</t>
  </si>
  <si>
    <t>AI feature "Radiology Impression" can be toggled off and stays off after a reload</t>
  </si>
  <si>
    <t>1) Open /settings/ai-features 2) Toggle "Radiology Impression" off 3) Click Save 4) Hard-reload the page 5) Re-read the toggle</t>
  </si>
  <si>
    <t>hospitals.ai_feature_flags.radiology_impression = false and the toggle still reads off after the reload.</t>
  </si>
  <si>
    <t>AI_FEATURES in SettingsAIFeaturesPage — key "radiology_impression"</t>
  </si>
  <si>
    <t>Each key is stored as its own flag, so one can fail to persist while the others save. Switching this feature off must actually stop it: an AI impression a radiologist accepts without reading is a missed finding.</t>
  </si>
  <si>
    <t>hospitals where id = A → ai_feature_flags-&gt;&gt;'radiology_impression' = 'false'</t>
  </si>
  <si>
    <t>TC-P2C-032</t>
  </si>
  <si>
    <t>AI feature "Voice Dictation (AI-enhanced)" can be toggled off and stays off after a reload</t>
  </si>
  <si>
    <t>1) Open /settings/ai-features 2) Toggle "Voice Dictation (AI-enhanced)" off 3) Click Save 4) Hard-reload the page 5) Re-read the toggle</t>
  </si>
  <si>
    <t>hospitals.ai_feature_flags.voice_dictation = false and the toggle still reads off after the reload.</t>
  </si>
  <si>
    <t>AI_FEATURES in SettingsAIFeaturesPage — key "voice_dictation"</t>
  </si>
  <si>
    <t>Each key is stored as its own flag, so one can fail to persist while the others save. Switching this feature off must actually stop it: a mis-transcribed drug name or dose reaches the ward as a real order.</t>
  </si>
  <si>
    <t>hospitals where id = A → ai_feature_flags-&gt;&gt;'voice_dictation' = 'false'</t>
  </si>
  <si>
    <t>TC-P2C-033</t>
  </si>
  <si>
    <t>AI feature "Executive Digest" can be toggled off and stays off after a reload</t>
  </si>
  <si>
    <t>1) Open /settings/ai-features 2) Toggle "Executive Digest" off 3) Click Save 4) Hard-reload the page 5) Re-read the toggle</t>
  </si>
  <si>
    <t>hospitals.ai_feature_flags.executive_digest = false and the toggle still reads off after the reload.</t>
  </si>
  <si>
    <t>AI_FEATURES in SettingsAIFeaturesPage — key "executive_digest"</t>
  </si>
  <si>
    <t>Each key is stored as its own flag, so one can fail to persist while the others save. Switching this feature off must actually stop it: a management summary, the one feature here with no patient-safety path.</t>
  </si>
  <si>
    <t>TC-P2C-034</t>
  </si>
  <si>
    <t>Every AI feature defaults to enabled when nothing is stored</t>
  </si>
  <si>
    <t>1) Clear ai_feature_flags for Hospital A 2) Open /settings/ai-features 3) Read every toggle</t>
  </si>
  <si>
    <t>All seven toggles read on, matching the shipped defaults. None renders blank or indeterminate.</t>
  </si>
  <si>
    <t>DEFAULT_FLAGS in SettingsAIFeaturesPage — every key true</t>
  </si>
  <si>
    <t>A toggle rendering indeterminate on a fresh tenant leaves the administrator unable to tell whether a clinical AI feature is live. The default has to be explicit and visible.</t>
  </si>
  <si>
    <t>hospitals where id = A → ai_feature_flags is null and the UI shows all seven enabled</t>
  </si>
  <si>
    <t>TC-P2C-035</t>
  </si>
  <si>
    <t>A stored partial flag set merges with the shipped defaults</t>
  </si>
  <si>
    <t>1) Store ai_feature_flags containing only one key 2) Open /settings/ai-features 3) Read every toggle</t>
  </si>
  <si>
    <t>The stored key reflects its saved value; the other six show their defaults. No toggle renders undefined.</t>
  </si>
  <si>
    <t>DEFAULT_FLAGS merged over a partial stored ai_feature_flags</t>
  </si>
  <si>
    <t>A hospital that saved before a new AI feature shipped has no flag for it. Rendering it blank rather than defaulting means a new clinical AI feature appears in an undefined state on every existing tenant.</t>
  </si>
  <si>
    <t>hospitals where id = A → a partial ai_feature_flags merges without blanks</t>
  </si>
  <si>
    <t>TC-P2C-036</t>
  </si>
  <si>
    <t>AI feature settings survive a hard reload</t>
  </si>
  <si>
    <t>1) Open /settings/ai-features 2) Toggle two features off 3) Click Save 4) Hard-reload 5) Re-read both toggles</t>
  </si>
  <si>
    <t>Both remain off after the reload, having been read back from hospitals.ai_feature_flags.</t>
  </si>
  <si>
    <t>AI_FEATURES — differential_dx and executive_digest toggled off</t>
  </si>
  <si>
    <t>Four screens in this phase showed a green toast and wrote nothing. On this screen a false save means a clinical AI feature a hospital deliberately disabled is still live for its doctors.</t>
  </si>
  <si>
    <t>TC-P2C-037</t>
  </si>
  <si>
    <t>The AI flag cache is invalidated after a save</t>
  </si>
  <si>
    <t>1) Open /settings/ai-features 2) Toggle a feature off and save 3) Navigate to a module that offers that AI action 4) Look for the AI control</t>
  </si>
  <si>
    <t>The AI control is gone immediately, without needing a full page reload.</t>
  </si>
  <si>
    <t>AI_FEATURES — the toggled feature key</t>
  </si>
  <si>
    <t>AI Suite, OPD, IPD</t>
  </si>
  <si>
    <t>The page calls invalidateAIFlagCache() after saving. If the cache is not cleared, a disabled clinical AI feature keeps rendering for the rest of the session — the hospital thinks it is off and doctors are still using it.</t>
  </si>
  <si>
    <t>hospitals where id = A → ai_feature_flags updated, and the module reflects it without a reload</t>
  </si>
  <si>
    <t>TC-P2C-038</t>
  </si>
  <si>
    <t>Plan entitlement gates the AI feature independently of this toggle</t>
  </si>
  <si>
    <t>1) Sign in as the Hospital B administrator (Starter plan) 2) Open /settings/ai-features 3) Observe whether the screen or its features are gated</t>
  </si>
  <si>
    <t>Either the route is plan-gated with a clear upgrade message, or the features are shown as unavailable on this plan. It must not silently appear fully enabled.</t>
  </si>
  <si>
    <t>MOCK_DATA_BOOK Hospitals — Hospital B on Starter (trial)</t>
  </si>
  <si>
    <t>AI Suite, Plan gating</t>
  </si>
  <si>
    <t>SETTINGS_PREREQ_MATRIX is explicit that three independent gates stack — plan entitlement, the hospital toggle, and the budget — and that the AI button is simply not rendered with no explanation when one fails. A hospital that toggles a feature on and still sees nothing must be told which gate is closed.</t>
  </si>
  <si>
    <t>hospital_addons and addon_skus.ai_feature_keys for Hospital B → entitlement absent, and the UI says so</t>
  </si>
  <si>
    <t>TC-P2C-039</t>
  </si>
  <si>
    <t>Hospital A's AI feature flags are invisible to Hospital B</t>
  </si>
  <si>
    <t>1) Sign in as the Hospital B administrator 2) Open /settings/ai-features as Hospital B 3) Read the toggle states</t>
  </si>
  <si>
    <t>Hospital B sees only its own flags. Toggling a feature in one tenant does not change the other.</t>
  </si>
  <si>
    <t>Multi-tenancy, AI Suite</t>
  </si>
  <si>
    <t>These flags gate clinical AI. One hospital switching off Differential Diagnosis must never disable it at another, and must never silently re-enable it either.</t>
  </si>
  <si>
    <t>TC-P2C-040</t>
  </si>
  <si>
    <t>A doctor cannot change the hospital AI feature settings</t>
  </si>
  <si>
    <t>1) Log in as doctor (Hospital A) 2) Navigate directly to /settings/ai-features</t>
  </si>
  <si>
    <t>The route is blocked — redirected away, or an explicit access-denied message. The toggles must not be editable.</t>
  </si>
  <si>
    <t>MOCK_DATA_BOOK Staff logins — doctor (Hospital A), Dr. Suresh Menon</t>
  </si>
  <si>
    <t>Enabling a clinical AI feature is a hospital-level governance decision with CDSCO and DPDP implications. An individual doctor switching one on for the whole hospital bypasses that governance entirely.</t>
  </si>
  <si>
    <t>doctor (Hospital A)</t>
  </si>
  <si>
    <t>TC-P2C-041</t>
  </si>
  <si>
    <t>The AI feature key list matches the keys the modules actually check</t>
  </si>
  <si>
    <t>1) Open /settings/ai-features 2) List the seven keys the screen writes 3) Compare against the feature keys the AI modules gate on</t>
  </si>
  <si>
    <t>Every key written here is a key some module reads. No orphan key exists on either side.</t>
  </si>
  <si>
    <t>AI_FEATURES keys — clinical_note, discharge_summary, differential_dx, icd_suggest, radiology_impression, voice_dictation, executive_digest</t>
  </si>
  <si>
    <t>A toggle whose key no module reads does nothing at all while appearing to work — the most dangerous shape of dead control on a clinical gate. Note that e2e/fixtures/mock-data.json refers to "differential_diagnosis" while the screen writes "differential_dx"; one of the two is wrong and this case is where that surfaces.</t>
  </si>
  <si>
    <t>hospitals.ai_feature_flags keys → each is read by at least one module gate</t>
  </si>
  <si>
    <t>TC-P2C-042</t>
  </si>
  <si>
    <t>The AI Features screen loads with no red console errors</t>
  </si>
  <si>
    <t>1) Open DevTools → Console 2) Open /settings/ai-features 3) Toggle a feature and save 4) Read the console</t>
  </si>
  <si>
    <t>No red console text from the read or the update.</t>
  </si>
  <si>
    <t>The update is written through an `as any` cast and its error is never checked, so the console is the only place a rejected write appears at all.</t>
  </si>
  <si>
    <t>TC-P2D-001</t>
  </si>
  <si>
    <t>2D Structure</t>
  </si>
  <si>
    <t>Wards screen loads and lists the seeded wards</t>
  </si>
  <si>
    <t>1) Log in as hospital_admin (Hospital A) 2) Open /settings/wards 3) Observe the ward list</t>
  </si>
  <si>
    <t>The heading "Wards" renders and the six seeded wards (General Ward, Semi-Private, Private Room, Deluxe Room, ICU, Maternity Ward) are listed. No red console errors.</t>
  </si>
  <si>
    <t>MOCK_DATA_BOOK Wards &amp; beds — the six seeded wards</t>
  </si>
  <si>
    <t>IPD, Nursing, Billing</t>
  </si>
  <si>
    <t>Tier 0 complete (profile, departments, staff, roles, plan)</t>
  </si>
  <si>
    <t>Wards and beds are the prerequisite for every admission. If this screen will not load, no bed can be configured and the IPD module has nothing to admit into.</t>
  </si>
  <si>
    <t>wards where hospital_id = A → 6 rows</t>
  </si>
  <si>
    <t>e2e/phase-02-settings/P2D.structure.wards.spec.ts</t>
  </si>
  <si>
    <t>TC-P2D-002</t>
  </si>
  <si>
    <t>Add Ward opens the drawer with an empty form</t>
  </si>
  <si>
    <t>1) Open /settings/wards 2) Click "Add Ward" 3) Inspect the drawer fields</t>
  </si>
  <si>
    <t>A drawer titled "Add Ward" opens with Ward Name, Ward Type, Rate Per Day (₹), Nursing Charge Per Day (₹), Number of Beds, Bed Prefix and Start Number all blank or at their defaults.</t>
  </si>
  <si>
    <t>None — inspects the empty create form</t>
  </si>
  <si>
    <t>A create form pre-filled with the previously edited ward is how a hospital ends up with two wards sharing one rate. The drawer must open clean.</t>
  </si>
  <si>
    <t>TC-P2D-003</t>
  </si>
  <si>
    <t>Ward creates with its beds in one action</t>
  </si>
  <si>
    <t>1) Open /settings/wards 2) Click "Add Ward" 3) Enter Ward Name "Nephrology Ward" 4) Select Ward Type "general" 5) Enter Rate Per Day 3500 6) Enter Number of Beds 2 7) Enter Bed Prefix "NW" 8) Click "Save Ward"</t>
  </si>
  <si>
    <t>A wards row is written with name = Nephrology Ward, type = general, total_beds = 2, and two beds rows are created in the same action.</t>
  </si>
  <si>
    <t>Phase 2 additions — Nephrology Ward (general, ₹3,500/day, beds NW-01 and NW-02)</t>
  </si>
  <si>
    <t>A ward with no beds cannot be admitted into — the Admit modal simply shows nothing. Creating the ward and its beds atomically is what stops a half-configured ward reaching go-live.</t>
  </si>
  <si>
    <t>wards where hospital_id = A and name = 'Nephrology Ward' → total_beds = 2</t>
  </si>
  <si>
    <t>TC-P2D-004</t>
  </si>
  <si>
    <t>Beds are auto-numbered from the prefix and start number</t>
  </si>
  <si>
    <t>1) Open /settings/wards 2) Create ward "Nephrology Ward" with Bed Prefix "NW", Start Number 1 and Number of Beds 2 3) Open the ward's bed list</t>
  </si>
  <si>
    <t>Exactly two beds exist, numbered NW-01 and NW-02, each with status = available.</t>
  </si>
  <si>
    <t>Phase 2 additions — Nephrology Ward beds NW-01, NW-02</t>
  </si>
  <si>
    <t>IPD, Nursing</t>
  </si>
  <si>
    <t>Bed numbers are what nurses call out on the ward round and what the bill prints. Wrong or duplicated numbering makes the physical ward and the system disagree about where a patient is.</t>
  </si>
  <si>
    <t>beds where hospital_id = A and bed_number in ('NW-01','NW-02') → 2 rows, status = available</t>
  </si>
  <si>
    <t>TC-P2D-005</t>
  </si>
  <si>
    <t>Bed numbers are zero-padded to a consistent width</t>
  </si>
  <si>
    <t>1) Open /settings/wards 2) Create a ward with Bed Prefix "NW", Start Number 1 and Number of Beds 2 3) Read the generated bed numbers</t>
  </si>
  <si>
    <t>Beds read NW-01 and NW-02 — two digits — not NW-1 and NW-2.</t>
  </si>
  <si>
    <t>Unpadded numbers sort as 1, 10, 11, 2 in every list and report the ward uses. Consistent width is what keeps a bed board readable at a glance.</t>
  </si>
  <si>
    <t>beds where hospital_id = A and ward = 'Nephrology Ward' → bed_number matches NW-0[0-9]</t>
  </si>
  <si>
    <t>TC-P2D-006</t>
  </si>
  <si>
    <t>A ward cannot be saved without a name</t>
  </si>
  <si>
    <t>1) Open /settings/wards 2) Click "Add Ward" 3) Leave Ward Name blank 4) Enter Number of Beds 2 5) Attempt to click "Save Ward"</t>
  </si>
  <si>
    <t>The Save Ward button is disabled and no wards row is written.</t>
  </si>
  <si>
    <t>None — deliberately omits the required Ward Name</t>
  </si>
  <si>
    <t>An unnamed ward is unusable everywhere downstream — it renders as a blank line in the Admit picker, so staff cannot tell which bed they are choosing.</t>
  </si>
  <si>
    <t>wards where hospital_id = A and name is null or name = '' → 0 rows</t>
  </si>
  <si>
    <t>TC-P2D-007</t>
  </si>
  <si>
    <t>A ward with zero beds is refused</t>
  </si>
  <si>
    <t>1) Open /settings/wards 2) Click "Add Ward" 3) Enter Ward Name "QA Zero Bed Ward" 4) Enter Number of Beds 0 5) Click "Save Ward"</t>
  </si>
  <si>
    <t>An error toast reads "Bed count must be at least 1." and no wards row is written.</t>
  </si>
  <si>
    <t>Literal ward name QA Zero Bed Ward with bed count 0</t>
  </si>
  <si>
    <t>A zero-bed ward passes every later check and then shows an empty Admit modal, which reads to the ward clerk as the system being broken rather than as a configuration mistake.</t>
  </si>
  <si>
    <t>wards where hospital_id = A and name = 'QA Zero Bed Ward' → 0 rows</t>
  </si>
  <si>
    <t>TC-P2D-008</t>
  </si>
  <si>
    <t>A ward with a negative bed count is refused</t>
  </si>
  <si>
    <t>1) Open /settings/wards 2) Click "Add Ward" 3) Enter Ward Name "QA Negative Bed Ward" 4) Enter Number of Beds -5 5) Click "Save Ward"</t>
  </si>
  <si>
    <t>Literal ward name QA Negative Bed Ward with bed count -5</t>
  </si>
  <si>
    <t>A negative count reaching the bed generator would either create nothing or loop, and either way the ward silently ends up with no beds.</t>
  </si>
  <si>
    <t>wards where hospital_id = A and name = 'QA Negative Bed Ward' → 0 rows</t>
  </si>
  <si>
    <t>TC-P2D-009</t>
  </si>
  <si>
    <t>A ward saved with a blank rate leaves rate_per_day unset</t>
  </si>
  <si>
    <t>1) Open /settings/wards 2) Click "Add Ward" 3) Enter Ward Name "QA Blank Rate Ward" 4) Leave Rate Per Day blank 5) Enter Number of Beds 1 6) Click "Save Ward"</t>
  </si>
  <si>
    <t>The ward is created but rate_per_day is null. The screen must make clear the room will not bill at a ward rate — an admission to it falls back to service_rates, then service_master, then the hardcoded ₹500/day.</t>
  </si>
  <si>
    <t>Literal ward name QA Blank Rate Ward with Rate Per Day left blank</t>
  </si>
  <si>
    <t>IPD, Billing</t>
  </si>
  <si>
    <t>Room-charge precedence is wards.rate_per_day → service_rates → service_master → ₹500. A blank rate is the entry point to the silent ₹500/day under-billing nobody notices until month-end reconciliation.</t>
  </si>
  <si>
    <t>wards where hospital_id = A and name = 'QA Blank Rate Ward' → rate_per_day is null</t>
  </si>
  <si>
    <t>TC-P2D-010</t>
  </si>
  <si>
    <t>A zero rate per day is not stored as a real ₹0 room charge</t>
  </si>
  <si>
    <t>1) Open /settings/wards 2) Click "Add Ward" 3) Enter Ward Name "QA Zero Rate Ward" 4) Enter Rate Per Day 0 5) Enter Number of Beds 1 6) Click "Save Ward" 7) Re-open the ward</t>
  </si>
  <si>
    <t>Either the form rejects a zero rate, or rate_per_day is left null — it must never be stored as 0.00, because a genuine ₹0 room charge and "not configured" are different things and only one of them is ever intended.</t>
  </si>
  <si>
    <t>phase2.invalid.ratePerDayZero (0)</t>
  </si>
  <si>
    <t>A stored 0.00 wins the precedence chain and bills every night of the stay at nothing. A null falls through to the ₹500 default. Both are wrong, but they fail differently and the hospital must be able to tell which happened.</t>
  </si>
  <si>
    <t>wards where hospital_id = A and name = 'QA Zero Rate Ward' → rate_per_day is null or the row does not exist</t>
  </si>
  <si>
    <t>TC-P2D-011</t>
  </si>
  <si>
    <t>A negative rate per day is refused rather than silently dropped</t>
  </si>
  <si>
    <t>1) Open /settings/wards 2) Click "Add Ward" 3) Enter Ward Name "QA Negative Rate Ward" 4) Enter Rate Per Day -100 5) Enter Number of Beds 1 6) Click "Save Ward"</t>
  </si>
  <si>
    <t>A validation error names the rate field. The ward must not be created carrying a negative rate, and must not be created with the rate silently discarded either.</t>
  </si>
  <si>
    <t>phase2.invalid.ratePerDayNegative (-100)</t>
  </si>
  <si>
    <t>A negative room rate would credit the patient every night. Silently discarding it instead is just as damaging — the administrator believes a rate is set and the ward bills the ₹500 fallback for months.</t>
  </si>
  <si>
    <t>wards where hospital_id = A and name = 'QA Negative Rate Ward' → 0 rows, or rate_per_day &gt;= 0</t>
  </si>
  <si>
    <t>TC-P2D-012</t>
  </si>
  <si>
    <t>Ward saves rate_per_day and IPD bills that rate</t>
  </si>
  <si>
    <t>1) Log in as hospital_admin (Hospital A) 2) Open /settings/wards 3) Create ward 'Nephrology Ward' with rate_per_day 3500 4) Save 5) Admit a patient to a bed in that ward 6) Open the IPD bill</t>
  </si>
  <si>
    <t>wards.rate_per_day = 3500.00 and the IPD room charge line reads ₹3,500.00 per day — NOT the ₹500 fallback.</t>
  </si>
  <si>
    <t>Phase 2 additions — Nephrology Ward (₹3,500/day)</t>
  </si>
  <si>
    <t>Tier 0 complete; ward must exist before admission</t>
  </si>
  <si>
    <t>Room charge precedence is wards.rate_per_day → service_rates → service_master → ₹500. If the ward rate does not save, every admission silently under-bills at ₹500/day and nobody notices until the month-end reconciliation.</t>
  </si>
  <si>
    <t>wards where hospital_id = A and name = 'Nephrology Ward' → rate_per_day = 3500</t>
  </si>
  <si>
    <t>TC-P2D-013</t>
  </si>
  <si>
    <t>The ward rate renders in en-IN grouping with the rupee symbol</t>
  </si>
  <si>
    <t>1) Open /settings/wards 2) Locate the "Nephrology Ward" row 3) Read the rate as displayed</t>
  </si>
  <si>
    <t>The rate displays as ₹3,500.00 — rupee symbol present, Indian digit grouping. Not 3500, not 3,500.00 without the symbol.</t>
  </si>
  <si>
    <t>Every money display in the product must go through formatCurrency() in src/lib/currency.ts. A raw number on a configuration screen is how a ₹1,25,000 figure ends up printed as ₹125,000 on a patient-facing bill.</t>
  </si>
  <si>
    <t>TC-P2D-014</t>
  </si>
  <si>
    <t>Nursing charge per day is stored separately from the room rate</t>
  </si>
  <si>
    <t>1) Open /settings/wards 2) Edit "Nephrology Ward" 3) Enter Nursing Charge Per Day 400 4) Click "Save Ward" 5) Reload and re-open the ward</t>
  </si>
  <si>
    <t>The nursing rate persists at 400 and rate_per_day stays 3500 — the two are separate charges, not merged.</t>
  </si>
  <si>
    <t>Phase 2 additions — Nephrology Ward, nursing charge ₹400/day</t>
  </si>
  <si>
    <t>Nursing is bundled into room rent unless the hospital opts in. Merging the two would double-charge nursing on every insured claim where the payer reimburses room rent separately.</t>
  </si>
  <si>
    <t>wards where hospital_id = A and name = 'Nephrology Ward' → nursing rate = 400, rate_per_day = 3500</t>
  </si>
  <si>
    <t>TC-P2D-015</t>
  </si>
  <si>
    <t>Editing a ward rate persists the new value</t>
  </si>
  <si>
    <t>1) Open /settings/wards 2) Edit "Nephrology Ward" 3) Change Rate Per Day from 3500 to 4200 4) Click "Save Ward" 5) Reload the page</t>
  </si>
  <si>
    <t>wards.rate_per_day = 4200.00 after the reload — the value came from the database, not from unsaved form state.</t>
  </si>
  <si>
    <t>phase2.edit.wardRatePerDay (4200)</t>
  </si>
  <si>
    <t>Room rates are revised every year. If an edit shows a success toast and does not persist, the hospital bills last year's rate for the whole of the next year.</t>
  </si>
  <si>
    <t>wards where hospital_id = A and name = 'Nephrology Ward' → rate_per_day = 4200</t>
  </si>
  <si>
    <t>TC-P2D-016</t>
  </si>
  <si>
    <t>A rate change applies to new admissions only, not retrospectively</t>
  </si>
  <si>
    <t>1) Admit a patient to Nephrology Ward while the rate is ₹3,500 2) Open /settings/wards and change the rate to ₹4,200 3) Admit a second patient to the same ward 4) Compare both IPD bills</t>
  </si>
  <si>
    <t>The first admission continues to bill ₹3,500/day for nights already accrued; the second bills ₹4,200/day. An existing patient's already-raised charges do not change.</t>
  </si>
  <si>
    <t>phase2.edit.wardRatePerDay (3500 → 4200)</t>
  </si>
  <si>
    <t>Tier 0 complete; an admission must exist before the rate is edited</t>
  </si>
  <si>
    <t>Retro-repricing an in-progress admission is an argument with a real patient at the discharge counter, and in an insured case it invalidates the pre-authorised estimate.</t>
  </si>
  <si>
    <t>ipd_charges for the first admission → room charge unit rate stays 3500</t>
  </si>
  <si>
    <t>TC-P2D-017</t>
  </si>
  <si>
    <t>The bed Status dropdown offers every bed_status value the database supports</t>
  </si>
  <si>
    <t>1) Open /settings/wards 2) Open the bed list for any ward 3) Open the Status dropdown on a bed 4) List every option offered</t>
  </si>
  <si>
    <t>The dropdown offers available, cleaning, maintenance and reserved as selectable, plus occupied shown but disabled — all five bed_status enum values are represented.</t>
  </si>
  <si>
    <t>phase2.dropdowns.bedStatusUi plus phase2.dropdowns.bedStatusMissingFromUi (cleaning)</t>
  </si>
  <si>
    <t>IPD, Nursing, Housekeeping</t>
  </si>
  <si>
    <t>REGRESSION LOCK for BUG-P2-001. The bed_status enum has five values but the dropdown rendered only four — cleaning was absent, so a ward finishing terminal cleaning between patients had no correct status to select and staff marked the bed available while it was still dirty. That is an infection-control failure, not a cosmetic gap.</t>
  </si>
  <si>
    <t>beds where hospital_id = A → status accepts 'cleaning'</t>
  </si>
  <si>
    <t>TC-P2D-018</t>
  </si>
  <si>
    <t>Occupied cannot be selected by hand on the bed Status dropdown</t>
  </si>
  <si>
    <t>1) Open /settings/wards 2) Open the bed list for any ward 3) Open the Status dropdown on an available bed 4) Attempt to select "Occupied"</t>
  </si>
  <si>
    <t>The Occupied option is present but disabled and cannot be chosen. A bed becomes occupied by admitting a patient, never by editing a dropdown.</t>
  </si>
  <si>
    <t>phase2.dropdowns.bedStatusUi — the disabled occupied option</t>
  </si>
  <si>
    <t>Hand-marking a bed occupied with no admission behind it desynchronises the bed board from the census. The ward then shows full while beds stand empty, and the emergency department diverts patients it could have taken.</t>
  </si>
  <si>
    <t>beds where hospital_id = A and status = 'occupied' → every row has a matching active admission</t>
  </si>
  <si>
    <t>TC-P2D-019</t>
  </si>
  <si>
    <t>Bed Status option "available" saves and survives a reload</t>
  </si>
  <si>
    <t>1) Open /settings/wards 2) Open the bed list for Nephrology Ward 3) Set bed NW-01 Status to "available" 4) Reload the page 5) Re-read the bed status</t>
  </si>
  <si>
    <t>beds.status = 'available' for NW-01 and the dropdown still shows "available" after the reload.</t>
  </si>
  <si>
    <t>phase2.dropdowns.bedStatusUi — "available"</t>
  </si>
  <si>
    <t>A bed status that does not persist means the bed board lies about ward capacity. "available" beds must not be offered to the Admit modal as though they were free.</t>
  </si>
  <si>
    <t>beds where hospital_id = A and bed_number = 'NW-01' → status = 'available'</t>
  </si>
  <si>
    <t>TC-P2D-020</t>
  </si>
  <si>
    <t>Bed Status option "cleaning" saves and survives a reload</t>
  </si>
  <si>
    <t>1) Open /settings/wards 2) Open the bed list for Nephrology Ward 3) Set bed NW-01 Status to "cleaning" 4) Reload the page 5) Re-read the bed status</t>
  </si>
  <si>
    <t>beds.status = 'cleaning' for NW-01 and the dropdown still shows "cleaning" after the reload.</t>
  </si>
  <si>
    <t>phase2.dropdowns.bedStatusMissingFromUi — "cleaning"</t>
  </si>
  <si>
    <t>Terminal cleaning between patients is an infection-control state. Without it a dirty bed is marked available and the next patient is admitted into it — the reason BUG-P2-001 was a P1 and not a cosmetic gap.</t>
  </si>
  <si>
    <t>beds where hospital_id = A and bed_number = 'NW-01' → status = 'cleaning'</t>
  </si>
  <si>
    <t>TC-P2D-021</t>
  </si>
  <si>
    <t>Bed Status option "maintenance" saves and survives a reload</t>
  </si>
  <si>
    <t>1) Open /settings/wards 2) Open the bed list for Nephrology Ward 3) Set bed NW-01 Status to "maintenance" 4) Reload the page 5) Re-read the bed status</t>
  </si>
  <si>
    <t>beds.status = 'maintenance' for NW-01 and the dropdown still shows "maintenance" after the reload.</t>
  </si>
  <si>
    <t>phase2.dropdowns.bedStatusUi — "maintenance"</t>
  </si>
  <si>
    <t>A bed status that does not persist means the bed board lies about ward capacity. "maintenance" beds must not be offered to the Admit modal as though they were free.</t>
  </si>
  <si>
    <t>beds where hospital_id = A and bed_number = 'NW-01' → status = 'maintenance'</t>
  </si>
  <si>
    <t>TC-P2D-022</t>
  </si>
  <si>
    <t>Bed Status option "reserved" saves and survives a reload</t>
  </si>
  <si>
    <t>1) Open /settings/wards 2) Open the bed list for Nephrology Ward 3) Set bed NW-01 Status to "reserved" 4) Reload the page 5) Re-read the bed status</t>
  </si>
  <si>
    <t>beds.status = 'reserved' for NW-01 and the dropdown still shows "reserved" after the reload.</t>
  </si>
  <si>
    <t>phase2.dropdowns.bedStatusUi — "reserved"</t>
  </si>
  <si>
    <t>A bed status that does not persist means the bed board lies about ward capacity. "reserved" beds must not be offered to the Admit modal as though they were free.</t>
  </si>
  <si>
    <t>beds where hospital_id = A and bed_number = 'NW-01' → status = 'reserved'</t>
  </si>
  <si>
    <t>TC-P2D-023</t>
  </si>
  <si>
    <t>Bed Category option "general" saves and survives a reload</t>
  </si>
  <si>
    <t>1) Open /settings/wards 2) Open the bed list for Nephrology Ward 3) Set bed NW-01 Category to "general" 4) Reload the page 5) Re-read the category</t>
  </si>
  <si>
    <t>beds.bed_category = 'general' for NW-01 and the dropdown still shows "general" after the reload.</t>
  </si>
  <si>
    <t>phase2.dropdowns.bedCategory — "general"</t>
  </si>
  <si>
    <t>IPD, Billing, Insurance</t>
  </si>
  <si>
    <t>Bed category is the second link in the room-charge precedence chain — service_rates are matched by bed category when the ward has no rate. It is also what a TPA reads to apply its room-rent ceiling, so a wrong category is a rejected or reduced claim.</t>
  </si>
  <si>
    <t>beds where hospital_id = A and bed_number = 'NW-01' → bed_category = 'general'</t>
  </si>
  <si>
    <t>TC-P2D-024</t>
  </si>
  <si>
    <t>Bed Category option "semi_private" saves and survives a reload</t>
  </si>
  <si>
    <t>1) Open /settings/wards 2) Open the bed list for Nephrology Ward 3) Set bed NW-01 Category to "semi_private" 4) Reload the page 5) Re-read the category</t>
  </si>
  <si>
    <t>beds.bed_category = 'semi_private' for NW-01 and the dropdown still shows "semi_private" after the reload.</t>
  </si>
  <si>
    <t>phase2.dropdowns.bedCategory — "semi_private"</t>
  </si>
  <si>
    <t>beds where hospital_id = A and bed_number = 'NW-01' → bed_category = 'semi_private'</t>
  </si>
  <si>
    <t>TC-P2D-025</t>
  </si>
  <si>
    <t>Bed Category option "private" saves and survives a reload</t>
  </si>
  <si>
    <t>1) Open /settings/wards 2) Open the bed list for Nephrology Ward 3) Set bed NW-01 Category to "private" 4) Reload the page 5) Re-read the category</t>
  </si>
  <si>
    <t>beds.bed_category = 'private' for NW-01 and the dropdown still shows "private" after the reload.</t>
  </si>
  <si>
    <t>phase2.dropdowns.bedCategory — "private"</t>
  </si>
  <si>
    <t>beds where hospital_id = A and bed_number = 'NW-01' → bed_category = 'private'</t>
  </si>
  <si>
    <t>TC-P2D-026</t>
  </si>
  <si>
    <t>Bed Category option "icu" saves and survives a reload</t>
  </si>
  <si>
    <t>1) Open /settings/wards 2) Open the bed list for Nephrology Ward 3) Set bed NW-01 Category to "icu" 4) Reload the page 5) Re-read the category</t>
  </si>
  <si>
    <t>beds.bed_category = 'icu' for NW-01 and the dropdown still shows "icu" after the reload.</t>
  </si>
  <si>
    <t>phase2.dropdowns.bedCategory — "icu"</t>
  </si>
  <si>
    <t>beds where hospital_id = A and bed_number = 'NW-01' → bed_category = 'icu'</t>
  </si>
  <si>
    <t>TC-P2D-027</t>
  </si>
  <si>
    <t>Bed Category option "nicu" saves and survives a reload</t>
  </si>
  <si>
    <t>1) Open /settings/wards 2) Open the bed list for Nephrology Ward 3) Set bed NW-01 Category to "nicu" 4) Reload the page 5) Re-read the category</t>
  </si>
  <si>
    <t>beds.bed_category = 'nicu' for NW-01 and the dropdown still shows "nicu" after the reload.</t>
  </si>
  <si>
    <t>phase2.dropdowns.bedCategory — "nicu"</t>
  </si>
  <si>
    <t>beds where hospital_id = A and bed_number = 'NW-01' → bed_category = 'nicu'</t>
  </si>
  <si>
    <t>TC-P2D-028</t>
  </si>
  <si>
    <t>Bed Category option "sicu" saves and survives a reload</t>
  </si>
  <si>
    <t>1) Open /settings/wards 2) Open the bed list for Nephrology Ward 3) Set bed NW-01 Category to "sicu" 4) Reload the page 5) Re-read the category</t>
  </si>
  <si>
    <t>beds.bed_category = 'sicu' for NW-01 and the dropdown still shows "sicu" after the reload.</t>
  </si>
  <si>
    <t>phase2.dropdowns.bedCategory — "sicu"</t>
  </si>
  <si>
    <t>beds where hospital_id = A and bed_number = 'NW-01' → bed_category = 'sicu'</t>
  </si>
  <si>
    <t>TC-P2D-029</t>
  </si>
  <si>
    <t>Bed Category option "picu" saves and survives a reload</t>
  </si>
  <si>
    <t>1) Open /settings/wards 2) Open the bed list for Nephrology Ward 3) Set bed NW-01 Category to "picu" 4) Reload the page 5) Re-read the category</t>
  </si>
  <si>
    <t>beds.bed_category = 'picu' for NW-01 and the dropdown still shows "picu" after the reload.</t>
  </si>
  <si>
    <t>phase2.dropdowns.bedCategory — "picu"</t>
  </si>
  <si>
    <t>beds where hospital_id = A and bed_number = 'NW-01' → bed_category = 'picu'</t>
  </si>
  <si>
    <t>TC-P2D-030</t>
  </si>
  <si>
    <t>Bed Category option "hdu" saves and survives a reload</t>
  </si>
  <si>
    <t>1) Open /settings/wards 2) Open the bed list for Nephrology Ward 3) Set bed NW-01 Category to "hdu" 4) Reload the page 5) Re-read the category</t>
  </si>
  <si>
    <t>beds.bed_category = 'hdu' for NW-01 and the dropdown still shows "hdu" after the reload.</t>
  </si>
  <si>
    <t>phase2.dropdowns.bedCategory — "hdu"</t>
  </si>
  <si>
    <t>beds where hospital_id = A and bed_number = 'NW-01' → bed_category = 'hdu'</t>
  </si>
  <si>
    <t>TC-P2D-031</t>
  </si>
  <si>
    <t>Bed Category option "isolation" saves and survives a reload</t>
  </si>
  <si>
    <t>1) Open /settings/wards 2) Open the bed list for Nephrology Ward 3) Set bed NW-01 Category to "isolation" 4) Reload the page 5) Re-read the category</t>
  </si>
  <si>
    <t>beds.bed_category = 'isolation' for NW-01 and the dropdown still shows "isolation" after the reload.</t>
  </si>
  <si>
    <t>phase2.dropdowns.bedCategory — "isolation"</t>
  </si>
  <si>
    <t>beds where hospital_id = A and bed_number = 'NW-01' → bed_category = 'isolation'</t>
  </si>
  <si>
    <t>TC-P2D-032</t>
  </si>
  <si>
    <t>Ward Type option "general" saves to the ward_type enum</t>
  </si>
  <si>
    <t>1) Open /settings/wards 2) Click "Add Ward" 3) Enter Ward Name "QA Type general" 4) Select Ward Type "general" 5) Enter Rate Per Day 1000 and Number of Beds 1 6) Click "Save Ward"</t>
  </si>
  <si>
    <t>wards.type = 'general' for the new ward, and the value is still "general" when the ward is re-opened.</t>
  </si>
  <si>
    <t>phase2.dropdowns.wardType — "general"</t>
  </si>
  <si>
    <t>The dropdown is generated from the ward_type database enum, so every value it offers must round-trip. A value the UI shows but the database rejects fails at save time with a raw Postgres error the administrator cannot act on.</t>
  </si>
  <si>
    <t>wards where hospital_id = A and name = 'QA Type general' → type = 'general'</t>
  </si>
  <si>
    <t>TC-P2D-033</t>
  </si>
  <si>
    <t>Ward Type option "private" saves to the ward_type enum</t>
  </si>
  <si>
    <t>1) Open /settings/wards 2) Click "Add Ward" 3) Enter Ward Name "QA Type private" 4) Select Ward Type "private" 5) Enter Rate Per Day 1000 and Number of Beds 1 6) Click "Save Ward"</t>
  </si>
  <si>
    <t>wards.type = 'private' for the new ward, and the value is still "private" when the ward is re-opened.</t>
  </si>
  <si>
    <t>phase2.dropdowns.wardType — "private"</t>
  </si>
  <si>
    <t>wards where hospital_id = A and name = 'QA Type private' → type = 'private'</t>
  </si>
  <si>
    <t>TC-P2D-034</t>
  </si>
  <si>
    <t>Ward Type option "semi_private" saves to the ward_type enum</t>
  </si>
  <si>
    <t>1) Open /settings/wards 2) Click "Add Ward" 3) Enter Ward Name "QA Type semi_private" 4) Select Ward Type "semi_private" 5) Enter Rate Per Day 1000 and Number of Beds 1 6) Click "Save Ward"</t>
  </si>
  <si>
    <t>wards.type = 'semi_private' for the new ward, and the value is still "semi_private" when the ward is re-opened.</t>
  </si>
  <si>
    <t>phase2.dropdowns.wardType — "semi_private"</t>
  </si>
  <si>
    <t>wards where hospital_id = A and name = 'QA Type semi_private' → type = 'semi_private'</t>
  </si>
  <si>
    <t>TC-P2D-035</t>
  </si>
  <si>
    <t>Ward Type option "icu" saves to the ward_type enum</t>
  </si>
  <si>
    <t>1) Open /settings/wards 2) Click "Add Ward" 3) Enter Ward Name "QA Type icu" 4) Select Ward Type "icu" 5) Enter Rate Per Day 1000 and Number of Beds 1 6) Click "Save Ward"</t>
  </si>
  <si>
    <t>wards.type = 'icu' for the new ward, and the value is still "icu" when the ward is re-opened.</t>
  </si>
  <si>
    <t>phase2.dropdowns.wardType — "icu"</t>
  </si>
  <si>
    <t>wards where hospital_id = A and name = 'QA Type icu' → type = 'icu'</t>
  </si>
  <si>
    <t>TC-P2D-036</t>
  </si>
  <si>
    <t>Ward Type option "nicu" saves to the ward_type enum</t>
  </si>
  <si>
    <t>1) Open /settings/wards 2) Click "Add Ward" 3) Enter Ward Name "QA Type nicu" 4) Select Ward Type "nicu" 5) Enter Rate Per Day 1000 and Number of Beds 1 6) Click "Save Ward"</t>
  </si>
  <si>
    <t>wards.type = 'nicu' for the new ward, and the value is still "nicu" when the ward is re-opened.</t>
  </si>
  <si>
    <t>phase2.dropdowns.wardType — "nicu"</t>
  </si>
  <si>
    <t>wards where hospital_id = A and name = 'QA Type nicu' → type = 'nicu'</t>
  </si>
  <si>
    <t>TC-P2D-037</t>
  </si>
  <si>
    <t>Ward Type option "picu" saves to the ward_type enum</t>
  </si>
  <si>
    <t>1) Open /settings/wards 2) Click "Add Ward" 3) Enter Ward Name "QA Type picu" 4) Select Ward Type "picu" 5) Enter Rate Per Day 1000 and Number of Beds 1 6) Click "Save Ward"</t>
  </si>
  <si>
    <t>wards.type = 'picu' for the new ward, and the value is still "picu" when the ward is re-opened.</t>
  </si>
  <si>
    <t>phase2.dropdowns.wardType — "picu"</t>
  </si>
  <si>
    <t>wards where hospital_id = A and name = 'QA Type picu' → type = 'picu'</t>
  </si>
  <si>
    <t>TC-P2D-038</t>
  </si>
  <si>
    <t>Ward Type option "hdu" saves to the ward_type enum</t>
  </si>
  <si>
    <t>1) Open /settings/wards 2) Click "Add Ward" 3) Enter Ward Name "QA Type hdu" 4) Select Ward Type "hdu" 5) Enter Rate Per Day 1000 and Number of Beds 1 6) Click "Save Ward"</t>
  </si>
  <si>
    <t>wards.type = 'hdu' for the new ward, and the value is still "hdu" when the ward is re-opened.</t>
  </si>
  <si>
    <t>phase2.dropdowns.wardType — "hdu"</t>
  </si>
  <si>
    <t>wards where hospital_id = A and name = 'QA Type hdu' → type = 'hdu'</t>
  </si>
  <si>
    <t>TC-P2D-039</t>
  </si>
  <si>
    <t>Ward Type option "surgical" saves to the ward_type enum</t>
  </si>
  <si>
    <t>1) Open /settings/wards 2) Click "Add Ward" 3) Enter Ward Name "QA Type surgical" 4) Select Ward Type "surgical" 5) Enter Rate Per Day 1000 and Number of Beds 1 6) Click "Save Ward"</t>
  </si>
  <si>
    <t>wards.type = 'surgical' for the new ward, and the value is still "surgical" when the ward is re-opened.</t>
  </si>
  <si>
    <t>phase2.dropdowns.wardType — "surgical"</t>
  </si>
  <si>
    <t>wards where hospital_id = A and name = 'QA Type surgical' → type = 'surgical'</t>
  </si>
  <si>
    <t>TC-P2D-040</t>
  </si>
  <si>
    <t>Ward Type option "maternity" saves to the ward_type enum</t>
  </si>
  <si>
    <t>1) Open /settings/wards 2) Click "Add Ward" 3) Enter Ward Name "QA Type maternity" 4) Select Ward Type "maternity" 5) Enter Rate Per Day 1000 and Number of Beds 1 6) Click "Save Ward"</t>
  </si>
  <si>
    <t>wards.type = 'maternity' for the new ward, and the value is still "maternity" when the ward is re-opened.</t>
  </si>
  <si>
    <t>phase2.dropdowns.wardType — "maternity"</t>
  </si>
  <si>
    <t>wards where hospital_id = A and name = 'QA Type maternity' → type = 'maternity'</t>
  </si>
  <si>
    <t>TC-P2D-041</t>
  </si>
  <si>
    <t>Ward Type option "emergency" saves to the ward_type enum</t>
  </si>
  <si>
    <t>1) Open /settings/wards 2) Click "Add Ward" 3) Enter Ward Name "QA Type emergency" 4) Select Ward Type "emergency" 5) Enter Rate Per Day 1000 and Number of Beds 1 6) Click "Save Ward"</t>
  </si>
  <si>
    <t>wards.type = 'emergency' for the new ward, and the value is still "emergency" when the ward is re-opened.</t>
  </si>
  <si>
    <t>phase2.dropdowns.wardType — "emergency"</t>
  </si>
  <si>
    <t>wards where hospital_id = A and name = 'QA Type emergency' → type = 'emergency'</t>
  </si>
  <si>
    <t>TC-P2D-042</t>
  </si>
  <si>
    <t>Ward Type option "daycare" saves to the ward_type enum</t>
  </si>
  <si>
    <t>1) Open /settings/wards 2) Click "Add Ward" 3) Enter Ward Name "QA Type daycare" 4) Select Ward Type "daycare" 5) Enter Rate Per Day 1000 and Number of Beds 1 6) Click "Save Ward"</t>
  </si>
  <si>
    <t>wards.type = 'daycare' for the new ward, and the value is still "daycare" when the ward is re-opened.</t>
  </si>
  <si>
    <t>phase2.dropdowns.wardType — "daycare"</t>
  </si>
  <si>
    <t>wards where hospital_id = A and name = 'QA Type daycare' → type = 'daycare'</t>
  </si>
  <si>
    <t>TC-P2D-043</t>
  </si>
  <si>
    <t>A duplicate bed number within the same ward is refused</t>
  </si>
  <si>
    <t>1) Open /settings/wards 2) Open the bed list for Nephrology Ward 3) Add another bed and name it NW-01, which already exists in this ward 4) Save</t>
  </si>
  <si>
    <t>The duplicate is refused with a message naming the clash. Only one NW-01 exists in the ward.</t>
  </si>
  <si>
    <t>phase2.invalid — duplicate bed number NW-01 in the same ward</t>
  </si>
  <si>
    <t>Two beds with the same number means two patients recorded in one physical bed. Every subsequent nursing task, drug administration and room charge attaches to the wrong one.</t>
  </si>
  <si>
    <t>beds where hospital_id = A and ward = 'Nephrology Ward' and bed_number = 'NW-01' → exactly 1 row</t>
  </si>
  <si>
    <t>TC-P2D-044</t>
  </si>
  <si>
    <t>Deleting a ward that still has beds is handled explicitly</t>
  </si>
  <si>
    <t>1) Open /settings/wards 2) Attempt to delete "Nephrology Ward" while beds NW-01 and NW-02 still exist</t>
  </si>
  <si>
    <t>Either the deletion is refused with a message naming the remaining beds, or the beds are removed with the ward in one transaction. Orphan beds pointing at a deleted ward must not remain.</t>
  </si>
  <si>
    <t>Phase 2 additions — Nephrology Ward with beds NW-01, NW-02</t>
  </si>
  <si>
    <t>An orphaned bed still appears in bed-count queries, so occupancy percentages and the plan bed limit both drift from reality.</t>
  </si>
  <si>
    <t>beds where ward_id = the deleted ward id → 0 rows</t>
  </si>
  <si>
    <t>TC-P2D-045</t>
  </si>
  <si>
    <t>An occupied bed cannot be deleted</t>
  </si>
  <si>
    <t>1) Admit a patient to bed NW-01 2) Open /settings/wards 3) Open the bed list for Nephrology Ward 4) Attempt to delete bed NW-01</t>
  </si>
  <si>
    <t>A destructive toast reads "Cannot delete an occupied bed" and the bed row remains.</t>
  </si>
  <si>
    <t>Phase 2 additions — Nephrology Ward bed NW-01 with an admitted patient</t>
  </si>
  <si>
    <t>Tier 0 complete; an active admission must exist in the bed</t>
  </si>
  <si>
    <t>Deleting the bed under an admitted patient detaches the admission from any location. The patient is physically in the ward and invisible to the system — nursing tasks, drug rounds and room charges all stop.</t>
  </si>
  <si>
    <t>beds where hospital_id = A and bed_number = 'NW-01' → row still exists</t>
  </si>
  <si>
    <t>TC-P2D-046</t>
  </si>
  <si>
    <t>Deleting an available bed asks for confirmation first</t>
  </si>
  <si>
    <t>1) Open /settings/wards 2) Open the bed list for Nephrology Ward 3) Click delete on available bed NW-02 4) Read the confirmation 5) Confirm</t>
  </si>
  <si>
    <t>A confirmation naming the bed appears before anything is deleted. On confirming, the bed row is removed and the ward total_beds decrements to 1.</t>
  </si>
  <si>
    <t>Phase 2 additions — Nephrology Ward bed NW-02</t>
  </si>
  <si>
    <t>Bed deletion is irreversible and the delete control is a small icon next to the status dropdown. Without a confirmation step a misclick silently removes a bed the ward is still using.</t>
  </si>
  <si>
    <t>beds where hospital_id = A and bed_number = 'NW-02' → 0 rows; wards.total_beds = 1</t>
  </si>
  <si>
    <t>TC-P2D-047</t>
  </si>
  <si>
    <t>Adding more beds to an existing ward continues the numbering</t>
  </si>
  <si>
    <t>1) Open /settings/wards 2) Open the bed list for Nephrology Ward (currently NW-01, NW-02) 3) Add 2 more beds 4) Read the new bed numbers</t>
  </si>
  <si>
    <t>Two new beds are created continuing the series, and none of them collides with NW-01 or NW-02.</t>
  </si>
  <si>
    <t>Phase 2 additions — Nephrology Ward, 2 additional beds</t>
  </si>
  <si>
    <t>Wards are expanded mid-year. Numbering that restarts at 01 collides with the existing beds and produces exactly the duplicate that TC-P2D-043 forbids.</t>
  </si>
  <si>
    <t>beds where hospital_id = A and ward = 'Nephrology Ward' → 4 distinct bed_number values</t>
  </si>
  <si>
    <t>TC-P2D-048</t>
  </si>
  <si>
    <t>Ward total_beds stays in step with the actual bed rows</t>
  </si>
  <si>
    <t>1) Open /settings/wards 2) Note total_beds for Nephrology Ward 3) Add 2 beds 4) Delete 1 bed 5) Compare total_beds against the number of bed rows</t>
  </si>
  <si>
    <t>wards.total_beds equals the count of beds rows for that ward after every add and delete.</t>
  </si>
  <si>
    <t>Phase 2 additions — Nephrology Ward bed adds and deletes</t>
  </si>
  <si>
    <t>IPD, Analytics, Plan gating</t>
  </si>
  <si>
    <t>total_beds drives occupancy reporting and the plan bed limit. If it drifts from the real bed rows the hospital is either blocked from adding beds it has paid for, or billed for beds it does not have.</t>
  </si>
  <si>
    <t>wards.total_beds for Nephrology Ward = count of beds rows for that ward</t>
  </si>
  <si>
    <t>TC-P2D-049</t>
  </si>
  <si>
    <t>GST applicable can be switched on for a ward and stores its percent</t>
  </si>
  <si>
    <t>1) Open /settings/wards 2) Edit "Deluxe Room" 3) Switch GST Applicable on 4) Enter GST Percent 5 5) Click "Save Ward"</t>
  </si>
  <si>
    <t>wards.gst_applicable = true and wards.gst_percent = 5 for Deluxe Room.</t>
  </si>
  <si>
    <t>MOCK_DATA_BOOK Wards — Deluxe Room ₹9,500/day, above the ₹5,000 GST threshold</t>
  </si>
  <si>
    <t>IPD, Billing, GST</t>
  </si>
  <si>
    <t>Room charges above ₹5,000/day attract 5% GST. If the flag does not save, the hospital under-collects GST on every deluxe admission and carries the shortfall itself at the next filing.</t>
  </si>
  <si>
    <t>wards where hospital_id = A and name = 'Deluxe Room' → gst_applicable = true, gst_percent = 5</t>
  </si>
  <si>
    <t>TC-P2D-050</t>
  </si>
  <si>
    <t>A ward below the ₹5,000 GST threshold attracts no GST</t>
  </si>
  <si>
    <t>1) Open /settings/wards 2) Open "General Ward" at ₹1,500/day 3) Inspect its GST configuration</t>
  </si>
  <si>
    <t>General Ward carries gst_applicable = false. An admission to it produces a room charge with no GST line.</t>
  </si>
  <si>
    <t>MOCK_DATA_BOOK Wards — General Ward ₹1,500/day, below the ₹5,000 threshold</t>
  </si>
  <si>
    <t>Charging GST on a sub-₹5,000 room is an over-collection from the patient and a misstatement on GSTR-1. The three seeded ward rates exist precisely to exercise all three branches of this rule.</t>
  </si>
  <si>
    <t>wards where hospital_id = A and name = 'General Ward' → gst_applicable = false</t>
  </si>
  <si>
    <t>TC-P2D-051</t>
  </si>
  <si>
    <t>ICU is exempt from GST despite being above the threshold</t>
  </si>
  <si>
    <t>1) Open /settings/wards 2) Open "ICU" at ₹12,000/day 3) Inspect its GST configuration</t>
  </si>
  <si>
    <t>ICU carries gst_applicable = false even though ₹12,000 is far above the ₹5,000 threshold — intensive care is exempt.</t>
  </si>
  <si>
    <t>MOCK_DATA_BOOK Wards — ICU ₹12,000/day, above threshold but exempt</t>
  </si>
  <si>
    <t>This is the branch a rate-only rule gets wrong. Applying 5% to a ₹12,000 ICU bed adds ₹600 a day the patient does not owe, on exactly the admissions where the bill is already largest and most scrutinised.</t>
  </si>
  <si>
    <t>wards where hospital_id = A and name = 'ICU' → gst_applicable = false</t>
  </si>
  <si>
    <t>TC-P2D-052</t>
  </si>
  <si>
    <t>The bed prefix defaults from the ward name when left blank</t>
  </si>
  <si>
    <t>1) Open /settings/wards 2) Click "Add Ward" 3) Enter Ward Name "QA Prefix Default Ward" 4) Leave Bed Prefix blank 5) Enter Number of Beds 1 6) Click "Save Ward" 7) Read the generated bed number</t>
  </si>
  <si>
    <t>The bed number is derived from the first letters of the ward name in upper case, with no separator characters from the name leaking in.</t>
  </si>
  <si>
    <t>Literal ward name QA Prefix Default Ward with Bed Prefix left blank</t>
  </si>
  <si>
    <t>Bed Prefix is optional, so the fallback runs often. A derivation that lets spaces or punctuation through produces bed numbers that break the ward board layout and any report that parses them.</t>
  </si>
  <si>
    <t>beds where hospital_id = A and ward = 'QA Prefix Default Ward' → bed_number matches ^[A-Z]{1,3}-[0-9]+$</t>
  </si>
  <si>
    <t>TC-P2D-053</t>
  </si>
  <si>
    <t>Bed numbering honours a custom start number</t>
  </si>
  <si>
    <t>1) Open /settings/wards 2) Click "Add Ward" 3) Enter Ward Name "QA Start Number Ward" 4) Enter Bed Prefix "QS" 5) Enter Start Number 101 6) Enter Number of Beds 2 7) Click "Save Ward"</t>
  </si>
  <si>
    <t>Beds are created as QS-101 and QS-102 — numbering begins at the requested start, not at 1.</t>
  </si>
  <si>
    <t>Literal ward QA Start Number Ward, prefix QS, start 101, 2 beds</t>
  </si>
  <si>
    <t>Hospitals number beds by floor — 101 upward on the first floor. Forcing numbering to start at 1 means the system bed number and the number painted on the wall disagree.</t>
  </si>
  <si>
    <t>beds where hospital_id = A and ward = 'QA Start Number Ward' → bed_number in ('QS-101','QS-102')</t>
  </si>
  <si>
    <t>TC-P2D-054</t>
  </si>
  <si>
    <t>Creating beds beyond the plan limit is blocked with an actionable message</t>
  </si>
  <si>
    <t>1) Open /settings/wards 2) Click "Add Ward" 3) Enter a bed count that takes the hospital past its plan bed limit 4) Click "Save Ward"</t>
  </si>
  <si>
    <t>The save is refused with a message stating the current bed count, the plan maximum and the plan name, and pointing at Settings → Plan &amp; Billing. No ward and no beds are created.</t>
  </si>
  <si>
    <t>MOCK_DATA_BOOK Hospital A — Professional plan bed limit</t>
  </si>
  <si>
    <t>IPD, Plan gating, Billing</t>
  </si>
  <si>
    <t>A gate that fails open lets a hospital exceed what it pays for; a gate that fails with a bare error teaches staff the product is broken. The message has to name the number and the upgrade path.</t>
  </si>
  <si>
    <t>wards and beds → no new rows created when the limit would be exceeded</t>
  </si>
  <si>
    <t>TC-P2D-055</t>
  </si>
  <si>
    <t>A nurse cannot reach the Wards settings screen</t>
  </si>
  <si>
    <t>1) Log in as nurse (Hospital A) 2) Navigate directly to /settings/wards</t>
  </si>
  <si>
    <t>The route is blocked — redirected away, or an explicit access-denied message. The ward create form must not render.</t>
  </si>
  <si>
    <t>Staff logins — nurse (Hospital A), Sr. Mary Thomas</t>
  </si>
  <si>
    <t>Room rates are money. A ward rate editable by any nurse is an unlogged pricing change with no approval trail, and the route guard is the only thing preventing it.</t>
  </si>
  <si>
    <t>TC-P2D-056</t>
  </si>
  <si>
    <t>A receptionist cannot reach the Wards settings screen</t>
  </si>
  <si>
    <t>1) Log in as receptionist (Hospital A) 2) Navigate directly to /settings/wards</t>
  </si>
  <si>
    <t>The route is blocked. The ward list and the Add Ward button must not render.</t>
  </si>
  <si>
    <t>Staff logins — receptionist (Hospital A), Ms. Divya Sharma</t>
  </si>
  <si>
    <t>Reception creates admissions but must not set what an admission costs. Separating the two is the most basic revenue control a hospital has.</t>
  </si>
  <si>
    <t>TC-P2D-057</t>
  </si>
  <si>
    <t>Hospital A's wards are invisible to Hospital B</t>
  </si>
  <si>
    <t>1) Sign in as the Hospital B administrator 2) Open /settings/wards as Hospital B 3) Query the wards table through the API with no hospital filter 4) Inspect the rows returned</t>
  </si>
  <si>
    <t>Not one Hospital A ward is returned. RLS scopes the table to the caller's hospital.</t>
  </si>
  <si>
    <t>IPD, Multi-tenancy</t>
  </si>
  <si>
    <t>Ward names and rates are commercially sensitive. A leak across tenants is a DPDP Act breach and would end the multi-hospital sales motion outright.</t>
  </si>
  <si>
    <t>wards queried as the Hospital B admin → zero rows with hospital_id = A</t>
  </si>
  <si>
    <t>TC-P2D-058</t>
  </si>
  <si>
    <t>A saved ward survives a hard reload</t>
  </si>
  <si>
    <t>1) Open /settings/wards 2) Create ward "Nephrology Ward" with rate 3500 and 2 beds 3) Hard-reload the page 4) Locate the ward</t>
  </si>
  <si>
    <t>The ward and both beds are still listed after the reload, with the rate intact — proving the values came from the database and not from component state.</t>
  </si>
  <si>
    <t>Phase 2 additions — Nephrology Ward</t>
  </si>
  <si>
    <t>This is the check that catches the write-nothing class of defect. Four settings screens in this very phase showed a green toast and persisted nothing; a reload is the cheapest way to tell a real save from a claimed one.</t>
  </si>
  <si>
    <t>wards where hospital_id = A and name = 'Nephrology Ward' → 1 row with rate_per_day = 3500</t>
  </si>
  <si>
    <t>TC-P2D-059</t>
  </si>
  <si>
    <t>Ward type labels render readably rather than as raw enum values</t>
  </si>
  <si>
    <t>1) Open /settings/wards 2) Click "Add Ward" 3) Open the Ward Type dropdown 4) Read the option labels</t>
  </si>
  <si>
    <t>Multi-word types read as "semi private" rather than "semi_private" — the underscore is not shown to the user.</t>
  </si>
  <si>
    <t>phase2.dropdowns.wardType — semi_private</t>
  </si>
  <si>
    <t>Raw enum values on screen tell a ward clerk they are looking at a developer artefact, which is exactly when they stop trusting the field and pick the first option instead.</t>
  </si>
  <si>
    <t>wards.type stores the underscored enum value regardless of the displayed label</t>
  </si>
  <si>
    <t>TC-P2D-060</t>
  </si>
  <si>
    <t>The Wards screen loads with no red console errors</t>
  </si>
  <si>
    <t>1) Open DevTools → Console 2) Open /settings/wards 3) Open a ward bed list 4) Read the console</t>
  </si>
  <si>
    <t>No red console text, and specifically no PostgREST 400/406 errors from a column the query asks for and the schema does not have.</t>
  </si>
  <si>
    <t>This screen writes the nursing rate in a separate, deliberately non-fatal statement so a deployment missing that column can still create wards. A silent console error is the only signal that the fallback has engaged and nursing rates are being discarded.</t>
  </si>
  <si>
    <t>TC-P2D-061</t>
  </si>
  <si>
    <t>Departments screen loads and lists the ten seeded departments</t>
  </si>
  <si>
    <t>1) Log in as hospital_admin (Hospital A) 2) Open /settings/departments 3) Read the department table</t>
  </si>
  <si>
    <t>All ten seeded departments render — General Medicine, General Surgery, Obstetrics &amp; Gynaecology, Paediatrics, Orthopaedics, Anaesthesiology, Radiology, Pathology, Pharmacy, Emergency. No red console errors.</t>
  </si>
  <si>
    <t>MOCK_DATA_BOOK Departments — the ten seeded rows</t>
  </si>
  <si>
    <t>OPD, IPD, HR, Lab, Radiology</t>
  </si>
  <si>
    <t>With no departments no OPD token can be created and no doctor can be assigned. This is the second Tier 0 prerequisite and everything clinical is blocked until it is right.</t>
  </si>
  <si>
    <t>departments where hospital_id = A → 10 rows</t>
  </si>
  <si>
    <t>e2e/phase-02-settings/P2D.structure.departments.spec.ts</t>
  </si>
  <si>
    <t>TC-P2D-062</t>
  </si>
  <si>
    <t>Indian English spellings are preserved exactly as entered</t>
  </si>
  <si>
    <t>1) Open /settings/departments 2) Read the names of the obstetrics, paediatrics, orthopaedics and anaesthesiology departments</t>
  </si>
  <si>
    <t>They read Obstetrics &amp; Gynaecology, Paediatrics, Orthopaedics and Anaesthesiology — not the American Gynecology, Pediatrics, Orthopedics, Anesthesiology.</t>
  </si>
  <si>
    <t>MOCK_DATA_BOOK Departments — Indian English spellings</t>
  </si>
  <si>
    <t>OPD, IPD</t>
  </si>
  <si>
    <t>Indian English is the house style and appears on every printed document. A department renamed to US spelling by the app is a visible error on a discharge summary a patient keeps.</t>
  </si>
  <si>
    <t>departments where hospital_id = A and name = 'Obstetrics &amp; Gynaecology' → 1 row</t>
  </si>
  <si>
    <t>TC-P2D-063</t>
  </si>
  <si>
    <t>Add Department opens a drawer with an empty form</t>
  </si>
  <si>
    <t>1) Open /settings/departments 2) Click "Add Department" 3) Inspect the drawer fields</t>
  </si>
  <si>
    <t>A drawer titled "Add Department" opens with Department Name blank, Type at its default, Department Code blank and Head of Department set to None.</t>
  </si>
  <si>
    <t>A create form still holding the last edited department is how a hospital ends up with two departments sharing a code, which then collides at save time with an error nobody expects.</t>
  </si>
  <si>
    <t>TC-P2D-064</t>
  </si>
  <si>
    <t>A new department saves with the correct hospital_id</t>
  </si>
  <si>
    <t>1) Open /settings/departments 2) Click "Add Department" 3) Enter Department Name "Nephrology" 4) Select Type "clinical" 5) Enter Department Code "NEPH" 6) Click "Save Department"</t>
  </si>
  <si>
    <t>A departments row exists with name = Nephrology, type = clinical, dept_code = NEPH and hospital_id = Hospital A.</t>
  </si>
  <si>
    <t>Phase 2 additions — Nephrology · NEPH · Clinical</t>
  </si>
  <si>
    <t>hospital_id is the RLS anchor for every row in the system. A department written against the wrong tenant is invisible to the hospital that created it and visible to one that should never see it.</t>
  </si>
  <si>
    <t>departments where hospital_id = A and name = 'Nephrology' → 1 row, dept_code = 'NEPH'</t>
  </si>
  <si>
    <t>TC-P2D-065</t>
  </si>
  <si>
    <t>The department code is upper-cased as it is typed</t>
  </si>
  <si>
    <t>1) Open /settings/departments 2) Click "Add Department" 3) Enter Department Name "Nephrology" 4) Type "neph" in lower case into Department Code 5) Observe the field</t>
  </si>
  <si>
    <t>The field shows NEPH in capitals, and departments.dept_code stores NEPH.</t>
  </si>
  <si>
    <t>Phase 2 additions — Nephrology, code entered as lower-case neph</t>
  </si>
  <si>
    <t>Accounts, Analytics</t>
  </si>
  <si>
    <t>Department codes are used in reports and GL integration where the match is case-sensitive. Mixed-case codes silently split one cost centre into two in the ledger.</t>
  </si>
  <si>
    <t>departments where hospital_id = A and name = 'Nephrology' → dept_code = 'NEPH'</t>
  </si>
  <si>
    <t>TC-P2D-066</t>
  </si>
  <si>
    <t>The department code is capped at ten characters</t>
  </si>
  <si>
    <t>1) Open /settings/departments 2) Click "Add Department" 3) Enter Department Name "QA Long Code Dept" 4) Type "ABCDEFGHIJKLMNOP" (16 characters) into Department Code</t>
  </si>
  <si>
    <t>The field accepts at most ten characters. The stored dept_code is ten characters or fewer.</t>
  </si>
  <si>
    <t>Literal 16-character code ABCDEFGHIJKLMNOP</t>
  </si>
  <si>
    <t>A code longer than the column allows is either truncated silently — producing two departments that collide on the truncated value — or rejected by Postgres with an error the administrator cannot interpret.</t>
  </si>
  <si>
    <t>departments where hospital_id = A and name = 'QA Long Code Dept' → length(dept_code) &lt;= 10</t>
  </si>
  <si>
    <t>TC-P2D-067</t>
  </si>
  <si>
    <t>A department cannot be saved without a name</t>
  </si>
  <si>
    <t>1) Open /settings/departments 2) Click "Add Department" 3) Leave Department Name blank 4) Enter Department Code "QAX" 5) Attempt to click "Save Department"</t>
  </si>
  <si>
    <t>The Save Department button is disabled and no departments row is written.</t>
  </si>
  <si>
    <t>None — deliberately omits the required Department Name</t>
  </si>
  <si>
    <t>An unnamed department appears as a blank line in the OPD department picker, so the receptionist selects it by accident and the token is raised against nothing.</t>
  </si>
  <si>
    <t>departments where hospital_id = A and (name is null or name = '') → 0 rows</t>
  </si>
  <si>
    <t>TC-P2D-068</t>
  </si>
  <si>
    <t>A duplicate department name is rejected</t>
  </si>
  <si>
    <t>1) Open /settings/departments 2) Click "Add Department" 3) Enter Department Name "General Medicine", which already exists 4) Click "Save Department"</t>
  </si>
  <si>
    <t>The save is refused with a message naming the clash, or the duplicate is prevented. Only one General Medicine exists for Hospital A.</t>
  </si>
  <si>
    <t>MOCK_DATA_BOOK Departments — re-entering the seeded General Medicine</t>
  </si>
  <si>
    <t>Two departments with the same name split a doctor roster and a revenue report in half, and neither half reconciles against the paper register.</t>
  </si>
  <si>
    <t>departments where hospital_id = A and name = 'General Medicine' → exactly 1 row</t>
  </si>
  <si>
    <t>TC-P2D-069</t>
  </si>
  <si>
    <t>A duplicate department code is rejected</t>
  </si>
  <si>
    <t>1) Open /settings/departments 2) Create "Nephrology" with code "NEPH" 3) Click "Add Department" again 4) Enter Department Name "Nephrology Unit 2" with the same code "NEPH" 5) Click "Save Department"</t>
  </si>
  <si>
    <t>The second save is refused, or the code is not duplicated. Exactly one department for Hospital A carries dept_code NEPH.</t>
  </si>
  <si>
    <t>phase2.invalid — duplicate department code NEPH</t>
  </si>
  <si>
    <t>The code is the GL cost-centre key. Two departments sharing one code merge their revenue in the ledger, and the month-end split between them becomes guesswork.</t>
  </si>
  <si>
    <t>departments where hospital_id = A and dept_code = 'NEPH' → exactly 1 row</t>
  </si>
  <si>
    <t>TC-P2D-070</t>
  </si>
  <si>
    <t>The Type dropdown is fed from the department_types config values list</t>
  </si>
  <si>
    <t>1) Open /settings/config-values?cat=department_types 2) Note the configured values 3) Open /settings/departments 4) Click "Add Department" 5) Open the Type dropdown</t>
  </si>
  <si>
    <t>The Type dropdown offers exactly the values configured under department_types — no more, no fewer. It is not a hardcoded list.</t>
  </si>
  <si>
    <t>phase2.dropdowns.configValueCategories — department_types</t>
  </si>
  <si>
    <t>Configurable Dropdowns, OPD, HR</t>
  </si>
  <si>
    <t>department_types configured under /settings/config-values</t>
  </si>
  <si>
    <t>This is the dropdown-feeds-a-dropdown hop. If the Type list is hardcoded instead of read from config values, a hospital that adds its own department type sees it accepted on one screen and absent on another — the exact class of silent inconsistency this phase exists to find.</t>
  </si>
  <si>
    <t>hospital_config_values where hospital_id = A and category = department_types → matches the dropdown options</t>
  </si>
  <si>
    <t>TC-P2D-071</t>
  </si>
  <si>
    <t>Department Type option "clinical" saves and survives a reload</t>
  </si>
  <si>
    <t>1) Open /settings/departments 2) Click "Add Department" 3) Enter Department Name "QA Type clinical Dept" 4) Select Type "clinical" 5) Click "Save Department" 6) Reload and re-open the department</t>
  </si>
  <si>
    <t>departments.type = 'clinical' and the dropdown still shows "clinical" after the reload.</t>
  </si>
  <si>
    <t>hospital_config_values department_types — "clinical"</t>
  </si>
  <si>
    <t>OPD, HR, Analytics</t>
  </si>
  <si>
    <t>department_types includes "clinical"</t>
  </si>
  <si>
    <t>Department type drives which departments appear in clinical pickers versus back-office reports. A type the dropdown offers but the column will not store fails at save with a raw Postgres enum error.</t>
  </si>
  <si>
    <t>departments where hospital_id = A and name = 'QA Type clinical Dept' → type = 'clinical'</t>
  </si>
  <si>
    <t>TC-P2D-072</t>
  </si>
  <si>
    <t>Department Type option "diagnostic" saves and survives a reload</t>
  </si>
  <si>
    <t>1) Open /settings/departments 2) Click "Add Department" 3) Enter Department Name "QA Type diagnostic Dept" 4) Select Type "diagnostic" 5) Click "Save Department" 6) Reload and re-open the department</t>
  </si>
  <si>
    <t>departments.type = 'diagnostic' and the dropdown still shows "diagnostic" after the reload.</t>
  </si>
  <si>
    <t>hospital_config_values department_types — "diagnostic"</t>
  </si>
  <si>
    <t>department_types includes "diagnostic"</t>
  </si>
  <si>
    <t>departments where hospital_id = A and name = 'QA Type diagnostic Dept' → type = 'diagnostic'</t>
  </si>
  <si>
    <t>TC-P2D-073</t>
  </si>
  <si>
    <t>Department Type option "support" saves and survives a reload</t>
  </si>
  <si>
    <t>1) Open /settings/departments 2) Click "Add Department" 3) Enter Department Name "QA Type support Dept" 4) Select Type "support" 5) Click "Save Department" 6) Reload and re-open the department</t>
  </si>
  <si>
    <t>departments.type = 'support' and the dropdown still shows "support" after the reload.</t>
  </si>
  <si>
    <t>hospital_config_values department_types — "support"</t>
  </si>
  <si>
    <t>department_types includes "support"</t>
  </si>
  <si>
    <t>departments where hospital_id = A and name = 'QA Type support Dept' → type = 'support'</t>
  </si>
  <si>
    <t>TC-P2D-074</t>
  </si>
  <si>
    <t>Department Type option "administrative" saves and survives a reload</t>
  </si>
  <si>
    <t>1) Open /settings/departments 2) Click "Add Department" 3) Enter Department Name "QA Type administrative Dept" 4) Select Type "administrative" 5) Click "Save Department" 6) Reload and re-open the department</t>
  </si>
  <si>
    <t>departments.type = 'administrative' and the dropdown still shows "administrative" after the reload.</t>
  </si>
  <si>
    <t>hospital_config_values department_types — "administrative"</t>
  </si>
  <si>
    <t>department_types includes "administrative"</t>
  </si>
  <si>
    <t>departments where hospital_id = A and name = 'QA Type administrative Dept' → type = 'administrative'</t>
  </si>
  <si>
    <t>TC-P2D-075</t>
  </si>
  <si>
    <t>A head of department can be assigned from the doctor list</t>
  </si>
  <si>
    <t>1) Open /settings/departments 2) Edit "Nephrology" 3) Select "Dr. Suresh Menon" as Head of Department 4) Click "Save Department"</t>
  </si>
  <si>
    <t>departments.head_doctor_id is set to that doctor's user id, and the name shows on the department row.</t>
  </si>
  <si>
    <t>MOCK_DATA_BOOK Staff logins — Dr. Suresh Menon (doctor, Hospital A)</t>
  </si>
  <si>
    <t>HR, OPD</t>
  </si>
  <si>
    <t>Tier 0 staff created; at least one active doctor exists</t>
  </si>
  <si>
    <t>The head of department is who escalations and approvals route to. Unset, escalations go nowhere and a NABH assessor finds no named clinical owner for the unit.</t>
  </si>
  <si>
    <t>departments where hospital_id = A and name = 'Nephrology' → head_doctor_id is not null</t>
  </si>
  <si>
    <t>TC-P2D-076</t>
  </si>
  <si>
    <t>The Head of Department list offers only active doctors of this hospital</t>
  </si>
  <si>
    <t>1) Open /settings/departments 2) Click "Add Department" 3) Open the Head of Department dropdown 4) Read every name offered</t>
  </si>
  <si>
    <t>Only users with role doctor, is_active true and hospital_id = Hospital A are listed, plus a "None" option. No nurses, no receptionists, and nobody from Hospital B.</t>
  </si>
  <si>
    <t>MOCK_DATA_BOOK Staff logins — the three Hospital A doctors</t>
  </si>
  <si>
    <t>HR, Multi-tenancy</t>
  </si>
  <si>
    <t>Tier 0 staff created</t>
  </si>
  <si>
    <t>A picker that lists every user lets a receptionist be made head of Nephrology. Worse, one that is not hospital-scoped leaks Hospital B staff names into Hospital A — a cross-tenant disclosure through a dropdown.</t>
  </si>
  <si>
    <t>users where hospital_id = A and role = doctor and is_active = true → matches the dropdown options</t>
  </si>
  <si>
    <t>TC-P2D-077</t>
  </si>
  <si>
    <t>Renaming a department persists the new name</t>
  </si>
  <si>
    <t>1) Open /settings/departments 2) Click Edit on "Nephrology" 3) Change the name to "Nephrology &amp; Dialysis" 4) Click "Save Department" 5) Reload the page</t>
  </si>
  <si>
    <t>departments.name reads "Nephrology &amp; Dialysis" after the reload — the value came from the database, not from unsaved form state.</t>
  </si>
  <si>
    <t>phase2.edit.departmentName (Nephrology → Nephrology &amp; Dialysis)</t>
  </si>
  <si>
    <t>Departments merge and are renamed as hospitals grow. An edit that toasts success and does not persist leaves the old name on every token, bill and report while the administrator believes it changed.</t>
  </si>
  <si>
    <t>departments where hospital_id = A and name = 'Nephrology &amp; Dialysis' → 1 row</t>
  </si>
  <si>
    <t>TC-P2D-078</t>
  </si>
  <si>
    <t>A department can be deactivated without being deleted</t>
  </si>
  <si>
    <t>1) Open /settings/departments 2) Click "Deactivate" on "Nephrology &amp; Dialysis" 3) Read the status column</t>
  </si>
  <si>
    <t>departments.is_active = false and the row shows Inactive. The row still exists.</t>
  </si>
  <si>
    <t>Phase 2 additions — Nephrology &amp; Dialysis</t>
  </si>
  <si>
    <t>OPD, IPD, Analytics</t>
  </si>
  <si>
    <t>A closed department must stop appearing in pickers while its historical tokens, bills and records stay attached to it. Deleting instead of deactivating orphans years of clinical history.</t>
  </si>
  <si>
    <t>departments where hospital_id = A and name = 'Nephrology &amp; Dialysis' → is_active = false</t>
  </si>
  <si>
    <t>TC-P2D-079</t>
  </si>
  <si>
    <t>A deactivated department can be reactivated</t>
  </si>
  <si>
    <t>1) Open /settings/departments 2) Locate the inactive "Nephrology &amp; Dialysis" 3) Click "Activate" 4) Read the status column</t>
  </si>
  <si>
    <t>departments.is_active = true and the row shows Active again.</t>
  </si>
  <si>
    <t>Departments reopen — seasonally, or after a consultant is hired. A one-way deactivation forces the administrator to create a duplicate, splitting the department's history in two.</t>
  </si>
  <si>
    <t>departments where hospital_id = A and name = 'Nephrology &amp; Dialysis' → is_active = true</t>
  </si>
  <si>
    <t>TC-P2D-080</t>
  </si>
  <si>
    <t>Delete is offered only after a department is deactivated</t>
  </si>
  <si>
    <t>1) Open /settings/departments 2) Look for a delete control on an ACTIVE department 3) Deactivate it 4) Look again</t>
  </si>
  <si>
    <t>No delete control appears while the department is active. It appears only once the row is inactive.</t>
  </si>
  <si>
    <t>Deactivate-then-delete is a deliberate two-step. Removing an in-use department in one click detaches every token and bill that points at it, and there is no undo.</t>
  </si>
  <si>
    <t>None — UI affordance, verified by the absence of the control</t>
  </si>
  <si>
    <t>TC-P2D-081</t>
  </si>
  <si>
    <t>A department with active staff assigned cannot be deleted</t>
  </si>
  <si>
    <t>1) Open /settings/staff and assign a staff member to "General Medicine" 2) Open /settings/departments 3) Deactivate "General Medicine" 4) Attempt to delete it</t>
  </si>
  <si>
    <t>A destructive toast reads "Cannot delete: active staff members are assigned to this department." and the departments row remains.</t>
  </si>
  <si>
    <t>MOCK_DATA_BOOK Staff logins — Dr. Suresh Menon in General Medicine</t>
  </si>
  <si>
    <t>Tier 0 staff created with a department assigned</t>
  </si>
  <si>
    <t>Deleting the department out from under a doctor leaves users.department_id pointing at nothing. The doctor then vanishes from every department-filtered roster and OPD list while still being able to log in.</t>
  </si>
  <si>
    <t>departments where hospital_id = A and name = 'General Medicine' → row still exists</t>
  </si>
  <si>
    <t>TC-P2D-082</t>
  </si>
  <si>
    <t>Deleting a department asks for confirmation naming the department</t>
  </si>
  <si>
    <t>1) Open /settings/departments 2) Deactivate a department with no staff assigned 3) Click the delete icon 4) Read the confirmation text</t>
  </si>
  <si>
    <t>A confirmation quotes the department name and warns the action cannot be undone. Dismissing it leaves the row intact.</t>
  </si>
  <si>
    <t>The delete control is a small trash icon in a row of text buttons. Naming the department in the prompt is what stops the wrong row being removed on a misclick.</t>
  </si>
  <si>
    <t>departments → the row still exists after the confirmation is dismissed</t>
  </si>
  <si>
    <t>TC-P2D-083</t>
  </si>
  <si>
    <t>Hospital A's departments are invisible to Hospital B</t>
  </si>
  <si>
    <t>1) Sign in as the Hospital B administrator 2) Open /settings/departments as Hospital B 3) Query the departments table through the API with no hospital filter</t>
  </si>
  <si>
    <t>Not one Hospital A department is returned. Hospital B sees only its own.</t>
  </si>
  <si>
    <t>Multi-tenancy, OPD</t>
  </si>
  <si>
    <t>Department lists reveal a competitor hospital's clinical footprint. Under the DPDP Act a cross-tenant leak of operational data is a reportable breach, and it ends the multi-hospital sales motion.</t>
  </si>
  <si>
    <t>departments queried as the Hospital B admin → zero rows with hospital_id = A</t>
  </si>
  <si>
    <t>TC-P2D-084</t>
  </si>
  <si>
    <t>A receptionist cannot reach the Departments settings screen</t>
  </si>
  <si>
    <t>1) Log in as receptionist (Hospital A) 2) Navigate directly to /settings/departments</t>
  </si>
  <si>
    <t>The route is blocked — redirected away, or an explicit access-denied message. The Add Department button must not render.</t>
  </si>
  <si>
    <t>Reception raises tokens against departments but must not create or rename them. A receptionist who renames a department mid-day breaks every report that groups by it.</t>
  </si>
  <si>
    <t>TC-P2D-085</t>
  </si>
  <si>
    <t>Shifts screen loads its rows from shift_master rather than a hardcoded list</t>
  </si>
  <si>
    <t>1) Log in as hospital_admin (Hospital A) 2) Open /settings/shifts 3) Read the shift table</t>
  </si>
  <si>
    <t>The table reflects the shift_master rows for Hospital A. If none exist it shows an empty state, NOT the three placeholder shifts Morning/Afternoon/Night.</t>
  </si>
  <si>
    <t>MOCK_DATA_BOOK Phase 2 additions — Night Relief 22:00–06:00</t>
  </si>
  <si>
    <t>HR, Nursing, OT, Emergency</t>
  </si>
  <si>
    <t>REGRESSION LOCK for BUG-P2-002. This screen used to render three hardcoded shifts and never query the database, so every hospital saw the same fake data and its own shifts existed nowhere.</t>
  </si>
  <si>
    <t>shift_master where hospital_id = A → matches the rows displayed</t>
  </si>
  <si>
    <t>e2e/phase-02-settings/P2D.structure.shifts.spec.ts</t>
  </si>
  <si>
    <t>TC-P2D-086</t>
  </si>
  <si>
    <t>An empty shift list explains what to do next</t>
  </si>
  <si>
    <t>1) Ensure shift_master has no rows for Hospital A 2) Open /settings/shifts 3) Read the table body</t>
  </si>
  <si>
    <t>An empty state explains that rosters and nursing hand-overs need shift timings, rather than showing a bare empty table.</t>
  </si>
  <si>
    <t>None — asserts the empty state before any shift exists</t>
  </si>
  <si>
    <t>HR, Nursing</t>
  </si>
  <si>
    <t>An empty grid reads as a loading failure. Naming what is missing and why it matters is the difference between an administrator configuring shifts and raising a support ticket.</t>
  </si>
  <si>
    <t>shift_master where hospital_id = A → 0 rows</t>
  </si>
  <si>
    <t>TC-P2D-087</t>
  </si>
  <si>
    <t>Add Shift opens an inline row with blank fields</t>
  </si>
  <si>
    <t>1) Open /settings/shifts 2) Click "Add Shift" 3) Inspect the new row</t>
  </si>
  <si>
    <t>A new editable row appears with Name and Code blank, both time fields empty, and the Add Shift button disabled while the row is open.</t>
  </si>
  <si>
    <t>None — inspects the empty create row</t>
  </si>
  <si>
    <t>Allowing a second create row to open while the first is unsaved lets an administrator lose the first one silently.</t>
  </si>
  <si>
    <t>TC-P2D-088</t>
  </si>
  <si>
    <t>A new shift saves to shift_master</t>
  </si>
  <si>
    <t>1) Open /settings/shifts 2) Click "Add Shift" 3) Enter Name "Night Relief" 4) Enter Code "NR" 5) Set Start 22:00 6) Set End 06:00 7) Click Save</t>
  </si>
  <si>
    <t>A shift_master row exists with shift_name = Night Relief, shift_code = NR, start_time = 22:00, end_time = 06:00 and hospital_id = Hospital A.</t>
  </si>
  <si>
    <t>MOCK_DATA_BOOK Phase 2 additions — Night Relief · 22:00–06:00</t>
  </si>
  <si>
    <t>REGRESSION LOCK for BUG-P2-002. Saving showed a green toast and issued zero Supabase calls, so a hospital could define its shift pattern, see it confirmed, and find shift_master empty. Rostering downstream had nothing to work from.</t>
  </si>
  <si>
    <t>shift_master where hospital_id = A and shift_code = 'NR' → 1 row, start_time = 22:00, end_time = 06:00</t>
  </si>
  <si>
    <t>TC-P2D-089</t>
  </si>
  <si>
    <t>A shift crossing midnight stores eight hours, not minus sixteen</t>
  </si>
  <si>
    <t>1) Open /settings/shifts 2) Create shift "Night Relief" with Start 22:00 and End 06:00 3) Read the Hours column 4) Check shift_master.duration_hours</t>
  </si>
  <si>
    <t>The Hours column reads 8 h and shift_master.duration_hours = 8. It must never be negative.</t>
  </si>
  <si>
    <t>MOCK_DATA_BOOK Phase 2 additions — Night Relief · 22:00–06:00 (crosses midnight)</t>
  </si>
  <si>
    <t>HR, Payroll, Nursing</t>
  </si>
  <si>
    <t>Subtracting the times naively gives −16. A negative duration flows straight into roster hours and night-shift payroll, so every nurse on nights is paid against a nonsense figure. This is the single most likely arithmetic error on the screen.</t>
  </si>
  <si>
    <t>shift_master where hospital_id = A and shift_code = 'NR' → duration_hours = 8</t>
  </si>
  <si>
    <t>TC-P2D-090</t>
  </si>
  <si>
    <t>A same-day shift stores its plain duration</t>
  </si>
  <si>
    <t>1) Open /settings/shifts 2) Create shift "QA Morning" code "QAM" with Start 07:00 and End 14:00 3) Read the Hours column</t>
  </si>
  <si>
    <t>The Hours column reads 7 h and shift_master.duration_hours = 7.</t>
  </si>
  <si>
    <t>Literal shift QA Morning · QAM · 07:00–14:00</t>
  </si>
  <si>
    <t>HR, Payroll</t>
  </si>
  <si>
    <t>The midnight-wrap fix must not break the ordinary case. A rule that adds 24 hours unconditionally would turn every day shift into a 31-hour one.</t>
  </si>
  <si>
    <t>shift_master where hospital_id = A and shift_code = 'QAM' → duration_hours = 7</t>
  </si>
  <si>
    <t>TC-P2D-091</t>
  </si>
  <si>
    <t>A shift cannot be saved without a name</t>
  </si>
  <si>
    <t>1) Open /settings/shifts 2) Click "Add Shift" 3) Leave Name blank 4) Enter Code "QX" and times 08:00–16:00 5) Click Save</t>
  </si>
  <si>
    <t>A destructive toast reads "Shift name is required." and no shift_master row is written.</t>
  </si>
  <si>
    <t>None — deliberately omits the required Name</t>
  </si>
  <si>
    <t>An unnamed shift shows as a blank entry on the roster, so the ward sister cannot tell which shift a nurse is rostered to.</t>
  </si>
  <si>
    <t>shift_master where hospital_id = A and shift_code = 'QX' → 0 rows</t>
  </si>
  <si>
    <t>TC-P2D-092</t>
  </si>
  <si>
    <t>A shift cannot be saved without a code</t>
  </si>
  <si>
    <t>1) Open /settings/shifts 2) Click "Add Shift" 3) Enter Name "QA No Code" 4) Leave Code blank 5) Enter times 08:00–16:00 6) Click Save</t>
  </si>
  <si>
    <t>A destructive toast reads "Shift code is required." and no shift_master row is written.</t>
  </si>
  <si>
    <t>None — deliberately omits the required Code</t>
  </si>
  <si>
    <t>The code is what appears in the compressed roster grid where a full name will not fit. Without it the grid renders blank cells.</t>
  </si>
  <si>
    <t>shift_master where hospital_id = A and shift_name = 'QA No Code' → 0 rows</t>
  </si>
  <si>
    <t>TC-P2D-093</t>
  </si>
  <si>
    <t>A shift cannot be saved without a start time</t>
  </si>
  <si>
    <t>1) Open /settings/shifts 2) Click "Add Shift" 3) Enter Name "QA No Start" and Code "QNS" 4) Leave Start blank 5) Enter End 16:00 6) Click Save</t>
  </si>
  <si>
    <t>A destructive toast reads "Start time is required." and no shift_master row is written.</t>
  </si>
  <si>
    <t>None — deliberately omits the required Start time</t>
  </si>
  <si>
    <t>start_time is NOT NULL in shift_master. Without client-side validation the user gets a raw Postgres constraint error instead of a sentence telling them which field is missing.</t>
  </si>
  <si>
    <t>shift_master where hospital_id = A and shift_code = 'QNS' → 0 rows</t>
  </si>
  <si>
    <t>TC-P2D-094</t>
  </si>
  <si>
    <t>A shift cannot be saved without an end time</t>
  </si>
  <si>
    <t>1) Open /settings/shifts 2) Click "Add Shift" 3) Enter Name "QA No End" and Code "QNE" 4) Enter Start 08:00 5) Leave End blank 6) Click Save</t>
  </si>
  <si>
    <t>A destructive toast reads "End time is required." and no shift_master row is written.</t>
  </si>
  <si>
    <t>None — deliberately omits the required End time</t>
  </si>
  <si>
    <t>end_time is NOT NULL in shift_master, and a shift with no end cannot have its duration computed for payroll.</t>
  </si>
  <si>
    <t>shift_master where hospital_id = A and shift_code = 'QNE' → 0 rows</t>
  </si>
  <si>
    <t>TC-P2D-095</t>
  </si>
  <si>
    <t>A zero-length shift is refused</t>
  </si>
  <si>
    <t>1) Open /settings/shifts 2) Click "Add Shift" 3) Enter Name "QA Zero Shift" and Code "QZS" 4) Set Start 22:00 and End 22:00 5) Click Save</t>
  </si>
  <si>
    <t>A destructive toast explains that start and end cannot be the same, and no shift_master row is written.</t>
  </si>
  <si>
    <t>phase2.invalid.shiftZeroLength (start 22:00, end 22:00)</t>
  </si>
  <si>
    <t>Identical start and end is ambiguous — zero hours or a continuous 24? Stored either way it silently misstates every roster hour and payroll line built on it, so it must be rejected at entry.</t>
  </si>
  <si>
    <t>shift_master where hospital_id = A and shift_code = 'QZS' → 0 rows</t>
  </si>
  <si>
    <t>TC-P2D-096</t>
  </si>
  <si>
    <t>A duplicate shift code is refused</t>
  </si>
  <si>
    <t>1) Open /settings/shifts 2) Create shift "Night Relief" with code "NR" 3) Click "Add Shift" again 4) Enter Name "QA Duplicate" with the same code "NR" 5) Click Save</t>
  </si>
  <si>
    <t>A destructive toast names the clashing code and only one shift_master row carries NR.</t>
  </si>
  <si>
    <t>phase2.invalid — duplicate shift code NR</t>
  </si>
  <si>
    <t>The roster grid keys on the code. Two shifts sharing one means attendance is booked against whichever the query happens to return first, and the nurse is paid for the wrong shift.</t>
  </si>
  <si>
    <t>shift_master where hospital_id = A and shift_code = 'NR' → exactly 1 row</t>
  </si>
  <si>
    <t>TC-P2D-097</t>
  </si>
  <si>
    <t>The shift code is stored upper-cased</t>
  </si>
  <si>
    <t>1) Open /settings/shifts 2) Click "Add Shift" 3) Enter Name "Night Relief" and Code in lower case "nr" 4) Enter times 22:00–06:00 5) Click Save</t>
  </si>
  <si>
    <t>shift_master.shift_code stores NR in capitals.</t>
  </si>
  <si>
    <t>MOCK_DATA_BOOK Phase 2 additions — Night Relief, code entered as lower-case nr</t>
  </si>
  <si>
    <t>Mixed-case codes defeat the duplicate check and let "nr" and "NR" coexist as two shifts that look identical on screen.</t>
  </si>
  <si>
    <t>shift_master where hospital_id = A and shift_code = 'NR' → 1 row</t>
  </si>
  <si>
    <t>TC-P2D-098</t>
  </si>
  <si>
    <t>Editing a shift persists the change</t>
  </si>
  <si>
    <t>1) Open /settings/shifts 2) Click the edit icon on "Night Relief" 3) Change End from 06:00 to 07:00 4) Click Save 5) Reload the page</t>
  </si>
  <si>
    <t>shift_master.end_time = 07:00 and duration_hours = 9 after the reload.</t>
  </si>
  <si>
    <t>MOCK_DATA_BOOK Phase 2 additions — Night Relief, end time edited to 07:00</t>
  </si>
  <si>
    <t>Shift timings change with season and staffing. An edit that does not persist means the roster keeps using last month's hand-over time and two shifts overlap or leave a gap.</t>
  </si>
  <si>
    <t>shift_master where hospital_id = A and shift_code = 'NR' → end_time = 07:00, duration_hours = 9</t>
  </si>
  <si>
    <t>TC-P2D-099</t>
  </si>
  <si>
    <t>A shift can be deactivated and reactivated</t>
  </si>
  <si>
    <t>1) Open /settings/shifts 2) Switch the Active toggle off for "Night Relief" 3) Reload 4) Switch it back on</t>
  </si>
  <si>
    <t>shift_master.is_active follows the toggle in both directions and survives the reload.</t>
  </si>
  <si>
    <t>MOCK_DATA_BOOK Phase 2 additions — Night Relief</t>
  </si>
  <si>
    <t>A retired shift must stop appearing on new rosters while historical attendance stays attached to it. Deleting instead would orphan months of attendance records.</t>
  </si>
  <si>
    <t>shift_master where hospital_id = A and shift_code = 'NR' → is_active toggles true/false</t>
  </si>
  <si>
    <t>TC-P2D-100</t>
  </si>
  <si>
    <t>Deleting a shift asks for confirmation naming the shift</t>
  </si>
  <si>
    <t>1) Open /settings/shifts 2) Click the delete icon on "Night Relief" 3) Read the confirmation 4) Dismiss it</t>
  </si>
  <si>
    <t>A confirmation quotes the shift name and warns the action cannot be undone. Dismissing leaves the shift_master row intact.</t>
  </si>
  <si>
    <t>The delete control is a small icon beside the edit icon. Without a named confirmation a misclick removes a shift the roster is actively using.</t>
  </si>
  <si>
    <t>shift_master where hospital_id = A and shift_code = 'NR' → row still exists after dismissing</t>
  </si>
  <si>
    <t>TC-P2D-101</t>
  </si>
  <si>
    <t>Confirming the delete removes the shift row</t>
  </si>
  <si>
    <t>1) Open /settings/shifts 2) Click the delete icon on "QA Morning" 3) Confirm the prompt 4) Reload the page</t>
  </si>
  <si>
    <t>The shift_master row for QAM is gone and does not return after the reload.</t>
  </si>
  <si>
    <t>A delete that only removes the row from local state reappears on the next load, so the administrator deletes it repeatedly and concludes the screen is broken.</t>
  </si>
  <si>
    <t>shift_master where hospital_id = A and shift_code = 'QAM' → 0 rows</t>
  </si>
  <si>
    <t>TC-P2D-102</t>
  </si>
  <si>
    <t>A saved shift survives a hard reload</t>
  </si>
  <si>
    <t>1) Open /settings/shifts 2) Create shift "Night Relief" code "NR" 22:00–06:00 3) Hard-reload the page 4) Look for the shift</t>
  </si>
  <si>
    <t>Night Relief is still listed after the reload with its times and 8 h duration intact.</t>
  </si>
  <si>
    <t>REGRESSION LOCK for BUG-P2-002. Before the fix this screen kept everything in component state, so a reload wiped it and shift_master stayed empty. A reload is the cheapest way to tell a real save from a claimed one.</t>
  </si>
  <si>
    <t>TC-P2D-103</t>
  </si>
  <si>
    <t>The shift colour is stored and rendered</t>
  </si>
  <si>
    <t>1) Open /settings/shifts 2) Create a shift and set its colour 3) Reload 4) Read the colour swatch</t>
  </si>
  <si>
    <t>shift_master.color_code holds the chosen hex value and the swatch renders in that colour after the reload.</t>
  </si>
  <si>
    <t>MOCK_DATA_BOOK Phase 2 additions — Night Relief with its default colour</t>
  </si>
  <si>
    <t>Colour is how a ward sister reads a month-long roster grid at a glance. A colour that resets on reload makes the grid unreadable.</t>
  </si>
  <si>
    <t>shift_master where hospital_id = A and shift_code = 'NR' → color_code is a hex value</t>
  </si>
  <si>
    <t>TC-P2D-104</t>
  </si>
  <si>
    <t>Hospital A's shifts are invisible to Hospital B</t>
  </si>
  <si>
    <t>1) Sign in as the Hospital B administrator 2) Open /settings/shifts as Hospital B 3) Query shift_master through the API with no hospital filter</t>
  </si>
  <si>
    <t>Not one Hospital A shift is returned.</t>
  </si>
  <si>
    <t>Multi-tenancy, HR</t>
  </si>
  <si>
    <t>Shift patterns reveal staffing levels and cost structure. Before the fix this table was never queried at all, so its RLS has never been exercised — this is the first case that proves it works.</t>
  </si>
  <si>
    <t>shift_master queried as the Hospital B admin → zero rows with hospital_id = A</t>
  </si>
  <si>
    <t>TC-P2D-105</t>
  </si>
  <si>
    <t>A nurse cannot reach the Shifts settings screen</t>
  </si>
  <si>
    <t>1) Log in as nurse (Hospital A) 2) Navigate directly to /settings/shifts</t>
  </si>
  <si>
    <t>Shift definitions drive payroll hours. A nurse able to widen a shift is a nurse able to change what the hospital pays, with no approval trail.</t>
  </si>
  <si>
    <t>TC-P2D-106</t>
  </si>
  <si>
    <t>The Shifts screen loads with no red console errors</t>
  </si>
  <si>
    <t>1) Open DevTools → Console 2) Open /settings/shifts 3) Create and edit a shift 4) Read the console</t>
  </si>
  <si>
    <t>No red console text, and specifically no PostgREST error from a shift_master column the query names and the schema lacks.</t>
  </si>
  <si>
    <t>This screen was rewired to a table it had never touched. A column-name mismatch would surface only as a console error while the UI carried on looking healthy.</t>
  </si>
  <si>
    <t>TC-P2D-107</t>
  </si>
  <si>
    <t>Bank Accounts screen loads</t>
  </si>
  <si>
    <t>1) Log in as hospital_admin (Hospital A) 2) Open /settings/bank-accounts 3) Read the table</t>
  </si>
  <si>
    <t>The screen renders with an Add Account action and either the existing bank_accounts rows or an empty state. No red console errors.</t>
  </si>
  <si>
    <t>MOCK_DATA_BOOK Phase 2 additions — Aarogya Ops — HDFC</t>
  </si>
  <si>
    <t>Accounts, Payments, Billing, Day Closure</t>
  </si>
  <si>
    <t>Without a bank account configured there is nothing to reconcile collections against, so day closure cannot be completed and cash differences go undetected.</t>
  </si>
  <si>
    <t>bank_accounts where hospital_id = A → matches the rows displayed</t>
  </si>
  <si>
    <t>e2e/phase-02-settings/P2D.structure.bank-accounts.spec.ts</t>
  </si>
  <si>
    <t>TC-P2D-108</t>
  </si>
  <si>
    <t>An empty bank account list offers a first-run action</t>
  </si>
  <si>
    <t>1) Ensure bank_accounts has no rows for Hospital A 2) Open /settings/bank-accounts</t>
  </si>
  <si>
    <t>An empty state renders with an "Add First Account" action rather than a bare empty table.</t>
  </si>
  <si>
    <t>None — asserts the empty state before any account exists</t>
  </si>
  <si>
    <t>Accounts, Day Closure</t>
  </si>
  <si>
    <t>Reconciliation is set up once, usually by someone who has never seen the screen. A first-run action is what makes the next step obvious.</t>
  </si>
  <si>
    <t>bank_accounts where hospital_id = A → 0 rows</t>
  </si>
  <si>
    <t>TC-P2D-109</t>
  </si>
  <si>
    <t>A bank account saves with its IFSC code</t>
  </si>
  <si>
    <t>1) Open /settings/bank-accounts 2) Click "Add Account" 3) Enter Account Name "Aarogya Ops - HDFC" 4) Enter Bank Name "HDFC Bank" 5) Enter Account Number 50100123456789 6) Enter IFSC Code HDFC0001234 7) Click "Add Account"</t>
  </si>
  <si>
    <t>A bank_accounts row exists with those values and hospital_id = Hospital A.</t>
  </si>
  <si>
    <t>MOCK_DATA_BOOK Phase 2 additions — Aarogya Ops — HDFC · A/c 50100123456789 · IFSC HDFC0001234</t>
  </si>
  <si>
    <t>Accounts, Payments, Day Closure</t>
  </si>
  <si>
    <t>The account number and IFSC are what money is actually settled against. A wrong or missing pair means collections cannot be matched to the bank statement at all.</t>
  </si>
  <si>
    <t>bank_accounts where hospital_id = A and account_number = '50100123456789' → ifsc_code = 'HDFC0001234'</t>
  </si>
  <si>
    <t>TC-P2D-110</t>
  </si>
  <si>
    <t>An account cannot be saved without an account name</t>
  </si>
  <si>
    <t>1) Open /settings/bank-accounts 2) Click "Add Account" 3) Leave Account Name blank 4) Enter Bank Name "HDFC Bank" and Account Number 50100123456789 5) Click "Add Account"</t>
  </si>
  <si>
    <t>An error toast reads "Name, bank, and account number are required" and no bank_accounts row is written.</t>
  </si>
  <si>
    <t>None — deliberately omits the required Account Name</t>
  </si>
  <si>
    <t>A hospital runs several accounts — operations, salary, corpus. Unnamed, the reconciliation screen offers identical blank options and money is matched against the wrong one.</t>
  </si>
  <si>
    <t>bank_accounts where hospital_id = A and account_name = '' → 0 rows</t>
  </si>
  <si>
    <t>TC-P2D-111</t>
  </si>
  <si>
    <t>An account cannot be saved without a bank name</t>
  </si>
  <si>
    <t>1) Open /settings/bank-accounts 2) Click "Add Account" 3) Enter Account Name "QA No Bank" 4) Leave Bank Name blank 5) Enter Account Number 50100999999999 6) Click "Add Account"</t>
  </si>
  <si>
    <t>An error toast reads "Name, bank, and account number are required" and no row is written.</t>
  </si>
  <si>
    <t>None — deliberately omits the required Bank Name</t>
  </si>
  <si>
    <t>The bank name is what the accountant matches against the statement header. Without it, reconciling two accounts at different banks becomes guesswork.</t>
  </si>
  <si>
    <t>bank_accounts where hospital_id = A and account_name = 'QA No Bank' → 0 rows</t>
  </si>
  <si>
    <t>TC-P2D-112</t>
  </si>
  <si>
    <t>An account cannot be saved without an account number</t>
  </si>
  <si>
    <t>1) Open /settings/bank-accounts 2) Click "Add Account" 3) Enter Account Name "QA No Number" and Bank Name "HDFC Bank" 4) Leave Account Number blank 5) Click "Add Account"</t>
  </si>
  <si>
    <t>None — deliberately omits the required Account Number</t>
  </si>
  <si>
    <t>An account with no number cannot be reconciled to anything. It sits in the list looking configured while every settlement against it fails to match.</t>
  </si>
  <si>
    <t>bank_accounts where hospital_id = A and account_name = 'QA No Number' → 0 rows</t>
  </si>
  <si>
    <t>TC-P2D-113</t>
  </si>
  <si>
    <t>A malformed IFSC code is rejected</t>
  </si>
  <si>
    <t>1) Open /settings/bank-accounts 2) Click "Add Account" 3) Enter Account Name "QA Bad IFSC" and Bank Name "HDFC Bank" 4) Enter Account Number 50100888888888 5) Enter IFSC Code "HDFC001234" (10 characters) 6) Click "Add Account"</t>
  </si>
  <si>
    <t>The save is refused with a message naming the IFSC format — 11 characters, fifth character 0. No row is written with the malformed code.</t>
  </si>
  <si>
    <t>phase2.invalid.ifscTooShort (HDFC001234)</t>
  </si>
  <si>
    <t>An invalid IFSC is accepted by this screen and rejected by the bank at transfer time, days later, with no clear trail back to the typo. Validating the format at entry is the only cheap moment to catch it.</t>
  </si>
  <si>
    <t>bank_accounts where hospital_id = A and ifsc_code = 'HDFC001234' → 0 rows</t>
  </si>
  <si>
    <t>TC-P2D-114</t>
  </si>
  <si>
    <t>A valid 11-character IFSC with a zero fifth character is accepted</t>
  </si>
  <si>
    <t>1) Open /settings/bank-accounts 2) Create an account with IFSC Code "HDFC0001234" 3) Save 4) Reload</t>
  </si>
  <si>
    <t>bank_accounts.ifsc_code = HDFC0001234 — the valid form is accepted, not caught by an over-strict rule.</t>
  </si>
  <si>
    <t>MOCK_DATA_BOOK Phase 2 additions — IFSC HDFC0001234</t>
  </si>
  <si>
    <t>A validation rule that rejects valid IFSCs is worse than none — the accountant cannot enter the real account and works around the system entirely.</t>
  </si>
  <si>
    <t>bank_accounts where hospital_id = A and ifsc_code = 'HDFC0001234' → 1 row</t>
  </si>
  <si>
    <t>TC-P2D-115</t>
  </si>
  <si>
    <t>The IFSC code is optional</t>
  </si>
  <si>
    <t>1) Open /settings/bank-accounts 2) Create an account with Account Name, Bank Name and Account Number but no IFSC 3) Click "Add Account"</t>
  </si>
  <si>
    <t>The account saves and bank_accounts.ifsc_code is null — not an empty string.</t>
  </si>
  <si>
    <t>Literal account QA No IFSC · HDFC Bank · 50100777777777, IFSC left blank</t>
  </si>
  <si>
    <t>Cash-in-hand and petty accounts have no IFSC. Forcing one makes the accountant invent a value, which then fails at transfer time looking like a real account.</t>
  </si>
  <si>
    <t>bank_accounts where hospital_id = A and account_name = 'QA No IFSC' → ifsc_code is null</t>
  </si>
  <si>
    <t>TC-P2D-116</t>
  </si>
  <si>
    <t>The opening balance is stored as entered</t>
  </si>
  <si>
    <t>1) Open /settings/bank-accounts 2) Create an account with Opening Balance 250000 3) Save 4) Reload and re-open the account</t>
  </si>
  <si>
    <t>bank_accounts.opening_balance = 250000.00 after the reload.</t>
  </si>
  <si>
    <t>Literal opening balance 250000 on Aarogya Ops — HDFC</t>
  </si>
  <si>
    <t>The opening balance is the starting point of every reconciliation. Wrong or dropped, every subsequent day closure is out by the same amount and the accountant chases a difference that was never a transaction.</t>
  </si>
  <si>
    <t>bank_accounts where hospital_id = A and account_name = 'Aarogya Ops - HDFC' → opening_balance = 250000</t>
  </si>
  <si>
    <t>TC-P2D-117</t>
  </si>
  <si>
    <t>A zero opening balance is stored as zero, not as null</t>
  </si>
  <si>
    <t>1) Open /settings/bank-accounts 2) Create an account leaving Opening Balance at 0 3) Save 4) Check the stored value</t>
  </si>
  <si>
    <t>bank_accounts.opening_balance = 0, not null. A new account genuinely starting at zero is different from one nobody has set.</t>
  </si>
  <si>
    <t>Literal account QA Zero Balance with Opening Balance 0</t>
  </si>
  <si>
    <t>A null opening balance breaks the running-total arithmetic in reconciliation, where a real zero is perfectly valid. The two must not collapse into each other.</t>
  </si>
  <si>
    <t>bank_accounts where hospital_id = A and account_name = 'QA Zero Balance' → opening_balance = 0</t>
  </si>
  <si>
    <t>TC-P2D-118</t>
  </si>
  <si>
    <t>The opening balance renders in en-IN grouping with the rupee symbol</t>
  </si>
  <si>
    <t>1) Open /settings/bank-accounts 2) Locate the account with a ₹2,50,000 opening balance 3) Read the amount as displayed</t>
  </si>
  <si>
    <t>The amount displays as ₹2,50,000.00 with Indian digit grouping — not ₹250,000.00 and not a bare number.</t>
  </si>
  <si>
    <t>Indian grouping puts the comma in a different place from the international convention. ₹250,000 reads as an unfamiliar number to an Indian accountant and invites a misread by a factor of ten.</t>
  </si>
  <si>
    <t>bank_accounts where hospital_id = A → opening_balance = 250000 rendered as ₹2,50,000.00</t>
  </si>
  <si>
    <t>TC-P2D-119</t>
  </si>
  <si>
    <t>Editing a bank account persists the change</t>
  </si>
  <si>
    <t>1) Open /settings/bank-accounts 2) Click the edit icon on "Aarogya Ops - HDFC" 3) Change Bank Name to "HDFC Bank Ltd" 4) Click "Update Account" 5) Reload</t>
  </si>
  <si>
    <t>bank_accounts.bank_name reads "HDFC Bank Ltd" after the reload.</t>
  </si>
  <si>
    <t>MOCK_DATA_BOOK Phase 2 additions — Aarogya Ops — HDFC, bank name edited</t>
  </si>
  <si>
    <t>Bank details change on merger and branch transfer. An edit that toasts success without persisting leaves stale details that fail at the next settlement.</t>
  </si>
  <si>
    <t>bank_accounts where hospital_id = A and account_number = '50100123456789' → bank_name = 'HDFC Bank Ltd'</t>
  </si>
  <si>
    <t>TC-P2D-120</t>
  </si>
  <si>
    <t>A bank account can be deactivated and reactivated</t>
  </si>
  <si>
    <t>1) Open /settings/bank-accounts 2) Toggle the active state off for an account 3) Reload 4) Toggle it back on</t>
  </si>
  <si>
    <t>bank_accounts.is_active follows the toggle in both directions and survives the reload.</t>
  </si>
  <si>
    <t>A closed account must stop being offered for new collections while its historical transactions stay attached. Deleting it instead would orphan every past reconciliation.</t>
  </si>
  <si>
    <t>bank_accounts where hospital_id = A and account_number = '50100123456789' → is_active toggles</t>
  </si>
  <si>
    <t>TC-P2D-121</t>
  </si>
  <si>
    <t>A duplicate account number is not created twice</t>
  </si>
  <si>
    <t>1) Open /settings/bank-accounts 2) Create an account with number 50100123456789 3) Create a second account with the same number 4) Count the rows</t>
  </si>
  <si>
    <t>Only one bank_accounts row carries 50100123456789, or the second attempt is refused with a message naming the clash.</t>
  </si>
  <si>
    <t>phase2.invalid — duplicate account number 50100123456789</t>
  </si>
  <si>
    <t>Two rows for one real bank account split the reconciliation, so half the day's collections match one row and half the other, and neither balances against the statement.</t>
  </si>
  <si>
    <t>bank_accounts where hospital_id = A and account_number = '50100123456789' → exactly 1 row</t>
  </si>
  <si>
    <t>TC-P2D-122</t>
  </si>
  <si>
    <t>A saved bank account survives a hard reload</t>
  </si>
  <si>
    <t>1) Open /settings/bank-accounts 2) Create "Aarogya Ops - HDFC" 3) Hard-reload the page 4) Look for the account</t>
  </si>
  <si>
    <t>The account is still listed after the reload with its number and IFSC intact.</t>
  </si>
  <si>
    <t>Four screens in this phase showed a green toast and wrote nothing. A reload is the cheapest detector for that class of defect, and it matters most where money is settled.</t>
  </si>
  <si>
    <t>bank_accounts where hospital_id = A and account_number = '50100123456789' → 1 row</t>
  </si>
  <si>
    <t>TC-P2D-123</t>
  </si>
  <si>
    <t>Hospital A's bank accounts are invisible to Hospital B</t>
  </si>
  <si>
    <t>1) Sign in as the Hospital B administrator 2) Open /settings/bank-accounts as Hospital B 3) Query bank_accounts through the API with no hospital filter</t>
  </si>
  <si>
    <t>Not one Hospital A bank account is returned.</t>
  </si>
  <si>
    <t>Account numbers and IFSC codes are among the most sensitive rows in the database. A cross-tenant leak here is a financial-fraud enabler, not merely a privacy breach.</t>
  </si>
  <si>
    <t>bank_accounts queried as the Hospital B admin → zero rows with hospital_id = A</t>
  </si>
  <si>
    <t>TC-P2D-124</t>
  </si>
  <si>
    <t>A receptionist cannot reach the Bank Accounts settings screen</t>
  </si>
  <si>
    <t>1) Log in as receptionist (Hospital A) 2) Navigate directly to /settings/bank-accounts</t>
  </si>
  <si>
    <t>The route is blocked — redirected away, or an explicit access-denied message. No account numbers are rendered.</t>
  </si>
  <si>
    <t>Reception collects cash but must never see or alter the hospital's bank details. Exposure here is the first step in a redirected-settlement fraud.</t>
  </si>
  <si>
    <t>TC-P2D-125</t>
  </si>
  <si>
    <t>Configurable Dropdowns screen loads with all 23 categories</t>
  </si>
  <si>
    <t>1) Log in as hospital_admin (Hospital A) 2) Open /settings/config-values 3) Count the categories offered</t>
  </si>
  <si>
    <t>All 23 categories are listed — admission_types through department_types. No red console errors.</t>
  </si>
  <si>
    <t>phase2.dropdowns.configValueCategories — all 23 keys</t>
  </si>
  <si>
    <t>These 23 lists feed dropdowns across the entire product. A category missing from this screen is a dropdown somewhere else that nobody can populate, and every one of them fails by rendering empty rather than by erroring.</t>
  </si>
  <si>
    <t>None — counts the categories rendered</t>
  </si>
  <si>
    <t>e2e/phase-02-settings/P2D.structure.config-values.spec.ts</t>
  </si>
  <si>
    <t>TC-P2D-126</t>
  </si>
  <si>
    <t>Categories are organised into their six groups</t>
  </si>
  <si>
    <t>1) Open /settings/config-values 2) Read the group headings</t>
  </si>
  <si>
    <t>The six groups render — Clinical, HR &amp; Payroll, Finance, Diagnostics, Operations, Structure.</t>
  </si>
  <si>
    <t>phase2.dropdowns.configValueCategories — grouped as in SettingsConfigValuesPage</t>
  </si>
  <si>
    <t>Twenty-three flat entries is a wall of text. Grouping is what lets an administrator find the one list their module needs without reading all of them.</t>
  </si>
  <si>
    <t>TC-P2D-127</t>
  </si>
  <si>
    <t>The ?cat= deep link opens the requested category directly</t>
  </si>
  <si>
    <t>1) Open /settings/config-values?cat=drug_routes 2) Observe which category is active</t>
  </si>
  <si>
    <t>The Drug Routes category is selected on load, without the user having to find it.</t>
  </si>
  <si>
    <t>phase2.dropdowns.configValueCategories — drug_routes</t>
  </si>
  <si>
    <t>Settings search deep-links straight to the list a module cares about. Without this, a "pharmacy" search drops the user on a page of 23 categories to hunt through — and an empty drug-routes list is the commonest false "OPD is broken" report.</t>
  </si>
  <si>
    <t>None — reads the active category from the URL</t>
  </si>
  <si>
    <t>TC-P2D-128</t>
  </si>
  <si>
    <t>An unknown ?cat= value falls back to the first category</t>
  </si>
  <si>
    <t>1) Open /settings/config-values?cat=not_a_real_category 2) Observe which category is active</t>
  </si>
  <si>
    <t>The first category is selected and the page renders normally. No blank screen and no error.</t>
  </si>
  <si>
    <t>Literal query string cat=not_a_real_category</t>
  </si>
  <si>
    <t>Deep links get stale when a category is renamed, and they get typed by hand. A bookmark from last quarter must degrade to a usable page, not a white screen.</t>
  </si>
  <si>
    <t>TC-P2D-129</t>
  </si>
  <si>
    <t>A new drug route saves to hospital_config_values</t>
  </si>
  <si>
    <t>1) Open /settings/config-values?cat=drug_routes 2) Enter Value (code) "Nasogastric" 3) Enter Display Label "Nasogastric" 4) Click Add</t>
  </si>
  <si>
    <t>A hospital_config_values row exists with category = drug_routes, value = Nasogastric and hospital_id = Hospital A.</t>
  </si>
  <si>
    <t>MOCK_DATA_BOOK Phase 2 additions — Config Values: drug route Nasogastric</t>
  </si>
  <si>
    <t>OPD, IPD, Pharmacy</t>
  </si>
  <si>
    <t>Drug routes are one of the two lists SETTINGS_PREREQ_MATRIX names as the top cause of false OPD bug reports. A route that will not save means a nasogastric order cannot be written at all.</t>
  </si>
  <si>
    <t>hospital_config_values where hospital_id = A and category = 'drug_routes' and value = 'Nasogastric' → 1 row</t>
  </si>
  <si>
    <t>TC-P2D-130</t>
  </si>
  <si>
    <t>A new drug frequency saves to hospital_config_values</t>
  </si>
  <si>
    <t>1) Open /settings/config-values?cat=drug_frequencies 2) Enter Value (code) "Q12H" 3) Enter Display Label "Q12H" 4) Click Add</t>
  </si>
  <si>
    <t>A hospital_config_values row exists with category = drug_frequencies and value = Q12H.</t>
  </si>
  <si>
    <t>MOCK_DATA_BOOK Phase 2 additions — Config Values: drug frequency Q12H</t>
  </si>
  <si>
    <t>Frequency is half of a dosing instruction. A prescription that reaches the ward without it is an incomplete medication order, which is a NABH medication-safety finding.</t>
  </si>
  <si>
    <t>hospital_config_values where hospital_id = A and category = 'drug_frequencies' and value = 'Q12H' → 1 row</t>
  </si>
  <si>
    <t>TC-P2D-131</t>
  </si>
  <si>
    <t>A config value cannot be added without a value code</t>
  </si>
  <si>
    <t>1) Open /settings/config-values?cat=drug_routes 2) Leave Value (code) blank 3) Enter Display Label "QA No Value" 4) Click Add</t>
  </si>
  <si>
    <t>A destructive toast reads "Value and Label are required" and no hospital_config_values row is written.</t>
  </si>
  <si>
    <t>None — deliberately omits the required Value (code)</t>
  </si>
  <si>
    <t>OPD, Pharmacy</t>
  </si>
  <si>
    <t>The value is what is stored on the prescription; the label is only what is shown. A row with no value writes an empty string into every order that selects it.</t>
  </si>
  <si>
    <t>hospital_config_values where hospital_id = A and label = 'QA No Value' → 0 rows</t>
  </si>
  <si>
    <t>TC-P2D-132</t>
  </si>
  <si>
    <t>A config value cannot be added without a display label</t>
  </si>
  <si>
    <t>1) Open /settings/config-values?cat=drug_routes 2) Enter Value (code) "qa_no_label" 3) Leave Display Label blank 4) Click Add</t>
  </si>
  <si>
    <t>A destructive toast reads "Value and Label are required" and no row is written.</t>
  </si>
  <si>
    <t>None — deliberately omits the required Display Label</t>
  </si>
  <si>
    <t>Without a label the dropdown shows a blank option that is nonetheless selectable, so a doctor picks it by accident and the order carries an invisible value.</t>
  </si>
  <si>
    <t>hospital_config_values where hospital_id = A and value = 'qa_no_label' → 0 rows</t>
  </si>
  <si>
    <t>TC-P2D-133</t>
  </si>
  <si>
    <t>Sort order defaults to zero when left blank</t>
  </si>
  <si>
    <t>1) Open /settings/config-values?cat=drug_routes 2) Add a value leaving Sort Order at its default 3) Check the stored row</t>
  </si>
  <si>
    <t>hospital_config_values.sort_order = 0 for the new row — not null.</t>
  </si>
  <si>
    <t>MOCK_DATA_BOOK Phase 2 additions — drug route Nasogastric, sort order left at default</t>
  </si>
  <si>
    <t>A null sort order sorts unpredictably across Postgres versions, so the dropdown order changes between deployments and the option a doctor reaches for by muscle memory moves.</t>
  </si>
  <si>
    <t>hospital_config_values where hospital_id = A and value = 'Nasogastric' → sort_order = 0</t>
  </si>
  <si>
    <t>TC-P2D-134</t>
  </si>
  <si>
    <t>Sort order controls the order options are offered in</t>
  </si>
  <si>
    <t>1) Open /settings/config-values?cat=drug_routes 2) Add "QA Route A" with Sort Order 90 3) Add "QA Route B" with Sort Order 10 4) Read the list order</t>
  </si>
  <si>
    <t>QA Route B appears before QA Route A — the list honours sort_order, not insertion order.</t>
  </si>
  <si>
    <t>Literal values QA Route A (sort 90) and QA Route B (sort 10)</t>
  </si>
  <si>
    <t>Sort order is how a hospital puts Oral and IV at the top where they are picked a hundred times a day, instead of leaving them buried below rarely used routes.</t>
  </si>
  <si>
    <t>hospital_config_values where hospital_id = A and category = 'drug_routes' → ordered by sort_order</t>
  </si>
  <si>
    <t>TC-P2D-135</t>
  </si>
  <si>
    <t>A duplicate value within the same category is refused</t>
  </si>
  <si>
    <t>1) Open /settings/config-values?cat=drug_routes 2) Add "Nasogastric" 3) Add "Nasogastric" again 4) Count the rows</t>
  </si>
  <si>
    <t>Only one row carries value = Nasogastric in drug_routes, or the second attempt is refused with a message naming the clash.</t>
  </si>
  <si>
    <t>phase2.invalid — duplicate config value Nasogastric in drug_routes</t>
  </si>
  <si>
    <t>A duplicated option appears twice in the prescription dropdown. Two entries that look identical make a doctor hesitate mid-order, and reporting that groups by route splits the same route into two lines.</t>
  </si>
  <si>
    <t>hospital_config_values where hospital_id = A and category = 'drug_routes' and value = 'Nasogastric' → exactly 1 row</t>
  </si>
  <si>
    <t>TC-P2D-136</t>
  </si>
  <si>
    <t>The same value may exist in two different categories</t>
  </si>
  <si>
    <t>1) Open /settings/config-values?cat=drug_routes and add value "Other" 2) Open /settings/config-values?cat=sample_types and add value "Other" 3) Confirm both saved</t>
  </si>
  <si>
    <t>Both rows exist. Uniqueness is scoped to the category, not global.</t>
  </si>
  <si>
    <t>Literal value Other added to both drug_routes and sample_types</t>
  </si>
  <si>
    <t>OPD, Lab, Pharmacy</t>
  </si>
  <si>
    <t>Generic options like Other and Not Applicable belong in many lists. A global uniqueness rule would let the first category to claim the word block all the others.</t>
  </si>
  <si>
    <t>hospital_config_values where hospital_id = A and value = 'Other' → 1 row per category</t>
  </si>
  <si>
    <t>TC-P2D-137</t>
  </si>
  <si>
    <t>A config value can be deleted</t>
  </si>
  <si>
    <t>1) Open /settings/config-values?cat=drug_routes 2) Delete "QA Route A" 3) Reload the page</t>
  </si>
  <si>
    <t>The row is gone from hospital_config_values and does not return after the reload.</t>
  </si>
  <si>
    <t>Literal value QA Route A in drug_routes</t>
  </si>
  <si>
    <t>Lists accumulate wrong entries during setup. A delete that only clears local state reappears on the next load, so the administrator deletes it repeatedly and concludes the screen is broken.</t>
  </si>
  <si>
    <t>hospital_config_values where hospital_id = A and value = 'QA Route A' → 0 rows</t>
  </si>
  <si>
    <t>TC-P2D-138</t>
  </si>
  <si>
    <t>A new drug route appears immediately in the OPD prescription dropdown</t>
  </si>
  <si>
    <t>1) Add drug route "Nasogastric" under /settings/config-values?cat=drug_routes 2) Open the OPD consultation workspace 3) Open the Rx tab 4) Open the Route dropdown on a prescription line</t>
  </si>
  <si>
    <t>Nasogastric is offered as a route option in the OPD Rx tab.</t>
  </si>
  <si>
    <t>Tier 0 complete; drug_master rows exist so the Rx tab can render a line</t>
  </si>
  <si>
    <t>This is the downstream hop that proves the setting is wired to the module. SETTINGS_PREREQ_MATRIX names an empty route dropdown as the single most common false "OPD is broken" report — this case is what turns that from a support call into a caught defect.</t>
  </si>
  <si>
    <t>hospital_config_values where hospital_id = A and category = 'drug_routes' and value = 'Nasogastric' → 1 row, and the value is offered in the OPD Rx route dropdown</t>
  </si>
  <si>
    <t>TC-P2D-139</t>
  </si>
  <si>
    <t>lab_test_categories feeds the category filter on Lab Test Master</t>
  </si>
  <si>
    <t>1) Add a category value under /settings/config-values?cat=lab_test_categories 2) Open /settings/lab-tests 3) Open the category filter</t>
  </si>
  <si>
    <t>The new value appears in the Lab Test Master category filter.</t>
  </si>
  <si>
    <t>phase2.dropdowns.configValueCategories — lab_test_categories</t>
  </si>
  <si>
    <t>MOCK_DATA_BOOK singles this list out because it ripples into a second settings screen. A change that saves here and never appears there is exactly the silent inconsistency this phase exists to catch.</t>
  </si>
  <si>
    <t>hospital_config_values where hospital_id = A and category = 'lab_test_categories' → offered on /settings/lab-tests</t>
  </si>
  <si>
    <t>TC-P2D-140</t>
  </si>
  <si>
    <t>department_types feeds the Type dropdown on the Departments screen</t>
  </si>
  <si>
    <t>1) Add a department type under /settings/config-values?cat=department_types 2) Open /settings/departments 3) Click "Add Department" 4) Open the Type dropdown</t>
  </si>
  <si>
    <t>The new type is offered on the Departments screen.</t>
  </si>
  <si>
    <t>Departments, OPD, HR</t>
  </si>
  <si>
    <t>Departments are Tier 0 and their Type dropdown is generated from this list. If the two disconnect, a hospital adds a department type, sees it accepted, and can never actually assign it.</t>
  </si>
  <si>
    <t>hospital_config_values where hospital_id = A and category = 'department_types' → offered on /settings/departments</t>
  </si>
  <si>
    <t>TC-P2D-141</t>
  </si>
  <si>
    <t>A saved config value survives a hard reload</t>
  </si>
  <si>
    <t>1) Open /settings/config-values?cat=drug_routes 2) Add "Nasogastric" 3) Hard-reload the page 4) Look for the value</t>
  </si>
  <si>
    <t>Nasogastric is still listed after the reload.</t>
  </si>
  <si>
    <t>MOCK_DATA_BOOK Phase 2 additions — drug route Nasogastric</t>
  </si>
  <si>
    <t>A reload is the cheapest detector for the write-nothing class of defect that four other screens in this phase exhibited, and this list feeds dropdowns across the whole product.</t>
  </si>
  <si>
    <t>hospital_config_values where hospital_id = A and value = 'Nasogastric' → 1 row</t>
  </si>
  <si>
    <t>TC-P2D-142</t>
  </si>
  <si>
    <t>Hospital A's config values are invisible to Hospital B</t>
  </si>
  <si>
    <t>1) Sign in as the Hospital B administrator 2) Open /settings/config-values as Hospital B 3) Query hospital_config_values through the API with no hospital filter</t>
  </si>
  <si>
    <t>Not one Hospital A config value is returned.</t>
  </si>
  <si>
    <t>These lists include a hospital's TPA panel and its government-scheme empanelments — commercially revealing. A leak also means one hospital's customisation appears in another's clinical dropdowns.</t>
  </si>
  <si>
    <t>hospital_config_values queried as the Hospital B admin → zero rows with hospital_id = A</t>
  </si>
  <si>
    <t>TC-P2D-143</t>
  </si>
  <si>
    <t>A nurse cannot reach the Configurable Dropdowns screen</t>
  </si>
  <si>
    <t>1) Log in as nurse (Hospital A) 2) Navigate directly to /settings/config-values</t>
  </si>
  <si>
    <t>These 23 lists drive dropdowns product-wide, including allergy types and drug routes. Someone deleting a route mid-shift silently breaks prescribing for every doctor in the building.</t>
  </si>
  <si>
    <t>TC-P2D-144</t>
  </si>
  <si>
    <t>The Configurable Dropdowns screen loads with no red console errors</t>
  </si>
  <si>
    <t>1) Open DevTools → Console 2) Open /settings/config-values 3) Switch between several categories 4) Read the console</t>
  </si>
  <si>
    <t>No red console text while loading the hub or switching categories.</t>
  </si>
  <si>
    <t>Switching category re-queries hospital_config_values. A failing query for one category renders it as an empty list, which is indistinguishable from a category nobody has configured yet.</t>
  </si>
  <si>
    <t>TC-P2D-145</t>
  </si>
  <si>
    <t>Category "admission_types" is reachable by deep link and accepts a value</t>
  </si>
  <si>
    <t>1) Open /settings/config-values?cat=admission_types 2) Confirm the category is selected 3) Enter Value (code) "qa_admission_types" and Display Label "QA admission_types" 4) Click Add</t>
  </si>
  <si>
    <t>The admission_types category is active on load, and a hospital_config_values row is written with category = 'admission_types' and value = 'qa_admission_types'.</t>
  </si>
  <si>
    <t>phase2.dropdowns.configValueCategories — "admission_types"</t>
  </si>
  <si>
    <t>IPD, Day Care</t>
  </si>
  <si>
    <t>Every one of the 23 lists is tested individually because each fails silently and differently. If admission_types is empty: The admission type picker renders empty, so a patient cannot be admitted as elective or emergency and the IPD register loses its casemix split.</t>
  </si>
  <si>
    <t>hospital_config_values where hospital_id = A and category = 'admission_types' and value = 'qa_admission_types' → 1 row</t>
  </si>
  <si>
    <t>TC-P2D-146</t>
  </si>
  <si>
    <t>Category "allergy_types" is reachable by deep link and accepts a value</t>
  </si>
  <si>
    <t>1) Open /settings/config-values?cat=allergy_types 2) Confirm the category is selected 3) Enter Value (code) "qa_allergy_types" and Display Label "QA allergy_types" 4) Click Add</t>
  </si>
  <si>
    <t>The allergy_types category is active on load, and a hospital_config_values row is written with category = 'allergy_types' and value = 'qa_allergy_types'.</t>
  </si>
  <si>
    <t>phase2.dropdowns.configValueCategories — "allergy_types"</t>
  </si>
  <si>
    <t>Every one of the 23 lists is tested individually because each fails silently and differently. If allergy_types is empty: The allergy type picker renders empty, so an allergy is recorded as free text and the drug-interaction check cannot match it. A penicillin allergy that does not match is a patient-safety failure.</t>
  </si>
  <si>
    <t>hospital_config_values where hospital_id = A and category = 'allergy_types' and value = 'qa_allergy_types' → 1 row</t>
  </si>
  <si>
    <t>TC-P2D-147</t>
  </si>
  <si>
    <t>Category "insurance_types" is reachable by deep link and accepts a value</t>
  </si>
  <si>
    <t>1) Open /settings/config-values?cat=insurance_types 2) Confirm the category is selected 3) Enter Value (code) "qa_insurance_types" and Display Label "QA insurance_types" 4) Click Add</t>
  </si>
  <si>
    <t>The insurance_types category is active on load, and a hospital_config_values row is written with category = 'insurance_types' and value = 'qa_insurance_types'.</t>
  </si>
  <si>
    <t>phase2.dropdowns.configValueCategories — "insurance_types"</t>
  </si>
  <si>
    <t>Every one of the 23 lists is tested individually because each fails silently and differently. If insurance_types is empty: The payer type picker renders empty, so every patient defaults to self-pay and insured admissions are billed as cash.</t>
  </si>
  <si>
    <t>hospital_config_values where hospital_id = A and category = 'insurance_types' and value = 'qa_insurance_types' → 1 row</t>
  </si>
  <si>
    <t>TC-P2D-148</t>
  </si>
  <si>
    <t>Category "drug_routes" is reachable by deep link and accepts a value</t>
  </si>
  <si>
    <t>1) Open /settings/config-values?cat=drug_routes 2) Confirm the category is selected 3) Enter Value (code) "qa_drug_routes" and Display Label "QA drug_routes" 4) Click Add</t>
  </si>
  <si>
    <t>The drug_routes category is active on load, and a hospital_config_values row is written with category = 'drug_routes' and value = 'qa_drug_routes'.</t>
  </si>
  <si>
    <t>phase2.dropdowns.configValueCategories — "drug_routes"</t>
  </si>
  <si>
    <t>Every one of the 23 lists is tested individually because each fails silently and differently. If drug_routes is empty: The prescription route dropdown renders empty with no error. This is the single most common false "OPD is broken" report.</t>
  </si>
  <si>
    <t>hospital_config_values where hospital_id = A and category = 'drug_routes' and value = 'qa_drug_routes' → 1 row</t>
  </si>
  <si>
    <t>TC-P2D-149</t>
  </si>
  <si>
    <t>Category "drug_frequencies" is reachable by deep link and accepts a value</t>
  </si>
  <si>
    <t>1) Open /settings/config-values?cat=drug_frequencies 2) Confirm the category is selected 3) Enter Value (code) "qa_drug_frequencies" and Display Label "QA drug_frequencies" 4) Click Add</t>
  </si>
  <si>
    <t>The drug_frequencies category is active on load, and a hospital_config_values row is written with category = 'drug_frequencies' and value = 'qa_drug_frequencies'.</t>
  </si>
  <si>
    <t>phase2.dropdowns.configValueCategories — "drug_frequencies"</t>
  </si>
  <si>
    <t>Every one of the 23 lists is tested individually because each fails silently and differently. If drug_frequencies is empty: The prescription frequency dropdown renders empty, so a doctor cannot state OD or BD and the dosing instruction reaches the ward incomplete.</t>
  </si>
  <si>
    <t>hospital_config_values where hospital_id = A and category = 'drug_frequencies' and value = 'qa_drug_frequencies' → 1 row</t>
  </si>
  <si>
    <t>TC-P2D-150</t>
  </si>
  <si>
    <t>Category "dialysis_complications" is reachable by deep link and accepts a value</t>
  </si>
  <si>
    <t>1) Open /settings/config-values?cat=dialysis_complications 2) Confirm the category is selected 3) Enter Value (code) "qa_dialysis_complications" and Display Label "QA dialysis_complications" 4) Click Add</t>
  </si>
  <si>
    <t>The dialysis_complications category is active on load, and a hospital_config_values row is written with category = 'dialysis_complications' and value = 'qa_dialysis_complications'.</t>
  </si>
  <si>
    <t>phase2.dropdowns.configValueCategories — "dialysis_complications"</t>
  </si>
  <si>
    <t>Dialysis</t>
  </si>
  <si>
    <t>Every one of the 23 lists is tested individually because each fails silently and differently. If dialysis_complications is empty: Intra-dialytic complications cannot be recorded against a session, so the unit has no record of hypotension or cramps for its quality review.</t>
  </si>
  <si>
    <t>hospital_config_values where hospital_id = A and category = 'dialysis_complications' and value = 'qa_dialysis_complications' → 1 row</t>
  </si>
  <si>
    <t>TC-P2D-151</t>
  </si>
  <si>
    <t>Category "death_manner_types" is reachable by deep link and accepts a value</t>
  </si>
  <si>
    <t>1) Open /settings/config-values?cat=death_manner_types 2) Confirm the category is selected 3) Enter Value (code) "qa_death_manner_types" and Display Label "QA death_manner_types" 4) Click Add</t>
  </si>
  <si>
    <t>The death_manner_types category is active on load, and a hospital_config_values row is written with category = 'death_manner_types' and value = 'qa_death_manner_types'.</t>
  </si>
  <si>
    <t>phase2.dropdowns.configValueCategories — "death_manner_types"</t>
  </si>
  <si>
    <t>Mortuary, MRD</t>
  </si>
  <si>
    <t>Every one of the 23 lists is tested individually because each fails silently and differently. If death_manner_types is empty: The MCCD manner-of-death field renders empty. That form is a legal document and cannot be issued incomplete.</t>
  </si>
  <si>
    <t>hospital_config_values where hospital_id = A and category = 'death_manner_types' and value = 'qa_death_manner_types' → 1 row</t>
  </si>
  <si>
    <t>TC-P2D-152</t>
  </si>
  <si>
    <t>Category "record_requester_types" is reachable by deep link and accepts a value</t>
  </si>
  <si>
    <t>1) Open /settings/config-values?cat=record_requester_types 2) Confirm the category is selected 3) Enter Value (code) "qa_record_requester_types" and Display Label "QA record_requester_types" 4) Click Add</t>
  </si>
  <si>
    <t>The record_requester_types category is active on load, and a hospital_config_values row is written with category = 'record_requester_types' and value = 'qa_record_requester_types'.</t>
  </si>
  <si>
    <t>phase2.dropdowns.configValueCategories — "record_requester_types"</t>
  </si>
  <si>
    <t>Every one of the 23 lists is tested individually because each fails silently and differently. If record_requester_types is empty: A medical-records request cannot record who asked — patient, lawyer, police or court — which is exactly what the MRD release register exists to prove.</t>
  </si>
  <si>
    <t>hospital_config_values where hospital_id = A and category = 'record_requester_types' and value = 'qa_record_requester_types' → 1 row</t>
  </si>
  <si>
    <t>TC-P2D-153</t>
  </si>
  <si>
    <t>Category "home_care_services" is reachable by deep link and accepts a value</t>
  </si>
  <si>
    <t>1) Open /settings/config-values?cat=home_care_services 2) Confirm the category is selected 3) Enter Value (code) "qa_home_care_services" and Display Label "QA home_care_services" 4) Click Add</t>
  </si>
  <si>
    <t>The home_care_services category is active on load, and a hospital_config_values row is written with category = 'home_care_services' and value = 'qa_home_care_services'.</t>
  </si>
  <si>
    <t>phase2.dropdowns.configValueCategories — "home_care_services"</t>
  </si>
  <si>
    <t>Home Care</t>
  </si>
  <si>
    <t>Every one of the 23 lists is tested individually because each fails silently and differently. If home_care_services is empty: The home-care service picker renders empty, so a visit cannot be booked against a service and nothing is billable.</t>
  </si>
  <si>
    <t>hospital_config_values where hospital_id = A and category = 'home_care_services' and value = 'qa_home_care_services' → 1 row</t>
  </si>
  <si>
    <t>TC-P2D-154</t>
  </si>
  <si>
    <t>Category "physio_modalities" is reachable by deep link and accepts a value</t>
  </si>
  <si>
    <t>1) Open /settings/config-values?cat=physio_modalities 2) Confirm the category is selected 3) Enter Value (code) "qa_physio_modalities" and Display Label "QA physio_modalities" 4) Click Add</t>
  </si>
  <si>
    <t>The physio_modalities category is active on load, and a hospital_config_values row is written with category = 'physio_modalities' and value = 'qa_physio_modalities'.</t>
  </si>
  <si>
    <t>phase2.dropdowns.configValueCategories — "physio_modalities"</t>
  </si>
  <si>
    <t>Physiotherapy</t>
  </si>
  <si>
    <t>Every one of the 23 lists is tested individually because each fails silently and differently. If physio_modalities is empty: The modality picker renders empty, so a session records no treatment given and the physio charge has nothing behind it.</t>
  </si>
  <si>
    <t>hospital_config_values where hospital_id = A and category = 'physio_modalities' and value = 'qa_physio_modalities' → 1 row</t>
  </si>
  <si>
    <t>TC-P2D-155</t>
  </si>
  <si>
    <t>Category "leave_types" is reachable by deep link and accepts a value</t>
  </si>
  <si>
    <t>1) Open /settings/config-values?cat=leave_types 2) Confirm the category is selected 3) Enter Value (code) "qa_leave_types" and Display Label "QA leave_types" 4) Click Add</t>
  </si>
  <si>
    <t>The leave_types category is active on load, and a hospital_config_values row is written with category = 'leave_types' and value = 'qa_leave_types'.</t>
  </si>
  <si>
    <t>phase2.dropdowns.configValueCategories — "leave_types"</t>
  </si>
  <si>
    <t>Every one of the 23 lists is tested individually because each fails silently and differently. If leave_types is empty: The leave application form renders an empty type dropdown, so no leave can be applied for and the roster cannot be planned.</t>
  </si>
  <si>
    <t>hospital_config_values where hospital_id = A and category = 'leave_types' and value = 'qa_leave_types' → 1 row</t>
  </si>
  <si>
    <t>TC-P2D-156</t>
  </si>
  <si>
    <t>Category "attendance_statuses" is reachable by deep link and accepts a value</t>
  </si>
  <si>
    <t>1) Open /settings/config-values?cat=attendance_statuses 2) Confirm the category is selected 3) Enter Value (code) "qa_attendance_statuses" and Display Label "QA attendance_statuses" 4) Click Add</t>
  </si>
  <si>
    <t>The attendance_statuses category is active on load, and a hospital_config_values row is written with category = 'attendance_statuses' and value = 'qa_attendance_statuses'.</t>
  </si>
  <si>
    <t>phase2.dropdowns.configValueCategories — "attendance_statuses"</t>
  </si>
  <si>
    <t>Every one of the 23 lists is tested individually because each fails silently and differently. If attendance_statuses is empty: Attendance cannot be marked present, absent or half-day, which stops payroll for the month.</t>
  </si>
  <si>
    <t>hospital_config_values where hospital_id = A and category = 'attendance_statuses' and value = 'qa_attendance_statuses' → 1 row</t>
  </si>
  <si>
    <t>TC-P2D-157</t>
  </si>
  <si>
    <t>Category "tpa_companies" is reachable by deep link and accepts a value</t>
  </si>
  <si>
    <t>1) Open /settings/config-values?cat=tpa_companies 2) Confirm the category is selected 3) Enter Value (code) "qa_tpa_companies" and Display Label "QA tpa_companies" 4) Click Add</t>
  </si>
  <si>
    <t>The tpa_companies category is active on load, and a hospital_config_values row is written with category = 'tpa_companies' and value = 'qa_tpa_companies'.</t>
  </si>
  <si>
    <t>phase2.dropdowns.configValueCategories — "tpa_companies"</t>
  </si>
  <si>
    <t>Every one of the 23 lists is tested individually because each fails silently and differently. If tpa_companies is empty: The TPA picker renders empty, so a cashless claim cannot be raised against an insurer.</t>
  </si>
  <si>
    <t>hospital_config_values where hospital_id = A and category = 'tpa_companies' and value = 'qa_tpa_companies' → 1 row</t>
  </si>
  <si>
    <t>TC-P2D-158</t>
  </si>
  <si>
    <t>Category "government_schemes" is reachable by deep link and accepts a value</t>
  </si>
  <si>
    <t>1) Open /settings/config-values?cat=government_schemes 2) Confirm the category is selected 3) Enter Value (code) "qa_government_schemes" and Display Label "QA government_schemes" 4) Click Add</t>
  </si>
  <si>
    <t>The government_schemes category is active on load, and a hospital_config_values row is written with category = 'government_schemes' and value = 'qa_government_schemes'.</t>
  </si>
  <si>
    <t>phase2.dropdowns.configValueCategories — "government_schemes"</t>
  </si>
  <si>
    <t>PMJAY, Insurance</t>
  </si>
  <si>
    <t>Every one of the 23 lists is tested individually because each fails silently and differently. If government_schemes is empty: The scheme picker renders empty, so a PMJAY or CGHS patient cannot be categorised and the claim cannot be filed.</t>
  </si>
  <si>
    <t>hospital_config_values where hospital_id = A and category = 'government_schemes' and value = 'qa_government_schemes' → 1 row</t>
  </si>
  <si>
    <t>TC-P2D-159</t>
  </si>
  <si>
    <t>Category "claim_denial_categories" is reachable by deep link and accepts a value</t>
  </si>
  <si>
    <t>1) Open /settings/config-values?cat=claim_denial_categories 2) Confirm the category is selected 3) Enter Value (code) "qa_claim_denial_categories" and Display Label "QA claim_denial_categories" 4) Click Add</t>
  </si>
  <si>
    <t>The claim_denial_categories category is active on load, and a hospital_config_values row is written with category = 'claim_denial_categories' and value = 'qa_claim_denial_categories'.</t>
  </si>
  <si>
    <t>phase2.dropdowns.configValueCategories — "claim_denial_categories"</t>
  </si>
  <si>
    <t>Every one of the 23 lists is tested individually because each fails silently and differently. If claim_denial_categories is empty: A denied claim cannot be categorised, so the hospital cannot see which denial reason is costing it most and cannot fix the pattern.</t>
  </si>
  <si>
    <t>hospital_config_values where hospital_id = A and category = 'claim_denial_categories' and value = 'qa_claim_denial_categories' → 1 row</t>
  </si>
  <si>
    <t>TC-P2D-160</t>
  </si>
  <si>
    <t>Category "claim_rejection_codes" is reachable by deep link and accepts a value</t>
  </si>
  <si>
    <t>1) Open /settings/config-values?cat=claim_rejection_codes 2) Confirm the category is selected 3) Enter Value (code) "qa_claim_rejection_codes" and Display Label "QA claim_rejection_codes" 4) Click Add</t>
  </si>
  <si>
    <t>The claim_rejection_codes category is active on load, and a hospital_config_values row is written with category = 'claim_rejection_codes' and value = 'qa_claim_rejection_codes'.</t>
  </si>
  <si>
    <t>phase2.dropdowns.configValueCategories — "claim_rejection_codes"</t>
  </si>
  <si>
    <t>Every one of the 23 lists is tested individually because each fails silently and differently. If claim_rejection_codes is empty: A rejection cannot be coded, so the appeal has no stated ground and is rejected again.</t>
  </si>
  <si>
    <t>hospital_config_values where hospital_id = A and category = 'claim_rejection_codes' and value = 'qa_claim_rejection_codes' → 1 row</t>
  </si>
  <si>
    <t>TC-P2D-161</t>
  </si>
  <si>
    <t>Category "lab_test_categories" is reachable by deep link and accepts a value</t>
  </si>
  <si>
    <t>1) Open /settings/config-values?cat=lab_test_categories 2) Confirm the category is selected 3) Enter Value (code) "qa_lab_test_categories" and Display Label "QA lab_test_categories" 4) Click Add</t>
  </si>
  <si>
    <t>The lab_test_categories category is active on load, and a hospital_config_values row is written with category = 'lab_test_categories' and value = 'qa_lab_test_categories'.</t>
  </si>
  <si>
    <t>phase2.dropdowns.configValueCategories — "lab_test_categories"</t>
  </si>
  <si>
    <t>Every one of the 23 lists is tested individually because each fails silently and differently. If lab_test_categories is empty: The lab category filter renders empty. This list also feeds the category filter on Settings → Lab Test Master, so a change here ripples into a second screen.</t>
  </si>
  <si>
    <t>hospital_config_values where hospital_id = A and category = 'lab_test_categories' and value = 'qa_lab_test_categories' → 1 row</t>
  </si>
  <si>
    <t>TC-P2D-162</t>
  </si>
  <si>
    <t>Category "sample_types" is reachable by deep link and accepts a value</t>
  </si>
  <si>
    <t>1) Open /settings/config-values?cat=sample_types 2) Confirm the category is selected 3) Enter Value (code) "qa_sample_types" and Display Label "QA sample_types" 4) Click Add</t>
  </si>
  <si>
    <t>The sample_types category is active on load, and a hospital_config_values row is written with category = 'sample_types' and value = 'qa_sample_types'.</t>
  </si>
  <si>
    <t>phase2.dropdowns.configValueCategories — "sample_types"</t>
  </si>
  <si>
    <t>Every one of the 23 lists is tested individually because each fails silently and differently. If sample_types is empty: Sample type cannot be set on a test, so specimens cannot be grouped for collection and the phlebotomy round has no worklist.</t>
  </si>
  <si>
    <t>hospital_config_values where hospital_id = A and category = 'sample_types' and value = 'qa_sample_types' → 1 row</t>
  </si>
  <si>
    <t>TC-P2D-163</t>
  </si>
  <si>
    <t>Category "housekeeping_task_types" is reachable by deep link and accepts a value</t>
  </si>
  <si>
    <t>1) Open /settings/config-values?cat=housekeeping_task_types 2) Confirm the category is selected 3) Enter Value (code) "qa_housekeeping_task_types" and Display Label "QA housekeeping_task_types" 4) Click Add</t>
  </si>
  <si>
    <t>The housekeeping_task_types category is active on load, and a hospital_config_values row is written with category = 'housekeeping_task_types' and value = 'qa_housekeeping_task_types'.</t>
  </si>
  <si>
    <t>phase2.dropdowns.configValueCategories — "housekeeping_task_types"</t>
  </si>
  <si>
    <t>Housekeeping</t>
  </si>
  <si>
    <t>Every one of the 23 lists is tested individually because each fails silently and differently. If housekeeping_task_types is empty: A cleaning task cannot be typed, so bed-turnover time cannot be measured and discharge-to-readmit delay is invisible.</t>
  </si>
  <si>
    <t>hospital_config_values where hospital_id = A and category = 'housekeeping_task_types' and value = 'qa_housekeeping_task_types' → 1 row</t>
  </si>
  <si>
    <t>TC-P2D-164</t>
  </si>
  <si>
    <t>Category "housekeeping_area_types" is reachable by deep link and accepts a value</t>
  </si>
  <si>
    <t>1) Open /settings/config-values?cat=housekeeping_area_types 2) Confirm the category is selected 3) Enter Value (code) "qa_housekeeping_area_types" and Display Label "QA housekeeping_area_types" 4) Click Add</t>
  </si>
  <si>
    <t>The housekeeping_area_types category is active on load, and a hospital_config_values row is written with category = 'housekeeping_area_types' and value = 'qa_housekeeping_area_types'.</t>
  </si>
  <si>
    <t>phase2.dropdowns.configValueCategories — "housekeeping_area_types"</t>
  </si>
  <si>
    <t>Every one of the 23 lists is tested individually because each fails silently and differently. If housekeeping_area_types is empty: An area cannot be classified, so OT and ward cleaning are indistinguishable in the infection-control audit.</t>
  </si>
  <si>
    <t>hospital_config_values where hospital_id = A and category = 'housekeeping_area_types' and value = 'qa_housekeeping_area_types' → 1 row</t>
  </si>
  <si>
    <t>TC-P2D-165</t>
  </si>
  <si>
    <t>Category "equipment_categories" is reachable by deep link and accepts a value</t>
  </si>
  <si>
    <t>1) Open /settings/config-values?cat=equipment_categories 2) Confirm the category is selected 3) Enter Value (code) "qa_equipment_categories" and Display Label "QA equipment_categories" 4) Click Add</t>
  </si>
  <si>
    <t>The equipment_categories category is active on load, and a hospital_config_values row is written with category = 'equipment_categories' and value = 'qa_equipment_categories'.</t>
  </si>
  <si>
    <t>phase2.dropdowns.configValueCategories — "equipment_categories"</t>
  </si>
  <si>
    <t>Biomedical</t>
  </si>
  <si>
    <t>Every one of the 23 lists is tested individually because each fails silently and differently. If equipment_categories is empty: Equipment cannot be categorised, so the preventive-maintenance schedule cannot be grouped and NABH equipment records are incomplete.</t>
  </si>
  <si>
    <t>hospital_config_values where hospital_id = A and category = 'equipment_categories' and value = 'qa_equipment_categories' → 1 row</t>
  </si>
  <si>
    <t>TC-P2D-166</t>
  </si>
  <si>
    <t>Category "inventory_categories" is reachable by deep link and accepts a value</t>
  </si>
  <si>
    <t>1) Open /settings/config-values?cat=inventory_categories 2) Confirm the category is selected 3) Enter Value (code) "qa_inventory_categories" and Display Label "QA inventory_categories" 4) Click Add</t>
  </si>
  <si>
    <t>The inventory_categories category is active on load, and a hospital_config_values row is written with category = 'inventory_categories' and value = 'qa_inventory_categories'.</t>
  </si>
  <si>
    <t>phase2.dropdowns.configValueCategories — "inventory_categories"</t>
  </si>
  <si>
    <t>Inventory, Pharmacy</t>
  </si>
  <si>
    <t>Every one of the 23 lists is tested individually because each fails silently and differently. If inventory_categories is empty: Stock items cannot be categorised, so reorder reporting and consumption analysis are meaningless.</t>
  </si>
  <si>
    <t>hospital_config_values where hospital_id = A and category = 'inventory_categories' and value = 'qa_inventory_categories' → 1 row</t>
  </si>
  <si>
    <t>TC-P2D-167</t>
  </si>
  <si>
    <t>Category "department_types" is reachable by deep link and accepts a value</t>
  </si>
  <si>
    <t>1) Open /settings/config-values?cat=department_types 2) Confirm the category is selected 3) Enter Value (code) "qa_department_types" and Display Label "QA department_types" 4) Click Add</t>
  </si>
  <si>
    <t>The department_types category is active on load, and a hospital_config_values row is written with category = 'department_types' and value = 'qa_department_types'.</t>
  </si>
  <si>
    <t>phase2.dropdowns.configValueCategories — "department_types"</t>
  </si>
  <si>
    <t>Every one of the 23 lists is tested individually because each fails silently and differently. If department_types is empty: The Type dropdown on Settings → Departments renders empty, blocking the second Tier 0 prerequisite outright.</t>
  </si>
  <si>
    <t>hospital_config_values where hospital_id = A and category = 'department_types' and value = 'qa_department_types' → 1 row</t>
  </si>
  <si>
    <t>TC-P2E-001</t>
  </si>
  <si>
    <t>2E People &amp; Access</t>
  </si>
  <si>
    <t>Staff screen loads and lists the seeded Hospital A accounts</t>
  </si>
  <si>
    <t>1) Log in as hospital_admin (Hospital A) 2) Open /settings/staff 3) Read the staff table</t>
  </si>
  <si>
    <t>The 17 seeded Hospital A accounts render with their names and roles. No red console errors.</t>
  </si>
  <si>
    <t>HR, OPD, IPD, all modules</t>
  </si>
  <si>
    <t>Tier 0: hospital profile and departments created</t>
  </si>
  <si>
    <t>users.hospital_id is the RLS anchor for the whole system — SETTINGS_PREREQ_MATRIX calls it out as such. Everything any user can see depends on this row existing and being right.</t>
  </si>
  <si>
    <t>users where hospital_id = A → 17 rows</t>
  </si>
  <si>
    <t>e2e/phase-02-settings/P2E.people-access.staff.spec.ts</t>
  </si>
  <si>
    <t>TC-P2E-002</t>
  </si>
  <si>
    <t>Add Staff opens a drawer with an empty form</t>
  </si>
  <si>
    <t>1) Open /settings/staff 2) Click Add Staff 3) Inspect the drawer</t>
  </si>
  <si>
    <t>Role, Full Name, Phone Number and email are blank or at their defaults.</t>
  </si>
  <si>
    <t>A create form still holding the last edited person is how a hospital creates a second account carrying someone else's registration number.</t>
  </si>
  <si>
    <t>TC-P2E-003</t>
  </si>
  <si>
    <t>A new doctor saves with the correct hospital_id</t>
  </si>
  <si>
    <t>1) Open /settings/staff 2) Click Add Staff 3) Select Role "doctor" 4) Enter Full Name "Dr. Rakesh Iyer" 5) Enter the QA email and phone 6) Select department Nephrology 7) Save</t>
  </si>
  <si>
    <t>A users row exists with full_name = Dr. Rakesh Iyer, role = doctor and hospital_id = Hospital A.</t>
  </si>
  <si>
    <t>MOCK_DATA_BOOK Phase 2 additions — Dr. Rakesh Iyer, Nephrology</t>
  </si>
  <si>
    <t>HR, OPD, IPD</t>
  </si>
  <si>
    <t>A staff row written against the wrong tenant, or with a null hospital_id, makes every master-data picker render empty for that user with no error at all — the failure mode SETTINGS_PREREQ_MATRIX describes under multi-tenancy.</t>
  </si>
  <si>
    <t>users where hospital_id = A and full_name = 'Dr. Rakesh Iyer' → role = 'doctor'</t>
  </si>
  <si>
    <t>TC-P2E-004</t>
  </si>
  <si>
    <t>Creating a doctor also creates the service_master consultation fee row</t>
  </si>
  <si>
    <t>1) Open /settings/staff 2) Create "Dr. Rakesh Iyer" as a doctor with Consultation Fee 900 3) Save 4) Check service_master</t>
  </si>
  <si>
    <t>A service_master row scoped to that doctor holds the ₹900 consultation fee.</t>
  </si>
  <si>
    <t>MOCK_DATA_BOOK Phase 2 additions — Dr. Rakesh Iyer, cons ₹900</t>
  </si>
  <si>
    <t>OPD, Billing</t>
  </si>
  <si>
    <t>The fee lookup runs doctor → department → global → ₹500. If creating a doctor does not create the doctor-scoped service_master row, every consultation with that doctor silently bills the hardcoded ₹500 and nobody notices until month-end.</t>
  </si>
  <si>
    <t>service_master where hospital_id = A and doctor = Dr. Rakesh Iyer → fee = 900</t>
  </si>
  <si>
    <t>TC-P2E-005</t>
  </si>
  <si>
    <t>The follow-up fee and validity window save against the doctor</t>
  </si>
  <si>
    <t>1) Open /settings/staff 2) Edit Dr. Rakesh Iyer 3) Set Follow-up Fee 400 and Validity 5 days 4) Save</t>
  </si>
  <si>
    <t>The doctor-scoped service_master row holds follow_up_fee = 400 and validity_days = 5.</t>
  </si>
  <si>
    <t>MOCK_DATA_BOOK Phase 2 additions — Dr. Rakesh Iyer, follow-up ₹400, validity 5 days</t>
  </si>
  <si>
    <t>The validity window decides whether a return visit is a free follow-up or a new paid consultation. Dr. Menon's free 7-day follow-up drives scenarios P4-S02 and P4-S03 — get this wrong and the hospital either loses the fee or charges a patient who should not pay.</t>
  </si>
  <si>
    <t>service_master for Dr. Rakesh Iyer → follow_up_fee = 400, validity_days = 5</t>
  </si>
  <si>
    <t>TC-P2E-006</t>
  </si>
  <si>
    <t>The emergency and IPD visit fees save against the doctor</t>
  </si>
  <si>
    <t>1) Open /settings/staff 2) Edit Dr. Rakesh Iyer 3) Set Emergency Fee 1400 and IPD Consultation Fee 700 4) Save</t>
  </si>
  <si>
    <t>The doctor-scoped service_master row holds emergency_fee = 1400 and ipd_consultation_fee = 700.</t>
  </si>
  <si>
    <t>MOCK_DATA_BOOK Phase 2 additions — Dr. Rakesh Iyer, emergency ₹1,400, IPD visit ₹700</t>
  </si>
  <si>
    <t>Emergency, IPD, Billing</t>
  </si>
  <si>
    <t>SETTINGS_PREREQ_MATRIX warns that without ipd_consultation_fee per doctor, IPD visit charges default or vanish entirely. A ward round that generates no charge is pure revenue leakage.</t>
  </si>
  <si>
    <t>service_master for Dr. Rakesh Iyer → emergency_fee = 1400, ipd_consultation_fee = 700</t>
  </si>
  <si>
    <t>TC-P2E-007</t>
  </si>
  <si>
    <t>A staff member cannot be saved without a full name</t>
  </si>
  <si>
    <t>1) Open /settings/staff 2) Click Add Staff 3) Leave Full Name blank 4) Enter a role and phone 5) Attempt to save</t>
  </si>
  <si>
    <t>The save is refused and no users row is written.</t>
  </si>
  <si>
    <t>None — deliberately omits the required Full Name</t>
  </si>
  <si>
    <t>An unnamed staff member appears as a blank line in every doctor picker and on the roster, so a token or an admission gets assigned to nobody.</t>
  </si>
  <si>
    <t>users where hospital_id = A and (full_name is null or full_name = '') → 0 rows</t>
  </si>
  <si>
    <t>TC-P2E-008</t>
  </si>
  <si>
    <t>A staff member cannot be saved without a phone number</t>
  </si>
  <si>
    <t>1) Open /settings/staff 2) Click Add Staff 3) Enter a name and role 4) Leave Phone Number blank 5) Attempt to save</t>
  </si>
  <si>
    <t>None — deliberately omits the required Phone Number</t>
  </si>
  <si>
    <t>The phone number is how a hospital reaches an on-call doctor and how WhatsApp notifications are addressed. Without it the escalation chain has a hole nobody sees until an emergency.</t>
  </si>
  <si>
    <t>users where hospital_id = A and phone is null → 0 new rows</t>
  </si>
  <si>
    <t>TC-P2E-009</t>
  </si>
  <si>
    <t>A 9-digit phone number is rejected</t>
  </si>
  <si>
    <t>1) Open /settings/staff 2) Click Add Staff 3) Enter Phone Number "987650000" (9 digits) 4) Attempt to save</t>
  </si>
  <si>
    <t>The save is refused with a message naming the 10-digit requirement.</t>
  </si>
  <si>
    <t>phase2.invalid.phoneTooShort (987650000)</t>
  </si>
  <si>
    <t>HR, WhatsApp</t>
  </si>
  <si>
    <t>Indian mobile numbers are 10 digits without the country code. A short number fails silently at the WhatsApp gateway, so every notification to that person is dropped with no error.</t>
  </si>
  <si>
    <t>users where hospital_id = A → no row with phone = '987650000'</t>
  </si>
  <si>
    <t>TC-P2E-010</t>
  </si>
  <si>
    <t>An 11-digit phone number is rejected</t>
  </si>
  <si>
    <t>1) Open /settings/staff 2) Click Add Staff 3) Enter Phone Number "98765000012" (11 digits) 4) Attempt to save</t>
  </si>
  <si>
    <t>phase2.invalid.phoneTooLong (98765000012)</t>
  </si>
  <si>
    <t>Both sides of the 10-digit boundary must be caught. An extra digit is the commonest typo and produces a number that looks plausible on screen.</t>
  </si>
  <si>
    <t>users where hospital_id = A → no row with phone = '98765000012'</t>
  </si>
  <si>
    <t>TC-P2E-011</t>
  </si>
  <si>
    <t>A malformed email address is rejected</t>
  </si>
  <si>
    <t>1) Open /settings/staff 2) Click Add Staff 3) Enter Email "rakesh.iyer@" 4) Attempt to save</t>
  </si>
  <si>
    <t>The save is refused with a message naming the email format.</t>
  </si>
  <si>
    <t>phase2.invalid.emailMalformed (rakesh.iyer@)</t>
  </si>
  <si>
    <t>HR, Auth</t>
  </si>
  <si>
    <t>The email is the login identity. A malformed one creates an account nobody can ever sign into, and the person discovers it on their first day rather than at setup.</t>
  </si>
  <si>
    <t>users where hospital_id = A → no row with email = 'rakesh.iyer@'</t>
  </si>
  <si>
    <t>TC-P2E-012</t>
  </si>
  <si>
    <t>A duplicate staff email is rejected</t>
  </si>
  <si>
    <t>1) Open /settings/staff 2) Create a staff member with an email already in use by another account 3) Save</t>
  </si>
  <si>
    <t>The save is refused. Only one users row carries that email.</t>
  </si>
  <si>
    <t>MOCK_DATA_BOOK Staff logins — re-entering a seeded email</t>
  </si>
  <si>
    <t>Two accounts sharing a login email make authentication ambiguous — the person signs in and gets whichever row the query returns first, potentially with the wrong role and the wrong hospital.</t>
  </si>
  <si>
    <t>users → the email appears on exactly 1 row</t>
  </si>
  <si>
    <t>TC-P2E-013</t>
  </si>
  <si>
    <t>Only the 16 assignable app_role enum values are offered</t>
  </si>
  <si>
    <t>1) Open /settings/staff 2) Click Add Staff 3) Open the Role dropdown 4) List every option</t>
  </si>
  <si>
    <t>The dropdown offers only roles that exist in the app_role enum. It must not offer a role the database will reject.</t>
  </si>
  <si>
    <t>MOCK_DATA_BOOK — the 16 app_role enum values</t>
  </si>
  <si>
    <t>HR, RBAC, all modules</t>
  </si>
  <si>
    <t>MOCK_DATA_BOOK records that src/lib/modules.ts gates routes on 48 role strings while the enum has only 16, so 32 roles are used for access control but cannot be assigned. Offering one of those here produces a raw Postgres enum error at save.</t>
  </si>
  <si>
    <t>users.role → every offered option is a valid app_role value</t>
  </si>
  <si>
    <t>TC-P2E-014</t>
  </si>
  <si>
    <t>A nurse can be created with a nursing registration number</t>
  </si>
  <si>
    <t>1) Open /settings/staff 2) Click Add Staff 3) Select Role "nurse" 4) Enter a name, phone and Nursing Registration No 5) Save</t>
  </si>
  <si>
    <t>The users row is created with role = nurse and the nursing registration recorded.</t>
  </si>
  <si>
    <t>HR, Nursing, Quality</t>
  </si>
  <si>
    <t>NABH requires evidence that nursing staff hold current registration. An unrecorded number is a finding at assessment and a liability if a nurse is later found unregistered.</t>
  </si>
  <si>
    <t>users where hospital_id = A and role = 'nurse' → registration recorded</t>
  </si>
  <si>
    <t>TC-P2E-015</t>
  </si>
  <si>
    <t>A doctor MCI/NMC registration number saves</t>
  </si>
  <si>
    <t>1) Open /settings/staff 2) Edit Dr. Rakesh Iyer 3) Enter Registration No (MCI/NMC) "MH-12345" 4) Save</t>
  </si>
  <si>
    <t>users.registration_number = MH-12345.</t>
  </si>
  <si>
    <t>Literal registration MH-12345 (the placeholder the field itself suggests)</t>
  </si>
  <si>
    <t>HR, OPD, Quality, MRD</t>
  </si>
  <si>
    <t>The registration number prints on every prescription. A prescription without it is not a valid medico-legal document, and dispensing against one exposes the pharmacy.</t>
  </si>
  <si>
    <t>users where hospital_id = A and full_name = 'Dr. Rakesh Iyer' → registration_number = 'MH-12345'</t>
  </si>
  <si>
    <t>TC-P2E-016</t>
  </si>
  <si>
    <t>The HPR ID saves for a doctor</t>
  </si>
  <si>
    <t>1) Open /settings/staff 2) Edit a doctor 3) Enter an HPR ID 4) Save</t>
  </si>
  <si>
    <t>users.hpr_id holds the entered value.</t>
  </si>
  <si>
    <t>Literal HPR ID 12345678901234 (the placeholder the field suggests)</t>
  </si>
  <si>
    <t>ABDM, HR</t>
  </si>
  <si>
    <t>The Healthcare Professionals Registry ID is what links a doctor to the ABDM ecosystem. Without it, ABDM-linked records cannot be attributed to a registered practitioner.</t>
  </si>
  <si>
    <t>users where hospital_id = A → hpr_id is recorded</t>
  </si>
  <si>
    <t>TC-P2E-017</t>
  </si>
  <si>
    <t>A staff member can be assigned to a department</t>
  </si>
  <si>
    <t>1) Open /settings/staff 2) Create or edit a staff member 3) Select department Nephrology 4) Save</t>
  </si>
  <si>
    <t>users.department_id points at the Nephrology department for Hospital A.</t>
  </si>
  <si>
    <t>MOCK_DATA_BOOK Phase 2 additions — Dr. Rakesh Iyer in Nephrology</t>
  </si>
  <si>
    <t>Tier 0 complete; the Nephrology department exists</t>
  </si>
  <si>
    <t>Department assignment drives which OPD queue a doctor appears in and which roster they belong to. Unassigned staff are invisible to every department-filtered view.</t>
  </si>
  <si>
    <t>users where hospital_id = A and full_name = 'Dr. Rakesh Iyer' → department_id = Nephrology</t>
  </si>
  <si>
    <t>TC-P2E-018</t>
  </si>
  <si>
    <t>The department picker offers only departments of this hospital</t>
  </si>
  <si>
    <t>1) Open /settings/staff 2) Click Add Staff 3) Open the department picker 4) Read every option</t>
  </si>
  <si>
    <t>Only Hospital A departments are listed. No Hospital B department appears.</t>
  </si>
  <si>
    <t>MOCK_DATA_BOOK Departments — the ten Hospital A rows</t>
  </si>
  <si>
    <t>A picker that is not hospital-scoped leaks another tenant's organisational structure, and assigning a doctor to a department in a different hospital corrupts the RLS anchor for everything they do.</t>
  </si>
  <si>
    <t>departments where hospital_id = A → matches the picker options exactly</t>
  </si>
  <si>
    <t>TC-P2E-019</t>
  </si>
  <si>
    <t>Employment type and payroll type save</t>
  </si>
  <si>
    <t>1) Open /settings/staff 2) Edit a staff member 3) Set Employment Type and Payroll Type 4) Save</t>
  </si>
  <si>
    <t>Both values persist on the staff profile after a reload.</t>
  </si>
  <si>
    <t>The Employment Type and Payroll Type options on SettingsStaffPage</t>
  </si>
  <si>
    <t>Employment type decides whether someone is on payroll or on a consultancy contract, which changes their tax treatment. Getting it wrong is a TDS error, not just a data-entry slip.</t>
  </si>
  <si>
    <t>staff_profiles for the staff member → employment and payroll type recorded</t>
  </si>
  <si>
    <t>TC-P2E-020</t>
  </si>
  <si>
    <t>Salary components save</t>
  </si>
  <si>
    <t>1) Open /settings/staff 2) Edit a staff member 3) Enter Basic Salary 25000, HRA % and DA % 4) Save</t>
  </si>
  <si>
    <t>The salary components persist on the staff profile after a reload.</t>
  </si>
  <si>
    <t>Literal basic salary 25000 (the placeholder the field suggests)</t>
  </si>
  <si>
    <t>HR, Payroll, Accounts</t>
  </si>
  <si>
    <t>These figures are what payroll computes from. A component that silently fails to save produces an underpaid salary the employee notices on payday.</t>
  </si>
  <si>
    <t>staff_profiles for the staff member → basic salary = 25000</t>
  </si>
  <si>
    <t>TC-P2E-021</t>
  </si>
  <si>
    <t>Salary amounts render in en-IN grouping with the rupee symbol</t>
  </si>
  <si>
    <t>1) Open /settings/staff 2) Open a staff member with a salary above ₹1,00,000 3) Read the amount</t>
  </si>
  <si>
    <t>The amount renders as ₹1,25,000 with Indian grouping, not ₹125,000.</t>
  </si>
  <si>
    <t>Every money display must go through formatCurrency(). On a salary field the wrong comma position reads as a factor-of-ten difference in pay.</t>
  </si>
  <si>
    <t>staff_profiles salary → rendered with ₹ and Indian grouping</t>
  </si>
  <si>
    <t>TC-P2E-022</t>
  </si>
  <si>
    <t>A non-numeric consultation fee is rejected</t>
  </si>
  <si>
    <t>1) Open /settings/staff 2) Create or edit a doctor 3) Enter Consultation Fee "abc" 4) Save</t>
  </si>
  <si>
    <t>The save is refused, or the fee is not stored as a number derived from letters.</t>
  </si>
  <si>
    <t>phase2.invalid.feeNonNumeric (abc)</t>
  </si>
  <si>
    <t>A non-numeric fee that parses to NaN or zero puts the consultation on the ₹500 fallback or bills nothing at all, and the administrator believes a fee is configured.</t>
  </si>
  <si>
    <t>service_master for the doctor → fee is a valid number or the row was not written</t>
  </si>
  <si>
    <t>TC-P2E-023</t>
  </si>
  <si>
    <t>A zero consultation fee is stored deliberately, not as unset</t>
  </si>
  <si>
    <t>1) Open /settings/staff 2) Edit a doctor 3) Set Follow-up Fee to 0 4) Save</t>
  </si>
  <si>
    <t>The follow-up fee stores as 0, meaning free — distinct from null meaning not configured.</t>
  </si>
  <si>
    <t>MOCK_DATA_BOOK Doctors — Dr. Suresh Menon, follow-up ₹0 within 7 days</t>
  </si>
  <si>
    <t>Dr. Menon's free follow-up is a deliberate ₹0, and Dr. Rao's ₹300 is the contrast case. If zero collapses into null the free follow-up falls through to a paid consultation and the patient is charged for a visit the hospital promised free.</t>
  </si>
  <si>
    <t>service_master for the doctor → follow_up_fee = 0, not null</t>
  </si>
  <si>
    <t>TC-P2E-024</t>
  </si>
  <si>
    <t>Surgeon and anaesthetist fees save for a surgical doctor</t>
  </si>
  <si>
    <t>1) Open /settings/staff 2) Edit a surgeon 3) Enter Surgeon Fee and Anaesthetist Fee 4) Save</t>
  </si>
  <si>
    <t>Both OT fees persist after a reload.</t>
  </si>
  <si>
    <t>MOCK_DATA_BOOK Staff logins — Dr. Arjun Nair (General Surgery)</t>
  </si>
  <si>
    <t>OT, Billing</t>
  </si>
  <si>
    <t>OT fees are split between surgeon and anaesthetist on the bill. A missing one means the theatre charge is raised short and the shortfall is never recovered.</t>
  </si>
  <si>
    <t>service_master for the surgeon → surgeon and anaesthetist fees recorded</t>
  </si>
  <si>
    <t>TC-P2E-025</t>
  </si>
  <si>
    <t>Editing a staff member persists the change</t>
  </si>
  <si>
    <t>1) Open /settings/staff 2) Edit Dr. Rakesh Iyer 3) Change the phone number 4) Save 5) Reload</t>
  </si>
  <si>
    <t>The new phone number is shown after the reload.</t>
  </si>
  <si>
    <t>MOCK_DATA_BOOK Phase 2 additions — Dr. Rakesh Iyer</t>
  </si>
  <si>
    <t>Contact details change constantly. An edit that toasts success without persisting leaves the escalation chain pointing at an old number.</t>
  </si>
  <si>
    <t>users where hospital_id = A and full_name = 'Dr. Rakesh Iyer' → phone updated</t>
  </si>
  <si>
    <t>TC-P2E-026</t>
  </si>
  <si>
    <t>A staff member can be deactivated without being deleted</t>
  </si>
  <si>
    <t>1) Open /settings/staff 2) Deactivate Dr. Rakesh Iyer 3) Reload</t>
  </si>
  <si>
    <t>users.is_active = false and the row still exists.</t>
  </si>
  <si>
    <t>HR, OPD, Auth, MRD</t>
  </si>
  <si>
    <t>A doctor who leaves must stop being able to log in and stop appearing in pickers, while every note and prescription they signed stays attributed to them. Deleting instead would orphan signed clinical records — a medico-legal problem.</t>
  </si>
  <si>
    <t>users where hospital_id = A and full_name = 'Dr. Rakesh Iyer' → is_active = false</t>
  </si>
  <si>
    <t>TC-P2E-027</t>
  </si>
  <si>
    <t>A deactivated doctor no longer appears in the OPD doctor picker</t>
  </si>
  <si>
    <t>1) Deactivate Dr. Rakesh Iyer under /settings/staff 2) Open the OPD token screen 3) Open the doctor picker</t>
  </si>
  <si>
    <t>The deactivated doctor is not offered for new tokens.</t>
  </si>
  <si>
    <t>MOCK_DATA_BOOK Phase 2 additions — Dr. Rakesh Iyer, deactivated</t>
  </si>
  <si>
    <t>OPD, HR</t>
  </si>
  <si>
    <t>A token raised against a doctor who has left cannot be seen by anyone. The patient waits for a consultation that will never be called.</t>
  </si>
  <si>
    <t>users where hospital_id = A and is_active = false → absent from the OPD doctor picker</t>
  </si>
  <si>
    <t>TC-P2E-028</t>
  </si>
  <si>
    <t>A deactivated staff member can no longer sign in</t>
  </si>
  <si>
    <t>1) Deactivate a staff account under /settings/staff 2) Attempt to sign in as that account</t>
  </si>
  <si>
    <t>Sign-in is refused.</t>
  </si>
  <si>
    <t>Auth, HR, Security</t>
  </si>
  <si>
    <t>Deactivation that does not revoke access is an access-control failure. A departed employee retaining a working login into a system full of PHI is a DPDP Act breach waiting to be discovered.</t>
  </si>
  <si>
    <t>Deactivated staff account</t>
  </si>
  <si>
    <t>users where is_active = false → authentication refused</t>
  </si>
  <si>
    <t>TC-P2E-029</t>
  </si>
  <si>
    <t>A deactivated staff member can be reactivated</t>
  </si>
  <si>
    <t>1) Open /settings/staff 2) Reactivate a deactivated staff member 3) Reload</t>
  </si>
  <si>
    <t>users.is_active = true and the person appears in pickers again.</t>
  </si>
  <si>
    <t>Staff return from long leave and locums come back. A one-way deactivation forces a duplicate account, which splits one person's clinical attribution across two identities.</t>
  </si>
  <si>
    <t>users where hospital_id = A and full_name = 'Dr. Rakesh Iyer' → is_active = true</t>
  </si>
  <si>
    <t>TC-P2E-030</t>
  </si>
  <si>
    <t>The can-login flag is independent of the staff record</t>
  </si>
  <si>
    <t>1) Open /settings/staff 2) Create a staff member with login disabled 3) Save</t>
  </si>
  <si>
    <t>The users row exists with can_login false — the person is on the roster but has no system access.</t>
  </si>
  <si>
    <t>MOCK_DATA_BOOK Staff logins — a non-login staff record</t>
  </si>
  <si>
    <t>Housekeeping and support staff appear on rosters and payroll without ever touching the system. Forcing a login for every staff record would create dormant credentials nobody manages.</t>
  </si>
  <si>
    <t>users where hospital_id = A → can_login = false on the non-login record</t>
  </si>
  <si>
    <t>TC-P2E-031</t>
  </si>
  <si>
    <t>Staff changes survive a hard reload</t>
  </si>
  <si>
    <t>1) Open /settings/staff 2) Create Dr. Rakesh Iyer with the Phase 2 fee set 3) Hard-reload 4) Locate the record</t>
  </si>
  <si>
    <t>The staff row and its fees are still present after the reload.</t>
  </si>
  <si>
    <t>MOCK_DATA_BOOK Phase 2 additions — Dr. Rakesh Iyer with full fee set</t>
  </si>
  <si>
    <t>HR, OPD, Billing</t>
  </si>
  <si>
    <t>This screen writes to three tables — users, staff_profiles and service_master. A partial write that toasts success leaves a doctor who exists but has no fee, which bills ₹500 forever.</t>
  </si>
  <si>
    <t>users, staff_profiles and service_master → all three carry the Dr. Rakesh Iyer rows</t>
  </si>
  <si>
    <t>TC-P2E-032</t>
  </si>
  <si>
    <t>Hospital A's staff are invisible to Hospital B</t>
  </si>
  <si>
    <t>1) Sign in as the Hospital B administrator 2) Open /settings/staff as Hospital B 3) Query users through the API with no hospital filter</t>
  </si>
  <si>
    <t>Only the three Hospital B accounts are returned. No Hospital A staff appear.</t>
  </si>
  <si>
    <t>MOCK_DATA_BOOK Hospitals — Hospital A (17 staff) and Hospital B (3 staff)</t>
  </si>
  <si>
    <t>Multi-tenancy, HR, Security</t>
  </si>
  <si>
    <t>The users table holds names, emails, phone numbers and salary links. A cross-tenant leak here is personal data of identifiable people under the DPDP Act, not merely commercial information.</t>
  </si>
  <si>
    <t>users queried as the Hospital B admin → zero rows with hospital_id = A</t>
  </si>
  <si>
    <t>TC-P2E-033</t>
  </si>
  <si>
    <t>A nurse cannot reach the Staff settings screen</t>
  </si>
  <si>
    <t>1) Log in as nurse (Hospital A) 2) Navigate directly to /settings/staff</t>
  </si>
  <si>
    <t>The route is blocked — redirected away, or an explicit access-denied message. No salary figures render.</t>
  </si>
  <si>
    <t>HR, Security</t>
  </si>
  <si>
    <t>This screen exposes every colleague's salary and can create an account with any role. Either capability in the wrong hands is a serious control failure.</t>
  </si>
  <si>
    <t>TC-P2E-034</t>
  </si>
  <si>
    <t>The Staff screen loads with no red console errors</t>
  </si>
  <si>
    <t>1) Open DevTools → Console 2) Open /settings/staff 3) Create and edit a staff member 4) Read the console</t>
  </si>
  <si>
    <t>No red console text from the users, staff_profiles or service_master writes.</t>
  </si>
  <si>
    <t>The staff_profiles and service_master writes go through `as any` casts, so a column mismatch fails at runtime with no type-check warning and no visible UI error.</t>
  </si>
  <si>
    <t>TC-P2E-035</t>
  </si>
  <si>
    <t>Roles screen loads and lists the configured roles</t>
  </si>
  <si>
    <t>1) Open /settings/roles 2) Read the role list</t>
  </si>
  <si>
    <t>Roles render from role_permissions for Hospital A. No red console errors.</t>
  </si>
  <si>
    <t>MOCK_DATA_BOOK — the 16 assignable app_role values</t>
  </si>
  <si>
    <t>RBAC, all modules</t>
  </si>
  <si>
    <t>SETTINGS_PREREQ_MATRIX places roles in Tier 0 because role_permissions controls hasTabAccess and hasActionAccess. Get it wrong and buttons like Complete &amp; Bill or Admit simply do not render, with no explanation.</t>
  </si>
  <si>
    <t>role_permissions where hospital_id = A → matches the roles displayed</t>
  </si>
  <si>
    <t>e2e/phase-02-settings/P2E.people-access.roles.spec.ts</t>
  </si>
  <si>
    <t>TC-P2E-036</t>
  </si>
  <si>
    <t>A permission change saves to role_permissions</t>
  </si>
  <si>
    <t>1) Open /settings/roles 2) Select a role 3) Toggle a module permission 4) Save</t>
  </si>
  <si>
    <t>role_permissions.permissions reflects the change for that role.</t>
  </si>
  <si>
    <t>role_permissions — a module permission toggled for a seeded role</t>
  </si>
  <si>
    <t>This is the control that decides who can do what. A permission change that does not persist means an administrator believes they have restricted access when they have not — the most dangerous shape of security failure, because it fails open silently.</t>
  </si>
  <si>
    <t>role_permissions where hospital_id = A → permissions reflect the toggle</t>
  </si>
  <si>
    <t>TC-P2E-037</t>
  </si>
  <si>
    <t>Revoking a tab permission hides that tab for the role</t>
  </si>
  <si>
    <t>1) Open /settings/roles 2) Revoke a tab permission for the doctor role 3) Sign in as a doctor 4) Look for the tab</t>
  </si>
  <si>
    <t>The tab does not render for that role.</t>
  </si>
  <si>
    <t>RBAC, OPD, IPD</t>
  </si>
  <si>
    <t>A permission stored but not enforced is worse than none — the hospital audits its configuration, sees the restriction, and believes it is in force while staff continue to have access.</t>
  </si>
  <si>
    <t>role_permissions → the revoked tab is absent from the doctor UI</t>
  </si>
  <si>
    <t>TC-P2E-038</t>
  </si>
  <si>
    <t>Revoking an action permission hides that action for the role</t>
  </si>
  <si>
    <t>1) Open /settings/roles 2) Revoke an action permission for a role 3) Sign in as that role 4) Look for the action button</t>
  </si>
  <si>
    <t>The action button does not render.</t>
  </si>
  <si>
    <t>role_permissions — an action permission revoked for a seeded role</t>
  </si>
  <si>
    <t>RBAC, Billing, IPD</t>
  </si>
  <si>
    <t>Action gates cover things like Complete &amp; Bill and Admit. An unenforced revocation lets a role take an action the hospital has explicitly forbidden, with a full audit trail showing it was not allowed to.</t>
  </si>
  <si>
    <t>role_permissions → the revoked action is absent from that role's UI</t>
  </si>
  <si>
    <t>TC-P2E-039</t>
  </si>
  <si>
    <t>A permission gate is enforced on direct URL entry, not only in the menu</t>
  </si>
  <si>
    <t>1) Revoke a role's access to a module 2) Sign in as nurse (Hospital A) 3) Type /accounts directly into the address bar, having revoked Accounts under /settings/roles</t>
  </si>
  <si>
    <t>The route is blocked. Hiding the menu item is not sufficient.</t>
  </si>
  <si>
    <t>role_permissions — a module revoked for a seeded role</t>
  </si>
  <si>
    <t>RBAC, Security</t>
  </si>
  <si>
    <t>A gate that only hides a menu entry is security by obscurity. Anyone who has previously used the module knows the URL, and a bookmark bypasses the whole permission model.</t>
  </si>
  <si>
    <t>None — route guard behaviour under a revoked permission</t>
  </si>
  <si>
    <t>TC-P2E-040</t>
  </si>
  <si>
    <t>A permission change is written to the config change log</t>
  </si>
  <si>
    <t>1) Open /settings/roles 2) Change a permission 3) Enter a reason 4) Save 5) Open /settings/change-log</t>
  </si>
  <si>
    <t>A config_change_logs entry records the role, the old and new permissions and the reason.</t>
  </si>
  <si>
    <t>role_permissions — a permission change with a stated reason</t>
  </si>
  <si>
    <t>RBAC, Audit, Quality</t>
  </si>
  <si>
    <t>NABH and DPDP both expect access changes to be traceable. An unlogged permission change means nobody can answer who granted an escalated privilege, or when.</t>
  </si>
  <si>
    <t>config_change_logs where hospital_id = A and config_area = 'role_permissions' → 1 new entry</t>
  </si>
  <si>
    <t>TC-P2E-041</t>
  </si>
  <si>
    <t>The change reason is stored with the permission change</t>
  </si>
  <si>
    <t>1) Open /settings/roles 2) Change a permission 3) Enter the reason "QA Phase 2 verification" 4) Save</t>
  </si>
  <si>
    <t>The reason is stored on the config change log entry.</t>
  </si>
  <si>
    <t>Literal change reason "QA Phase 2 verification"</t>
  </si>
  <si>
    <t>Audit, Quality</t>
  </si>
  <si>
    <t>A log of what changed without why is nearly useless at audit. The reason is what distinguishes a considered decision from a mistake nobody owns.</t>
  </si>
  <si>
    <t>config_change_logs → the reason is recorded on the entry</t>
  </si>
  <si>
    <t>TC-P2E-042</t>
  </si>
  <si>
    <t>A permission change with no reason is still logged</t>
  </si>
  <si>
    <t>1) Open /settings/roles 2) Change a permission 3) Leave the reason blank 4) Save</t>
  </si>
  <si>
    <t>The change is logged with a null reason. A missing reason never suppresses the log entry itself.</t>
  </si>
  <si>
    <t>None — deliberately omits the optional reason</t>
  </si>
  <si>
    <t>Audit, Security</t>
  </si>
  <si>
    <t>If an unexplained change goes unlogged, the easiest way to make an access change invisible is to skip the reason field — which is exactly what someone acting improperly would do.</t>
  </si>
  <si>
    <t>config_change_logs → an entry exists with a null reason</t>
  </si>
  <si>
    <t>TC-P2E-043</t>
  </si>
  <si>
    <t>Cash Closure access can be granted and revoked per role</t>
  </si>
  <si>
    <t>1) Open /settings/roles 2) Grant Cash Closure access to a role 3) Revoke it 4) Check role_permissions after each step</t>
  </si>
  <si>
    <t>role_permissions reflects both the grant and the revocation, and both are logged.</t>
  </si>
  <si>
    <t>role_permissions — Cash Closure toggled for a seeded role</t>
  </si>
  <si>
    <t>Billing, Day Closure, Accounts</t>
  </si>
  <si>
    <t>Cash closure is where the day's collections are reconciled and signed off. It has its own explicit toggle because granting it wrongly hands someone the ability to close a day over a cash difference.</t>
  </si>
  <si>
    <t>role_permissions → Cash Closure permission toggles and is logged both ways</t>
  </si>
  <si>
    <t>TC-P2E-044</t>
  </si>
  <si>
    <t>A custom role can be created</t>
  </si>
  <si>
    <t>1) Open /settings/roles 2) Create a role named "QA Reviewer" 3) Save</t>
  </si>
  <si>
    <t>A role_permissions row exists for the custom role scoped to Hospital A.</t>
  </si>
  <si>
    <t>phase2.entry./settings/roles — role "QA Reviewer"</t>
  </si>
  <si>
    <t>RBAC, HR</t>
  </si>
  <si>
    <t>Hospitals have roles the 16-value enum does not cover. Custom permission blobs are, per MOCK_DATA_BOOK, the only way modules like Blood Bank and CSSD are reachable at all.</t>
  </si>
  <si>
    <t>role_permissions where hospital_id = A and role = 'QA Reviewer' → 1 row</t>
  </si>
  <si>
    <t>TC-P2E-045</t>
  </si>
  <si>
    <t>A role cannot be created without a name</t>
  </si>
  <si>
    <t>1) Open /settings/roles 2) Attempt to create a role with a blank Role Name 3) Save</t>
  </si>
  <si>
    <t>The save is refused and no role_permissions row is written.</t>
  </si>
  <si>
    <t>None — deliberately omits the required Role Name</t>
  </si>
  <si>
    <t>An unnamed role appears as a blank option when assigning staff, so someone gets assigned a permission set nobody can identify afterwards.</t>
  </si>
  <si>
    <t>role_permissions where hospital_id = A and (role is null or role = '') → 0 rows</t>
  </si>
  <si>
    <t>TC-P2E-046</t>
  </si>
  <si>
    <t>A duplicate role name is rejected</t>
  </si>
  <si>
    <t>1) Open /settings/roles 2) Create "QA Reviewer" 3) Create "QA Reviewer" again 4) Count the rows</t>
  </si>
  <si>
    <t>Only one role_permissions row carries that name for Hospital A.</t>
  </si>
  <si>
    <t>phase2.entry./settings/roles — duplicate role "QA Reviewer"</t>
  </si>
  <si>
    <t>Two roles with one name produce two permission sets, and whichever the query returns first decides access. That makes the effective permissions of a staff member unpredictable.</t>
  </si>
  <si>
    <t>role_permissions where hospital_id = A and role = 'QA Reviewer' → exactly 1 row</t>
  </si>
  <si>
    <t>TC-P2E-047</t>
  </si>
  <si>
    <t>The bypass roles retain full access</t>
  </si>
  <si>
    <t>1) Open /settings/roles 2) Inspect the permissions for super_admin and hospital_admin</t>
  </si>
  <si>
    <t>Both retain full access. It must not be possible to lock the administrator out of the settings that control access.</t>
  </si>
  <si>
    <t>MOCK_DATA_BOOK — super_admin and hospital_admin as the bypass roles</t>
  </si>
  <si>
    <t>MOCK_DATA_BOOK records that several modules are only reachable by these bypass roles. An administrator who revokes their own settings access has no way back in, and the tenant needs vendor intervention to recover.</t>
  </si>
  <si>
    <t>role_permissions → super_admin and hospital_admin retain settings access</t>
  </si>
  <si>
    <t>TC-P2E-048</t>
  </si>
  <si>
    <t>An administrator cannot revoke their own settings access</t>
  </si>
  <si>
    <t>1) Log in as hospital_admin 2) Open /settings/roles 3) Attempt to revoke settings access from the hospital_admin role 4) Save</t>
  </si>
  <si>
    <t>The change is refused, or a clear warning explains the lock-out risk before it is applied.</t>
  </si>
  <si>
    <t>role_permissions — hospital_admin settings access</t>
  </si>
  <si>
    <t>This is a self-lockout with no recovery path inside the product. The hospital loses the ability to manage its own users and has to contact the vendor to be let back in.</t>
  </si>
  <si>
    <t>role_permissions → hospital_admin retains settings access after the attempt</t>
  </si>
  <si>
    <t>TC-P2E-049</t>
  </si>
  <si>
    <t>Permission changes survive a hard reload</t>
  </si>
  <si>
    <t>1) Open /settings/roles 2) Change a permission and save 3) Hard-reload 4) Re-read the permission</t>
  </si>
  <si>
    <t>The change is still in effect after the reload.</t>
  </si>
  <si>
    <t>role_permissions — a module permission toggled</t>
  </si>
  <si>
    <t>A permission that reverts on reload fails open — access the hospital believes it removed comes back the next time anyone loads the page.</t>
  </si>
  <si>
    <t>role_permissions where hospital_id = A → the change persists</t>
  </si>
  <si>
    <t>TC-P2E-050</t>
  </si>
  <si>
    <t>The 32 routing-only roles are visibly distinguished from assignable roles</t>
  </si>
  <si>
    <t>1) Open /settings/roles 2) Compare the roles listed against the 16 app_role enum values</t>
  </si>
  <si>
    <t>Roles that cannot be assigned to a staff login are either absent or clearly marked as unassignable.</t>
  </si>
  <si>
    <t>MOCK_DATA_BOOK — 16 enum roles versus 48 routing roles</t>
  </si>
  <si>
    <t>MOCK_DATA_BOOK flags this as a probable real defect: modules like Blood Bank and Dialysis name a specialist role as their intended user, but that role cannot be created. Configuring permissions for a role nobody can hold is wasted effort that looks like working configuration.</t>
  </si>
  <si>
    <t>role_permissions → roles outside the app_role enum are marked or absent</t>
  </si>
  <si>
    <t>TC-P2E-051</t>
  </si>
  <si>
    <t>Hospital A's role permissions are invisible to Hospital B</t>
  </si>
  <si>
    <t>1) Sign in as the Hospital B administrator 2) Open /settings/roles as Hospital B 3) Query role_permissions through the API with no hospital filter</t>
  </si>
  <si>
    <t>Not one Hospital A role_permissions row is returned.</t>
  </si>
  <si>
    <t>Multi-tenancy, RBAC, Security</t>
  </si>
  <si>
    <t>If permission rows leaked between tenants, one hospital's access model could be applied to another's staff — the most direct route to a cross-tenant privilege escalation.</t>
  </si>
  <si>
    <t>role_permissions queried as the Hospital B admin → zero rows with hospital_id = A</t>
  </si>
  <si>
    <t>TC-P2E-052</t>
  </si>
  <si>
    <t>A doctor cannot reach the Roles settings screen</t>
  </si>
  <si>
    <t>1) Log in as doctor (Hospital A) 2) Navigate directly to /settings/roles</t>
  </si>
  <si>
    <t>A user who can edit the permission model can grant themselves anything. This is the single most important route guard in the product.</t>
  </si>
  <si>
    <t>TC-P2E-053</t>
  </si>
  <si>
    <t>A non-admin cannot escalate their own role through the API</t>
  </si>
  <si>
    <t>1) Confirm /settings/roles is blocked for the nurse 2) Sign in through the API as nurse (Hospital A) 3) Attempt to update role_permissions directly via PostgREST</t>
  </si>
  <si>
    <t>The write is rejected by RLS. The route guard is not the only protection.</t>
  </si>
  <si>
    <t>RBAC, Security, Multi-tenancy</t>
  </si>
  <si>
    <t>Route guards are client-side and can be bypassed by calling PostgREST directly. If role_permissions has no per-role RLS, any authenticated user can grant themselves every permission in the hospital.</t>
  </si>
  <si>
    <t>role_permissions updated as a nurse → rejected</t>
  </si>
  <si>
    <t>TC-P2E-054</t>
  </si>
  <si>
    <t>The Roles screen loads with no red console errors</t>
  </si>
  <si>
    <t>1) Open DevTools → Console 2) Open /settings/roles 3) Change a permission and save 4) Read the console</t>
  </si>
  <si>
    <t>No red console text from the read, the update or the change-log write.</t>
  </si>
  <si>
    <t>RBAC, Audit</t>
  </si>
  <si>
    <t>The permissions blob is written through an `as any` cast. A malformed blob that Postgres rejects would surface only here while the UI reports a saved permission.</t>
  </si>
  <si>
    <t>TC-P2E-055</t>
  </si>
  <si>
    <t>Doctor Schedules screen loads with the doctor list</t>
  </si>
  <si>
    <t>1) Open /settings/doctor-schedules 2) Read the doctor list</t>
  </si>
  <si>
    <t>The active Hospital A doctors are listed and searchable. No red console errors.</t>
  </si>
  <si>
    <t>MOCK_DATA_BOOK Staff logins — the three seeded Hospital A doctors</t>
  </si>
  <si>
    <t>OPD, Telemedicine</t>
  </si>
  <si>
    <t>Tier 0 complete; at least one active doctor exists</t>
  </si>
  <si>
    <t>SETTINGS_PREREQ_MATRIX warns that without doctor_schedules and doctor_slots no appointment slot is bookable at all. This screen is the only place they are created.</t>
  </si>
  <si>
    <t>users where hospital_id = A and role = doctor and is_active = true → matches the list</t>
  </si>
  <si>
    <t>e2e/phase-02-settings/P2E.people-access.schedules.spec.ts</t>
  </si>
  <si>
    <t>TC-P2E-056</t>
  </si>
  <si>
    <t>The doctor search filters the list</t>
  </si>
  <si>
    <t>1) Open /settings/doctor-schedules 2) Type a doctor name into the search box</t>
  </si>
  <si>
    <t>Only matching doctors remain listed.</t>
  </si>
  <si>
    <t>MOCK_DATA_BOOK Staff logins — Dr. Suresh Menon</t>
  </si>
  <si>
    <t>A teaching hospital has hundreds of consultants. Without search, setting one doctor's Monday clinic means scrolling the entire medical staff.</t>
  </si>
  <si>
    <t>TC-P2E-057</t>
  </si>
  <si>
    <t>An OPD session saves against a doctor and day</t>
  </si>
  <si>
    <t>1) Open /settings/doctor-schedules 2) Select a doctor 3) Select a working day 4) Add an OPD session with a start and end time 5) Save</t>
  </si>
  <si>
    <t>A doctor_schedules row exists for that doctor, day and session time.</t>
  </si>
  <si>
    <t>MOCK_DATA_BOOK Phase 2 additions — Dr. Rakesh Iyer OPD schedule</t>
  </si>
  <si>
    <t>No schedule means no bookable slot, so the appointment screen shows nothing and reception books patients on paper. This is one of the prerequisites that makes OPD look broken when it is merely unconfigured.</t>
  </si>
  <si>
    <t>doctor_schedules where hospital_id = A and doctor = the selected doctor → 1 row per session</t>
  </si>
  <si>
    <t>TC-P2E-058</t>
  </si>
  <si>
    <t>A session with a missing time is refused</t>
  </si>
  <si>
    <t>1) Open /settings/doctor-schedules 2) Select a doctor and day 3) Add a session leaving the end time blank 4) Save</t>
  </si>
  <si>
    <t>A destructive toast reads "Invalid session times" and no doctor_schedules row is written.</t>
  </si>
  <si>
    <t>None — deliberately omits a session end time</t>
  </si>
  <si>
    <t>A session with no end has no bounded slot range, so slot generation either produces nothing or runs to midnight. Both leave reception unable to book correctly.</t>
  </si>
  <si>
    <t>doctor_schedules → no row written for the incomplete session</t>
  </si>
  <si>
    <t>TC-P2E-059</t>
  </si>
  <si>
    <t>Overlapping sessions on the same day are refused</t>
  </si>
  <si>
    <t>1) Open /settings/doctor-schedules 2) Select a doctor and day 3) Add a session 09:00–12:00 4) Add a second session 11:00–14:00 5) Save</t>
  </si>
  <si>
    <t>A destructive toast names the overlap, quoting both times, and neither session is saved.</t>
  </si>
  <si>
    <t>Literal overlapping sessions 09:00–12:00 and 11:00–14:00</t>
  </si>
  <si>
    <t>Overlapping sessions double-book the same doctor for the same minute. Two patients are given the same slot and both arrive expecting to be seen.</t>
  </si>
  <si>
    <t>doctor_schedules → no overlapping rows for one doctor and day</t>
  </si>
  <si>
    <t>TC-P2E-060</t>
  </si>
  <si>
    <t>Two adjacent non-overlapping sessions on one day are allowed</t>
  </si>
  <si>
    <t>1) Open /settings/doctor-schedules 2) Select a doctor and day 3) Add sessions 09:00–12:00 and 16:00–19:00 4) Save</t>
  </si>
  <si>
    <t>Both sessions save as separate doctor_schedules rows.</t>
  </si>
  <si>
    <t>Literal morning session 09:00–12:00 and evening session 16:00–19:00</t>
  </si>
  <si>
    <t>Split morning and evening clinics are the norm in Indian OPD. An overlap rule that is too strict would block the commonest schedule shape there is.</t>
  </si>
  <si>
    <t>doctor_schedules → 2 rows for the doctor on that day</t>
  </si>
  <si>
    <t>TC-P2E-061</t>
  </si>
  <si>
    <t>Saving a schedule generates bookable slots</t>
  </si>
  <si>
    <t>1) Open /settings/doctor-schedules 2) Save a session for a doctor 3) Open the appointment booking screen 4) Look for slots on that day</t>
  </si>
  <si>
    <t>Bookable slots appear for the configured session window.</t>
  </si>
  <si>
    <t>SETTINGS_PREREQ_MATRIX names both doctor_schedules and doctor_slots. A schedule that saves without producing slots leaves the booking screen empty, which reads as a broken module rather than a missing step.</t>
  </si>
  <si>
    <t>doctor_slots where hospital_id = A → slots exist within the configured session window</t>
  </si>
  <si>
    <t>TC-P2E-062</t>
  </si>
  <si>
    <t>Working days can be selected per doctor</t>
  </si>
  <si>
    <t>1) Open /settings/doctor-schedules 2) Select a doctor 3) Choose Monday, Wednesday and Friday 4) Save</t>
  </si>
  <si>
    <t>doctor_schedules rows exist only for the chosen days.</t>
  </si>
  <si>
    <t>Literal working days Monday, Wednesday, Friday</t>
  </si>
  <si>
    <t>Visiting consultants attend on fixed days. Slots offered on a day the doctor never attends produce a patient who travels in for an appointment nobody will keep.</t>
  </si>
  <si>
    <t>doctor_schedules → rows only for the selected days of week</t>
  </si>
  <si>
    <t>TC-P2E-063</t>
  </si>
  <si>
    <t>The consultation fee on the schedule matches the doctor fee</t>
  </si>
  <si>
    <t>1) Open /settings/doctor-schedules 2) Select Dr. Rakesh Iyer 3) Read the Consultation Fee 4) Compare against the fee on /settings/staff</t>
  </si>
  <si>
    <t>The two agree at ₹900. One fee is not silently different from the other.</t>
  </si>
  <si>
    <t>The fee is editable on two screens. If they disagree, whichever the billing lookup reads decides the charge, and the administrator has no way to tell which figure is live.</t>
  </si>
  <si>
    <t>service_master for Dr. Rakesh Iyer → the fee shown on both screens is 900</t>
  </si>
  <si>
    <t>TC-P2E-064</t>
  </si>
  <si>
    <t>The advance booking window saves</t>
  </si>
  <si>
    <t>1) Open /settings/doctor-schedules 2) Select a doctor 3) Set Advance Booking to 14 days 4) Save</t>
  </si>
  <si>
    <t>The advance booking window persists at 14 days after a reload.</t>
  </si>
  <si>
    <t>phase2.entry./settings/doctor-schedules — advanceBookingDays 14</t>
  </si>
  <si>
    <t>OPD, Patient Portal</t>
  </si>
  <si>
    <t>The window decides how far ahead reception and the patient portal can book. Too short and patients cannot plan; unsaved and the default silently applies instead.</t>
  </si>
  <si>
    <t>doctor_schedules → advance booking window = 14</t>
  </si>
  <si>
    <t>TC-P2E-065</t>
  </si>
  <si>
    <t>A zero-day advance booking window is handled explicitly</t>
  </si>
  <si>
    <t>1) Open /settings/doctor-schedules 2) Set Advance Booking to 0 3) Save 4) Open the booking screen</t>
  </si>
  <si>
    <t>Either 0 is refused, or it clearly means same-day booking only. It must not silently disable booking altogether.</t>
  </si>
  <si>
    <t>Literal advance booking window 0</t>
  </si>
  <si>
    <t>A zero window that disables booking entirely looks identical to a broken appointment module. The distinction between "same day only" and "nothing bookable" has to be explicit.</t>
  </si>
  <si>
    <t>doctor_schedules → advance booking 0 behaves as documented, not as a silent disable</t>
  </si>
  <si>
    <t>TC-P2E-066</t>
  </si>
  <si>
    <t>A leave block can be added for a doctor</t>
  </si>
  <si>
    <t>1) Open /settings/doctor-schedules 2) Select a doctor 3) Add a leave block with From and To dates and a reason 4) Save</t>
  </si>
  <si>
    <t>The leave block persists and the reason is recorded.</t>
  </si>
  <si>
    <t>Literal leave reason "Annual leave" (the placeholder the field suggests)</t>
  </si>
  <si>
    <t>Without a leave block, slots keep being offered while the doctor is away. Patients book, travel in, and find nobody there.</t>
  </si>
  <si>
    <t>doctor_schedules or the leave table → the leave block persists</t>
  </si>
  <si>
    <t>TC-P2E-067</t>
  </si>
  <si>
    <t>No slots are offered during a leave block</t>
  </si>
  <si>
    <t>1) Open /settings/doctor-schedules and add a leave block covering tomorrow for a doctor 2) Open the appointment booking screen 3) Attempt to book that doctor tomorrow</t>
  </si>
  <si>
    <t>No slots are offered for the leave period.</t>
  </si>
  <si>
    <t>Literal leave block covering tomorrow</t>
  </si>
  <si>
    <t>A leave block that saves but is not honoured by slot generation is worse than no leave feature — the hospital believes the doctor is protected and keeps booking patients into an empty clinic.</t>
  </si>
  <si>
    <t>doctor_slots → no bookable slots within the leave window</t>
  </si>
  <si>
    <t>TC-P2E-068</t>
  </si>
  <si>
    <t>A leave block ending before it starts is refused</t>
  </si>
  <si>
    <t>1) Open /settings/doctor-schedules 2) Add a leave block with From later than To 3) Save</t>
  </si>
  <si>
    <t>The save is refused with a message naming the date order.</t>
  </si>
  <si>
    <t>Literal inverted leave dates — From after To</t>
  </si>
  <si>
    <t>An inverted range matches no dates at all, so the leave silently has no effect and slots keep being offered while the doctor is away.</t>
  </si>
  <si>
    <t>the leave record → no row with an end date before its start date</t>
  </si>
  <si>
    <t>TC-P2E-069</t>
  </si>
  <si>
    <t>A saved schedule survives a hard reload</t>
  </si>
  <si>
    <t>1) Open /settings/doctor-schedules 2) Save a session for a doctor 3) Hard-reload 4) Re-select the doctor</t>
  </si>
  <si>
    <t>The session is still shown after the reload.</t>
  </si>
  <si>
    <t>This screen deletes the existing rows and re-upserts on every save. A failure partway through would leave a doctor with no schedule at all, which is worse than the state before the edit.</t>
  </si>
  <si>
    <t>doctor_schedules where hospital_id = A → the session rows persist</t>
  </si>
  <si>
    <t>TC-P2E-070</t>
  </si>
  <si>
    <t>Hospital A's doctor schedules are invisible to Hospital B</t>
  </si>
  <si>
    <t>1) Sign in as the Hospital B administrator 2) Open /settings/doctor-schedules as Hospital B 3) Query doctor_schedules through the API with no hospital filter</t>
  </si>
  <si>
    <t>Not one Hospital A schedule row is returned.</t>
  </si>
  <si>
    <t>Consultant timings reveal where a doctor works and when. Many consultants attend several hospitals, so a leak here exposes a competitor's clinic roster and the doctor's own movements.</t>
  </si>
  <si>
    <t>doctor_schedules queried as the Hospital B admin → zero rows with hospital_id = A</t>
  </si>
  <si>
    <t>TC-P2E-071</t>
  </si>
  <si>
    <t>A receptionist cannot edit doctor schedules</t>
  </si>
  <si>
    <t>1) Log in as receptionist (Hospital A) 2) Navigate directly to /settings/doctor-schedules</t>
  </si>
  <si>
    <t>Reception books into schedules but must not change them. A receptionist extending a clinic to fit one more patient commits the doctor's time without their agreement.</t>
  </si>
  <si>
    <t>TC-P2E-072</t>
  </si>
  <si>
    <t>The Doctor Schedules screen loads with no red console errors</t>
  </si>
  <si>
    <t>1) Open DevTools → Console 2) Open /settings/doctor-schedules 3) Select a doctor and save a session 4) Read the console</t>
  </si>
  <si>
    <t>No red console text from the delete-then-upsert save path.</t>
  </si>
  <si>
    <t>The save deletes existing rows before upserting new ones. If the upsert fails after the delete succeeds, the doctor is left with no schedule and the console is the only place that shows why.</t>
  </si>
  <si>
    <t>TC-P2F-001</t>
  </si>
  <si>
    <t>2F Services, Rates &amp; Money</t>
  </si>
  <si>
    <t>Service Rates screen loads and lists the seeded services</t>
  </si>
  <si>
    <t>1) Log in as hospital_admin (Hospital A) 2) Open /settings/services 3) Read the service list</t>
  </si>
  <si>
    <t>The ten seeded services render — General Consultation through Haemodialysis Session. No red console errors.</t>
  </si>
  <si>
    <t>MOCK_DATA_BOOK Services &amp; rates — the ten seeded rows</t>
  </si>
  <si>
    <t>OPD, IPD, Billing, Lab, Radiology, Pharmacy</t>
  </si>
  <si>
    <t>Every billable event in the hospital resolves its price here. SETTINGS_PREREQ_MATRIX warns that a missing consultation row makes OPD silently bill a hardcoded ₹500 with no warning at all.</t>
  </si>
  <si>
    <t>service_master where hospital_id = A → 10 rows</t>
  </si>
  <si>
    <t>e2e/phase-02-settings/P2F.money.services-payers.spec.ts</t>
  </si>
  <si>
    <t>TC-P2F-002</t>
  </si>
  <si>
    <t>A new service saves with its fee, GST and HSN</t>
  </si>
  <si>
    <t>1) Open /settings/services 2) Add "Dialysis Catheter Insertion" code PROC-DCI, category procedure, fee 4500, GST exempt, HSN 999312 3) Save</t>
  </si>
  <si>
    <t>A service_master row exists with rate 4500.00, gst_percent 0 and hsn_code 999312.</t>
  </si>
  <si>
    <t>MOCK_DATA_BOOK Phase 2 additions — Dialysis Catheter Insertion · PROC-DCI · ₹4,500 · Exempt · HSN 999312</t>
  </si>
  <si>
    <t>Billing, IPD, Day Care</t>
  </si>
  <si>
    <t>This is the complete, correct row that everything else is measured against. If a fully specified service will not save, nothing downstream can bill correctly.</t>
  </si>
  <si>
    <t>service_master where hospital_id = A and code = 'PROC-DCI' → rate = 4500, hsn_code = '999312'</t>
  </si>
  <si>
    <t>TC-P2F-003</t>
  </si>
  <si>
    <t>A service with no HSN code is flagged before it reaches a bill</t>
  </si>
  <si>
    <t>1) Open /settings/services 2) Add "Physiotherapy Session (Home)" code SERV-PHYH, service, fee 800, GST 18%, leaving HSN blank 3) Save 4) Read the screen</t>
  </si>
  <si>
    <t>The screen either refuses the row or marks it as incomplete for GST. It must not present a taxable service with no HSN as fully configured.</t>
  </si>
  <si>
    <t>phase2.invalid.serviceWithoutHsn (Physiotherapy Session (Home) · SERV-PHYH · ₹800 · 18% · HSN blank)</t>
  </si>
  <si>
    <t>Tier 0 complete; hospital GSTIN set</t>
  </si>
  <si>
    <t>Once the hospital GSTIN is set, bill finalisation is HARD-BLOCKED for any line lacking an HSN. A taxable service saved without one looks fine here and then stops a bill being finalised with a patient standing at the counter.</t>
  </si>
  <si>
    <t>service_master where hospital_id = A and code = 'SERV-PHYH' → hsn_code is null and the row is flagged incomplete</t>
  </si>
  <si>
    <t>TC-P2F-004</t>
  </si>
  <si>
    <t>A service cannot be saved without a name</t>
  </si>
  <si>
    <t>1) Open /settings/services 2) Add a service leaving Service Name blank 3) Enter a fee 4) Attempt to save</t>
  </si>
  <si>
    <t>The save is refused and no service_master row is written.</t>
  </si>
  <si>
    <t>None — deliberately omits the required Service Name</t>
  </si>
  <si>
    <t>An unnamed service appears as a blank line on the bill the patient is handed, and on the charge picker the billing clerk selects from.</t>
  </si>
  <si>
    <t>service_master where hospital_id = A and (name is null or name = '') → 0 rows</t>
  </si>
  <si>
    <t>TC-P2F-005</t>
  </si>
  <si>
    <t>A service cannot be saved without a fee</t>
  </si>
  <si>
    <t>1) Open /settings/services 2) Add a service with a name but no Fee 3) Attempt to save</t>
  </si>
  <si>
    <t>The save is refused. No service is created with a null rate.</t>
  </si>
  <si>
    <t>None — deliberately omits the required Fee</t>
  </si>
  <si>
    <t>Billing, OPD, IPD</t>
  </si>
  <si>
    <t>A service with no rate bills ₹0 or falls through to a default. Either way the hospital performs the work and collects nothing, and the gap only shows at month-end reconciliation.</t>
  </si>
  <si>
    <t>service_master where hospital_id = A → no row with a null rate</t>
  </si>
  <si>
    <t>TC-P2F-006</t>
  </si>
  <si>
    <t>A non-numeric fee is rejected</t>
  </si>
  <si>
    <t>1) Open /settings/services 2) Add a service with Fee "abc" 3) Attempt to save</t>
  </si>
  <si>
    <t>The save is refused, or the fee is not stored as a value derived from letters.</t>
  </si>
  <si>
    <t>A fee that parses to NaN is stored as null or zero, so the service silently bills nothing while the rate card says it is configured.</t>
  </si>
  <si>
    <t>service_master where hospital_id = A → rate is a valid number on every row</t>
  </si>
  <si>
    <t>TC-P2F-007</t>
  </si>
  <si>
    <t>A negative fee is refused</t>
  </si>
  <si>
    <t>1) Open /settings/services 2) Add a service with Fee -500 3) Attempt to save</t>
  </si>
  <si>
    <t>The save is refused. No service_master row carries a negative rate.</t>
  </si>
  <si>
    <t>Literal fee -500</t>
  </si>
  <si>
    <t>A negative rate credits the patient every time the service is performed, and it inverts the sign of that line in the day-closure total without anyone noticing.</t>
  </si>
  <si>
    <t>service_master where hospital_id = A → rate &gt;= 0 on every row</t>
  </si>
  <si>
    <t>TC-P2F-008</t>
  </si>
  <si>
    <t>A zero fee is stored deliberately, not as unset</t>
  </si>
  <si>
    <t>1) Open /settings/services 2) Add a service with Fee 0 3) Save 4) Check the stored value</t>
  </si>
  <si>
    <t>The rate stores as 0.00, meaning genuinely free — distinct from null meaning not configured.</t>
  </si>
  <si>
    <t>MOCK_DATA_BOOK Doctors — Dr. Suresh Menon follow-up ₹0</t>
  </si>
  <si>
    <t>Billing, OPD</t>
  </si>
  <si>
    <t>Free follow-ups and waived services are real. If zero collapses into null the service falls through the precedence chain and the patient is charged for something the hospital promised free.</t>
  </si>
  <si>
    <t>service_master where hospital_id = A → the zero-rate row has rate = 0, not null</t>
  </si>
  <si>
    <t>TC-P2F-009</t>
  </si>
  <si>
    <t>A fee stores to two decimal places</t>
  </si>
  <si>
    <t>1) Open /settings/services 2) Add a service with Fee 1234.56 3) Save 4) Check the stored value</t>
  </si>
  <si>
    <t>The rate stores as 1234.56 exactly — numeric(12,2), not a rounded or floating-point approximation.</t>
  </si>
  <si>
    <t>Literal fee 1234.56</t>
  </si>
  <si>
    <t>Billing, Accounts, GST</t>
  </si>
  <si>
    <t>All monetary values must be numeric(12,2). A JavaScript float introduces rounding that compounds across a multi-line bill and never reconciles against the GST return.</t>
  </si>
  <si>
    <t>service_master where hospital_id = A → the row stores rate = 1234.56</t>
  </si>
  <si>
    <t>TC-P2F-010</t>
  </si>
  <si>
    <t>A duplicate service code is rejected</t>
  </si>
  <si>
    <t>1) Open /settings/services 2) Create PROC-DCI 3) Create a second service with the same code 4) Count the rows</t>
  </si>
  <si>
    <t>Only one service_master row carries PROC-DCI for Hospital A.</t>
  </si>
  <si>
    <t>phase2.invalid — duplicate service code PROC-DCI</t>
  </si>
  <si>
    <t>The code is how a charge is matched to a rate. Two rows sharing one means the price depends on which the query returns first, so the same procedure bills differently on different days.</t>
  </si>
  <si>
    <t>service_master where hospital_id = A and code = 'PROC-DCI' → exactly 1 row</t>
  </si>
  <si>
    <t>TC-P2F-011</t>
  </si>
  <si>
    <t>Service category "consultation" saves and survives a reload</t>
  </si>
  <si>
    <t>1) Open /settings/services 2) Add a service in category "consultation" with a fee 3) Save 4) Reload and re-open the service</t>
  </si>
  <si>
    <t>service_master.category = 'consultation' and the category still reads "consultation" after the reload.</t>
  </si>
  <si>
    <t>MOCK_DATA_BOOK Services &amp; rates — the "consultation" rows</t>
  </si>
  <si>
    <t>Category decides where a charge appears on the bill and which GST treatment applies. Each is tested separately because one failing to persist mis-groups every service of that kind. This one covers the OPD fee every walk-in pays — the one that silently falls back to ₹500.</t>
  </si>
  <si>
    <t>service_master where hospital_id = A → category = 'consultation' on the new row</t>
  </si>
  <si>
    <t>TC-P2F-012</t>
  </si>
  <si>
    <t>Service category "procedure" saves and survives a reload</t>
  </si>
  <si>
    <t>1) Open /settings/services 2) Add a service in category "procedure" with a fee 3) Save 4) Reload and re-open the service</t>
  </si>
  <si>
    <t>service_master.category = 'procedure' and the category still reads "procedure" after the reload.</t>
  </si>
  <si>
    <t>MOCK_DATA_BOOK Services &amp; rates — the "procedure" rows</t>
  </si>
  <si>
    <t>Category decides where a charge appears on the bill and which GST treatment applies. Each is tested separately because one failing to persist mis-groups every service of that kind. This one covers dressings, nebulisation and dialysis, billed per event on top of the room charge.</t>
  </si>
  <si>
    <t>service_master where hospital_id = A → category = 'procedure' on the new row</t>
  </si>
  <si>
    <t>TC-P2F-013</t>
  </si>
  <si>
    <t>Service category "service" saves and survives a reload</t>
  </si>
  <si>
    <t>1) Open /settings/services 2) Add a service in category "service" with a fee 3) Save 4) Reload and re-open the service</t>
  </si>
  <si>
    <t>service_master.category = 'service' and the category still reads "service" after the reload.</t>
  </si>
  <si>
    <t>MOCK_DATA_BOOK Services &amp; rates — the "service" rows</t>
  </si>
  <si>
    <t>Category decides where a charge appears on the bill and which GST treatment applies. Each is tested separately because one failing to persist mis-groups every service of that kind. This one covers ambulance, meals and record copies — the taxable lines on an otherwise exempt bill.</t>
  </si>
  <si>
    <t>service_master where hospital_id = A → category = 'service' on the new row</t>
  </si>
  <si>
    <t>TC-P2F-014</t>
  </si>
  <si>
    <t>Service category "surgery" saves and survives a reload</t>
  </si>
  <si>
    <t>1) Open /settings/services 2) Add a service in category "surgery" with a fee 3) Save 4) Reload and re-open the service</t>
  </si>
  <si>
    <t>service_master.category = 'surgery' and the category still reads "surgery" after the reload.</t>
  </si>
  <si>
    <t>MOCK_DATA_BOOK Services &amp; rates — the "surgery" rows</t>
  </si>
  <si>
    <t>Category decides where a charge appears on the bill and which GST treatment applies. Each is tested separately because one failing to persist mis-groups every service of that kind. This one covers the highest-value single line on any bill, and the one a TPA scrutinises first.</t>
  </si>
  <si>
    <t>service_master where hospital_id = A → category = 'surgery' on the new row</t>
  </si>
  <si>
    <t>TC-P2F-015</t>
  </si>
  <si>
    <t>A GST percent below zero is refused</t>
  </si>
  <si>
    <t>1) Open /settings/services 2) Add a service with GST percent -5 3) Attempt to save</t>
  </si>
  <si>
    <t>The save is refused. No service_master row carries a negative gst_percent.</t>
  </si>
  <si>
    <t>phase2.invalid.gstPercentNegative (-5)</t>
  </si>
  <si>
    <t>A negative GST rate produces a negative tax line, which reduces the hospital's output tax on the return. That is an understated liability and a filing the department will query.</t>
  </si>
  <si>
    <t>service_master where hospital_id = A → gst_percent &gt;= 0 on every row</t>
  </si>
  <si>
    <t>TC-P2F-016</t>
  </si>
  <si>
    <t>A GST percent above 100 is refused</t>
  </si>
  <si>
    <t>1) Open /settings/services 2) Add a service with GST percent 101 3) Attempt to save</t>
  </si>
  <si>
    <t>The save is refused. No service_master row carries a gst_percent above 100.</t>
  </si>
  <si>
    <t>phase2.invalid.gstPercentOver100 (101)</t>
  </si>
  <si>
    <t>A rate above 100% makes the tax exceed the service value. The bill total becomes nonsense and the patient is asked to pay more tax than the treatment cost.</t>
  </si>
  <si>
    <t>service_master where hospital_id = A → gst_percent &lt;= 100 on every row</t>
  </si>
  <si>
    <t>TC-P2F-017</t>
  </si>
  <si>
    <t>The real Indian GST rates are all accepted</t>
  </si>
  <si>
    <t>1) Open /settings/services 2) Save services at GST 0, 5, 12 and 18 percent 3) Check each stored value</t>
  </si>
  <si>
    <t>All four rates store exactly. None is rounded, rejected or coerced.</t>
  </si>
  <si>
    <t>MOCK_DATA_BOOK Services &amp; rates — Exempt, 5%, 12% and 18% rows</t>
  </si>
  <si>
    <t>The seeded services deliberately mix exempt clinical services with taxable ambulance, meals and record copies. A validation rule that rejects a legitimate slab makes those services unbillable.</t>
  </si>
  <si>
    <t>service_master where hospital_id = A → gst_percent in (0, 5, 12, 18) all persist</t>
  </si>
  <si>
    <t>TC-P2F-018</t>
  </si>
  <si>
    <t>A two-digit HSN code is refused</t>
  </si>
  <si>
    <t>1) Open /settings/services 2) Add a service with HSN "99" 3) Attempt to save</t>
  </si>
  <si>
    <t>The save is refused with a message naming the valid HSN lengths — 4, 6 or 8 digits.</t>
  </si>
  <si>
    <t>phase2.invalid.hsnTooShort (99)</t>
  </si>
  <si>
    <t>An HSN of the wrong length is rejected by the NIC IRP at e-invoice generation, days after it was entered, with an error that points at the invoice rather than at this screen.</t>
  </si>
  <si>
    <t>service_master where hospital_id = A → no row with hsn_code = '99'</t>
  </si>
  <si>
    <t>TC-P2F-019</t>
  </si>
  <si>
    <t>Valid HSN lengths of 4, 6 and 8 digits are accepted</t>
  </si>
  <si>
    <t>1) Open /settings/services 2) Save services with HSN 9993, 999312 and 99931200 3) Check each stored value</t>
  </si>
  <si>
    <t>All three lengths are accepted and stored exactly.</t>
  </si>
  <si>
    <t>MOCK_DATA_BOOK Services &amp; rates — HSN 999312, 996423, 998599</t>
  </si>
  <si>
    <t>HSN is legitimately 4, 6 or 8 digits depending on turnover. A rule that only accepts one length blocks a hospital from entering its own correct codes.</t>
  </si>
  <si>
    <t>service_master where hospital_id = A → 4, 6 and 8 digit HSN codes all persist</t>
  </si>
  <si>
    <t>TC-P2F-020</t>
  </si>
  <si>
    <t>Editing a service rate persists the new value</t>
  </si>
  <si>
    <t>1) Open /settings/services 2) Edit PROC-DCI 3) Change the fee from 4500 to 5200 4) Save 5) Reload</t>
  </si>
  <si>
    <t>service_master.rate = 5200.00 after the reload.</t>
  </si>
  <si>
    <t>phase2.edit.serviceRate (4500 → 5200)</t>
  </si>
  <si>
    <t>Billing, IPD</t>
  </si>
  <si>
    <t>Rate cards are revised annually. An edit that toasts success without persisting means the hospital bills last year's price for a full year.</t>
  </si>
  <si>
    <t>service_master where hospital_id = A and code = 'PROC-DCI' → rate = 5200</t>
  </si>
  <si>
    <t>TC-P2F-021</t>
  </si>
  <si>
    <t>A rate change applies to new charges only, not to charges already raised</t>
  </si>
  <si>
    <t>1) Raise a charge for PROC-DCI at ₹4,500 2) Open /settings/services and change the rate to ₹5,200 3) Raise a second charge 4) Compare both</t>
  </si>
  <si>
    <t>The first charge remains at ₹4,500; only the second uses ₹5,200.</t>
  </si>
  <si>
    <t>Billing, IPD, OPD</t>
  </si>
  <si>
    <t>Tier 0 complete; a charge must exist before the rate is edited</t>
  </si>
  <si>
    <t>Retro-repricing a charge already on a patient's bill changes a figure they may have been quoted or a TPA may have pre-authorised. It is an argument at the discharge counter and an invalidated estimate.</t>
  </si>
  <si>
    <t>the existing charge row → unit rate stays 4500 after the master rate changes</t>
  </si>
  <si>
    <t>TC-P2F-022</t>
  </si>
  <si>
    <t>A consultation service prevents the hardcoded ₹500 fallback</t>
  </si>
  <si>
    <t>1) Open /settings/services and confirm a consultation row exists with its fee 2) Open /opd and create a consultation 3) Read the charge raised</t>
  </si>
  <si>
    <t>The consultation bills the configured fee, not ₹500.</t>
  </si>
  <si>
    <t>MOCK_DATA_BOOK Services &amp; rates — General Consultation ₹500, Specialist Consultation ₹800</t>
  </si>
  <si>
    <t>SETTINGS_PREREQ_MATRIX names this as the headline silent failure: with no consultation row the app bills a hardcoded ₹500 with no warning. The specialist consultation at ₹800 is what makes the fallback detectable — if it bills ₹500, the lookup missed.</t>
  </si>
  <si>
    <t>service_master where hospital_id = A and code = 'CONS-SPL' → rate = 800, and the OPD charge matches</t>
  </si>
  <si>
    <t>TC-P2F-023</t>
  </si>
  <si>
    <t>Service rates render in en-IN grouping with the rupee symbol</t>
  </si>
  <si>
    <t>1) Open /settings/services 2) Locate Hernia Repair (Open) at ₹35,000 3) Read the rate as displayed</t>
  </si>
  <si>
    <t>The rate renders as ₹35,000.00 with Indian grouping.</t>
  </si>
  <si>
    <t>MOCK_DATA_BOOK Services &amp; rates — Hernia Repair (Open) ₹35,000</t>
  </si>
  <si>
    <t>This is the rate card a billing clerk reads aloud to a patient. A number without the rupee symbol or with the wrong comma position is misread at the counter.</t>
  </si>
  <si>
    <t>service_master where hospital_id = A and code = 'SURG-HERN' → rate = 35000 rendered as ₹35,000.00</t>
  </si>
  <si>
    <t>TC-P2F-024</t>
  </si>
  <si>
    <t>A service rate can be set per bed category</t>
  </si>
  <si>
    <t>1) Open /settings/services 2) Set a service_rates entry for a service by bed category 3) Save</t>
  </si>
  <si>
    <t>A service_rates row exists carrying the bed category and its rate.</t>
  </si>
  <si>
    <t>MOCK_DATA_BOOK Services &amp; rates — dialysis and physio by bed category</t>
  </si>
  <si>
    <t>SETTINGS_PREREQ_MATRIX warns of ₹0 leakage on dialysis, physio and ambulance when service_rates carries no bed_category. It is also the second link in the room-charge precedence chain after wards.rate_per_day.</t>
  </si>
  <si>
    <t>service_rates where hospital_id = A → a row exists with a bed_category and a rate</t>
  </si>
  <si>
    <t>TC-P2F-025</t>
  </si>
  <si>
    <t>A payer-specific tariff can be set for a service</t>
  </si>
  <si>
    <t>1) Open /settings/services 2) Open the payer rates section 3) Set a different rate for a TPA 4) Save</t>
  </si>
  <si>
    <t>The payer-specific rate is stored and a "Payer rates saved" confirmation appears.</t>
  </si>
  <si>
    <t>MOCK_DATA_BOOK Payers &amp; TPAs — Star Health Insurance</t>
  </si>
  <si>
    <t>Tier 0 complete; payer masters configured</t>
  </si>
  <si>
    <t>TPAs negotiate their own tariff. Billing an insured patient at the cash rate produces a claim deduction the hospital absorbs, on every single admission under that panel.</t>
  </si>
  <si>
    <t>service_rates where hospital_id = A → a payer-scoped rate row exists</t>
  </si>
  <si>
    <t>TC-P2F-026</t>
  </si>
  <si>
    <t>Consultation fees can be applied in bulk across doctors</t>
  </si>
  <si>
    <t>1) Open /settings/services 2) Use the bulk consultation-fee action 3) Confirm 4) Read the toast</t>
  </si>
  <si>
    <t>A "Consultation fees applied" confirmation appears and the affected service_master rows carry the new fee.</t>
  </si>
  <si>
    <t>MOCK_DATA_BOOK Doctors — the three seeded consultation fees</t>
  </si>
  <si>
    <t>OPD, Billing, HR</t>
  </si>
  <si>
    <t>A hospital revising consultation fees does it for every doctor at once. Doing it one at a time across a hundred consultants guarantees some are missed and quietly keep the old price.</t>
  </si>
  <si>
    <t>service_master where hospital_id = A and category = consultation → fees updated in bulk</t>
  </si>
  <si>
    <t>TC-P2F-027</t>
  </si>
  <si>
    <t>A health package saves with its rate</t>
  </si>
  <si>
    <t>1) Open /settings/services 2) Open the health packages section 3) Create Master Health Checkup at ₹3,500 4) Save</t>
  </si>
  <si>
    <t>A health_packages row exists with rate 3500.00.</t>
  </si>
  <si>
    <t>MOCK_DATA_BOOK Health package — Master Health Checkup ₹3,500</t>
  </si>
  <si>
    <t>Billing, Lab, Radiology, OPD</t>
  </si>
  <si>
    <t>SETTINGS_PREREQ_MATRIX notes that without health_packages the estimate step is empty. A package is also priced below the sum of its parts, so the package rate must win or the hospital over-charges.</t>
  </si>
  <si>
    <t>health_packages where hospital_id = A and name = 'Master Health Checkup' → rate = 3500</t>
  </si>
  <si>
    <t>TC-P2F-028</t>
  </si>
  <si>
    <t>A service can be deactivated without being deleted</t>
  </si>
  <si>
    <t>1) Open /settings/services 2) Deactivate PROC-DCI 3) Reload</t>
  </si>
  <si>
    <t>The service is marked inactive and the row still exists.</t>
  </si>
  <si>
    <t>MOCK_DATA_BOOK Phase 2 additions — Dialysis Catheter Insertion</t>
  </si>
  <si>
    <t>A discontinued service must stop appearing on the charge picker while every historical bill that used it keeps resolving its name and price. Deleting would leave old bills referencing nothing.</t>
  </si>
  <si>
    <t>service_master where hospital_id = A and code = 'PROC-DCI' → is_active = false, row present</t>
  </si>
  <si>
    <t>TC-P2F-029</t>
  </si>
  <si>
    <t>A deactivated service no longer appears on the charge picker</t>
  </si>
  <si>
    <t>1) Deactivate PROC-DCI under /settings/services 2) Open the billing charge picker 3) Search for it</t>
  </si>
  <si>
    <t>The deactivated service is not offered for new charges.</t>
  </si>
  <si>
    <t>MOCK_DATA_BOOK Phase 2 additions — Dialysis Catheter Insertion, deactivated</t>
  </si>
  <si>
    <t>A discontinued service still on the picker gets charged by a clerk who does not know it was withdrawn, and the hospital bills for something it no longer provides.</t>
  </si>
  <si>
    <t>service_master → inactive rows are absent from the billing charge picker</t>
  </si>
  <si>
    <t>TC-P2F-030</t>
  </si>
  <si>
    <t>A saved service survives a hard reload</t>
  </si>
  <si>
    <t>1) Open /settings/services 2) Create PROC-DCI 3) Hard-reload 4) Locate the service</t>
  </si>
  <si>
    <t>The service is still listed with its fee, GST and HSN intact.</t>
  </si>
  <si>
    <t>Four screens in this phase showed a green toast and wrote nothing. On the rate card, a false save means every charge for that service falls back to a default nobody chose.</t>
  </si>
  <si>
    <t>service_master where hospital_id = A and code = 'PROC-DCI' → 1 row</t>
  </si>
  <si>
    <t>TC-P2F-031</t>
  </si>
  <si>
    <t>Hospital A's service rates are invisible to Hospital B</t>
  </si>
  <si>
    <t>1) Sign in as the Hospital B administrator 2) Open /settings/services as Hospital B 3) Query service_master through the API with no hospital filter</t>
  </si>
  <si>
    <t>Not one Hospital A service row is returned.</t>
  </si>
  <si>
    <t>Multi-tenancy, Billing</t>
  </si>
  <si>
    <t>A rate card is the most commercially sensitive table a hospital owns. Leaking it to another hospital in the same city hands over its entire pricing strategy.</t>
  </si>
  <si>
    <t>service_master queried as the Hospital B admin → zero rows with hospital_id = A</t>
  </si>
  <si>
    <t>TC-P2F-032</t>
  </si>
  <si>
    <t>A receptionist cannot reach the Service Rates screen</t>
  </si>
  <si>
    <t>1) Log in as receptionist (Hospital A) 2) Navigate directly to /settings/services</t>
  </si>
  <si>
    <t>Reception raises charges but must not set what they cost. Separating the two is the most basic revenue control a hospital has, and this screen is where prices live.</t>
  </si>
  <si>
    <t>TC-P2F-033</t>
  </si>
  <si>
    <t>A doctor cannot edit service rates</t>
  </si>
  <si>
    <t>1) Log in as doctor (Hospital A) 2) Navigate directly to /settings/services</t>
  </si>
  <si>
    <t>The route is blocked, or rates are read-only with no save control.</t>
  </si>
  <si>
    <t>A doctor able to change their own consultation fee is a conflict of interest with no approval trail, and it is invisible in the billing audit because the rate simply reads as configured.</t>
  </si>
  <si>
    <t>TC-P2F-034</t>
  </si>
  <si>
    <t>The Service Rates screen loads with no red console errors</t>
  </si>
  <si>
    <t>1) Open DevTools → Console 2) Open /settings/services 3) Create and edit a service 4) Read the console</t>
  </si>
  <si>
    <t>No red console text from the service_master, service_rates or wards writes.</t>
  </si>
  <si>
    <t>This screen writes to four tables including wards and service_rates. A failure on one of them can leave the rate card half-updated with the UI reporting success.</t>
  </si>
  <si>
    <t>TC-P2F-035</t>
  </si>
  <si>
    <t>Payer Masters screen loads and lists the seeded payers</t>
  </si>
  <si>
    <t>1) Open /settings/payer-masters 2) Read the payer list</t>
  </si>
  <si>
    <t>The eight seeded payers render — Self Pay through Infosys Corporate Panel. No red console errors.</t>
  </si>
  <si>
    <t>MOCK_DATA_BOOK Payers &amp; TPAs — the eight seeded rows</t>
  </si>
  <si>
    <t>Insurance, Billing, IPD, PMJAY</t>
  </si>
  <si>
    <t>SETTINGS_PREREQ_MATRIX warns that with no payer_masters there is no insurance selection at admission, so every insured patient is admitted as cash and the claim is never raised.</t>
  </si>
  <si>
    <t>payer_masters where hospital_id = A → 8 rows</t>
  </si>
  <si>
    <t>TC-P2F-036</t>
  </si>
  <si>
    <t>A new payer saves with its ceiling, co-pay and deductible</t>
  </si>
  <si>
    <t>1) Open /settings/payer-masters 2) Add "Niva Bupa Health" as tpa with ceiling 4500, co-pay 15% and deductible 2000 3) Save</t>
  </si>
  <si>
    <t>A payer_masters row exists with those exact values.</t>
  </si>
  <si>
    <t>MOCK_DATA_BOOK Phase 2 additions — Niva Bupa Health · tpa · ceiling ₹4,500/day · co-pay 15% · deductible ₹2,000</t>
  </si>
  <si>
    <t>Insurance, Billing, IPD</t>
  </si>
  <si>
    <t>These three numbers decide how a claim is split between insurer and patient. A wrong ceiling or co-pay is a deduction the hospital absorbs, or a patient billed for money the insurer owed.</t>
  </si>
  <si>
    <t>payer_masters where hospital_id = A and name = 'Niva Bupa Health' → co-pay 15, deductible 2000</t>
  </si>
  <si>
    <t>TC-P2F-037</t>
  </si>
  <si>
    <t>Payer type "self" saves and survives a reload</t>
  </si>
  <si>
    <t>1) Open /settings/payer-masters 2) Add a payer of type "self" (e.g. Self Pay / Cash) 3) Save 4) Reload and re-open the payer</t>
  </si>
  <si>
    <t>payer_masters.payer_type = 'self' and the type still reads "self" after the reload.</t>
  </si>
  <si>
    <t>MOCK_DATA_BOOK Payers &amp; TPAs — Self Pay / Cash</t>
  </si>
  <si>
    <t>Insurance, Billing, PMJAY</t>
  </si>
  <si>
    <t>Payer type decides the entire billing path — tariff rates, package rates, ceilings or monthly invoicing. Each is tested separately because one mis-stored type routes every patient under it down the wrong billing route. This one covers the default every uncategorised patient falls to.</t>
  </si>
  <si>
    <t>payer_masters where hospital_id = A → payer_type = 'self' on the new row</t>
  </si>
  <si>
    <t>TC-P2F-038</t>
  </si>
  <si>
    <t>Payer type "tpa" saves and survives a reload</t>
  </si>
  <si>
    <t>1) Open /settings/payer-masters 2) Add a payer of type "tpa" (e.g. Star Health Insurance) 3) Save 4) Reload and re-open the payer</t>
  </si>
  <si>
    <t>payer_masters.payer_type = 'tpa' and the type still reads "tpa" after the reload.</t>
  </si>
  <si>
    <t>Payer type decides the entire billing path — tariff rates, package rates, ceilings or monthly invoicing. Each is tested separately because one mis-stored type routes every patient under it down the wrong billing route. This one covers private insurance, where the room-rent ceiling and co-pay are applied.</t>
  </si>
  <si>
    <t>payer_masters where hospital_id = A → payer_type = 'tpa' on the new row</t>
  </si>
  <si>
    <t>TC-P2F-039</t>
  </si>
  <si>
    <t>Payer type "govt" saves and survives a reload</t>
  </si>
  <si>
    <t>1) Open /settings/payer-masters 2) Add a payer of type "govt" (e.g. PMJAY / Ayushman Bharat) 3) Save 4) Reload and re-open the payer</t>
  </si>
  <si>
    <t>payer_masters.payer_type = 'govt' and the type still reads "govt" after the reload.</t>
  </si>
  <si>
    <t>MOCK_DATA_BOOK Payers &amp; TPAs — PMJAY / Ayushman Bharat</t>
  </si>
  <si>
    <t>Payer type decides the entire billing path — tariff rates, package rates, ceilings or monthly invoicing. Each is tested separately because one mis-stored type routes every patient under it down the wrong billing route. This one covers government schemes billed at package rates, not tariff.</t>
  </si>
  <si>
    <t>payer_masters where hospital_id = A → payer_type = 'govt' on the new row</t>
  </si>
  <si>
    <t>TC-P2F-040</t>
  </si>
  <si>
    <t>Payer type "corporate" saves and survives a reload</t>
  </si>
  <si>
    <t>1) Open /settings/payer-masters 2) Add a payer of type "corporate" (e.g. Infosys Corporate Panel) 3) Save 4) Reload and re-open the payer</t>
  </si>
  <si>
    <t>payer_masters.payer_type = 'corporate' and the type still reads "corporate" after the reload.</t>
  </si>
  <si>
    <t>MOCK_DATA_BOOK Payers &amp; TPAs — Infosys Corporate Panel</t>
  </si>
  <si>
    <t>Payer type decides the entire billing path — tariff rates, package rates, ceilings or monthly invoicing. Each is tested separately because one mis-stored type routes every patient under it down the wrong billing route. This one covers employer panels invoiced monthly rather than at discharge.</t>
  </si>
  <si>
    <t>payer_masters where hospital_id = A → payer_type = 'corporate' on the new row</t>
  </si>
  <si>
    <t>TC-P2F-041</t>
  </si>
  <si>
    <t>A payer cannot be saved without a name</t>
  </si>
  <si>
    <t>1) Open /settings/payer-masters 2) Add a payer leaving Payer Name blank 3) Attempt to save</t>
  </si>
  <si>
    <t>The save is refused and no payer_masters row is written.</t>
  </si>
  <si>
    <t>None — deliberately omits the required Payer Name</t>
  </si>
  <si>
    <t>An unnamed payer appears as a blank option at admission, so the clerk selects it by accident and the claim is raised against nobody.</t>
  </si>
  <si>
    <t>payer_masters where hospital_id = A and (name is null or name = '') → 0 rows</t>
  </si>
  <si>
    <t>TC-P2F-042</t>
  </si>
  <si>
    <t>A payer cannot be saved without a payer type</t>
  </si>
  <si>
    <t>1) Open /settings/payer-masters 2) Add a payer with a name but no Payer Type 3) Attempt to save</t>
  </si>
  <si>
    <t>The save is refused and no row is written.</t>
  </si>
  <si>
    <t>None — deliberately omits the required Payer Type</t>
  </si>
  <si>
    <t>Without a type the billing engine cannot tell whether to apply tariff rates, package rates or a ceiling. It falls back to cash, and the insured admission is billed to the patient.</t>
  </si>
  <si>
    <t>payer_masters where hospital_id = A → payer_type is set on every row</t>
  </si>
  <si>
    <t>TC-P2F-043</t>
  </si>
  <si>
    <t>A co-pay above 100 percent is refused</t>
  </si>
  <si>
    <t>1) Open /settings/payer-masters 2) Add a payer with co-pay 120% 3) Attempt to save</t>
  </si>
  <si>
    <t>The save is refused. No payer_masters row carries a co-pay above 100.</t>
  </si>
  <si>
    <t>phase2.invalid.discountThresholdOver100 (120)</t>
  </si>
  <si>
    <t>A co-pay over 100% means the patient pays more than the bill and the insurer contributes a negative amount. Every claim under that payer produces a nonsensical settlement.</t>
  </si>
  <si>
    <t>payer_masters where hospital_id = A → co_payment_value &lt;= 100 on every row</t>
  </si>
  <si>
    <t>TC-P2F-044</t>
  </si>
  <si>
    <t>A zero co-pay is stored deliberately</t>
  </si>
  <si>
    <t>1) Open /settings/payer-masters 2) Add HDFC ERGO with co-pay 0 3) Save 4) Check the stored value</t>
  </si>
  <si>
    <t>The co-pay stores as 0, meaning the insurer pays in full — distinct from null meaning unconfigured.</t>
  </si>
  <si>
    <t>MOCK_DATA_BOOK Payers &amp; TPAs — HDFC ERGO, co-pay 0%</t>
  </si>
  <si>
    <t>HDFC ERGO is seeded at 0% co-pay deliberately, as the contrast to Star Health at 10% and Medi Assist at 20%. If zero collapses into null the patient is charged a co-pay their policy does not carry.</t>
  </si>
  <si>
    <t>payer_masters where hospital_id = A and name = 'HDFC ERGO' → co_payment_value = 0, not null</t>
  </si>
  <si>
    <t>TC-P2F-045</t>
  </si>
  <si>
    <t>A room-rent ceiling below the room rate is stored for proportionate deduction</t>
  </si>
  <si>
    <t>1) Open /settings/payer-masters 2) Confirm HDFC ERGO carries a ₹4,000/day ceiling 3) Confirm Private Room is ₹6,000/day under /settings/wards</t>
  </si>
  <si>
    <t>The ceiling stores at 4000 against a ₹6,000 room, so a proportionate deduction is computable.</t>
  </si>
  <si>
    <t>MOCK_DATA_BOOK Payers — HDFC ERGO ₹4,000/day ceiling; Wards — Private Room ₹6,000/day</t>
  </si>
  <si>
    <t>Insurance, IPD, Billing</t>
  </si>
  <si>
    <t>Tier 0 complete; wards configured with rates</t>
  </si>
  <si>
    <t>MOCK_DATA_BOOK calls this scenario P9-S07 out by name: get the proportionate deduction wrong and it is a real argument with a real patient at the discharge counter.</t>
  </si>
  <si>
    <t>payer_masters where hospital_id = A and name = 'HDFC ERGO' → room ceiling = 4000</t>
  </si>
  <si>
    <t>TC-P2F-046</t>
  </si>
  <si>
    <t>A payer with no ceiling is stored as unlimited, not as zero</t>
  </si>
  <si>
    <t>1) Open /settings/payer-masters 2) Open Self Pay / Cash 3) Read the room ceiling</t>
  </si>
  <si>
    <t>The ceiling is null, meaning no limit — never 0, which would cap every room charge at nothing.</t>
  </si>
  <si>
    <t>MOCK_DATA_BOOK Payers &amp; TPAs — Self Pay / Cash, no ceiling</t>
  </si>
  <si>
    <t>A null ceiling meaning "unlimited" and a zero ceiling meaning "nothing allowed" are opposites. Confusing them would deduct the entire room charge from every cash patient's bill.</t>
  </si>
  <si>
    <t>payer_masters where hospital_id = A and name = 'Self Pay / Cash' → room ceiling is null</t>
  </si>
  <si>
    <t>TC-P2F-047</t>
  </si>
  <si>
    <t>A deductible saves</t>
  </si>
  <si>
    <t>1) Open /settings/payer-masters 2) Set a deductible of ₹5,000 on HDFC ERGO 3) Save 4) Reload</t>
  </si>
  <si>
    <t>The deductible persists at 5000 after the reload.</t>
  </si>
  <si>
    <t>MOCK_DATA_BOOK Payers &amp; TPAs — HDFC ERGO deductible ₹5,000</t>
  </si>
  <si>
    <t>The deductible is the first slice the patient always pays. Unset, the hospital bills the insurer for it, the claim is short-settled, and the shortfall is discovered weeks later.</t>
  </si>
  <si>
    <t>payer_masters where hospital_id = A and name = 'HDFC ERGO' → deductible = 5000</t>
  </si>
  <si>
    <t>TC-P2F-048</t>
  </si>
  <si>
    <t>Contact person and phone save against a payer</t>
  </si>
  <si>
    <t>1) Open /settings/payer-masters 2) Enter a TPA coordinator name and phone 3) Save 4) Reload</t>
  </si>
  <si>
    <t>Both persist after the reload.</t>
  </si>
  <si>
    <t>Literal TPA coordinator contact with a 10-digit phone</t>
  </si>
  <si>
    <t>A pre-authorisation query has to reach a named person at the TPA within hours. Without a contact the insurance desk hunts for a number while the patient waits for approval.</t>
  </si>
  <si>
    <t>payer_masters where hospital_id = A → contact person and phone recorded</t>
  </si>
  <si>
    <t>TC-P2F-049</t>
  </si>
  <si>
    <t>A malformed payer contact phone is rejected</t>
  </si>
  <si>
    <t>1) Open /settings/payer-masters 2) Enter Contact Phone "987650000" (9 digits) 3) Attempt to save</t>
  </si>
  <si>
    <t>A short number cannot be dialled. The insurance desk discovers it only when a pre-authorisation is already delayed and a patient is waiting on the decision.</t>
  </si>
  <si>
    <t>payer_masters where hospital_id = A → no row with a 9-digit contact phone</t>
  </si>
  <si>
    <t>TC-P2F-050</t>
  </si>
  <si>
    <t>The credit limit and payment terms save for a corporate panel</t>
  </si>
  <si>
    <t>1) Open /settings/payer-masters 2) Open Infosys Corporate Panel 3) Set Credit Limit 500000 and Payment Terms 30 days 4) Save</t>
  </si>
  <si>
    <t>Both values persist after a reload.</t>
  </si>
  <si>
    <t>Insurance, Accounts, Billing</t>
  </si>
  <si>
    <t>Corporate panels are invoiced monthly against a credit limit. Without the limit the hospital extends unlimited credit, and Indian corporate receivables already run at 60 days.</t>
  </si>
  <si>
    <t>payer_masters where hospital_id = A and name = 'Infosys Corporate Panel' → credit limit and terms recorded</t>
  </si>
  <si>
    <t>TC-P2F-051</t>
  </si>
  <si>
    <t>Editing a payer co-pay persists the new value</t>
  </si>
  <si>
    <t>1) Open /settings/payer-masters 2) Edit Niva Bupa Health 3) Change the co-pay from 15% to 25% 4) Save 5) Reload</t>
  </si>
  <si>
    <t>payer_masters co-pay = 25 after the reload.</t>
  </si>
  <si>
    <t>phase2.edit.payerCoPayPercent (15 → 25)</t>
  </si>
  <si>
    <t>TPA terms are renegotiated annually. A co-pay edit that does not persist means every claim under that panel is split on last year's terms and short-settled.</t>
  </si>
  <si>
    <t>payer_masters where hospital_id = A and name = 'Niva Bupa Health' → co-pay = 25</t>
  </si>
  <si>
    <t>TC-P2F-052</t>
  </si>
  <si>
    <t>A duplicate payer name is rejected</t>
  </si>
  <si>
    <t>1) Open /settings/payer-masters 2) Create Niva Bupa Health 3) Create it again 4) Count the rows</t>
  </si>
  <si>
    <t>Only one payer_masters row carries that name for Hospital A.</t>
  </si>
  <si>
    <t>phase2.invalid — duplicate payer Niva Bupa Health</t>
  </si>
  <si>
    <t>Two payers with one name split the claim register in half, and the admission clerk cannot tell which to pick. Reporting by payer then double-counts nothing correctly.</t>
  </si>
  <si>
    <t>payer_masters where hospital_id = A and name = 'Niva Bupa Health' → exactly 1 row</t>
  </si>
  <si>
    <t>TC-P2F-053</t>
  </si>
  <si>
    <t>A saved payer survives a hard reload</t>
  </si>
  <si>
    <t>1) Open /settings/payer-masters 2) Create Niva Bupa Health 3) Hard-reload 4) Locate the payer</t>
  </si>
  <si>
    <t>The payer is still listed with its ceiling, co-pay and deductible intact.</t>
  </si>
  <si>
    <t>MOCK_DATA_BOOK Phase 2 additions — Niva Bupa Health</t>
  </si>
  <si>
    <t>A false save here means the payer is missing at admission, so an insured patient is admitted as cash and the claim window closes before anyone notices.</t>
  </si>
  <si>
    <t>payer_masters where hospital_id = A and name = 'Niva Bupa Health' → 1 row</t>
  </si>
  <si>
    <t>TC-P2F-054</t>
  </si>
  <si>
    <t>Hospital A's payer masters are invisible to Hospital B</t>
  </si>
  <si>
    <t>1) Sign in as the Hospital B administrator 2) Open /settings/payer-masters as Hospital B 3) Query payer_masters through the API with no hospital filter</t>
  </si>
  <si>
    <t>Not one Hospital A payer row is returned.</t>
  </si>
  <si>
    <t>Multi-tenancy, Insurance</t>
  </si>
  <si>
    <t>Negotiated TPA terms are confidential commercial agreements. A hospital seeing a competitor's co-pay and ceiling terms gains a direct negotiating advantage over the same insurer.</t>
  </si>
  <si>
    <t>payer_masters queried as the Hospital B admin → zero rows with hospital_id = A</t>
  </si>
  <si>
    <t>TC-P2F-055</t>
  </si>
  <si>
    <t>A receptionist cannot edit payer masters</t>
  </si>
  <si>
    <t>1) Log in as receptionist (Hospital A) 2) Navigate directly to /settings/payer-masters</t>
  </si>
  <si>
    <t>Reception selects a payer at admission but must not change its terms. Editing a co-pay downward would silently shift cost from the patient to the hospital on every subsequent claim.</t>
  </si>
  <si>
    <t>TC-P2F-056</t>
  </si>
  <si>
    <t>The Payer Masters screen loads with no red console errors</t>
  </si>
  <si>
    <t>1) Open DevTools → Console 2) Open /settings/payer-masters 3) Create and edit a payer 4) Read the console</t>
  </si>
  <si>
    <t>No red console text from the payer_masters read or write.</t>
  </si>
  <si>
    <t>A failed write that only appears in the console leaves the insurance desk believing a panel is configured when it is not, and the failure surfaces at the next admission under that payer.</t>
  </si>
  <si>
    <t>TC-P2F-057</t>
  </si>
  <si>
    <t>GST screen loads with the hospital GSTIN</t>
  </si>
  <si>
    <t>1) Open /settings/gst 2) Read the GSTIN field</t>
  </si>
  <si>
    <t>The GSTIN matches the value on Settings → Hospital Profile. No red console errors.</t>
  </si>
  <si>
    <t>MOCK_DATA_BOOK Hospital A — GSTIN 36AABCA1234F1Z5</t>
  </si>
  <si>
    <t>Tier 0 complete; hospital GSTIN set on the profile</t>
  </si>
  <si>
    <t>The GSTIN appears on two screens. If they can disagree, invoices carry one registration and the e-invoice request another, and the IRP rejects every submission.</t>
  </si>
  <si>
    <t>hospitals where id = A → gstin matches the value shown on /settings/gst</t>
  </si>
  <si>
    <t>e2e/phase-02-settings/P2F.money.gst-approvals-razorpay.spec.ts</t>
  </si>
  <si>
    <t>TC-P2F-058</t>
  </si>
  <si>
    <t>An invalid GSTIN is rejected on the GST screen too</t>
  </si>
  <si>
    <t>1) Open /settings/gst 2) Enter GSTIN "36AAAAA0000A1Z" (14 characters) 3) Save</t>
  </si>
  <si>
    <t>The save is refused with a message naming the expected format.</t>
  </si>
  <si>
    <t>Validation on one screen and not the other lets an invalid GSTIN in through the back door. It then turns on the HSN hard-block and fails at the IRP on the first real invoice.</t>
  </si>
  <si>
    <t>TC-P2F-059</t>
  </si>
  <si>
    <t>The state code matches the GSTIN prefix</t>
  </si>
  <si>
    <t>1) Open /settings/gst 2) Read the State Code and the GSTIN 3) Compare the first two digits</t>
  </si>
  <si>
    <t>The State Code is 36 and the GSTIN begins 36 — both Telangana.</t>
  </si>
  <si>
    <t>MOCK_DATA_BOOK Hospitals — GSTIN state codes 36 Telangana, 27 Maharashtra</t>
  </si>
  <si>
    <t>MOCK_DATA_BOOK sets these codes deliberately so a wrong place-of-supply is detectable. A mismatch produces CGST/SGST where IGST is due, and the return has to be amended.</t>
  </si>
  <si>
    <t>hospitals where id = A → gstin starts with the configured state code</t>
  </si>
  <si>
    <t>TC-P2F-060</t>
  </si>
  <si>
    <t>Legal name and trade name save</t>
  </si>
  <si>
    <t>1) Open /settings/gst 2) Enter a Legal Name and Trade Name 3) Save 4) Reload</t>
  </si>
  <si>
    <t>The legal name on an e-invoice must match the GST registration exactly. A trade name that differs from the registered legal name is a rejection reason at the IRP.</t>
  </si>
  <si>
    <t>hospitals where id = A → legal and trade name recorded</t>
  </si>
  <si>
    <t>TC-P2F-061</t>
  </si>
  <si>
    <t>The place of supply saves</t>
  </si>
  <si>
    <t>1) Open /settings/gst 2) Set Place of Supply 3) Save 4) Reload</t>
  </si>
  <si>
    <t>The place of supply persists after the reload.</t>
  </si>
  <si>
    <t>MOCK_DATA_BOOK Hospital A — Telangana</t>
  </si>
  <si>
    <t>Place of supply decides the CGST/SGST versus IGST split on every invoice. Wrong, and the hospital pays the right total to the wrong heads, which requires an amended return to correct.</t>
  </si>
  <si>
    <t>hospitals where id = A → place of supply recorded</t>
  </si>
  <si>
    <t>TC-P2F-062</t>
  </si>
  <si>
    <t>The IRP credentials save</t>
  </si>
  <si>
    <t>1) Open /settings/gst 2) Enter IRP Username, Password, Client ID and Client Secret 3) Save 4) Reload</t>
  </si>
  <si>
    <t>The credentials persist and the secret fields are not displayed in plain text after the reload.</t>
  </si>
  <si>
    <t>Literal sandbox IRP credentials — no production secret is used</t>
  </si>
  <si>
    <t>Without IRP credentials no e-invoice can be generated, so bills above the threshold cannot be issued legally. The secrets must also not be echoed back in plain text on a shared screen.</t>
  </si>
  <si>
    <t>the API configuration row → IRP credentials stored, secrets masked in the UI</t>
  </si>
  <si>
    <t>TC-P2F-063</t>
  </si>
  <si>
    <t>IRP secrets are never rendered in plain text</t>
  </si>
  <si>
    <t>1) Open /settings/gst 2) Enter an IRP password and client secret 3) Save 4) Reload 5) Inspect the fields</t>
  </si>
  <si>
    <t>The stored secrets render masked. The plain value does not appear in the DOM.</t>
  </si>
  <si>
    <t>Literal sandbox IRP credentials</t>
  </si>
  <si>
    <t>GST, Security</t>
  </si>
  <si>
    <t>These credentials authorise invoice generation under the hospital's GST registration. Rendered in plain text on a settings screen, anyone who walks past a logged-in terminal can copy them.</t>
  </si>
  <si>
    <t>None — inspects the rendered field type and DOM content</t>
  </si>
  <si>
    <t>TC-P2F-064</t>
  </si>
  <si>
    <t>The IRP base URL saves</t>
  </si>
  <si>
    <t>1) Open /settings/gst 2) Enter the sandbox base URL 3) Save 4) Reload</t>
  </si>
  <si>
    <t>The base URL persists after the reload.</t>
  </si>
  <si>
    <t>Literal sandbox base URL https://einvoice1-uat.nic.in</t>
  </si>
  <si>
    <t>GST, Billing</t>
  </si>
  <si>
    <t>Pointing at the wrong base URL sends real invoices to the sandbox — they appear to succeed and no legally valid IRN is ever generated.</t>
  </si>
  <si>
    <t>the API configuration row → IRP base URL recorded</t>
  </si>
  <si>
    <t>TC-P2F-065</t>
  </si>
  <si>
    <t>GST mode "Sandbox" saves</t>
  </si>
  <si>
    <t>1) Open /settings/gst 2) Select Mode "Sandbox" 3) Save 4) Reload</t>
  </si>
  <si>
    <t>The mode reads Sandbox after the reload.</t>
  </si>
  <si>
    <t>The Mode options on SettingsGSTPage — Sandbox</t>
  </si>
  <si>
    <t>SETTINGS_PREREQ_MATRIX requires every new API integration to be tested in sandbox first. A mode that will not stay on Sandbox forces testing against the live IRP with real invoice numbers.</t>
  </si>
  <si>
    <t>the API configuration row → mode = sandbox</t>
  </si>
  <si>
    <t>TC-P2F-066</t>
  </si>
  <si>
    <t>GST mode "Production" saves</t>
  </si>
  <si>
    <t>1) Open /settings/gst 2) Select Mode "Production" 3) Save 4) Reload</t>
  </si>
  <si>
    <t>The mode reads Production after the reload.</t>
  </si>
  <si>
    <t>The Mode options on SettingsGSTPage — Production</t>
  </si>
  <si>
    <t>Both modes must round-trip. A hospital stuck in sandbox generates invoices with no legal IRN and does not discover it until the GST return will not reconcile.</t>
  </si>
  <si>
    <t>the API configuration row → mode = production</t>
  </si>
  <si>
    <t>TC-P2F-067</t>
  </si>
  <si>
    <t>Switching to Production warns that live invoices will be generated</t>
  </si>
  <si>
    <t>1) Open /settings/gst 2) Switch Mode from Sandbox to Production 3) Read the screen</t>
  </si>
  <si>
    <t>A warning states that live IRNs will be generated against the hospital's real GST registration.</t>
  </si>
  <si>
    <t>The Mode options on SettingsGSTPage</t>
  </si>
  <si>
    <t>An IRN generated in production cannot be un-issued; it can only be cancelled within 24 hours. Flipping this toggle by accident during configuration creates real tax documents.</t>
  </si>
  <si>
    <t>None — reads the mode-change warning</t>
  </si>
  <si>
    <t>TC-P2F-068</t>
  </si>
  <si>
    <t>Setting the GSTIN turns on the HSN hard-block at bill finalisation</t>
  </si>
  <si>
    <t>1) Set a valid GSTIN under /settings/gst 2) Ensure a service exists with no HSN 3) Attempt to finalise a bill containing that service</t>
  </si>
  <si>
    <t>Finalisation is blocked with a message naming the line that lacks an HSN.</t>
  </si>
  <si>
    <t>phase2.invalid.serviceWithoutHsn (SERV-PHYH, HSN blank)</t>
  </si>
  <si>
    <t>Tier 0 complete; a service without an HSN exists</t>
  </si>
  <si>
    <t>SETTINGS_PREREQ_MATRIX describes this as deliberate. The block is correct, but it must name the offending line — otherwise the billing clerk sees only "cannot finalise" with a patient waiting.</t>
  </si>
  <si>
    <t>service_master rows lacking hsn_code → bill finalisation blocked with a named line</t>
  </si>
  <si>
    <t>TC-P2F-069</t>
  </si>
  <si>
    <t>GST settings survive a hard reload</t>
  </si>
  <si>
    <t>1) Open /settings/gst 2) Save the GSTIN, state code and mode 3) Hard-reload 4) Re-read all three</t>
  </si>
  <si>
    <t>All three values are still shown after the reload.</t>
  </si>
  <si>
    <t>MOCK_DATA_BOOK Hospital A — GSTIN 36AABCA1234F1Z5, state 36</t>
  </si>
  <si>
    <t>A false save here leaves the hospital believing e-invoicing is configured. The failure surfaces at the first invoice above the threshold, which is a legal filing obligation with a deadline.</t>
  </si>
  <si>
    <t>hospitals where id = A → GST configuration persists</t>
  </si>
  <si>
    <t>TC-P2F-070</t>
  </si>
  <si>
    <t>Hospital A's GST configuration is invisible to Hospital B</t>
  </si>
  <si>
    <t>1) Sign in as the Hospital B administrator 2) Open /settings/gst as Hospital B 3) Read the GSTIN</t>
  </si>
  <si>
    <t>Hospital B shows GSTIN 27AABTS5678K1Z9 — its own Maharashtra registration, never Hospital A's.</t>
  </si>
  <si>
    <t>MOCK_DATA_BOOK Hospitals — GSTIN 36 (Telangana) versus 27 (Maharashtra)</t>
  </si>
  <si>
    <t>Multi-tenancy, GST, Billing</t>
  </si>
  <si>
    <t>A GSTIN is a legal tax identity. One hospital raising invoices under another's registration is a tax offence with consequences for both parties.</t>
  </si>
  <si>
    <t>TC-P2F-071</t>
  </si>
  <si>
    <t>A billing executive cannot change the GST configuration</t>
  </si>
  <si>
    <t>1) Log in as billing_executive (Hospital A) 2) Navigate directly to /settings/gst</t>
  </si>
  <si>
    <t>The route is blocked, or the IRP credentials are not rendered.</t>
  </si>
  <si>
    <t>MOCK_DATA_BOOK Staff logins — billing_executive (Hospital A), Mr. Rajesh Gupta</t>
  </si>
  <si>
    <t>GST, Billing, Security</t>
  </si>
  <si>
    <t>Billing staff raise invoices; they must not hold the credentials that authorise invoice generation under the hospital's tax registration. Separating the two is a basic financial control.</t>
  </si>
  <si>
    <t>billing_executive (Hospital A)</t>
  </si>
  <si>
    <t>TC-P2F-072</t>
  </si>
  <si>
    <t>The GST screen loads with no red console errors</t>
  </si>
  <si>
    <t>1) Open DevTools → Console 2) Open /settings/gst 3) Save the configuration 4) Read the console</t>
  </si>
  <si>
    <t>No red console text, and no credential value echoed into a console message.</t>
  </si>
  <si>
    <t>No PHI or secret must ever appear in a console message. An IRP secret logged to the console is captured by any browser extension the hospital has installed.</t>
  </si>
  <si>
    <t>TC-P2F-073</t>
  </si>
  <si>
    <t>Approval Rules screen loads</t>
  </si>
  <si>
    <t>1) Open /settings/approvals 2) Read the form</t>
  </si>
  <si>
    <t>The discount tiers, approver selectors and clinical approval toggles render. No red console errors.</t>
  </si>
  <si>
    <t>MOCK_DATA_BOOK Discount approval rules — ≤20% auto, &gt;20% admin, &gt;50% admin + CFO</t>
  </si>
  <si>
    <t>Billing, Quality, IPD</t>
  </si>
  <si>
    <t>SETTINGS_PREREQ_MATRIX is blunt about the failure mode: with no discount_approval_rules, EVERY discount auto-approves and there is no approval workflow at all.</t>
  </si>
  <si>
    <t>hospital_settings where hospital_id = A and key = discount rules → matches what is displayed</t>
  </si>
  <si>
    <t>TC-P2F-074</t>
  </si>
  <si>
    <t>A discount approval tier saves</t>
  </si>
  <si>
    <t>1) Open /settings/approvals 2) Set the tier-2 threshold to 20% 3) Save 4) Reload</t>
  </si>
  <si>
    <t>The threshold persists at 20% after the reload.</t>
  </si>
  <si>
    <t>phase2.entry./settings/approvals — tier2Percent 20</t>
  </si>
  <si>
    <t>The threshold is the line between an auto-approved discount and one that needs a signature. Unsaved, it defaults to permitting everything, and a 50% discount is granted at the counter with no approval.</t>
  </si>
  <si>
    <t>hospital_settings → the discount tier threshold = 20</t>
  </si>
  <si>
    <t>TC-P2F-075</t>
  </si>
  <si>
    <t>A discount threshold above 100 percent is refused</t>
  </si>
  <si>
    <t>1) Open /settings/approvals 2) Set a threshold of 120% 3) Attempt to save</t>
  </si>
  <si>
    <t>The save is refused with a message naming the 0–100 range.</t>
  </si>
  <si>
    <t>A threshold above 100% can never be exceeded, so the approval tier below it becomes unreachable and every discount auto-approves — the exact failure the rules exist to prevent.</t>
  </si>
  <si>
    <t>hospital_settings → no discount threshold above 100</t>
  </si>
  <si>
    <t>TC-P2F-076</t>
  </si>
  <si>
    <t>A negative discount threshold is refused</t>
  </si>
  <si>
    <t>1) Open /settings/approvals 2) Set a threshold of -5% 3) Attempt to save</t>
  </si>
  <si>
    <t>The save is refused.</t>
  </si>
  <si>
    <t>A negative threshold is exceeded by every discount including zero, so every single bill would require approval and the billing counter stops.</t>
  </si>
  <si>
    <t>hospital_settings → no discount threshold below 0</t>
  </si>
  <si>
    <t>TC-P2F-077</t>
  </si>
  <si>
    <t>The three seeded discount tiers are ordered correctly</t>
  </si>
  <si>
    <t>1) Open /settings/approvals 2) Read the tier thresholds 3) Confirm they ascend</t>
  </si>
  <si>
    <t>Tiers read ≤20% auto-approved, &gt;20% needs hospital_admin, &gt;50% needs hospital_admin and CFO — strictly ascending.</t>
  </si>
  <si>
    <t>MOCK_DATA_BOOK Discount approval rules — 20% and 50% thresholds</t>
  </si>
  <si>
    <t>Out-of-order tiers make the higher approval unreachable. A 55% discount would match the 20% tier first and be approved by one signature instead of two.</t>
  </si>
  <si>
    <t>hospital_settings → discount tiers ascend without overlap</t>
  </si>
  <si>
    <t>TC-P2F-078</t>
  </si>
  <si>
    <t>The approver role for a tier saves</t>
  </si>
  <si>
    <t>1) Open /settings/approvals 2) Set "Who can approve this tier" for the &gt;50% tier to hospital_admin and cfo 3) Save 4) Reload</t>
  </si>
  <si>
    <t>Both approver roles persist after the reload.</t>
  </si>
  <si>
    <t>MOCK_DATA_BOOK Discount approval rules — &gt;50% requires hospital_admin and cfo</t>
  </si>
  <si>
    <t>Billing, Accounts, RBAC</t>
  </si>
  <si>
    <t>Dual approval on a 55% discount is the control that stops one person writing off half a bill. If only one approver saves, the second signature is never requested.</t>
  </si>
  <si>
    <t>hospital_settings → the &gt;50% tier lists both approver roles</t>
  </si>
  <si>
    <t>TC-P2F-079</t>
  </si>
  <si>
    <t>A tier cannot be saved with no approver</t>
  </si>
  <si>
    <t>1) Open /settings/approvals 2) Clear the approvers on a tier that requires approval 3) Attempt to save</t>
  </si>
  <si>
    <t>The save is refused. A tier requiring approval must name at least one approver.</t>
  </si>
  <si>
    <t>None — deliberately clears the required approver list</t>
  </si>
  <si>
    <t>A tier with no approver either blocks the discount forever or fails open and approves it automatically. Both are wrong, and which one happens is not obvious from this screen.</t>
  </si>
  <si>
    <t>hospital_settings → every approval tier names at least one approver</t>
  </si>
  <si>
    <t>TC-P2F-080</t>
  </si>
  <si>
    <t>A discount below the threshold is auto-approved and audited</t>
  </si>
  <si>
    <t>1) Open /settings/approvals and confirm the tier-1 threshold is 20% 2) Open /billing, raise a bill and apply a 15% discount 3) Check the approval state and the audit row</t>
  </si>
  <si>
    <t>The discount is auto-approved and an audit row records who applied it.</t>
  </si>
  <si>
    <t>MOCK_DATA_BOOK Values used across many tests — discount below threshold 15%</t>
  </si>
  <si>
    <t>Billing, Accounts, Audit</t>
  </si>
  <si>
    <t>Tier 0 complete; approval rules configured</t>
  </si>
  <si>
    <t>Auto-approval is correct below the threshold, but unaudited it means nobody can later see who granted a discount. MOCK_DATA_BOOK specifies an audit row is written even on auto-approval.</t>
  </si>
  <si>
    <t>the discount audit row → written for a 15% auto-approved discount</t>
  </si>
  <si>
    <t>TC-P2F-081</t>
  </si>
  <si>
    <t>A discount above the threshold requires administrator approval</t>
  </si>
  <si>
    <t>1) Open /settings/approvals and confirm the tier-2 threshold is 20% 2) Open /billing, raise a bill and apply a 35% discount 3) Observe the approval requirement</t>
  </si>
  <si>
    <t>The discount is held pending hospital_admin approval and is not applied until approved.</t>
  </si>
  <si>
    <t>MOCK_DATA_BOOK Values used across many tests — discount above threshold 35%</t>
  </si>
  <si>
    <t>This is the whole point of the rules. If a 35% discount applies without approval, the control exists only on the settings screen and not in the billing flow.</t>
  </si>
  <si>
    <t>the discount record → status pending, not applied, until approved</t>
  </si>
  <si>
    <t>TC-P2F-082</t>
  </si>
  <si>
    <t>A discount above the upper tier requires two approvals</t>
  </si>
  <si>
    <t>1) Open /settings/approvals and confirm the tier-3 threshold is 50% 2) Open /billing, raise a bill and apply a 55% discount 3) Observe the approval requirement</t>
  </si>
  <si>
    <t>The discount requires both hospital_admin and cfo approval, and one alone does not release it.</t>
  </si>
  <si>
    <t>MOCK_DATA_BOOK Values used across many tests — discount needing dual approval 55%</t>
  </si>
  <si>
    <t>Dual approval is the control against a single person writing off more than half a bill. If one signature releases it, the second approver is decorative.</t>
  </si>
  <si>
    <t>the discount record → remains pending until both approvals are recorded</t>
  </si>
  <si>
    <t>TC-P2F-083</t>
  </si>
  <si>
    <t>The maximum discount amount saves alongside the percentage</t>
  </si>
  <si>
    <t>1) Open /settings/approvals 2) Set a Maximum Amount for a tier 3) Save 4) Reload</t>
  </si>
  <si>
    <t>The amount persists and is applied alongside the percentage cap.</t>
  </si>
  <si>
    <t>The Maximum Amount (₹) field on SettingsApprovalsPage</t>
  </si>
  <si>
    <t>A 15% discount is trivial on a ₹500 consultation and ₹5,250 on a ₹35,000 surgery. Without an absolute cap the percentage tier lets large write-offs through unapproved.</t>
  </si>
  <si>
    <t>hospital_settings → the tier maximum amount is recorded</t>
  </si>
  <si>
    <t>TC-P2F-084</t>
  </si>
  <si>
    <t>Clinical approval toggles save</t>
  </si>
  <si>
    <t>1) Open /settings/approvals 2) Toggle Restricted Antibiotics, Blood Transfusion and LAMA 3) Save 4) Reload</t>
  </si>
  <si>
    <t>All three toggles persist after the reload.</t>
  </si>
  <si>
    <t>The clinical approval toggles on SettingsApprovalsPage</t>
  </si>
  <si>
    <t>Pharmacy, Blood Bank, IPD, Quality</t>
  </si>
  <si>
    <t>Restricted-antibiotic approval is an antimicrobial stewardship control NABH expects, and LAMA requires a documented sign-off because the patient is leaving against advice. Neither can be enforced if the toggle does not persist.</t>
  </si>
  <si>
    <t>hospital_settings → all three clinical approval toggles persist</t>
  </si>
  <si>
    <t>TC-P2F-085</t>
  </si>
  <si>
    <t>Approval rules survive a hard reload</t>
  </si>
  <si>
    <t>1) Open /settings/approvals 2) Set the thresholds and approvers 3) Save 4) Hard-reload 5) Re-read</t>
  </si>
  <si>
    <t>Every threshold, approver and toggle is still set after the reload.</t>
  </si>
  <si>
    <t>MOCK_DATA_BOOK Discount approval rules — the three tiers</t>
  </si>
  <si>
    <t>Billing, Quality</t>
  </si>
  <si>
    <t>A false save leaves the hospital believing approvals are enforced while every discount auto-approves. That is not a missing feature — it is a control the finance team believes exists and does not.</t>
  </si>
  <si>
    <t>hospital_settings → the discount rules key persists with all tiers</t>
  </si>
  <si>
    <t>TC-P2F-086</t>
  </si>
  <si>
    <t>Hospital A's approval rules are invisible to Hospital B</t>
  </si>
  <si>
    <t>1) Sign in as the Hospital B administrator 2) Open /settings/approvals as Hospital B 3) Query hospital_settings through the API with no hospital filter</t>
  </si>
  <si>
    <t>Not one Hospital A approval-rules row is returned.</t>
  </si>
  <si>
    <t>hospital_settings has no per-role RLS, so tenant isolation is the only protection this table has. One hospital reading another's discount thresholds learns its pricing latitude.</t>
  </si>
  <si>
    <t>TC-P2F-087</t>
  </si>
  <si>
    <t>A billing executive cannot change the approval thresholds</t>
  </si>
  <si>
    <t>1) Log in as billing_executive (Hospital A) 2) Navigate directly to /settings/approvals</t>
  </si>
  <si>
    <t>Billing, Accounts, Security</t>
  </si>
  <si>
    <t>The person applying discounts must not set the threshold above which approval is needed. Allowing it removes the control entirely, and the audit trail would show every discount as legitimately auto-approved.</t>
  </si>
  <si>
    <t>TC-P2F-088</t>
  </si>
  <si>
    <t>The Approval Rules screen loads with no red console errors</t>
  </si>
  <si>
    <t>1) Open DevTools → Console 2) Open /settings/approvals 3) Save the rules 4) Read the console</t>
  </si>
  <si>
    <t>No red console text from the hospital_settings upsert.</t>
  </si>
  <si>
    <t>The rules are stored as a JSON blob under a hospital_settings key. A malformed blob rejected by Postgres would surface only here, while the UI reports the rules saved.</t>
  </si>
  <si>
    <t>TC-P2F-089</t>
  </si>
  <si>
    <t>Razorpay screen loads</t>
  </si>
  <si>
    <t>1) Open /settings/razorpay 2) Read the form</t>
  </si>
  <si>
    <t>Mode, Key ID, Key Secret, UPI ID and the payment toggles render. No red console errors.</t>
  </si>
  <si>
    <t>phase2.entry./settings/razorpay — keyId rzp_test_QA0000000000, mode Test Mode</t>
  </si>
  <si>
    <t>Payments, Billing, Patient Portal</t>
  </si>
  <si>
    <t>SETTINGS_PREREQ_MATRIX warns that without Razorpay keys in api_configurations, payment links are dead. The patient receives a link that does nothing and the hospital never sees the money.</t>
  </si>
  <si>
    <t>api_configurations where hospital_id = A → the Razorpay row matches what is displayed</t>
  </si>
  <si>
    <t>TC-P2F-090</t>
  </si>
  <si>
    <t>The Razorpay key ID and secret save</t>
  </si>
  <si>
    <t>1) Open /settings/razorpay 2) Enter Key ID rzp_test_QA0000000000 and a test Key Secret 3) Save 4) Reload</t>
  </si>
  <si>
    <t>The key ID persists and the secret is stored but rendered masked.</t>
  </si>
  <si>
    <t>phase2.entry./settings/razorpay — keyId rzp_test_QA0000000000 (test credentials only)</t>
  </si>
  <si>
    <t>Payments, Billing</t>
  </si>
  <si>
    <t>Without both values no payment link can be generated. The secret must be stored but never re-displayed, because it authorises charges against the hospital's merchant account.</t>
  </si>
  <si>
    <t>api_configurations where hospital_id = A → Razorpay key_id = 'rzp_test_QA0000000000'</t>
  </si>
  <si>
    <t>TC-P2F-091</t>
  </si>
  <si>
    <t>The Razorpay key secret is never rendered in plain text</t>
  </si>
  <si>
    <t>1) Open /settings/razorpay 2) Save a key secret 3) Reload 4) Inspect the field and the DOM</t>
  </si>
  <si>
    <t>The secret renders masked and the plain value is not present in the DOM.</t>
  </si>
  <si>
    <t>phase2.entry./settings/razorpay — a test key secret</t>
  </si>
  <si>
    <t>Payments, Security</t>
  </si>
  <si>
    <t>The key secret can authorise refunds and charges against the hospital's merchant account. Anyone who walks past a logged-in settings screen could copy it.</t>
  </si>
  <si>
    <t>TC-P2F-092</t>
  </si>
  <si>
    <t>Razorpay mode "Test Mode" saves</t>
  </si>
  <si>
    <t>1) Open /settings/razorpay 2) Select Test Mode 3) Save 4) Reload</t>
  </si>
  <si>
    <t>The mode reads Test Mode after the reload.</t>
  </si>
  <si>
    <t>phase2.entry./settings/razorpay — mode Test Mode</t>
  </si>
  <si>
    <t>Payments</t>
  </si>
  <si>
    <t>SETTINGS_PREREQ_MATRIX requires sandbox testing before any integration goes live. A mode that will not hold on Test forces configuration testing against real card charges.</t>
  </si>
  <si>
    <t>api_configurations where hospital_id = A → Razorpay mode = test</t>
  </si>
  <si>
    <t>TC-P2F-093</t>
  </si>
  <si>
    <t>Razorpay mode "Live Mode" saves</t>
  </si>
  <si>
    <t>1) Open /settings/razorpay 2) Select Live Mode 3) Save 4) Reload</t>
  </si>
  <si>
    <t>The mode reads Live Mode after the reload.</t>
  </si>
  <si>
    <t>The Mode options on SettingsRazorpayPage — Live Mode</t>
  </si>
  <si>
    <t>Both modes must round-trip. A hospital stuck in test mode takes payments that never settle, and discovers it when the bank reconciliation shows nothing arrived.</t>
  </si>
  <si>
    <t>api_configurations where hospital_id = A → Razorpay mode = live</t>
  </si>
  <si>
    <t>TC-P2F-094</t>
  </si>
  <si>
    <t>A test key cannot be saved against Live Mode</t>
  </si>
  <si>
    <t>1) Open /settings/razorpay 2) Select Live Mode 3) Enter a key ID beginning rzp_test_ 4) Save</t>
  </si>
  <si>
    <t>The mismatch is flagged. A test key under Live Mode is refused or clearly warned about.</t>
  </si>
  <si>
    <t>phase2.entry./settings/razorpay — keyId rzp_test_QA0000000000 with Live Mode</t>
  </si>
  <si>
    <t>A test key in live mode makes every payment link fail at the moment a patient tries to pay. The error surfaces to the patient, not to the hospital, and it looks like the hospital cannot take money.</t>
  </si>
  <si>
    <t>api_configurations → a test key is not stored against live mode without a warning</t>
  </si>
  <si>
    <t>TC-P2F-095</t>
  </si>
  <si>
    <t>The UPI ID saves for QR code generation</t>
  </si>
  <si>
    <t>1) Open /settings/razorpay 2) Enter a UPI ID 3) Save 4) Reload</t>
  </si>
  <si>
    <t>The UPI ID persists after the reload.</t>
  </si>
  <si>
    <t>Literal UPI ID hospital@upi (the placeholder the field suggests)</t>
  </si>
  <si>
    <t>UPI is how most Indian outpatients pay. A missing UPI ID means no QR code at the counter and the queue falls back to cash, which then has to be reconciled by hand at day closure.</t>
  </si>
  <si>
    <t>api_configurations where hospital_id = A → UPI ID recorded</t>
  </si>
  <si>
    <t>TC-P2F-096</t>
  </si>
  <si>
    <t>A malformed UPI ID is rejected</t>
  </si>
  <si>
    <t>1) Open /settings/razorpay 2) Enter UPI ID "hospital-upi" with no @ 3) Attempt to save</t>
  </si>
  <si>
    <t>The save is refused with a message naming the expected handle@provider format.</t>
  </si>
  <si>
    <t>Literal malformed UPI ID hospital-upi</t>
  </si>
  <si>
    <t>A malformed UPI ID produces a QR code that no payment app can resolve. The patient scans it at the counter, it fails, and the queue stalls.</t>
  </si>
  <si>
    <t>api_configurations → no UPI ID stored without an @ separator</t>
  </si>
  <si>
    <t>TC-P2F-097</t>
  </si>
  <si>
    <t>The part-payment and auto-receipt toggles save</t>
  </si>
  <si>
    <t>1) Open /settings/razorpay 2) Toggle Allow Part Payments and Auto-send Receipt 3) Save 4) Reload</t>
  </si>
  <si>
    <t>Both toggles persist after the reload.</t>
  </si>
  <si>
    <t>The Allow Part Payments and Auto-send Receipt toggles on SettingsRazorpayPage</t>
  </si>
  <si>
    <t>Part payments are how a patient who cannot clear a bill at discharge pays in instalments. If the toggle does not persist, the counter can only take the full amount and the patient leaves owing with no record.</t>
  </si>
  <si>
    <t>api_configurations where hospital_id = A → both payment toggles persist</t>
  </si>
  <si>
    <t>TC-P2F-098</t>
  </si>
  <si>
    <t>Hospital A's payment credentials are invisible to Hospital B</t>
  </si>
  <si>
    <t>1) Sign in as the Hospital B administrator 2) Open /settings/razorpay as Hospital B 3) Query api_configurations through the API with no hospital filter</t>
  </si>
  <si>
    <t>Not one Hospital A payment credential row is returned.</t>
  </si>
  <si>
    <t>Multi-tenancy, Payments, Security</t>
  </si>
  <si>
    <t>A payment gateway key authorises charges and refunds against a merchant account. Leaking one across tenants lets a hospital take money into another hospital's account, or refund from it.</t>
  </si>
  <si>
    <t>api_configurations queried as the Hospital B admin → zero rows with hospital_id = A</t>
  </si>
  <si>
    <t>TC-P2F-099</t>
  </si>
  <si>
    <t>A billing executive cannot change the Razorpay credentials</t>
  </si>
  <si>
    <t>1) Log in as billing_executive (Hospital A) 2) Navigate directly to /settings/razorpay</t>
  </si>
  <si>
    <t>The route is blocked, or the key fields are not rendered.</t>
  </si>
  <si>
    <t>Changing the merchant key redirects where patient payments settle. That is the single highest-value fraud target in the product, and billing staff have no reason to touch it.</t>
  </si>
  <si>
    <t>TC-P2F-100</t>
  </si>
  <si>
    <t>The Razorpay screen loads with no red console errors</t>
  </si>
  <si>
    <t>1) Open DevTools → Console 2) Open /settings/razorpay 3) Save the configuration 4) Read the console</t>
  </si>
  <si>
    <t>No red console text, and no key or secret echoed into a console message.</t>
  </si>
  <si>
    <t>phase2.entry./settings/razorpay — test credentials only</t>
  </si>
  <si>
    <t>A merchant secret logged to the console is captured by any browser extension the hospital has installed. No secret must ever appear in console output.</t>
  </si>
  <si>
    <t>TC-P2G-001</t>
  </si>
  <si>
    <t>2G Clinical Masters &amp; Alerts</t>
  </si>
  <si>
    <t>Lab Test Master loads and lists the seeded tests</t>
  </si>
  <si>
    <t>1) Log in as hospital_admin (Hospital A) 2) Open /settings/lab-tests 3) Read the test catalogue</t>
  </si>
  <si>
    <t>All fifteen seeded tests render, from Complete Blood Count through Blood Culture. No red console errors.</t>
  </si>
  <si>
    <t>MOCK_DATA_BOOK Lab test master — the fifteen seeded rows</t>
  </si>
  <si>
    <t>Lab, OPD, IPD, Billing</t>
  </si>
  <si>
    <t>SETTINGS_PREREQ_MATRIX warns the OPD→Lab handoff is an exact, case-insensitive match on lab_test_master.test_name. A test the doctor typed that is not in this catalogue is SILENTLY DROPPED from the order — the patient never gets the test.</t>
  </si>
  <si>
    <t>lab_test_master where hospital_id = A → 15 rows</t>
  </si>
  <si>
    <t>e2e/phase-02-settings/P2G.clinical.lab-drugs.spec.ts</t>
  </si>
  <si>
    <t>TC-P2G-002</t>
  </si>
  <si>
    <t>A new lab test saves with its fee, unit, range and TAT</t>
  </si>
  <si>
    <t>1) Open /settings/lab-tests 2) Add "Serum Phosphorus" code PHOS, sample Serum, fee 220, unit mg/dL, range 2.5-4.5, TAT 120 3) Save</t>
  </si>
  <si>
    <t>A lab_test_master row exists with fee 220, unit mg/dL, normal_min 2.5, normal_max 4.5 and tat_minutes 120.</t>
  </si>
  <si>
    <t>MOCK_DATA_BOOK Phase 2 additions — Serum Phosphorus · PHOS · Serum · ₹220 · mg/dL · 2.5–4.5 · 120 min</t>
  </si>
  <si>
    <t>Lab, Billing, OPD</t>
  </si>
  <si>
    <t>This is the complete, correct row everything else is measured against. Each field drives a different downstream behaviour — fee bills, range flags abnormal, TAT drives the delay alert.</t>
  </si>
  <si>
    <t>lab_test_master where hospital_id = A and code = 'PHOS' → fee = 220, normal_min = 2.5, normal_max = 4.5</t>
  </si>
  <si>
    <t>TC-P2G-003</t>
  </si>
  <si>
    <t>A lab test saved without a normal range cannot flag an abnormal result</t>
  </si>
  <si>
    <t>1) Open /settings/lab-tests 2) Add "Serum Magnesium" code MG, sample Serum, fee 240, unit mg/dL, leaving Normal Min and Max blank 3) Save 4) Inspect the row</t>
  </si>
  <si>
    <t>The row saves but is visibly flagged as having no reference range. Results for it can never be marked abnormal.</t>
  </si>
  <si>
    <t>phase2.invalid.labTestWithoutRange (Serum Magnesium · MG · ₹240 · no range)</t>
  </si>
  <si>
    <t>Lab, IPD, OPD</t>
  </si>
  <si>
    <t>SETTINGS_PREREQ_MATRIX states it plainly: no normal range means no abnormal flag and NO CRITICAL ALERT. A dangerously abnormal magnesium would be reported as an unremarkable number and nobody would be paged.</t>
  </si>
  <si>
    <t>lab_test_master where hospital_id = A and code = 'MG' → normal_min is null, normal_max is null, and the row is flagged</t>
  </si>
  <si>
    <t>TC-P2G-004</t>
  </si>
  <si>
    <t>A normal range with the minimum above the maximum is refused</t>
  </si>
  <si>
    <t>1) Open /settings/lab-tests 2) Add a test with Normal Min 5.0 and Normal Max 2.0 3) Attempt to save</t>
  </si>
  <si>
    <t>The save is refused with a message naming the range order.</t>
  </si>
  <si>
    <t>phase2.invalid.normalRangeInverted (min 5.0, max 2.0)</t>
  </si>
  <si>
    <t>Lab, IPD</t>
  </si>
  <si>
    <t>An inverted range matches nothing, so every result falls outside it — or inside it, depending on the comparison. Either way the abnormal flag becomes noise and clinicians stop trusting it.</t>
  </si>
  <si>
    <t>lab_test_master where hospital_id = A → no row with normal_min &gt; normal_max</t>
  </si>
  <si>
    <t>TC-P2G-005</t>
  </si>
  <si>
    <t>Critical low and high values save separately from the normal range</t>
  </si>
  <si>
    <t>1) Open /settings/lab-tests 2) Open Serum Potassium 3) Set Critical High 6.0 4) Save 5) Reload</t>
  </si>
  <si>
    <t>The critical high persists at 6.0, distinct from the normal max of 5.1.</t>
  </si>
  <si>
    <t>MOCK_DATA_BOOK Phase 2 additions — Clinical Thresholds: Serum Potassium critical high 6.0</t>
  </si>
  <si>
    <t>Lab, IPD, Nursing, Emergency</t>
  </si>
  <si>
    <t>Normal range flags a result as abnormal; critical value pages a doctor. Potassium of 5.5 is abnormal and 7.2 is a cardiac emergency — collapsing the two either floods the ward with alerts or misses the one that matters.</t>
  </si>
  <si>
    <t>lab_test_master where hospital_id = A and code = 'K' → critical high = 6.0, normal_max = 5.1</t>
  </si>
  <si>
    <t>TC-P2G-006</t>
  </si>
  <si>
    <t>The critical potassium value fires an alert at 7.2</t>
  </si>
  <si>
    <t>1) Open /settings/lab-tests and confirm Serum Potassium carries a normal range of 3.5–5.1 2) Open /lab and enter a result of 7.2 for a patient 3) Observe the alert</t>
  </si>
  <si>
    <t>A critical alert fires immediately for the 7.2 result.</t>
  </si>
  <si>
    <t>MOCK_DATA_BOOK Values used across many tests — critical potassium 7.2 mEq/L</t>
  </si>
  <si>
    <t>Tier 0 complete; Serum Potassium configured with its range</t>
  </si>
  <si>
    <t>MOCK_DATA_BOOK names Serum Potassium as THE critical-value test and scenario P5-S07 enters 7.2 deliberately. A potassium of 7.2 causes fatal arrhythmia — an alert that does not fire is the most direct patient-safety failure in the lab module.</t>
  </si>
  <si>
    <t>lab_test_master where hospital_id = A and code = 'K' → normal 3.5–5.1, and a 7.2 result raises a critical alert</t>
  </si>
  <si>
    <t>TC-P2G-007</t>
  </si>
  <si>
    <t>Sex-specific reference ranges save independently</t>
  </si>
  <si>
    <t>1) Open /settings/lab-tests 2) Open Haemoglobin 3) Set Male Min/Max and Female Min/Max to different values 4) Save 5) Reload</t>
  </si>
  <si>
    <t>All four values persist independently of the default range.</t>
  </si>
  <si>
    <t>MOCK_DATA_BOOK Lab test master — Haemoglobin 13.0–17.0 g/dL</t>
  </si>
  <si>
    <t>Lab, OPD, IPD, ANC</t>
  </si>
  <si>
    <t>Haemoglobin normal ranges differ by sex, and applying the male range to a female patient flags healthy women as anaemic. In an obstetric unit that produces a stream of false alarms on every antenatal panel.</t>
  </si>
  <si>
    <t>lab_test_master where hospital_id = A and code = 'HB' → male and female ranges stored separately</t>
  </si>
  <si>
    <t>TC-P2G-008</t>
  </si>
  <si>
    <t>A lab test cannot be saved without a name</t>
  </si>
  <si>
    <t>1) Open /settings/lab-tests 2) Click Add Test 3) Leave Test Name blank 4) Enter a code and fee 5) Attempt to save</t>
  </si>
  <si>
    <t>The save is refused and no lab_test_master row is written.</t>
  </si>
  <si>
    <t>None — deliberately omits the required Test Name</t>
  </si>
  <si>
    <t>Lab, OPD</t>
  </si>
  <si>
    <t>The OPD→Lab handoff matches on test_name. A blank name matches nothing, so every order for it is silently dropped with only an amber banner counting the missing tests.</t>
  </si>
  <si>
    <t>lab_test_master where hospital_id = A and (test_name is null or test_name = '') → 0 rows</t>
  </si>
  <si>
    <t>TC-P2G-009</t>
  </si>
  <si>
    <t>A lab test cannot be saved without a code</t>
  </si>
  <si>
    <t>1) Open /settings/lab-tests 2) Click Add Test 3) Enter a name but no Code 4) Attempt to save</t>
  </si>
  <si>
    <t>Lab, Billing</t>
  </si>
  <si>
    <t>The code is what appears on the sample label and the worklist. Without it the phlebotomist has an unlabelled tube, which is a specimen-identification error waiting to happen.</t>
  </si>
  <si>
    <t>lab_test_master where hospital_id = A → code is set on every row</t>
  </si>
  <si>
    <t>TC-P2G-010</t>
  </si>
  <si>
    <t>A lab test saved with no fee orders at zero rupees</t>
  </si>
  <si>
    <t>1) Open /settings/lab-tests 2) Add a test leaving Fee blank 3) Save 4) Order the test and read the charge</t>
  </si>
  <si>
    <t>Either the fee is required, or the zero-fee state is visibly flagged. A test must not silently order at ₹0.</t>
  </si>
  <si>
    <t>None — deliberately omits the Fee on a new test</t>
  </si>
  <si>
    <t>SETTINGS_PREREQ_MATRIX says a lab test without a fee is ordered at ₹0. The lab does the work, consumes the reagent, and bills nothing — and it only shows up in the monthly revenue variance.</t>
  </si>
  <si>
    <t>lab_test_master where hospital_id = A → fee is set or the row is flagged as unpriced</t>
  </si>
  <si>
    <t>TC-P2G-011</t>
  </si>
  <si>
    <t>A duplicate lab test code is rejected</t>
  </si>
  <si>
    <t>1) Open /settings/lab-tests 2) Create PHOS 3) Create a second test with the same code 4) Count the rows</t>
  </si>
  <si>
    <t>Only one lab_test_master row carries PHOS for Hospital A.</t>
  </si>
  <si>
    <t>phase2.invalid — duplicate lab test code PHOS</t>
  </si>
  <si>
    <t>Two tests sharing a code split the worklist and the result history, so a clinician comparing today's phosphorus against last month's may be reading two different tests.</t>
  </si>
  <si>
    <t>lab_test_master where hospital_id = A and code = 'PHOS' → exactly 1 row</t>
  </si>
  <si>
    <t>TC-P2G-012</t>
  </si>
  <si>
    <t>A duplicate test name is rejected because the OPD handoff matches on name</t>
  </si>
  <si>
    <t>1) Open /settings/lab-tests 2) Create a second test named "Complete Blood Count" 3) Count the rows</t>
  </si>
  <si>
    <t>Only one test carries that name for Hospital A.</t>
  </si>
  <si>
    <t>MOCK_DATA_BOOK Lab test master — re-entering the seeded Complete Blood Count</t>
  </si>
  <si>
    <t>The OPD→Lab handoff is an exact, case-insensitive match on test_name. Two rows with one name make the match ambiguous, and the order attaches to whichever the query returns first — with a different fee and a different reference range.</t>
  </si>
  <si>
    <t>lab_test_master where hospital_id = A and test_name = 'Complete Blood Count' → exactly 1 row</t>
  </si>
  <si>
    <t>TC-P2G-013</t>
  </si>
  <si>
    <t>The sample type saves</t>
  </si>
  <si>
    <t>1) Open /settings/lab-tests 2) Set Sample Type to Serum on a test 3) Save 4) Reload</t>
  </si>
  <si>
    <t>The sample type persists after the reload.</t>
  </si>
  <si>
    <t>MOCK_DATA_BOOK Lab test master — sample types EDTA Blood, Fluoride, Serum, Urine, Culture Bottle</t>
  </si>
  <si>
    <t>Lab, Nursing</t>
  </si>
  <si>
    <t>SETTINGS_PREREQ_MATRIX warns that without matching sample types, sample rows cannot be grouped for collection. The phlebotomist then draws a separate tube per test instead of one per sample type.</t>
  </si>
  <si>
    <t>lab_test_master where hospital_id = A → sample_type set on every row</t>
  </si>
  <si>
    <t>TC-P2G-014</t>
  </si>
  <si>
    <t>The turnaround time saves and drives the delay expectation</t>
  </si>
  <si>
    <t>1) Open /settings/lab-tests 2) Set TAT to 120 minutes on Serum Phosphorus 3) Save 4) Reload</t>
  </si>
  <si>
    <t>tat_minutes = 120 after the reload.</t>
  </si>
  <si>
    <t>MOCK_DATA_BOOK Phase 2 additions — Serum Phosphorus TAT 120 min</t>
  </si>
  <si>
    <t>Lab, IPD, Quality</t>
  </si>
  <si>
    <t>TAT is what a delay alert measures against, and Blood Culture at 4,320 minutes versus Haemoglobin at 60 shows why one global default cannot work. Without a per-test TAT every result looks either instantly late or never late.</t>
  </si>
  <si>
    <t>lab_test_master where hospital_id = A and code = 'PHOS' → tat_minutes = 120</t>
  </si>
  <si>
    <t>TC-P2G-015</t>
  </si>
  <si>
    <t>The test method saves</t>
  </si>
  <si>
    <t>1) Open /settings/lab-tests 2) Enter a Method such as ELISA on a test 3) Save 4) Reload</t>
  </si>
  <si>
    <t>The method persists after the reload.</t>
  </si>
  <si>
    <t>Literal method ELISA (the placeholder the field itself suggests)</t>
  </si>
  <si>
    <t>NABL requires the analytical method to appear on the report, because a reference range is only meaningful against the method that produced it.</t>
  </si>
  <si>
    <t>lab_test_master where hospital_id = A → method recorded where entered</t>
  </si>
  <si>
    <t>TC-P2G-016</t>
  </si>
  <si>
    <t>A lab test group saves with its own package fee</t>
  </si>
  <si>
    <t>1) Open /settings/lab-tests 2) Create group "Renal Panel" at ₹650 containing CREAT, UREA, K and PHOS 3) Save</t>
  </si>
  <si>
    <t>A lab_test_groups row exists at 650 with four lab_test_group_items.</t>
  </si>
  <si>
    <t>MOCK_DATA_BOOK Phase 2 additions — Renal Panel ₹650 (CREAT + UREA + K + PHOS, individual sum ₹750)</t>
  </si>
  <si>
    <t>Tier 0 complete; the four member tests exist</t>
  </si>
  <si>
    <t>The group price is ₹650 against an individual sum of ₹750. SETTINGS_PREREQ_MATRIX warns that without the group fee, panel orders bill as the sum of individual tests — so the patient is over-charged ₹100 on every renal panel.</t>
  </si>
  <si>
    <t>lab_test_groups where hospital_id = A and name = 'Renal Panel' → fee = 650, 4 member items</t>
  </si>
  <si>
    <t>TC-P2G-017</t>
  </si>
  <si>
    <t>The group price wins over the sum of its members</t>
  </si>
  <si>
    <t>1) Open /settings/lab-tests and confirm Fever Panel is ₹1,100 while its members sum to ₹1,300 2) Order the Fever Panel from /opd 3) Read the charge</t>
  </si>
  <si>
    <t>The order bills ₹1,100 — the group rate — not ₹1,300.</t>
  </si>
  <si>
    <t>MOCK_DATA_BOOK Lab test group — Fever Panel ₹1,100 (CBC + Urine Routine + Dengue NS1, sum ₹1,300)</t>
  </si>
  <si>
    <t>Tier 0 complete; the Fever Panel group exists</t>
  </si>
  <si>
    <t>MOCK_DATA_BOOK calls this scenario P5-S04 by name. The ₹200 gap between group and sum exists precisely so the wrong behaviour is detectable — and a patient charged the sum is being over-billed on a package the hospital advertised.</t>
  </si>
  <si>
    <t>lab_test_groups where hospital_id = A and name = 'Fever Panel' → fee = 1100 while members sum to 1300</t>
  </si>
  <si>
    <t>TC-P2G-018</t>
  </si>
  <si>
    <t>A test group cannot be saved with no members</t>
  </si>
  <si>
    <t>1) Open /settings/lab-tests 2) Create a group with a name and fee but no member tests 3) Attempt to save</t>
  </si>
  <si>
    <t>The save is refused, or the empty group is visibly flagged.</t>
  </si>
  <si>
    <t>None — deliberately omits the group members</t>
  </si>
  <si>
    <t>An empty panel bills the package fee and orders nothing. The patient pays ₹1,100 and no sample is ever collected.</t>
  </si>
  <si>
    <t>lab_test_groups where hospital_id = A → every group has at least one member item</t>
  </si>
  <si>
    <t>TC-P2G-019</t>
  </si>
  <si>
    <t>A test can be added to and removed from a group</t>
  </si>
  <si>
    <t>1) Open /settings/lab-tests 2) Add a test to Renal Panel 3) Remove it 4) Check the member count each time</t>
  </si>
  <si>
    <t>lab_test_group_items reflects both the addition and the removal.</t>
  </si>
  <si>
    <t>MOCK_DATA_BOOK Phase 2 additions — Renal Panel members</t>
  </si>
  <si>
    <t>Panel composition changes as protocols change. A member that cannot be removed means a discontinued test keeps being ordered and billed inside every panel.</t>
  </si>
  <si>
    <t>lab_test_group_items for Renal Panel → count reflects each change</t>
  </si>
  <si>
    <t>TC-P2G-020</t>
  </si>
  <si>
    <t>Bulk fee setting applies to the selected tests</t>
  </si>
  <si>
    <t>1) Open /settings/lab-tests 2) Select several tests 3) Use "Set all to (₹)" with a value 4) Save</t>
  </si>
  <si>
    <t>Every selected test carries the new fee and none of the unselected ones changed.</t>
  </si>
  <si>
    <t>MOCK_DATA_BOOK Lab test master — the fifteen seeded fees</t>
  </si>
  <si>
    <t>A lab revising its rate card does it in bulk. A bulk action that silently includes unselected tests would reprice the whole catalogue, and nobody would notice until a patient queried a bill.</t>
  </si>
  <si>
    <t>lab_test_master → only the selected rows changed fee</t>
  </si>
  <si>
    <t>TC-P2G-021</t>
  </si>
  <si>
    <t>The category filter is fed by the lab_test_categories config list</t>
  </si>
  <si>
    <t>1) Add a value under /settings/config-values?cat=lab_test_categories 2) Open /settings/lab-tests 3) Open the Category filter</t>
  </si>
  <si>
    <t>The new category appears in the filter on this screen.</t>
  </si>
  <si>
    <t>Lab, Configurable Dropdowns</t>
  </si>
  <si>
    <t>MOCK_DATA_BOOK singles this list out because it ripples into a second screen. A category that saves under Dropdowns and never appears here is the silent inconsistency this phase exists to catch.</t>
  </si>
  <si>
    <t>hospital_config_values category = lab_test_categories → offered on /settings/lab-tests</t>
  </si>
  <si>
    <t>TC-P2G-022</t>
  </si>
  <si>
    <t>Searching filters the test catalogue</t>
  </si>
  <si>
    <t>1) Open /settings/lab-tests 2) Type "CBC" into the search box 3) Read the results</t>
  </si>
  <si>
    <t>Only matching tests remain listed.</t>
  </si>
  <si>
    <t>MOCK_DATA_BOOK Lab test master — Complete Blood Count (CBC)</t>
  </si>
  <si>
    <t>A working lab catalogue runs to hundreds of tests. Without search, editing one fee means scrolling the whole list and the wrong row gets edited.</t>
  </si>
  <si>
    <t>TC-P2G-023</t>
  </si>
  <si>
    <t>A new lab test appears as a chip in the OPD Rx tab</t>
  </si>
  <si>
    <t>1) Add "Serum Phosphorus" under /settings/lab-tests 2) Open the OPD consultation workspace 3) Open the Rx tab 4) Look for the lab chips</t>
  </si>
  <si>
    <t>Serum Phosphorus is offered as a lab chip in the OPD Rx tab.</t>
  </si>
  <si>
    <t>MOCK_DATA_BOOK Phase 2 additions — Serum Phosphorus</t>
  </si>
  <si>
    <t>OPD, Lab</t>
  </si>
  <si>
    <t>Tier 0 complete; drug_master rows exist so the Rx tab renders</t>
  </si>
  <si>
    <t>SETTINGS_PREREQ_MATRIX warns that with no lab_test_master rows the lab chips in the Rx tab are EMPTY. A doctor who cannot pick a test writes it as free text, and the exact-name match then silently drops it from the order.</t>
  </si>
  <si>
    <t>lab_test_master where hospital_id = A and code = 'PHOS' → offered as a chip in the OPD Rx tab</t>
  </si>
  <si>
    <t>TC-P2G-024</t>
  </si>
  <si>
    <t>A test the doctor types that is not in the catalogue is reported, not silently dropped</t>
  </si>
  <si>
    <t>1) Open /opd and in the Rx tab type a test name that does not exist in lab_test_master 2) Save the prescription 3) Read the lab order and any banner</t>
  </si>
  <si>
    <t>An amber banner names how many prescribed tests were not found, and ideally which ones.</t>
  </si>
  <si>
    <t>Literal unmatched test name "QA Nonexistent Assay"</t>
  </si>
  <si>
    <t>SETTINGS_PREREQ_MATRIX flags this in red: the unmatched test is SILENTLY DROPPED and the only signal is a banner counting them. If the banner does not name the test, the doctor cannot tell which one vanished and the patient goes without it.</t>
  </si>
  <si>
    <t>the lab order → unmatched tests are surfaced by name, not merely counted</t>
  </si>
  <si>
    <t>TC-P2G-025</t>
  </si>
  <si>
    <t>Editing a lab test fee persists</t>
  </si>
  <si>
    <t>1) Open /settings/lab-tests 2) Change a test fee 3) Save 4) Reload</t>
  </si>
  <si>
    <t>The new fee is shown after the reload.</t>
  </si>
  <si>
    <t>MOCK_DATA_BOOK Lab test master — the seeded fees</t>
  </si>
  <si>
    <t>Reagent costs change and the rate card follows. An edit that does not persist means the lab bills last year's price on a test whose cost has risen.</t>
  </si>
  <si>
    <t>lab_test_master where hospital_id = A → the edited fee persists</t>
  </si>
  <si>
    <t>TC-P2G-026</t>
  </si>
  <si>
    <t>A lab test can be deactivated without being deleted</t>
  </si>
  <si>
    <t>1) Open /settings/lab-tests 2) Deactivate a test 3) Reload</t>
  </si>
  <si>
    <t>The test is marked inactive and the row still exists.</t>
  </si>
  <si>
    <t>Lab, MRD</t>
  </si>
  <si>
    <t>A discontinued test must stop being orderable while every historical result stays attached to it. Deleting would orphan years of results a clinician may need to compare against.</t>
  </si>
  <si>
    <t>lab_test_master → the row is inactive and still present</t>
  </si>
  <si>
    <t>TC-P2G-027</t>
  </si>
  <si>
    <t>A saved lab test survives a hard reload</t>
  </si>
  <si>
    <t>1) Open /settings/lab-tests 2) Create Serum Phosphorus 3) Hard-reload 4) Locate the test</t>
  </si>
  <si>
    <t>The test is still listed with its fee, range and TAT intact.</t>
  </si>
  <si>
    <t>A false save here means the test is missing from the catalogue, and the exact-name match then silently drops every order a doctor writes for it.</t>
  </si>
  <si>
    <t>lab_test_master where hospital_id = A and code = 'PHOS' → 1 row</t>
  </si>
  <si>
    <t>TC-P2G-028</t>
  </si>
  <si>
    <t>Hospital A's lab catalogue is invisible to Hospital B</t>
  </si>
  <si>
    <t>1) Sign in as the Hospital B administrator 2) Open /settings/lab-tests as Hospital B 3) Query lab_test_master through the API with no hospital filter</t>
  </si>
  <si>
    <t>Not one Hospital A lab test is returned.</t>
  </si>
  <si>
    <t>Multi-tenancy, Lab</t>
  </si>
  <si>
    <t>Test fees are a competitive rate card, and reference ranges are method-specific. One hospital inheriting another's ranges would flag results against the wrong baseline.</t>
  </si>
  <si>
    <t>lab_test_master queried as the Hospital B admin → zero rows with hospital_id = A</t>
  </si>
  <si>
    <t>TC-P2G-029</t>
  </si>
  <si>
    <t>A receptionist cannot edit the lab catalogue</t>
  </si>
  <si>
    <t>1) Log in as receptionist (Hospital A) 2) Navigate directly to /settings/lab-tests</t>
  </si>
  <si>
    <t>Reference ranges are a clinical safety parameter and fees are money. Neither belongs to the front desk, and a widened range would suppress abnormal flags hospital-wide.</t>
  </si>
  <si>
    <t>TC-P2G-030</t>
  </si>
  <si>
    <t>The Lab Test Master screen loads with no red console errors</t>
  </si>
  <si>
    <t>1) Open DevTools → Console 2) Open /settings/lab-tests 3) Create a test and a group 4) Read the console</t>
  </si>
  <si>
    <t>No red console text from the lab_test_master, lab_test_groups or lab_test_group_items writes.</t>
  </si>
  <si>
    <t>MOCK_DATA_BOOK Phase 2 additions — Serum Phosphorus and Renal Panel</t>
  </si>
  <si>
    <t>Creating a group writes to two tables. A failure on the items write leaves a priced group with no members, which bills the package fee and orders nothing.</t>
  </si>
  <si>
    <t>TC-P2G-031</t>
  </si>
  <si>
    <t>Drug Formulary loads and lists the seeded drugs</t>
  </si>
  <si>
    <t>1) Open /settings/drugs 2) Read the formulary</t>
  </si>
  <si>
    <t>All twenty seeded drugs render, from Dolo 650 through Normal Saline. No red console errors.</t>
  </si>
  <si>
    <t>MOCK_DATA_BOOK Drug master — the twenty seeded rows</t>
  </si>
  <si>
    <t>Pharmacy, OPD, IPD, Emergency</t>
  </si>
  <si>
    <t>SETTINGS_PREREQ_MATRIX puts drug_master first among pharmacy prerequisites: without it there is nothing to dispense and drug search returns nothing.</t>
  </si>
  <si>
    <t>drug_master where hospital_id = A → 20 rows</t>
  </si>
  <si>
    <t>TC-P2G-032</t>
  </si>
  <si>
    <t>A new drug saves with its generic name, form, strength and MRP</t>
  </si>
  <si>
    <t>1) Open /settings/drugs 2) Add "Nefrosave", generic N-Acetylcysteine + Taurine, Tablet, 600mg, Schedule H, MRP 210, GST 12 3) Save</t>
  </si>
  <si>
    <t>A drug_master row exists with those values.</t>
  </si>
  <si>
    <t>MOCK_DATA_BOOK Phase 2 additions — Nefrosave · N-Acetylcysteine + Taurine · Tablet · 600mg · Schedule H · ₹210 · 12%</t>
  </si>
  <si>
    <t>Pharmacy, OPD, IPD</t>
  </si>
  <si>
    <t>The generic name is what the interaction and allergy checks match on. A drug saved without it is invisible to the safety checks even though it dispenses normally.</t>
  </si>
  <si>
    <t>drug_master where hospital_id = A and brand = 'Nefrosave' → mrp = 210, schedule = 'H'</t>
  </si>
  <si>
    <t>TC-P2G-033</t>
  </si>
  <si>
    <t>A drug with no batch is invisible to the dispenser</t>
  </si>
  <si>
    <t>1) Create "Nefrosave" under /settings/drugs with no stock batch 2) Open the pharmacy dispensing screen 3) Search for Nefrosave</t>
  </si>
  <si>
    <t>The drug does not appear as dispensable, and the reason is clear — no batch, not "no such drug".</t>
  </si>
  <si>
    <t>MOCK_DATA_BOOK Phase 2 additions — Nefrosave, created with NO batch</t>
  </si>
  <si>
    <t>Pharmacy, IPD</t>
  </si>
  <si>
    <t>SETTINGS_PREREQ_MATRIX is explicit: a drug with no batch is invisible to the dispenser and no stock decrement happens. MOCK_DATA_BOOK creates Nefrosave without a batch deliberately to prove it. A pharmacist who cannot find a drug they know exists assumes the system is broken.</t>
  </si>
  <si>
    <t>drug_master where hospital_id = A and brand = 'Nefrosave' → 1 row, drug_batches → 0 rows for it</t>
  </si>
  <si>
    <t>TC-P2G-034</t>
  </si>
  <si>
    <t>Drug schedule "OTC" saves and survives a reload</t>
  </si>
  <si>
    <t>1) Open /settings/drugs 2) Set Drug Schedule to "OTC" on a drug (e.g. Dolo 650) 3) Save 4) Reload and re-read the schedule</t>
  </si>
  <si>
    <t>drug_master.schedule = 'OTC' and the value still reads "OTC" after the reload.</t>
  </si>
  <si>
    <t>MOCK_DATA_BOOK Drug master — Dolo 650 (Schedule OTC)</t>
  </si>
  <si>
    <t>The schedule decides which register a dispense is written into and whether a prescription is legally required. Each value is tested separately because one mis-stored schedule moves a drug into the wrong statutory register. Schedule OTC is sold without a prescription — the control that must NOT fire.</t>
  </si>
  <si>
    <t>drug_master where hospital_id = A → schedule = 'OTC' on the Dolo 650 row</t>
  </si>
  <si>
    <t>TC-P2G-035</t>
  </si>
  <si>
    <t>Drug schedule "H" saves and survives a reload</t>
  </si>
  <si>
    <t>1) Open /settings/drugs 2) Set Drug Schedule to "H" on a drug (e.g. Augmentin 625) 3) Save 4) Reload and re-read the schedule</t>
  </si>
  <si>
    <t>drug_master.schedule = 'H' and the value still reads "H" after the reload.</t>
  </si>
  <si>
    <t>MOCK_DATA_BOOK Drug master — Augmentin 625 (Schedule H)</t>
  </si>
  <si>
    <t>The schedule decides which register a dispense is written into and whether a prescription is legally required. Each value is tested separately because one mis-stored schedule moves a drug into the wrong statutory register. Schedule H is prescription-only; the register a drug inspector asks for first.</t>
  </si>
  <si>
    <t>drug_master where hospital_id = A → schedule = 'H' on the Augmentin 625 row</t>
  </si>
  <si>
    <t>TC-P2G-036</t>
  </si>
  <si>
    <t>Drug schedule "H1" saves and survives a reload</t>
  </si>
  <si>
    <t>1) Open /settings/drugs 2) Set Drug Schedule to "H1" on a drug (e.g. Tramadol 50) 3) Save 4) Reload and re-read the schedule</t>
  </si>
  <si>
    <t>drug_master.schedule = 'H1' and the value still reads "H1" after the reload.</t>
  </si>
  <si>
    <t>MOCK_DATA_BOOK Drug master — Tramadol 50 (Schedule H1)</t>
  </si>
  <si>
    <t>The schedule decides which register a dispense is written into and whether a prescription is legally required. Each value is tested separately because one mis-stored schedule moves a drug into the wrong statutory register. Schedule H1 is a separate bound register with patient details, retained three years.</t>
  </si>
  <si>
    <t>drug_master where hospital_id = A → schedule = 'H1' on the Tramadol 50 row</t>
  </si>
  <si>
    <t>TC-P2G-037</t>
  </si>
  <si>
    <t>Drug schedule "NDPS" saves and survives a reload</t>
  </si>
  <si>
    <t>1) Open /settings/drugs 2) Set Drug Schedule to "NDPS" on a drug (e.g. Morphine Sulphate) 3) Save 4) Reload and re-read the schedule</t>
  </si>
  <si>
    <t>drug_master.schedule = 'NDPS' and the value still reads "NDPS" after the reload.</t>
  </si>
  <si>
    <t>MOCK_DATA_BOOK Drug master — Morphine Sulphate (Schedule NDPS)</t>
  </si>
  <si>
    <t>The schedule decides which register a dispense is written into and whether a prescription is legally required. Each value is tested separately because one mis-stored schedule moves a drug into the wrong statutory register. Schedule NDPS is narcotic — dual sign-off, and a discrepancy is a criminal matter.</t>
  </si>
  <si>
    <t>drug_master where hospital_id = A → schedule = 'NDPS' on the Morphine Sulphate row</t>
  </si>
  <si>
    <t>TC-P2G-038</t>
  </si>
  <si>
    <t>An NDPS drug requires dual sign-off at dispensing</t>
  </si>
  <si>
    <t>1) Open /settings/drugs and confirm Morphine Sulphate carries schedule NDPS 2) Open /pharmacy and attempt to dispense it 3) Observe the sign-off requirement</t>
  </si>
  <si>
    <t>Dispensing requires two authorised signatures before it can complete.</t>
  </si>
  <si>
    <t>MOCK_DATA_BOOK Drug master — Morphine Sulphate (NDPS), batch QA-MOR-A</t>
  </si>
  <si>
    <t>Tier 0 complete; the NDPS drug and its batch exist</t>
  </si>
  <si>
    <t>The NDPS Act requires dual authorisation and a bound register for narcotics. A discrepancy in the narcotic register is a criminal matter for the pharmacist personally, not a reconciliation problem.</t>
  </si>
  <si>
    <t>drug_master where hospital_id = A and brand = 'Morphine Sulphate' → schedule = 'NDPS', dispense requires dual sign-off</t>
  </si>
  <si>
    <t>TC-P2G-039</t>
  </si>
  <si>
    <t>A drug cannot be saved without a name</t>
  </si>
  <si>
    <t>1) Open /settings/drugs 2) Leave Drug Name blank 3) Enter a generic and MRP 4) Attempt to save</t>
  </si>
  <si>
    <t>The save is refused and no drug_master row is written.</t>
  </si>
  <si>
    <t>None — deliberately omits the required Drug Name</t>
  </si>
  <si>
    <t>An unnamed drug appears as a blank option in the prescription picker, so a doctor selects it by accident and the order reaches the pharmacy naming nothing.</t>
  </si>
  <si>
    <t>drug_master where hospital_id = A and (brand is null or brand = '') → 0 rows</t>
  </si>
  <si>
    <t>TC-P2G-040</t>
  </si>
  <si>
    <t>A drug saved without a generic name is flagged</t>
  </si>
  <si>
    <t>1) Open /settings/drugs 2) Add a drug with a brand name but no Generic Name 3) Save 4) Inspect the row</t>
  </si>
  <si>
    <t>Either the generic is required, or the row is visibly flagged as excluded from interaction checking.</t>
  </si>
  <si>
    <t>None — deliberately omits the Generic Name</t>
  </si>
  <si>
    <t>Drug interaction and allergy checks match on the generic, not the brand. A drug with no generic dispenses normally and is invisible to every safety check — a penicillin-allergic patient could be given it with no warning.</t>
  </si>
  <si>
    <t>drug_master where hospital_id = A → generic is set, or the row is flagged as unchecked</t>
  </si>
  <si>
    <t>TC-P2G-041</t>
  </si>
  <si>
    <t>A penicillin-class drug is matched to a recorded penicillin allergy</t>
  </si>
  <si>
    <t>1) Open /settings/drugs and confirm Augmentin 625 carries generic Amoxicillin + Clavulanate 2) Open /opd and prescribe it for the penicillin-allergic patient PT-QA-0011 3) Observe the alert</t>
  </si>
  <si>
    <t>An allergy contraindication alert fires and blocks or hard-warns before the prescription is saved.</t>
  </si>
  <si>
    <t>MOCK_DATA_BOOK Patients — PT-QA-0011 Fatima Begum (ALLERGY: Penicillin); Drug master — Augmentin 625</t>
  </si>
  <si>
    <t>Tier 0 complete; the drug and the allergic patient exist</t>
  </si>
  <si>
    <t>MOCK_DATA_BOOK seeds a penicillin-allergic patient and the allergy-block drug together for exactly this. Drug interaction checks must be real and never mocked — an anaphylactic reaction to a drug the system knew about is the worst outcome this product can produce.</t>
  </si>
  <si>
    <t>drug_master where hospital_id = A and brand = 'Augmentin 625' → generic contains Amoxicillin, and the allergy alert fires</t>
  </si>
  <si>
    <t>TC-P2G-042</t>
  </si>
  <si>
    <t>The drug MRP saves and renders as currency</t>
  </si>
  <si>
    <t>1) Open /settings/drugs 2) Set MRP 210 on Nefrosave 3) Save 4) Read the displayed price</t>
  </si>
  <si>
    <t>The MRP stores as 210.00 and renders as ₹210.00.</t>
  </si>
  <si>
    <t>MOCK_DATA_BOOK Phase 2 additions — Nefrosave ₹210.00</t>
  </si>
  <si>
    <t>Pharmacy, Billing</t>
  </si>
  <si>
    <t>MRP is a legally printed maximum. Billing above it is an offence, so the stored value has to be exact and the display has to be unambiguous at the counter.</t>
  </si>
  <si>
    <t>drug_master where hospital_id = A and brand = 'Nefrosave' → mrp = 210</t>
  </si>
  <si>
    <t>TC-P2G-043</t>
  </si>
  <si>
    <t>Drug GST saves at the pharmacy slabs</t>
  </si>
  <si>
    <t>1) Open /settings/drugs 2) Save drugs at GST 5% and 12% 3) Check both stored values</t>
  </si>
  <si>
    <t>Both slabs store exactly.</t>
  </si>
  <si>
    <t>MOCK_DATA_BOOK Drug master — Human Mixtard 30/70 at 5%, the rest at 12%</t>
  </si>
  <si>
    <t>Pharmacy, Billing, GST</t>
  </si>
  <si>
    <t>Insulin is 5% and most other drugs are 12%. The seeded data mixes them deliberately, so a single hardcoded rate would over-charge tax on every insulin sale.</t>
  </si>
  <si>
    <t>drug_master where hospital_id = A → gst values 5 and 12 both persist</t>
  </si>
  <si>
    <t>TC-P2G-044</t>
  </si>
  <si>
    <t>Drug routes save as a list</t>
  </si>
  <si>
    <t>1) Open /settings/drugs 2) Enter Routes "oral, IV" on a drug 3) Save 4) Reload</t>
  </si>
  <si>
    <t>Both routes persist as separate values, not as one string.</t>
  </si>
  <si>
    <t>MOCK_DATA_BOOK Config values — drug routes Oral, IV</t>
  </si>
  <si>
    <t>A drug available by more than one route needs both offered at prescribing. Stored as a single blob, the picker offers "oral, IV" as one nonsensical option.</t>
  </si>
  <si>
    <t>drug_master where hospital_id = A → routes stored as a list</t>
  </si>
  <si>
    <t>TC-P2G-045</t>
  </si>
  <si>
    <t>The drug form and strength save</t>
  </si>
  <si>
    <t>1) Open /settings/drugs 2) Set Form Tablet and Strength 600mg 3) Save 4) Reload</t>
  </si>
  <si>
    <t>MOCK_DATA_BOOK Phase 2 additions — Nefrosave Tablet 600mg</t>
  </si>
  <si>
    <t>Form and strength are how a nurse confirms she is holding the right preparation. Paracetamol 650mg tablet and 125mg/5ml syrup are the same generic and very different doses.</t>
  </si>
  <si>
    <t>drug_master where hospital_id = A and brand = 'Nefrosave' → form = 'Tablet', strength = '600mg'</t>
  </si>
  <si>
    <t>TC-P2G-046</t>
  </si>
  <si>
    <t>A duplicate drug brand name is rejected</t>
  </si>
  <si>
    <t>1) Open /settings/drugs 2) Create Nefrosave 3) Create it again 4) Count the rows</t>
  </si>
  <si>
    <t>Only one drug_master row carries that brand for Hospital A.</t>
  </si>
  <si>
    <t>phase2.invalid — duplicate drug Nefrosave</t>
  </si>
  <si>
    <t>Two rows for one drug split the stock across two identities, so the dispenser sees stock against one and the batch sits against the other. The drug appears out of stock while the shelf is full.</t>
  </si>
  <si>
    <t>drug_master where hospital_id = A and brand = 'Nefrosave' → exactly 1 row</t>
  </si>
  <si>
    <t>TC-P2G-047</t>
  </si>
  <si>
    <t>The drug category saves</t>
  </si>
  <si>
    <t>1) Open /settings/drugs 2) Set Category to Analgesic 3) Save 4) Reload</t>
  </si>
  <si>
    <t>The category persists after the reload.</t>
  </si>
  <si>
    <t>Literal category Analgesic (the placeholder the field itself suggests)</t>
  </si>
  <si>
    <t>Pharmacy, Inventory</t>
  </si>
  <si>
    <t>Category drives consumption analysis and reorder grouping. Uncategorised drugs fall out of every stock report the pharmacy runs.</t>
  </si>
  <si>
    <t>drug_master where hospital_id = A → category recorded where entered</t>
  </si>
  <si>
    <t>TC-P2G-048</t>
  </si>
  <si>
    <t>A drug can be deactivated without being deleted</t>
  </si>
  <si>
    <t>1) Open /settings/drugs 2) Deactivate a drug 3) Reload</t>
  </si>
  <si>
    <t>The drug is marked inactive and the row still exists.</t>
  </si>
  <si>
    <t>MOCK_DATA_BOOK Phase 2 additions — Nefrosave</t>
  </si>
  <si>
    <t>Pharmacy, MRD</t>
  </si>
  <si>
    <t>A withdrawn drug must stop being prescribable while every historical prescription that named it still resolves. Deleting would leave old prescriptions referencing nothing, which breaks a medico-legal record.</t>
  </si>
  <si>
    <t>drug_master → the row is inactive and still present</t>
  </si>
  <si>
    <t>TC-P2G-049</t>
  </si>
  <si>
    <t>A new drug appears in the OPD prescription search</t>
  </si>
  <si>
    <t>1) Add Nefrosave under /settings/drugs 2) Open the OPD Rx tab 3) Search for Nefrosave</t>
  </si>
  <si>
    <t>The drug is offered in the prescription search.</t>
  </si>
  <si>
    <t>SETTINGS_PREREQ_MATRIX warns that with no drug_master rows, drug search returns nothing. A doctor who cannot find a drug writes it as free text, and free text cannot be interaction-checked or dispensed against stock.</t>
  </si>
  <si>
    <t>drug_master where hospital_id = A and brand = 'Nefrosave' → offered in the OPD Rx drug search</t>
  </si>
  <si>
    <t>TC-P2G-050</t>
  </si>
  <si>
    <t>Editing a drug MRP persists</t>
  </si>
  <si>
    <t>1) Open /settings/drugs 2) Change a drug MRP 3) Save 4) Reload</t>
  </si>
  <si>
    <t>The new MRP shows after the reload.</t>
  </si>
  <si>
    <t>MOCK_DATA_BOOK Drug master — the seeded MRPs</t>
  </si>
  <si>
    <t>MRP changes with every new manufacturer batch. Billing an old MRP above the printed price on the strip is a consumer-law offence.</t>
  </si>
  <si>
    <t>drug_master where hospital_id = A → the edited MRP persists</t>
  </si>
  <si>
    <t>TC-P2G-051</t>
  </si>
  <si>
    <t>A saved drug survives a hard reload</t>
  </si>
  <si>
    <t>1) Open /settings/drugs 2) Create Nefrosave 3) Hard-reload 4) Locate the drug</t>
  </si>
  <si>
    <t>The drug is still listed with its generic, schedule and MRP intact.</t>
  </si>
  <si>
    <t>A false save leaves the formulary short of a drug the hospital stocks, so the pharmacist cannot dispense against a prescription that names it.</t>
  </si>
  <si>
    <t>drug_master where hospital_id = A and brand = 'Nefrosave' → 1 row</t>
  </si>
  <si>
    <t>TC-P2G-052</t>
  </si>
  <si>
    <t>Hospital A's drug formulary is invisible to Hospital B</t>
  </si>
  <si>
    <t>1) Sign in as the Hospital B administrator 2) Open /settings/drugs as Hospital B 3) Query drug_master through the API with no hospital filter</t>
  </si>
  <si>
    <t>Not one Hospital A drug is returned.</t>
  </si>
  <si>
    <t>Multi-tenancy, Pharmacy</t>
  </si>
  <si>
    <t>The formulary includes NDPS and Schedule H1 drugs. Cross-tenant visibility of a narcotic formulary is a controlled-substance disclosure, not merely a commercial leak.</t>
  </si>
  <si>
    <t>drug_master queried as the Hospital B admin → zero rows with hospital_id = A</t>
  </si>
  <si>
    <t>TC-P2G-053</t>
  </si>
  <si>
    <t>A receptionist cannot edit the drug formulary</t>
  </si>
  <si>
    <t>1) Log in as receptionist (Hospital A) 2) Navigate directly to /settings/drugs</t>
  </si>
  <si>
    <t>Changing a drug schedule from NDPS to OTC would remove the dual sign-off requirement on a narcotic. That must be impossible for anyone outside pharmacy governance.</t>
  </si>
  <si>
    <t>TC-P2G-054</t>
  </si>
  <si>
    <t>A drug schedule cannot be downgraded from NDPS without an audit trail</t>
  </si>
  <si>
    <t>1) Open /settings/drugs 2) Change Morphine Sulphate from NDPS to OTC 3) Save 4) Check the config change log</t>
  </si>
  <si>
    <t>Either the change is refused, or it is recorded in the audit trail with who made it and when.</t>
  </si>
  <si>
    <t>MOCK_DATA_BOOK Drug master — Morphine Sulphate (NDPS)</t>
  </si>
  <si>
    <t>Pharmacy, NDPS, Audit, Quality</t>
  </si>
  <si>
    <t>Downgrading a narcotic's schedule removes its statutory register and dual sign-off. An unlogged change of that kind is indistinguishable from deliberate diversion, and the pharmacist carries personal criminal liability for the register.</t>
  </si>
  <si>
    <t>config_change_logs → an entry exists for any change to a drug schedule</t>
  </si>
  <si>
    <t>TC-P2G-055</t>
  </si>
  <si>
    <t>Searching filters the drug formulary</t>
  </si>
  <si>
    <t>1) Open /settings/drugs 2) Search for "Dolo" 3) Read the results</t>
  </si>
  <si>
    <t>Only matching drugs remain listed.</t>
  </si>
  <si>
    <t>MOCK_DATA_BOOK Drug master — Dolo 650</t>
  </si>
  <si>
    <t>A real hospital formulary runs to thousands of drugs. Without search, editing one MRP means scrolling the whole list and the wrong row gets edited.</t>
  </si>
  <si>
    <t>TC-P2G-056</t>
  </si>
  <si>
    <t>The Drug Formulary screen loads with no red console errors</t>
  </si>
  <si>
    <t>1) Open DevTools → Console 2) Open /settings/drugs 3) Create and edit a drug 4) Read the console</t>
  </si>
  <si>
    <t>No red console text from the drug_master read or write.</t>
  </si>
  <si>
    <t>A failed write that appears only in the console leaves the pharmacist believing a drug is on the formulary when it is not, and they discover it with a prescription in hand.</t>
  </si>
  <si>
    <t>TC-P2G-057</t>
  </si>
  <si>
    <t>Notification Config loads with all ten alert types</t>
  </si>
  <si>
    <t>1) Open /settings/notifications 2) Count the alert rows</t>
  </si>
  <si>
    <t>Ten alert types render, from Critical Lab Value through OT Starting in 30 min. No red console errors.</t>
  </si>
  <si>
    <t>src/lib/notificationConfig.ts DEFAULT_ALERTS — the ten shipped alert types</t>
  </si>
  <si>
    <t>Lab, IPD, Nursing, Pharmacy, Emergency</t>
  </si>
  <si>
    <t>These rows decide who is told when something goes wrong. A missing alert type is an event nobody is ever notified about, and the omission is invisible because the screen simply shows one row fewer.</t>
  </si>
  <si>
    <t>hospital_settings where hospital_id = A and key = 'notification_config' → 10 alert entries</t>
  </si>
  <si>
    <t>e2e/phase-02-settings/P2G.clinical.alerts-radiology.spec.ts</t>
  </si>
  <si>
    <t>TC-P2G-058</t>
  </si>
  <si>
    <t>Saving the notification config writes to hospital_settings</t>
  </si>
  <si>
    <t>1) Open /settings/notifications 2) Change any alert channel 3) Click "Save Changes" 4) Check hospital_settings</t>
  </si>
  <si>
    <t>A hospital_settings row exists with key 'notification_config' holding the alert list and quiet hours.</t>
  </si>
  <si>
    <t>phase2.entry./settings/notifications — Critical Lab Value on channel both, quiet 23:00–07:00</t>
  </si>
  <si>
    <t>REGRESSION LOCK for BUG-P2-003. Save ran a 500ms setTimeout then toasted success without a single Supabase call — a fake spinner in front of a no-op. A hospital that routed Critical Lab Value to WhatsApp found it back on In-App the next morning.</t>
  </si>
  <si>
    <t>hospital_settings where hospital_id = A and key = 'notification_config' → 1 row</t>
  </si>
  <si>
    <t>TC-P2G-059</t>
  </si>
  <si>
    <t>1) Open DevTools → Network 2) Open /settings/notifications 3) Change a channel 4) Click "Save Changes" 5) Watch for a Supabase request</t>
  </si>
  <si>
    <t>A PostgREST request to hospital_settings is issued, and the button shows Saving… only while it is in flight.</t>
  </si>
  <si>
    <t>phase2.entry./settings/notifications — Critical Lab Value channel both</t>
  </si>
  <si>
    <t>Lab, IPD, Nursing</t>
  </si>
  <si>
    <t>REGRESSION LOCK for BUG-P2-003. The fake 500ms delay was the most convincing possible disguise for a screen that saved nothing — it looked exactly like a real network round trip.</t>
  </si>
  <si>
    <t>Network tab shows a hospital_settings upsert, and the row exists afterwards</t>
  </si>
  <si>
    <t>TC-P2G-060</t>
  </si>
  <si>
    <t>Notification channel "In-App" saves for an alert type</t>
  </si>
  <si>
    <t>1) Open /settings/notifications 2) Set the Critical Lab Value channel to "In-App" 3) Click "Save Changes" 4) Reload and re-read the channel</t>
  </si>
  <si>
    <t>The stored notification_config carries channel 'in_app' for Critical Lab Value, and the dropdown still shows "In-App" after the reload.</t>
  </si>
  <si>
    <t>phase2.dropdowns.notificationChannel — "in_app"</t>
  </si>
  <si>
    <t>Each channel is stored as its own value, so one can fail to persist while the others save. The choice matters clinically: seen only by someone already logged in and looking.</t>
  </si>
  <si>
    <t>hospital_settings notification_config → Critical Lab Value channel = 'in_app'</t>
  </si>
  <si>
    <t>TC-P2G-061</t>
  </si>
  <si>
    <t>Notification channel "WhatsApp" saves for an alert type</t>
  </si>
  <si>
    <t>1) Open /settings/notifications 2) Set the Critical Lab Value channel to "WhatsApp" 3) Click "Save Changes" 4) Reload and re-read the channel</t>
  </si>
  <si>
    <t>The stored notification_config carries channel 'whatsapp' for Critical Lab Value, and the dropdown still shows "WhatsApp" after the reload.</t>
  </si>
  <si>
    <t>phase2.dropdowns.notificationChannel — "whatsapp"</t>
  </si>
  <si>
    <t>Each channel is stored as its own value, so one can fail to persist while the others save. The choice matters clinically: reaches a doctor who is off the ward, which is the point of escalation.</t>
  </si>
  <si>
    <t>hospital_settings notification_config → Critical Lab Value channel = 'whatsapp'</t>
  </si>
  <si>
    <t>TC-P2G-062</t>
  </si>
  <si>
    <t>Notification channel "Both" saves for an alert type</t>
  </si>
  <si>
    <t>1) Open /settings/notifications 2) Set the Critical Lab Value channel to "Both" 3) Click "Save Changes" 4) Reload and re-read the channel</t>
  </si>
  <si>
    <t>The stored notification_config carries channel 'both' for Critical Lab Value, and the dropdown still shows "Both" after the reload.</t>
  </si>
  <si>
    <t>phase2.dropdowns.notificationChannel — "both"</t>
  </si>
  <si>
    <t>Each channel is stored as its own value, so one can fail to persist while the others save. The choice matters clinically: the belt-and-braces route used for critical values.</t>
  </si>
  <si>
    <t>hospital_settings notification_config → Critical Lab Value channel = 'both'</t>
  </si>
  <si>
    <t>TC-P2G-063</t>
  </si>
  <si>
    <t>An alert type can be switched off and stays off</t>
  </si>
  <si>
    <t>1) Open /settings/notifications 2) Switch off the Large Bill alert 3) Save 4) Reload</t>
  </si>
  <si>
    <t>The alert reads inactive after the reload.</t>
  </si>
  <si>
    <t>src/lib/notificationConfig.ts — Large Bill (&gt; ₹50,000)</t>
  </si>
  <si>
    <t>Alert fatigue is a real clinical risk — more alerts is not better. A hospital that deliberately silences a low-value alert must find it still silenced tomorrow, or staff learn to ignore the whole system.</t>
  </si>
  <si>
    <t>hospital_settings notification_config → the Large Bill alert is inactive</t>
  </si>
  <si>
    <t>TC-P2G-064</t>
  </si>
  <si>
    <t>Alert severity cannot be changed from the stored config</t>
  </si>
  <si>
    <t>1) Store a notification_config that sets Code Blue severity to normal 2) Open /settings/notifications 3) Read the Code Blue severity</t>
  </si>
  <si>
    <t>Code Blue still renders as critical. Severity comes from the shipped defaults, never from stored data.</t>
  </si>
  <si>
    <t>src/lib/notificationConfig.ts mergeAlerts — severity is not taken from storage</t>
  </si>
  <si>
    <t>Emergency, IPD, Nursing</t>
  </si>
  <si>
    <t>Whether Code Blue is critical is a product decision, not a hospital preference. If severity were editable, a stray edit could silently demote a life-safety alert and nobody would see it happen.</t>
  </si>
  <si>
    <t>hospital_settings notification_config → a stored severity is ignored in favour of the default</t>
  </si>
  <si>
    <t>TC-P2G-065</t>
  </si>
  <si>
    <t>A stored config missing a newer alert type still shows it</t>
  </si>
  <si>
    <t>1) Store a notification_config containing only one alert 2) Open /settings/notifications 3) Count the alert rows</t>
  </si>
  <si>
    <t>All ten alert types render — the stored one with its saved value, the rest at their defaults.</t>
  </si>
  <si>
    <t>src/lib/notificationConfig.ts mergeAlerts — merge over defaults by alert type</t>
  </si>
  <si>
    <t>A hospital that saved before a new alert shipped has no entry for it. Replacing rather than merging would mean a newly shipped critical alert never fires for any existing customer.</t>
  </si>
  <si>
    <t>hospital_settings notification_config → a partial stored list merges to ten rendered alerts</t>
  </si>
  <si>
    <t>TC-P2G-066</t>
  </si>
  <si>
    <t>Quiet hours save</t>
  </si>
  <si>
    <t>1) Open /settings/notifications 2) Enable Quiet Hours 3) Set From 23:00 and To 07:00 4) Save 5) Reload</t>
  </si>
  <si>
    <t>Quiet hours persist at 23:00–07:00 after the reload.</t>
  </si>
  <si>
    <t>phase2.entry./settings/notifications — quietFrom 23:00, quietTo 07:00</t>
  </si>
  <si>
    <t>Quiet hours are what stop a ward being pinged all night for non-critical events. If they do not persist, night staff are woken by medication-due alerts and start muting the device entirely.</t>
  </si>
  <si>
    <t>hospital_settings notification_config → quietHours from 23:00 to 07:00</t>
  </si>
  <si>
    <t>TC-P2G-067</t>
  </si>
  <si>
    <t>Quiet hours suppress only non-critical alerts</t>
  </si>
  <si>
    <t>1) Open /settings/notifications and enable quiet hours 23:00–07:00 2) Read the description beside the toggle</t>
  </si>
  <si>
    <t>The screen states that quiet hours suppress NON-CRITICAL alerts only.</t>
  </si>
  <si>
    <t>phase2.entry./settings/notifications — quiet 23:00–07:00</t>
  </si>
  <si>
    <t>IPD, Nursing, Lab, Emergency</t>
  </si>
  <si>
    <t>A critical potassium at 2am must still page a doctor. If quiet hours were to suppress everything, the feature intended to reduce alert fatigue would instead hide the alerts that exist to save a life.</t>
  </si>
  <si>
    <t>None — reads the quiet-hours scope statement</t>
  </si>
  <si>
    <t>TC-P2G-068</t>
  </si>
  <si>
    <t>The notification config survives a hard reload</t>
  </si>
  <si>
    <t>1) Open /settings/notifications 2) Set Critical Lab Value to WhatsApp and quiet hours 23:00–07:00 3) Save 4) Hard-reload 5) Re-read both</t>
  </si>
  <si>
    <t>Both settings are still shown after the reload.</t>
  </si>
  <si>
    <t>phase2.entry./settings/notifications — channel both, quiet 23:00–07:00</t>
  </si>
  <si>
    <t>REGRESSION LOCK for BUG-P2-003. This is the case that catches the original defect directly: the toast said saved and nothing survived a reload.</t>
  </si>
  <si>
    <t>hospital_settings where hospital_id = A and key = 'notification_config' → values persist</t>
  </si>
  <si>
    <t>TC-P2G-069</t>
  </si>
  <si>
    <t>Hospital A's notification config is invisible to Hospital B</t>
  </si>
  <si>
    <t>1) Sign in as the Hospital B administrator 2) Open /settings/notifications as Hospital B 3) Query hospital_settings through the API with no hospital filter</t>
  </si>
  <si>
    <t>No Hospital A notification_config row is returned.</t>
  </si>
  <si>
    <t>Multi-tenancy, Nursing</t>
  </si>
  <si>
    <t>hospital_settings has no per-role RLS, so tenant isolation is its only protection. One hospital silencing an alert must never silence it at another.</t>
  </si>
  <si>
    <t>TC-P2G-070</t>
  </si>
  <si>
    <t>The Notification Config screen loads with no red console errors</t>
  </si>
  <si>
    <t>1) Open DevTools → Console 2) Open /settings/notifications 3) Change a channel and save 4) Read the console</t>
  </si>
  <si>
    <t>No red console text from the hospital_settings read or upsert.</t>
  </si>
  <si>
    <t>This screen was newly wired to hospital_settings during Phase 2. A key or column mismatch would surface only here while the UI carried on looking healthy — exactly how the original defect hid.</t>
  </si>
  <si>
    <t>TC-P2G-071</t>
  </si>
  <si>
    <t>Radiology settings load with the seeded modalities</t>
  </si>
  <si>
    <t>1) Open /settings/radiology 2) Read the modality list</t>
  </si>
  <si>
    <t>The four seeded modalities render — X-Ray, Ultrasound, CT Scan and MRI. No red console errors.</t>
  </si>
  <si>
    <t>MOCK_DATA_BOOK Radiology — modalities X-Ray, Ultrasound, CT Scan, MRI</t>
  </si>
  <si>
    <t>Radiology, Billing, OPD</t>
  </si>
  <si>
    <t>SETTINGS_PREREQ_MATRIX says modalities must be created FIRST or the module shows "No studies configured. Go to Settings → Radiology Modalities". That message is the only clue a radiographer gets.</t>
  </si>
  <si>
    <t>radiology_modalities where hospital_id = A → 4 rows</t>
  </si>
  <si>
    <t>TC-P2G-072</t>
  </si>
  <si>
    <t>Adding a study before its modality exists is refused or explained</t>
  </si>
  <si>
    <t>1) Open /settings/radiology 2) Attempt to add the study "Fluoroscopy Barium Swallow" before creating the Fluoroscopy modality 3) Read the result</t>
  </si>
  <si>
    <t>Either the study cannot be added without a modality, or the screen states clearly that the modality must be created first.</t>
  </si>
  <si>
    <t>MOCK_DATA_BOOK Phase 2 additions — Radiology: create the STUDY first to prove the ordering trap</t>
  </si>
  <si>
    <t>MOCK_DATA_BOOK builds this ordering trap deliberately. A hospital that adds studies first sees them vanish or fail, concludes the module is broken, and raises a support ticket for a sequencing rule nobody told them about.</t>
  </si>
  <si>
    <t>radiology_study_master → no orphan study without a modality_id</t>
  </si>
  <si>
    <t>TC-P2G-073</t>
  </si>
  <si>
    <t>A modality saves with its type code</t>
  </si>
  <si>
    <t>1) Open /settings/radiology 2) Add modality "Fluoroscopy" with type code "fluoro" 3) Save</t>
  </si>
  <si>
    <t>A radiology_modalities row exists with that name and type code.</t>
  </si>
  <si>
    <t>MOCK_DATA_BOOK Phase 2 additions — modality Fluoroscopy (fluoro)</t>
  </si>
  <si>
    <t>Radiology, PACS</t>
  </si>
  <si>
    <t>The type code is what a PACS or DICOM worklist matches on. A wrong or missing code means images arrive with no study to attach them to.</t>
  </si>
  <si>
    <t>radiology_modalities where hospital_id = A and name = 'Fluoroscopy' → type code = 'fluoro'</t>
  </si>
  <si>
    <t>TC-P2G-074</t>
  </si>
  <si>
    <t>A study saves with its fee against a modality</t>
  </si>
  <si>
    <t>1) Open /settings/radiology 2) With Fluoroscopy created, add study "Fluoroscopy Barium Swallow" at ₹2,800 3) Save</t>
  </si>
  <si>
    <t>A radiology_study_master row exists with fee 2800 and a modality_id pointing at Fluoroscopy.</t>
  </si>
  <si>
    <t>MOCK_DATA_BOOK Phase 2 additions — Fluoroscopy Barium Swallow ₹2,800</t>
  </si>
  <si>
    <t>Radiology, Billing</t>
  </si>
  <si>
    <t>Tier 0 complete; the Fluoroscopy modality exists</t>
  </si>
  <si>
    <t>SETTINGS_PREREQ_MATRIX warns that without a fee, studies are missing or ordered at ₹0. The department performs the scan, consumes the film and the radiographer time, and bills nothing.</t>
  </si>
  <si>
    <t>radiology_study_master where hospital_id = A and name = 'Fluoroscopy Barium Swallow' → fee = 2800</t>
  </si>
  <si>
    <t>TC-P2G-075</t>
  </si>
  <si>
    <t>A modality cannot be saved without a name</t>
  </si>
  <si>
    <t>1) Open /settings/radiology 2) Attempt to add a modality with a blank Name 3) Save</t>
  </si>
  <si>
    <t>The save is refused and no radiology_modalities row is written.</t>
  </si>
  <si>
    <t>None — deliberately omits the required modality Name</t>
  </si>
  <si>
    <t>An unnamed modality renders as a blank group heading, so the radiographer cannot tell which machine a study belongs to.</t>
  </si>
  <si>
    <t>radiology_modalities where hospital_id = A and (name is null or name = '') → 0 rows</t>
  </si>
  <si>
    <t>TC-P2G-076</t>
  </si>
  <si>
    <t>A modality cannot be saved without a type code</t>
  </si>
  <si>
    <t>1) Open /settings/radiology 2) Add a modality with a name but no Type Code 3) Save</t>
  </si>
  <si>
    <t>None — deliberately omits the required Type Code</t>
  </si>
  <si>
    <t>The type code is the DICOM matching key. Without it the PACS integration cannot route images to the right study type and they land unassigned.</t>
  </si>
  <si>
    <t>radiology_modalities where hospital_id = A → type code set on every row</t>
  </si>
  <si>
    <t>TC-P2G-077</t>
  </si>
  <si>
    <t>A study cannot be saved without a fee</t>
  </si>
  <si>
    <t>1) Open /settings/radiology 2) Add a study with a name but no Fee 3) Save</t>
  </si>
  <si>
    <t>The save is refused, or the unpriced study is visibly flagged.</t>
  </si>
  <si>
    <t>None — deliberately omits the required study Fee</t>
  </si>
  <si>
    <t>An unpriced study orders at ₹0. On an MRI at ₹8,500 that is a substantial silent loss on every scan, and it surfaces only in the monthly revenue variance.</t>
  </si>
  <si>
    <t>radiology_study_master where hospital_id = A → fee set on every row</t>
  </si>
  <si>
    <t>TC-P2G-078</t>
  </si>
  <si>
    <t>An obstetric study name triggers PCPNDT Form F</t>
  </si>
  <si>
    <t>1) Open /settings/radiology 2) Confirm "USG Obstetric (Level II)" exists 3) Order it for a pregnant patient 4) Check whether Form F is created</t>
  </si>
  <si>
    <t>Form F auto-creation is triggered for the obstetric study.</t>
  </si>
  <si>
    <t>MOCK_DATA_BOOK Radiology — USG Obstetric (Level II) ₹1,800; Patients — PT-QA-0012 Deepa Nair, 22 weeks pregnant</t>
  </si>
  <si>
    <t>Radiology, PCPNDT, Quality</t>
  </si>
  <si>
    <t>Tier 0 complete; pcpndt_settings configured</t>
  </si>
  <si>
    <t>PCPNDT Form F is a legal requirement for every obstetric ultrasound, and failure to maintain it carries criminal liability and licence suspension for the centre.</t>
  </si>
  <si>
    <t>radiology_study_master where hospital_id = A and name = 'USG Obstetric (Level II)' → 1 row, and Form F is created on order</t>
  </si>
  <si>
    <t>TC-P2G-079</t>
  </si>
  <si>
    <t>An obstetric study whose name lacks the trigger word is probed deliberately</t>
  </si>
  <si>
    <t>1) Open /settings/radiology 2) Confirm "USG Pregnancy Profile" exists 3) Order it for a pregnant patient 4) Check whether Form F is created</t>
  </si>
  <si>
    <t>Record what actually happens. Clinically this is an obstetric scan, but the name does not contain "obstetric".</t>
  </si>
  <si>
    <t>MOCK_DATA_BOOK Radiology — USG Pregnancy Profile ₹1,500, deliberately named without the word obstetric</t>
  </si>
  <si>
    <t>MOCK_DATA_BOOK seeds two obstetric studies with deliberately different names because Form F auto-creation triggers on the study name containing "obstetric". If the trigger is name-based, this scan escapes Form F entirely — which is the exact gap a PCPNDT inspection would find.</t>
  </si>
  <si>
    <t>radiology_study_master where hospital_id = A and name = 'USG Pregnancy Profile' → 1 row; record whether Form F is created</t>
  </si>
  <si>
    <t>TC-P2G-080</t>
  </si>
  <si>
    <t>PCPNDT machine and doctor registration numbers save</t>
  </si>
  <si>
    <t>1) Open /settings/radiology 2) Enter the Ultrasound Machine Name, Machine Registration Number and Doctor PCPNDT Registration Number 3) Save 4) Reload</t>
  </si>
  <si>
    <t>All three persist after the reload.</t>
  </si>
  <si>
    <t>Literal PCPNDT registration values — synthetic, no real registration is used</t>
  </si>
  <si>
    <t>SETTINGS_PREREQ_MATRIX flags pcpndt_settings in red: without it Form F may not generate correctly. The machine and doctor registration numbers are printed on Form F and are what an inspector checks first.</t>
  </si>
  <si>
    <t>pcpndt_settings where hospital_id = A → machine and doctor registration recorded</t>
  </si>
  <si>
    <t>TC-P2G-081</t>
  </si>
  <si>
    <t>The PACS viewer configuration saves</t>
  </si>
  <si>
    <t>1) Open /settings/radiology 2) Enter PACS Display Name, Viewer Base URL and WADO-URI Root URL 3) Save 4) Reload</t>
  </si>
  <si>
    <t>Literal PACS values — https://pacs.yourhospital.com/wado (the placeholder the field suggests)</t>
  </si>
  <si>
    <t>SETTINGS_PREREQ_MATRIX warns that without hospital_pacs_config the DICOM and PACS features are inert. The radiologist then has a report screen with no images attached to it.</t>
  </si>
  <si>
    <t>hospital_pacs_config where hospital_id = A → viewer and WADO URLs recorded</t>
  </si>
  <si>
    <t>TC-P2G-082</t>
  </si>
  <si>
    <t>The PACS AE title saves</t>
  </si>
  <si>
    <t>1) Open /settings/radiology 2) Enter an AE Title 3) Save 4) Reload</t>
  </si>
  <si>
    <t>The AE title persists after the reload.</t>
  </si>
  <si>
    <t>Literal AE title HOSPITAL_PACS (the placeholder the field suggests)</t>
  </si>
  <si>
    <t>The AE title is how the modality identifies itself to the PACS. A wrong one means images are pushed and silently rejected at the far end.</t>
  </si>
  <si>
    <t>hospital_pacs_config where hospital_id = A → AE title recorded</t>
  </si>
  <si>
    <t>TC-P2G-083</t>
  </si>
  <si>
    <t>A duplicate modality type code is rejected</t>
  </si>
  <si>
    <t>1) Open /settings/radiology 2) Create modality Fluoroscopy with code fluoro 3) Create another with the same code 4) Count the rows</t>
  </si>
  <si>
    <t>Only one radiology_modalities row carries that code for Hospital A.</t>
  </si>
  <si>
    <t>phase2.invalid — duplicate modality code fluoro</t>
  </si>
  <si>
    <t>The code is the DICOM routing key. Two modalities sharing it means incoming images attach to whichever the query returns first, and a CT ends up filed under an ultrasound.</t>
  </si>
  <si>
    <t>radiology_modalities where hospital_id = A and type code = 'fluoro' → exactly 1 row</t>
  </si>
  <si>
    <t>TC-P2G-084</t>
  </si>
  <si>
    <t>The study sort order saves</t>
  </si>
  <si>
    <t>1) Open /settings/radiology 2) Set a sort order on a study 3) Save 4) Read the list order</t>
  </si>
  <si>
    <t>Studies list in sort order, not insertion order.</t>
  </si>
  <si>
    <t>MOCK_DATA_BOOK Radiology — the seven seeded studies</t>
  </si>
  <si>
    <t>Sort order puts Chest X-Ray at the top where it is ordered dozens of times a day, instead of below an MRI nobody orders. It is what makes the picker usable during a busy OPD.</t>
  </si>
  <si>
    <t>radiology_study_master where hospital_id = A → sort_order honoured in the listing</t>
  </si>
  <si>
    <t>TC-P2G-085</t>
  </si>
  <si>
    <t>Study fees render in en-IN grouping with the rupee symbol</t>
  </si>
  <si>
    <t>1) Open /settings/radiology 2) Locate MRI Lumbar Spine at ₹8,500 3) Read the fee as displayed</t>
  </si>
  <si>
    <t>The fee renders as ₹8,500.00 with Indian grouping.</t>
  </si>
  <si>
    <t>MOCK_DATA_BOOK Radiology — MRI Lumbar Spine ₹8,500</t>
  </si>
  <si>
    <t>This is the rate the counter quotes to a patient before an expensive scan. A number without the rupee symbol or with the wrong comma position is misread at exactly the moment it matters most.</t>
  </si>
  <si>
    <t>radiology_study_master where hospital_id = A and name = 'MRI Lumbar Spine' → fee = 8500 rendered as ₹8,500.00</t>
  </si>
  <si>
    <t>TC-P2G-086</t>
  </si>
  <si>
    <t>A new radiology study appears as a chip in the OPD Rx tab</t>
  </si>
  <si>
    <t>1) Add a study under /settings/radiology 2) Open the OPD consultation workspace 3) Open the Rx tab 4) Look for the radiology chips</t>
  </si>
  <si>
    <t>The new study is offered as a radiology chip.</t>
  </si>
  <si>
    <t>MOCK_DATA_BOOK Phase 2 additions — Fluoroscopy Barium Swallow</t>
  </si>
  <si>
    <t>OPD, Radiology</t>
  </si>
  <si>
    <t>SETTINGS_PREREQ_MATRIX warns that with no radiology_study_master rows the radiology chips in the Rx tab are EMPTY. A doctor who cannot pick a study writes it as free text, and free text does not reach the radiology worklist.</t>
  </si>
  <si>
    <t>radiology_study_master where hospital_id = A → offered as a chip in the OPD Rx tab</t>
  </si>
  <si>
    <t>TC-P2G-087</t>
  </si>
  <si>
    <t>Editing a study fee persists</t>
  </si>
  <si>
    <t>1) Open /settings/radiology 2) Change a study fee 3) Save 4) Reload</t>
  </si>
  <si>
    <t>The new fee shows after the reload.</t>
  </si>
  <si>
    <t>MOCK_DATA_BOOK Radiology — the seven seeded study fees</t>
  </si>
  <si>
    <t>Imaging rates are revised as equipment contracts change. An edit that does not persist means the department bills the old rate on a scan whose cost has risen.</t>
  </si>
  <si>
    <t>radiology_study_master where hospital_id = A → the edited fee persists</t>
  </si>
  <si>
    <t>TC-P2G-088</t>
  </si>
  <si>
    <t>A study can be deactivated without being deleted</t>
  </si>
  <si>
    <t>1) Open /settings/radiology 2) Deactivate a study 3) Reload</t>
  </si>
  <si>
    <t>The study is marked inactive and the row still exists.</t>
  </si>
  <si>
    <t>Radiology, MRD</t>
  </si>
  <si>
    <t>A study withdrawn when a machine is decommissioned must stop being orderable while every historical report that used it still resolves its name.</t>
  </si>
  <si>
    <t>radiology_study_master → the row is inactive and still present</t>
  </si>
  <si>
    <t>TC-P2G-089</t>
  </si>
  <si>
    <t>Radiology settings survive a hard reload</t>
  </si>
  <si>
    <t>1) Open /settings/radiology 2) Create the Fluoroscopy modality and its study 3) Hard-reload 4) Locate both</t>
  </si>
  <si>
    <t>Both the modality and the study are still listed after the reload.</t>
  </si>
  <si>
    <t>MOCK_DATA_BOOK Phase 2 additions — Fluoroscopy modality and Barium Swallow study</t>
  </si>
  <si>
    <t>This screen writes to four tables — modalities, studies, PCPNDT settings and PACS config. A partial write that toasts success leaves a modality with no studies, which shows the radiographer "No studies configured".</t>
  </si>
  <si>
    <t>radiology_modalities and radiology_study_master → both rows persist</t>
  </si>
  <si>
    <t>TC-P2G-090</t>
  </si>
  <si>
    <t>Hospital A's radiology catalogue is invisible to Hospital B</t>
  </si>
  <si>
    <t>1) Sign in as the Hospital B administrator 2) Open /settings/radiology as Hospital B 3) Query radiology_study_master through the API with no hospital filter</t>
  </si>
  <si>
    <t>Not one Hospital A study is returned.</t>
  </si>
  <si>
    <t>Multi-tenancy, Radiology</t>
  </si>
  <si>
    <t>The PCPNDT registration numbers stored alongside are legal registrations tied to a named doctor and machine. Cross-tenant exposure of those is a regulatory disclosure, not just a rate-card leak.</t>
  </si>
  <si>
    <t>radiology_study_master queried as the Hospital B admin → zero rows with hospital_id = A</t>
  </si>
  <si>
    <t>TC-P2G-091</t>
  </si>
  <si>
    <t>A receptionist cannot edit the radiology catalogue</t>
  </si>
  <si>
    <t>1) Log in as receptionist (Hospital A) 2) Navigate directly to /settings/radiology</t>
  </si>
  <si>
    <t>Radiology, PCPNDT</t>
  </si>
  <si>
    <t>This screen holds the PCPNDT registration numbers. Altering them would put a wrong registration on a legal Form F, which is a PCPNDT offence attributable to the named doctor.</t>
  </si>
  <si>
    <t>TC-P2G-092</t>
  </si>
  <si>
    <t>The Radiology settings screen loads with no red console errors</t>
  </si>
  <si>
    <t>1) Open DevTools → Console 2) Open /settings/radiology 3) Create a modality and a study 4) Read the console</t>
  </si>
  <si>
    <t>No red console text from any of the four table writes.</t>
  </si>
  <si>
    <t>MOCK_DATA_BOOK Phase 2 additions — Fluoroscopy modality and study</t>
  </si>
  <si>
    <t>A failure on the PCPNDT or PACS write would leave the visible catalogue looking correct while Form F generation and image routing are both broken.</t>
  </si>
  <si>
    <t>TC-P2G-093</t>
  </si>
  <si>
    <t>ICD-10 Code Master loads</t>
  </si>
  <si>
    <t>1) Open /settings/icd-codes 2) Read the code list</t>
  </si>
  <si>
    <t>The screen renders with a searchable code list and an Add Code action. No red console errors.</t>
  </si>
  <si>
    <t>MOCK_DATA_BOOK Phase 2 additions — ICD-10 N18.5</t>
  </si>
  <si>
    <t>MRD, Insurance, PMJAY, Billing, Analytics</t>
  </si>
  <si>
    <t>SETTINGS_PREREQ_MATRIX lists the ICD-10 code set as a back-office prerequisite. Without it a diagnosis cannot be coded, and an uncoded claim is rejected by every insurer.</t>
  </si>
  <si>
    <t>hospital_icd_settings where hospital_id = A → matches what is displayed</t>
  </si>
  <si>
    <t>e2e/phase-02-settings/P2G.clinical.masters.spec.ts</t>
  </si>
  <si>
    <t>TC-P2G-094</t>
  </si>
  <si>
    <t>An ICD-10 code saves with its description</t>
  </si>
  <si>
    <t>1) Open /settings/icd-codes 2) Add code "N18.5" described as "Chronic kidney disease, stage 5" 3) Save</t>
  </si>
  <si>
    <t>The code and description persist.</t>
  </si>
  <si>
    <t>MOCK_DATA_BOOK Phase 2 additions — ICD-10 N18.5 Chronic kidney disease, stage 5</t>
  </si>
  <si>
    <t>MRD, Insurance, PMJAY</t>
  </si>
  <si>
    <t>The ICD code is what a claim is adjudicated against and what the morbidity return reports. A wrong or missing code is a rejected claim and a distorted national health statistic.</t>
  </si>
  <si>
    <t>the ICD code set → N18.5 present with its description</t>
  </si>
  <si>
    <t>TC-P2G-095</t>
  </si>
  <si>
    <t>An ICD code cannot be saved without a code value</t>
  </si>
  <si>
    <t>1) Open /settings/icd-codes 2) Add an entry with a description but no Code 3) Save</t>
  </si>
  <si>
    <t>The save is refused and no entry is written.</t>
  </si>
  <si>
    <t>MRD, Insurance</t>
  </si>
  <si>
    <t>A description with no code cannot be submitted on a claim. The coder believes the diagnosis is coded and the claim is rejected weeks later for a missing code.</t>
  </si>
  <si>
    <t>the ICD code set → no entry with a blank code</t>
  </si>
  <si>
    <t>TC-P2G-096</t>
  </si>
  <si>
    <t>An ICD code cannot be saved without a description</t>
  </si>
  <si>
    <t>1) Open /settings/icd-codes 2) Add a code with no Description 3) Save</t>
  </si>
  <si>
    <t>None — deliberately omits the required Description</t>
  </si>
  <si>
    <t>A bare code is unsearchable by a coder who knows the condition but not the number. The diagnosis picker becomes usable only by someone who has memorised ICD-10.</t>
  </si>
  <si>
    <t>the ICD code set → no entry with a blank description</t>
  </si>
  <si>
    <t>TC-P2G-097</t>
  </si>
  <si>
    <t>A duplicate ICD code is rejected</t>
  </si>
  <si>
    <t>1) Open /settings/icd-codes 2) Add N18.5 3) Add it again 4) Count the entries</t>
  </si>
  <si>
    <t>Only one entry carries N18.5.</t>
  </si>
  <si>
    <t>phase2.invalid — duplicate ICD code N18.5</t>
  </si>
  <si>
    <t>MRD, Analytics</t>
  </si>
  <si>
    <t>Two entries for one code split the morbidity count, so a condition reported to the state health department is understated by however many cases used the duplicate.</t>
  </si>
  <si>
    <t>the ICD code set → N18.5 appears exactly once</t>
  </si>
  <si>
    <t>TC-P2G-098</t>
  </si>
  <si>
    <t>The common-Indian-codes-first preference saves</t>
  </si>
  <si>
    <t>1) Open /settings/icd-codes 2) Toggle "Show common Indian codes first in search results" 3) Save 4) Reload</t>
  </si>
  <si>
    <t>The preference persists after the reload.</t>
  </si>
  <si>
    <t>The common-codes toggle on SettingsICDCodesPage</t>
  </si>
  <si>
    <t>MRD, OPD</t>
  </si>
  <si>
    <t>ICD-10 has tens of thousands of codes and an Indian hospital uses a few hundred. Surfacing the common ones first is the difference between a two-second selection and a coder giving up and picking an approximate code.</t>
  </si>
  <si>
    <t>hospital_icd_settings where hospital_id = A → the preference persists</t>
  </si>
  <si>
    <t>TC-P2G-099</t>
  </si>
  <si>
    <t>The billable-only filter works</t>
  </si>
  <si>
    <t>1) Open /settings/icd-codes 2) Apply the "Billable only" filter 3) Read the results</t>
  </si>
  <si>
    <t>Only billable codes remain listed.</t>
  </si>
  <si>
    <t>The Billable only filter on SettingsICDCodesPage</t>
  </si>
  <si>
    <t>MRD, Billing, Insurance</t>
  </si>
  <si>
    <t>Non-billable category headers exist in ICD-10 and cannot be submitted on a claim. Coding to one produces a rejection that reads as a coding error rather than a picker that offered an invalid option.</t>
  </si>
  <si>
    <t>TC-P2G-100</t>
  </si>
  <si>
    <t>A new ICD code is searchable in the diagnosis picker</t>
  </si>
  <si>
    <t>1) Add N18.5 under /settings/icd-codes 2) Open a clinical screen with a diagnosis picker 3) Search for N18.5</t>
  </si>
  <si>
    <t>The code is offered in the diagnosis picker.</t>
  </si>
  <si>
    <t>MOCK_DATA_BOOK Phase 2 additions — ICD-10 N18.5, searchable in the diagnosis picker</t>
  </si>
  <si>
    <t>OPD, IPD, MRD, Insurance</t>
  </si>
  <si>
    <t>MOCK_DATA_BOOK adds N18.5 specifically so this hop is provable. A code configured here and absent from the picker means the coder cannot use it, and the diagnosis is recorded as free text that no claim can carry.</t>
  </si>
  <si>
    <t>the ICD code set → N18.5 is offered in the clinical diagnosis picker</t>
  </si>
  <si>
    <t>TC-P2G-101</t>
  </si>
  <si>
    <t>Hospital A's ICD settings are invisible to Hospital B</t>
  </si>
  <si>
    <t>1) Sign in as the Hospital B administrator 2) Open /settings/icd-codes as Hospital B 3) Query hospital_icd_settings through the API with no hospital filter</t>
  </si>
  <si>
    <t>No Hospital A ICD settings row is returned.</t>
  </si>
  <si>
    <t>Multi-tenancy, MRD</t>
  </si>
  <si>
    <t>A hospital's active code set reveals its clinical case mix. It is also a configuration one tenant must never be able to change for another.</t>
  </si>
  <si>
    <t>hospital_icd_settings queried as the Hospital B admin → zero rows with hospital_id = A</t>
  </si>
  <si>
    <t>TC-P2G-102</t>
  </si>
  <si>
    <t>The ICD-10 screen loads with no red console errors</t>
  </si>
  <si>
    <t>1) Open DevTools → Console 2) Open /settings/icd-codes 3) Add a code and search 4) Read the console</t>
  </si>
  <si>
    <t>No red console text from the read or write.</t>
  </si>
  <si>
    <t>A failed write that appears only in the console leaves the coder believing a code is available when it is not, and they find out with a patient chart open.</t>
  </si>
  <si>
    <t>TC-P2G-103</t>
  </si>
  <si>
    <t>Consent Forms screen loads</t>
  </si>
  <si>
    <t>1) Open /settings/consent-forms 2) Read the form list</t>
  </si>
  <si>
    <t>The screen renders with an Add Consent Form action. No red console errors.</t>
  </si>
  <si>
    <t>MOCK_DATA_BOOK Phase 2 additions — Haemodialysis Consent</t>
  </si>
  <si>
    <t>OT, IPD, Day Care, Anaesthesia, Quality</t>
  </si>
  <si>
    <t>SETTINGS_PREREQ_MATRIX lists consent form templates as an Emergency and OT prerequisite. A procedure performed without a signed consent is a medico-legal exposure with no defence.</t>
  </si>
  <si>
    <t>consent_form_templates where hospital_id = A → matches the list displayed</t>
  </si>
  <si>
    <t>TC-P2G-104</t>
  </si>
  <si>
    <t>A consent form saves with its body text</t>
  </si>
  <si>
    <t>1) Open /settings/consent-forms 2) Add "Haemodialysis Consent" with its consent text 3) Save</t>
  </si>
  <si>
    <t>A consent_form_templates row exists with the name and the full body text.</t>
  </si>
  <si>
    <t>MOCK_DATA_BOOK Phase 2 additions — Haemodialysis Consent with its body text</t>
  </si>
  <si>
    <t>OT, IPD, Dialysis, Quality</t>
  </si>
  <si>
    <t>The body text is what the patient signs. Truncated or lost, the hospital holds a signature against a document that does not say what it was supposed to say.</t>
  </si>
  <si>
    <t>consent_form_templates where hospital_id = A and name = 'Haemodialysis Consent' → body text stored in full</t>
  </si>
  <si>
    <t>TC-P2G-105</t>
  </si>
  <si>
    <t>A consent form cannot be saved without a name</t>
  </si>
  <si>
    <t>1) Open /settings/consent-forms 2) Add a form with body text but no Form Name 3) Save</t>
  </si>
  <si>
    <t>None — deliberately omits the required Form Name</t>
  </si>
  <si>
    <t>OT, IPD</t>
  </si>
  <si>
    <t>An unnamed consent renders as a blank option in the procedure consent picker, so the wrong form is printed for a patient about to sign it.</t>
  </si>
  <si>
    <t>consent_form_templates where hospital_id = A and (name is null or name = '') → 0 rows</t>
  </si>
  <si>
    <t>TC-P2G-106</t>
  </si>
  <si>
    <t>A consent form cannot be saved with empty content</t>
  </si>
  <si>
    <t>1) Open /settings/consent-forms 2) Add a form with a name but no Content 3) Save</t>
  </si>
  <si>
    <t>The save is refused, or the empty form is visibly flagged as not usable.</t>
  </si>
  <si>
    <t>None — deliberately omits the Content</t>
  </si>
  <si>
    <t>OT, IPD, Quality</t>
  </si>
  <si>
    <t>A blank consent form is printed, signed and filed. The hospital then holds a signature on an empty page, which is worse than having no consent at all because it looks like the process was followed.</t>
  </si>
  <si>
    <t>consent_form_templates where hospital_id = A → no row with empty content</t>
  </si>
  <si>
    <t>TC-P2G-107</t>
  </si>
  <si>
    <t>The consent type saves</t>
  </si>
  <si>
    <t>1) Open /settings/consent-forms 2) Set a Consent Type on a form 3) Save 4) Reload</t>
  </si>
  <si>
    <t>The consent type persists after the reload.</t>
  </si>
  <si>
    <t>The Consent Type options on SettingsConsentFormsPage</t>
  </si>
  <si>
    <t>OT, IPD, Anaesthesia</t>
  </si>
  <si>
    <t>Consent type decides where the form is offered — surgical consent must appear at OT booking, not at outpatient registration. Untyped forms appear everywhere or nowhere.</t>
  </si>
  <si>
    <t>consent_form_templates where hospital_id = A → consent type recorded</t>
  </si>
  <si>
    <t>TC-P2G-108</t>
  </si>
  <si>
    <t>A new consent form appears in the procedure consent picker</t>
  </si>
  <si>
    <t>1) Add Haemodialysis Consent under /settings/consent-forms 2) Open a procedure that requires consent 3) Open the consent picker</t>
  </si>
  <si>
    <t>The new form is offered.</t>
  </si>
  <si>
    <t>MOCK_DATA_BOOK Phase 2 additions — Haemodialysis Consent must appear in the procedure consent picker</t>
  </si>
  <si>
    <t>OT, IPD, Dialysis</t>
  </si>
  <si>
    <t>MOCK_DATA_BOOK states this downstream requirement explicitly. A form configured here and absent from the picker means the procedure goes ahead on a generic consent, or on none.</t>
  </si>
  <si>
    <t>consent_form_templates → the form is offered in the procedure consent picker</t>
  </si>
  <si>
    <t>TC-P2G-109</t>
  </si>
  <si>
    <t>Hospital A's consent forms are invisible to Hospital B</t>
  </si>
  <si>
    <t>1) Sign in as the Hospital B administrator 2) Open /settings/consent-forms as Hospital B 3) Query consent_form_templates through the API with no hospital filter</t>
  </si>
  <si>
    <t>Not one Hospital A consent form is returned.</t>
  </si>
  <si>
    <t>Multi-tenancy, OT, Quality</t>
  </si>
  <si>
    <t>A consent form names the hospital and carries its own legal wording, reviewed by its own advisers. One hospital printing another's consent text puts an unreviewed legal document in front of a patient.</t>
  </si>
  <si>
    <t>consent_form_templates queried as the Hospital B admin → zero rows with hospital_id = A</t>
  </si>
  <si>
    <t>TC-P2G-110</t>
  </si>
  <si>
    <t>A saved consent form survives a hard reload</t>
  </si>
  <si>
    <t>1) Open /settings/consent-forms 2) Create Haemodialysis Consent 3) Hard-reload 4) Locate the form</t>
  </si>
  <si>
    <t>The form is still listed with its body text intact.</t>
  </si>
  <si>
    <t>A false save means the consent is missing at the moment a procedure is being booked, and the ward improvises with a handwritten form that nobody has reviewed.</t>
  </si>
  <si>
    <t>consent_form_templates where hospital_id = A and name = 'Haemodialysis Consent' → 1 row</t>
  </si>
  <si>
    <t>TC-P2G-111</t>
  </si>
  <si>
    <t>OT Checklist screen loads with the WHO surgical safety structure</t>
  </si>
  <si>
    <t>1) Open /settings/ot-checklist 2) Read the checklist</t>
  </si>
  <si>
    <t>The WHO surgical safety checklist structure renders — sign in, time out and sign out. No red console errors.</t>
  </si>
  <si>
    <t>The WHO surgical safety checklist rendered by SettingsOTChecklistPage</t>
  </si>
  <si>
    <t>OT, Anaesthesia, Quality</t>
  </si>
  <si>
    <t>The WHO checklist is a NABH requirement and the single most evidenced patient-safety intervention in surgery. It has to be present before the first case is booked.</t>
  </si>
  <si>
    <t>ot_checklist_custom_items where hospital_id = A → custom items match what is displayed</t>
  </si>
  <si>
    <t>TC-P2G-112</t>
  </si>
  <si>
    <t>A custom checklist item saves</t>
  </si>
  <si>
    <t>1) Open /settings/ot-checklist 2) Add "Confirm dialysis access site is marked" 3) Save</t>
  </si>
  <si>
    <t>An ot_checklist_custom_items row exists with that text.</t>
  </si>
  <si>
    <t>phase2.entry./settings/ot-checklist — "Confirm dialysis access site is marked"</t>
  </si>
  <si>
    <t>OT, Quality</t>
  </si>
  <si>
    <t>Site marking is the control against wrong-site surgery. A custom item that does not save means the check is never presented to the team, and the hospital believes its checklist covers it.</t>
  </si>
  <si>
    <t>ot_checklist_custom_items where hospital_id = A → the item text is stored</t>
  </si>
  <si>
    <t>TC-P2G-113</t>
  </si>
  <si>
    <t>An empty checklist item is refused</t>
  </si>
  <si>
    <t>1) Open /settings/ot-checklist 2) Attempt to add a blank item 3) Save</t>
  </si>
  <si>
    <t>None — deliberately submits a blank checklist item</t>
  </si>
  <si>
    <t>OT</t>
  </si>
  <si>
    <t>A blank item renders as an unlabelled checkbox the team must tick without knowing what they are confirming. That converts a safety checklist into a box-ticking ritual.</t>
  </si>
  <si>
    <t>ot_checklist_custom_items where hospital_id = A → no row with empty text</t>
  </si>
  <si>
    <t>TC-P2G-114</t>
  </si>
  <si>
    <t>A custom checklist item can be removed</t>
  </si>
  <si>
    <t>1) Open /settings/ot-checklist 2) Delete a custom item 3) Reload</t>
  </si>
  <si>
    <t>The item is gone and does not return after the reload.</t>
  </si>
  <si>
    <t>phase2.entry./settings/ot-checklist — the custom dialysis item</t>
  </si>
  <si>
    <t>A checklist that only grows becomes too long to complete honestly, and a team that cannot finish it starts ticking without reading. Removing obsolete items is a safety act, not tidying.</t>
  </si>
  <si>
    <t>ot_checklist_custom_items → the row is deleted and stays deleted</t>
  </si>
  <si>
    <t>TC-P2G-115</t>
  </si>
  <si>
    <t>Custom checklist items survive a hard reload</t>
  </si>
  <si>
    <t>1) Open /settings/ot-checklist 2) Add a custom item 3) Hard-reload 4) Look for the item</t>
  </si>
  <si>
    <t>The item is still listed after the reload.</t>
  </si>
  <si>
    <t>A false save here means a safety check the hospital deliberately added is silently absent from every subsequent operation.</t>
  </si>
  <si>
    <t>ot_checklist_custom_items where hospital_id = A → the item persists</t>
  </si>
  <si>
    <t>TC-P2G-116</t>
  </si>
  <si>
    <t>A custom checklist item appears in the OT workflow</t>
  </si>
  <si>
    <t>1) Add a custom item under /settings/ot-checklist 2) Open an OT case 3) Open the surgical safety checklist</t>
  </si>
  <si>
    <t>The custom item is presented alongside the standard WHO items.</t>
  </si>
  <si>
    <t>A checklist item configured but never presented is worse than not adding it — the hospital documents the control in its quality manual and the theatre never performs it.</t>
  </si>
  <si>
    <t>ot_checklist_custom_items → the item is presented in the OT case checklist</t>
  </si>
  <si>
    <t>TC-P2G-117</t>
  </si>
  <si>
    <t>Hospital A's OT checklist items are invisible to Hospital B</t>
  </si>
  <si>
    <t>1) Sign in as the Hospital B administrator 2) Open /settings/ot-checklist as Hospital B 3) Query ot_checklist_custom_items through the API with no hospital filter</t>
  </si>
  <si>
    <t>Not one Hospital A checklist item is returned.</t>
  </si>
  <si>
    <t>Multi-tenancy, OT</t>
  </si>
  <si>
    <t>A surgical checklist is specific to a hospital's own procedures and equipment. Inheriting another's would present a theatre team with checks that do not apply and omit the ones that do.</t>
  </si>
  <si>
    <t>ot_checklist_custom_items queried as the Hospital B admin → zero rows with hospital_id = A</t>
  </si>
  <si>
    <t>TC-P2G-118</t>
  </si>
  <si>
    <t>The OT Checklist screen loads with no red console errors</t>
  </si>
  <si>
    <t>1) Open DevTools → Console 2) Open /settings/ot-checklist 3) Add and remove an item 4) Read the console</t>
  </si>
  <si>
    <t>No red console text.</t>
  </si>
  <si>
    <t>A failed write that appears only in the console leaves the quality manager believing a safety check is in place across every theatre.</t>
  </si>
  <si>
    <t>TC-P2G-119</t>
  </si>
  <si>
    <t>Clinical Protocols loads its rows from clinical_protocols rather than a hardcoded list</t>
  </si>
  <si>
    <t>1) Open /settings/protocols 2) Read the protocol table</t>
  </si>
  <si>
    <t>The table reflects the clinical_protocols rows for Hospital A. If none exist it shows an empty state, NOT the five placeholder protocols.</t>
  </si>
  <si>
    <t>phase2.entry./settings/protocols — Acute Kidney Injury Bundle</t>
  </si>
  <si>
    <t>IPD, Nursing, Emergency, Quality, IPC</t>
  </si>
  <si>
    <t>REGRESSION LOCK for BUG-P2-005. This screen rendered five hardcoded protocols and never queried the database, so every hospital saw the same fake Sepsis Bundle and Code Blue while its own protocols existed nowhere.</t>
  </si>
  <si>
    <t>clinical_protocols where hospital_id = A → matches the rows displayed</t>
  </si>
  <si>
    <t>TC-P2G-120</t>
  </si>
  <si>
    <t>A new protocol saves to clinical_protocols</t>
  </si>
  <si>
    <t>1) Open /settings/protocols 2) Add "Acute Kidney Injury Bundle" in category Critical Care with five steps 3) Click "Save Protocol"</t>
  </si>
  <si>
    <t>A clinical_protocols row exists with the name, category, description and all five steps.</t>
  </si>
  <si>
    <t>phase2.entry./settings/protocols — Acute Kidney Injury Bundle with its five steps</t>
  </si>
  <si>
    <t>IPD, Nursing, Quality</t>
  </si>
  <si>
    <t>REGRESSION LOCK for BUG-P2-005. Saving showed a green toast and issued zero Supabase calls, so a protocol a hospital wrote vanished on reload. A protocol nobody can retrieve is a protocol nobody follows.</t>
  </si>
  <si>
    <t>clinical_protocols where hospital_id = A and protocol_name = 'Acute Kidney Injury Bundle' → 1 row with 5 steps</t>
  </si>
  <si>
    <t>TC-P2G-121</t>
  </si>
  <si>
    <t>Protocol steps save in order as a list</t>
  </si>
  <si>
    <t>1) Open /settings/protocols 2) Create a protocol with five ordered steps 3) Save 4) Reload and re-open it</t>
  </si>
  <si>
    <t>All five steps are present, in the order they were entered.</t>
  </si>
  <si>
    <t>phase2.entry./settings/protocols — the five AKI bundle steps in order</t>
  </si>
  <si>
    <t>IPD, Nursing, Emergency</t>
  </si>
  <si>
    <t>A protocol is a sequence. "Stop nephrotoxics" before "assess volume status" is the clinical order that matters, and steps reordered on save turn a bundle into a list of unrelated actions.</t>
  </si>
  <si>
    <t>clinical_protocols where hospital_id = A and protocol_name = 'Acute Kidney Injury Bundle' → steps in entry order</t>
  </si>
  <si>
    <t>TC-P2G-122</t>
  </si>
  <si>
    <t>A protocol cannot be saved without a name</t>
  </si>
  <si>
    <t>1) Open /settings/protocols 2) Add a protocol with steps but no Name 3) Click "Save Protocol"</t>
  </si>
  <si>
    <t>A destructive toast reads "Protocol name is required" and no row is written.</t>
  </si>
  <si>
    <t>None — deliberately omits the required protocol Name</t>
  </si>
  <si>
    <t>IPD, Quality</t>
  </si>
  <si>
    <t>An unnamed protocol cannot be found when a nurse needs it at the bedside, and it renders as a blank row in the protocol list.</t>
  </si>
  <si>
    <t>clinical_protocols where hospital_id = A and (protocol_name is null or protocol_name = '') → 0 rows</t>
  </si>
  <si>
    <t>TC-P2G-123</t>
  </si>
  <si>
    <t>A protocol cannot be saved with no steps</t>
  </si>
  <si>
    <t>1) Open /settings/protocols 2) Add a protocol with a name but every step blank 3) Click "Save Protocol"</t>
  </si>
  <si>
    <t>A destructive toast explains that at least one step is required, and no row is written.</t>
  </si>
  <si>
    <t>None — deliberately leaves every step blank</t>
  </si>
  <si>
    <t>A protocol with no steps tells the ward nothing. It appears in the protocol list, a nurse opens it during an emergency, and it is empty.</t>
  </si>
  <si>
    <t>clinical_protocols where hospital_id = A → every row has at least one step</t>
  </si>
  <si>
    <t>TC-P2G-124</t>
  </si>
  <si>
    <t>A protocol can be edited and the change persists</t>
  </si>
  <si>
    <t>1) Open /settings/protocols 2) Open an existing protocol 3) Add a step 4) Save 5) Reload</t>
  </si>
  <si>
    <t>The added step is present after the reload.</t>
  </si>
  <si>
    <t>Protocols are revised as guidelines change. An edit that toasts success without persisting means the ward keeps following the superseded version while the quality manual says otherwise.</t>
  </si>
  <si>
    <t>clinical_protocols → the edited steps persist</t>
  </si>
  <si>
    <t>TC-P2G-125</t>
  </si>
  <si>
    <t>A protocol can be deactivated and reactivated</t>
  </si>
  <si>
    <t>1) Open /settings/protocols 2) Switch a protocol inactive 3) Reload 4) Switch it back</t>
  </si>
  <si>
    <t>clinical_protocols.is_active follows the toggle in both directions and survives the reload.</t>
  </si>
  <si>
    <t>A superseded protocol must stop being offered while the record of what was in force at the time of an incident stays intact. Deleting would destroy the evidence a review depends on.</t>
  </si>
  <si>
    <t>clinical_protocols → is_active toggles both ways and persists</t>
  </si>
  <si>
    <t>TC-P2G-126</t>
  </si>
  <si>
    <t>The protocol category saves</t>
  </si>
  <si>
    <t>1) Open /settings/protocols 2) Set Category to Critical Care 3) Save 4) Reload</t>
  </si>
  <si>
    <t>phase2.entry./settings/protocols — category Critical Care</t>
  </si>
  <si>
    <t>IPD, Emergency, Quality</t>
  </si>
  <si>
    <t>Category is how a nurse finds the right protocol under pressure. Uncategorised protocols sit in one undifferentiated list that nobody scrolls during an emergency.</t>
  </si>
  <si>
    <t>clinical_protocols where hospital_id = A → category = 'Critical Care' on the AKI bundle</t>
  </si>
  <si>
    <t>TC-P2G-127</t>
  </si>
  <si>
    <t>A saved protocol survives a hard reload</t>
  </si>
  <si>
    <t>1) Open /settings/protocols 2) Create the AKI bundle 3) Hard-reload 4) Locate the protocol</t>
  </si>
  <si>
    <t>The protocol is still listed with its steps intact.</t>
  </si>
  <si>
    <t>REGRESSION LOCK for BUG-P2-005. Before the fix everything lived in component state, so a reload wiped it and clinical_protocols stayed empty while the UI looked healthy.</t>
  </si>
  <si>
    <t>clinical_protocols where hospital_id = A and protocol_name = 'Acute Kidney Injury Bundle' → 1 row</t>
  </si>
  <si>
    <t>TC-P2G-128</t>
  </si>
  <si>
    <t>Hospital A's protocols are invisible to Hospital B</t>
  </si>
  <si>
    <t>1) Sign in as the Hospital B administrator 2) Open /settings/protocols as Hospital B 3) Query clinical_protocols through the API with no hospital filter</t>
  </si>
  <si>
    <t>Not one Hospital A protocol is returned.</t>
  </si>
  <si>
    <t>Multi-tenancy, IPD, Quality</t>
  </si>
  <si>
    <t>A treatment protocol is specific to a hospital's own drug formulary, equipment and staffing. Before the fix this table was never queried at all, so its RLS has never been exercised — this is the first case that proves it works.</t>
  </si>
  <si>
    <t>clinical_protocols queried as the Hospital B admin → zero rows with hospital_id = A</t>
  </si>
  <si>
    <t>TC-P2G-129</t>
  </si>
  <si>
    <t>A receptionist cannot edit clinical protocols</t>
  </si>
  <si>
    <t>1) Log in as receptionist (Hospital A) 2) Navigate directly to /settings/protocols</t>
  </si>
  <si>
    <t>A clinical protocol is a standing medical order the ward follows. Editing one is a clinical governance act, not an administrative one.</t>
  </si>
  <si>
    <t>TC-P2G-130</t>
  </si>
  <si>
    <t>The Clinical Protocols screen loads with no red console errors</t>
  </si>
  <si>
    <t>1) Open DevTools → Console 2) Open /settings/protocols 3) Create and edit a protocol 4) Read the console</t>
  </si>
  <si>
    <t>No red console text, and specifically no PostgREST error from a clinical_protocols column the query names and the schema lacks.</t>
  </si>
  <si>
    <t>This screen was rewired to a table it had never touched. A column-name mismatch on the jsonb steps column would surface only here while the UI carried on looking healthy.</t>
  </si>
  <si>
    <t>TC-P2G-131</t>
  </si>
  <si>
    <t>Alert Thresholds screen loads</t>
  </si>
  <si>
    <t>1) Open /settings/clinical-thresholds 2) Read the threshold list</t>
  </si>
  <si>
    <t>Vitals and lab critical-value thresholds render. No red console errors.</t>
  </si>
  <si>
    <t>SETTINGS_PREREQ_MATRIX lists clinical thresholds as an Emergency prerequisite. They decide when an alert fires, so an unconfigured threshold means either silence or constant noise.</t>
  </si>
  <si>
    <t>hospital_settings where hospital_id = A → the thresholds key matches what is displayed</t>
  </si>
  <si>
    <t>TC-P2G-132</t>
  </si>
  <si>
    <t>A critical high threshold saves</t>
  </si>
  <si>
    <t>1) Open /settings/clinical-thresholds 2) Set Serum Potassium critical high to 6.0 3) Save 4) Reload</t>
  </si>
  <si>
    <t>The threshold persists at 6.0 after the reload.</t>
  </si>
  <si>
    <t>phase2.entry./settings/clinical-thresholds — criticalHigh 6.0</t>
  </si>
  <si>
    <t>MOCK_DATA_BOOK sets this deliberately as a LOWER critical bar than the seeded default — the hospital is choosing to be paged earlier. If it does not save, the hospital believes it has tightened the threshold and it has not.</t>
  </si>
  <si>
    <t>hospital_settings thresholds → Serum Potassium critical high = 6.0</t>
  </si>
  <si>
    <t>TC-P2G-133</t>
  </si>
  <si>
    <t>A critical high below the normal maximum is refused or warned</t>
  </si>
  <si>
    <t>1) Open /settings/clinical-thresholds 2) Set a critical high below that analyte's normal maximum 3) Save</t>
  </si>
  <si>
    <t>The screen refuses it or warns clearly. A critical value inside the normal range would fire on healthy patients.</t>
  </si>
  <si>
    <t>MOCK_DATA_BOOK Lab test master — Serum Potassium normal 3.5–5.1</t>
  </si>
  <si>
    <t>A critical high of 4.0 against a normal range topping out at 5.1 would page a doctor for every healthy patient. Within a day the ward mutes the alert, and the genuine 7.2 goes unseen — alert fatigue caused by configuration.</t>
  </si>
  <si>
    <t>hospital_settings thresholds → no critical high below the analyte normal maximum</t>
  </si>
  <si>
    <t>TC-P2G-134</t>
  </si>
  <si>
    <t>A critical low above the normal minimum is refused or warned</t>
  </si>
  <si>
    <t>1) Open /settings/clinical-thresholds 2) Set a critical low above that analyte's normal minimum 3) Save</t>
  </si>
  <si>
    <t>The screen refuses it or warns clearly.</t>
  </si>
  <si>
    <t>The mirror of the previous case. A critical low inside the normal range fires on every healthy result and trains staff to dismiss the alert channel entirely.</t>
  </si>
  <si>
    <t>hospital_settings thresholds → no critical low above the analyte normal minimum</t>
  </si>
  <si>
    <t>TC-P2G-135</t>
  </si>
  <si>
    <t>A vitals threshold saves</t>
  </si>
  <si>
    <t>1) Open /settings/clinical-thresholds 2) Set a vitals threshold such as SpO₂ low 3) Save 4) Reload</t>
  </si>
  <si>
    <t>The vitals threshold persists after the reload.</t>
  </si>
  <si>
    <t>MOCK_DATA_BOOK Values used across many tests — abnormal vitals SpO₂ 89%</t>
  </si>
  <si>
    <t>Nursing, IPD, Emergency</t>
  </si>
  <si>
    <t>Vitals thresholds drive NEWS2 scoring and the deteriorating-patient alert. The seeded sepsis vitals — SpO₂ 89%, RR 28, BP 86/54 — exist to prove the escalation fires.</t>
  </si>
  <si>
    <t>hospital_settings thresholds → the vitals threshold persists</t>
  </si>
  <si>
    <t>TC-P2G-136</t>
  </si>
  <si>
    <t>A non-numeric threshold is refused</t>
  </si>
  <si>
    <t>1) Open /settings/clinical-thresholds 2) Enter a non-numeric threshold value 3) Save</t>
  </si>
  <si>
    <t>A threshold that parses to NaN compares false against every result, so the alert never fires and the screen still shows a configured threshold.</t>
  </si>
  <si>
    <t>hospital_settings thresholds → every stored threshold is numeric</t>
  </si>
  <si>
    <t>TC-P2G-137</t>
  </si>
  <si>
    <t>A tightened threshold overrides the seeded default</t>
  </si>
  <si>
    <t>1) Open /settings/clinical-thresholds and note the default critical potassium threshold 2) Set it to 6.0 3) Open /lab and enter a potassium result of 6.5 4) Observe the alert</t>
  </si>
  <si>
    <t>The 6.5 result fires a critical alert against the configured 6.0, not against the higher default.</t>
  </si>
  <si>
    <t>MOCK_DATA_BOOK Phase 2 additions — Serum Potassium critical high 6.0, a lower bar than the seeded one</t>
  </si>
  <si>
    <t>MOCK_DATA_BOOK describes this row as overriding the default with a lower critical bar. If the override is stored but not read, the hospital has explicitly asked to be paged earlier and is not.</t>
  </si>
  <si>
    <t>hospital_settings thresholds → the configured 6.0 is used in preference to the default</t>
  </si>
  <si>
    <t>TC-P2G-138</t>
  </si>
  <si>
    <t>Thresholds survive a hard reload</t>
  </si>
  <si>
    <t>1) Open /settings/clinical-thresholds 2) Set a threshold 3) Hard-reload 4) Re-read it</t>
  </si>
  <si>
    <t>The threshold is still set after the reload.</t>
  </si>
  <si>
    <t>A false save leaves the hospital on defaults it did not choose, and it will only discover that when an alert it expected does not arrive.</t>
  </si>
  <si>
    <t>hospital_settings thresholds → the value persists</t>
  </si>
  <si>
    <t>TC-P2G-139</t>
  </si>
  <si>
    <t>Hospital A's thresholds are invisible to Hospital B</t>
  </si>
  <si>
    <t>1) Sign in as the Hospital B administrator 2) Open /settings/clinical-thresholds as Hospital B 3) Query hospital_settings through the API with no hospital filter</t>
  </si>
  <si>
    <t>No Hospital A thresholds row is returned.</t>
  </si>
  <si>
    <t>Multi-tenancy, Lab, Nursing</t>
  </si>
  <si>
    <t>Thresholds are a clinical safety parameter. One hospital tightening a critical value must never loosen it at another, and hospital_settings has no per-role RLS to fall back on.</t>
  </si>
  <si>
    <t>TC-P2G-140</t>
  </si>
  <si>
    <t>A receptionist cannot change clinical thresholds</t>
  </si>
  <si>
    <t>1) Log in as receptionist (Hospital A) 2) Navigate directly to /settings/clinical-thresholds</t>
  </si>
  <si>
    <t>Lab, Nursing, Emergency</t>
  </si>
  <si>
    <t>Widening a critical threshold suppresses the alert that would otherwise page a doctor. That is a clinical decision with a direct patient-safety consequence.</t>
  </si>
  <si>
    <t>TC-P2G-141</t>
  </si>
  <si>
    <t>A threshold change is written to the config change log</t>
  </si>
  <si>
    <t>1) Open /settings/clinical-thresholds 2) Change a threshold 3) Save 4) Open /settings/change-log</t>
  </si>
  <si>
    <t>A config_change_logs entry records the change.</t>
  </si>
  <si>
    <t>Quality, Audit, Lab</t>
  </si>
  <si>
    <t>If an alert failed to fire during an incident, the review has to establish what the threshold was at the time. An unlogged change makes that unanswerable.</t>
  </si>
  <si>
    <t>config_change_logs where hospital_id = A → an entry exists for the threshold change</t>
  </si>
  <si>
    <t>TC-P2G-142</t>
  </si>
  <si>
    <t>The Alert Thresholds screen loads with no red console errors</t>
  </si>
  <si>
    <t>1) Open DevTools → Console 2) Open /settings/clinical-thresholds 3) Save a threshold 4) Read the console</t>
  </si>
  <si>
    <t>Thresholds are stored as a JSON blob under a hospital_settings key. A malformed blob rejected by Postgres would surface only here while the UI reports the threshold saved.</t>
  </si>
  <si>
    <t>TC-P2G-143</t>
  </si>
  <si>
    <t>Day Care Procedures screen loads</t>
  </si>
  <si>
    <t>1) Open /settings/day-care-procedures 2) Read the procedure list</t>
  </si>
  <si>
    <t>The screen renders with an Add Procedure action. No red console errors.</t>
  </si>
  <si>
    <t>MOCK_DATA_BOOK Phase 2 additions — Haemodialysis Session (Day Care) ₹2,200</t>
  </si>
  <si>
    <t>Day Care, IPD, Billing</t>
  </si>
  <si>
    <t>SETTINGS_PREREQ_MATRIX warns that without day_care_procedures the day-care procedure picker is empty, so a same-day case cannot be booked against anything billable.</t>
  </si>
  <si>
    <t>day_care_procedures where hospital_id = A → matches the list displayed</t>
  </si>
  <si>
    <t>TC-P2G-144</t>
  </si>
  <si>
    <t>A day care procedure saves with its standard rate</t>
  </si>
  <si>
    <t>1) Open /settings/day-care-procedures 2) Add "Haemodialysis Session (Day Care)" at ₹2,200 3) Save</t>
  </si>
  <si>
    <t>A day_care_procedures row exists with rate 2200.</t>
  </si>
  <si>
    <t>Day Care, Billing, Dialysis</t>
  </si>
  <si>
    <t>The standard rate is what the day-care case bills. Without it the procedure is performed and charged at zero, and a dialysis unit running three sessions a week per patient loses a great deal quickly.</t>
  </si>
  <si>
    <t>day_care_procedures where hospital_id = A and name = 'Haemodialysis Session (Day Care)' → rate = 2200</t>
  </si>
  <si>
    <t>TC-P2G-145</t>
  </si>
  <si>
    <t>A day care procedure cannot be saved without a name or rate</t>
  </si>
  <si>
    <t>1) Open /settings/day-care-procedures 2) Attempt to save a procedure missing the Name, then one missing the Standard Rate 3) Observe both</t>
  </si>
  <si>
    <t>Both saves are refused and no rows are written.</t>
  </si>
  <si>
    <t>None — deliberately omits the required Procedure Name and Standard Rate</t>
  </si>
  <si>
    <t>Day Care, Billing</t>
  </si>
  <si>
    <t>Both fields are marked required on the form. An unnamed procedure is unbookable and an unpriced one is unbillable, and neither failure is visible until a patient is already in the chair.</t>
  </si>
  <si>
    <t>day_care_procedures where hospital_id = A → name and rate set on every row</t>
  </si>
  <si>
    <t>TC-P2G-146</t>
  </si>
  <si>
    <t>The PMJAY code saves against a day care procedure</t>
  </si>
  <si>
    <t>1) Open /settings/day-care-procedures 2) Enter a PMJAY Code 3) Save 4) Reload</t>
  </si>
  <si>
    <t>The PMJAY code persists after the reload.</t>
  </si>
  <si>
    <t>Literal PMJAY code P-001 (the placeholder the field itself suggests)</t>
  </si>
  <si>
    <t>Day Care, PMJAY, Insurance</t>
  </si>
  <si>
    <t>A PMJAY claim is adjudicated against the package code. Without it a scheme patient's day-care procedure cannot be claimed and the hospital absorbs the cost.</t>
  </si>
  <si>
    <t>day_care_procedures where hospital_id = A → PMJAY code recorded</t>
  </si>
  <si>
    <t>TC-P2G-147</t>
  </si>
  <si>
    <t>The deposit percentage saves</t>
  </si>
  <si>
    <t>1) Open /settings/day-care-procedures 2) Set "Deposit required (% of procedure rate)" 3) Save 4) Reload</t>
  </si>
  <si>
    <t>The deposit percentage persists after the reload.</t>
  </si>
  <si>
    <t>The deposit percentage field on SettingsDayCareProceduresPage</t>
  </si>
  <si>
    <t>Day Care, Billing, Payments</t>
  </si>
  <si>
    <t>The deposit is collected before the procedure starts. Unset, the case proceeds with nothing paid and the hospital chases the money after the patient has gone home.</t>
  </si>
  <si>
    <t>hospital_settings or day_care_procedures → the deposit percentage persists</t>
  </si>
  <si>
    <t>TC-P2G-148</t>
  </si>
  <si>
    <t>The insurance pre-authorisation flag saves</t>
  </si>
  <si>
    <t>1) Open /settings/day-care-procedures 2) Toggle "Insurance Pre-Authorisation Required" 3) Save 4) Reload</t>
  </si>
  <si>
    <t>The flag persists after the reload.</t>
  </si>
  <si>
    <t>The Insurance Pre-Authorisation Required toggle on SettingsDayCareProceduresPage</t>
  </si>
  <si>
    <t>Day Care, Insurance</t>
  </si>
  <si>
    <t>A procedure performed without a required pre-authorisation is a claim the insurer will decline outright. The flag is what makes the desk stop and obtain approval first.</t>
  </si>
  <si>
    <t>day_care_procedures where hospital_id = A → the pre-auth flag persists</t>
  </si>
  <si>
    <t>TC-P2G-149</t>
  </si>
  <si>
    <t>A new day care procedure appears in the day-care procedure picker</t>
  </si>
  <si>
    <t>1) Add Haemodialysis Session (Day Care) under /settings/day-care-procedures 2) Open the day care module 3) Open the procedure picker</t>
  </si>
  <si>
    <t>The new procedure is offered.</t>
  </si>
  <si>
    <t>MOCK_DATA_BOOK Phase 2 additions — Haemodialysis Session (Day Care) must appear in the day-care procedure picker</t>
  </si>
  <si>
    <t>Day Care, Dialysis, Billing</t>
  </si>
  <si>
    <t>MOCK_DATA_BOOK states this downstream requirement explicitly. A procedure configured here and missing from the picker means the day-care case is booked as something else, or not booked at all.</t>
  </si>
  <si>
    <t>day_care_procedures → the procedure is offered in the day-care picker</t>
  </si>
  <si>
    <t>TC-P2G-150</t>
  </si>
  <si>
    <t>Hospital A's day care procedures are invisible to Hospital B</t>
  </si>
  <si>
    <t>1) Sign in as the Hospital B administrator 2) Open /settings/day-care-procedures as Hospital B 3) Query day_care_procedures through the API with no hospital filter</t>
  </si>
  <si>
    <t>Not one Hospital A procedure is returned.</t>
  </si>
  <si>
    <t>Multi-tenancy, Day Care</t>
  </si>
  <si>
    <t>Day-care rates and PMJAY package codes are commercial and scheme-specific. One hospital reading another's exposes both its pricing and its scheme empanelment.</t>
  </si>
  <si>
    <t>day_care_procedures queried as the Hospital B admin → zero rows with hospital_id = A</t>
  </si>
  <si>
    <t>TC-P2G-151</t>
  </si>
  <si>
    <t>EMR Templates screen loads</t>
  </si>
  <si>
    <t>1) Open /settings/templates 2) Read the template list</t>
  </si>
  <si>
    <t>The screen renders with a template list and a create action. No red console errors.</t>
  </si>
  <si>
    <t>phase2.entry./settings/templates — Nephrology OPD Note</t>
  </si>
  <si>
    <t>OPD, IPD, ANC, Neonatal, Dental, all EMR modules</t>
  </si>
  <si>
    <t>Templates are how a specialist records a consultation in the fields their specialty needs. Without them every note is free text, which cannot be reported on or coded.</t>
  </si>
  <si>
    <t>emr_template_definitions where hospital_id = A → matches the list displayed</t>
  </si>
  <si>
    <t>TC-P2G-152</t>
  </si>
  <si>
    <t>An EMR template saves with its title and specialty</t>
  </si>
  <si>
    <t>1) Open /settings/templates 2) Create "Nephrology OPD Note" with a specialty and description 3) Save</t>
  </si>
  <si>
    <t>An emr_template_definitions row exists with that title and specialty.</t>
  </si>
  <si>
    <t>OPD, IPD, MRD</t>
  </si>
  <si>
    <t>The specialty decides which consultations the template is offered on. A template with none is either offered everywhere or nowhere, and a nephrology note appearing in a paediatric clinic is worse than no template.</t>
  </si>
  <si>
    <t>emr_template_definitions where hospital_id = A and title = 'Nephrology OPD Note' → 1 row</t>
  </si>
  <si>
    <t>TC-P2G-153</t>
  </si>
  <si>
    <t>A template cannot be saved without a title</t>
  </si>
  <si>
    <t>1) Open /settings/templates 2) Create a template with no Title 3) Save</t>
  </si>
  <si>
    <t>None — deliberately omits the required Title</t>
  </si>
  <si>
    <t>OPD, MRD</t>
  </si>
  <si>
    <t>An untitled template renders as a blank option in the template picker, so a doctor selects it by accident mid-consultation and the note structure is wrong.</t>
  </si>
  <si>
    <t>emr_template_definitions where hospital_id = A and (title is null or title = '') → 0 rows</t>
  </si>
  <si>
    <t>TC-P2G-154</t>
  </si>
  <si>
    <t>A template can be edited and the change persists</t>
  </si>
  <si>
    <t>1) Open /settings/templates 2) Edit a template description 3) Save 4) Reload</t>
  </si>
  <si>
    <t>The edited description shows after the reload.</t>
  </si>
  <si>
    <t>Templates are refined as clinicians use them. An edit that does not persist means the same awkward field ordering is imposed on every consultation indefinitely.</t>
  </si>
  <si>
    <t>emr_template_definitions → the edited description persists</t>
  </si>
  <si>
    <t>TC-P2G-155</t>
  </si>
  <si>
    <t>A new template is offered in the consultation workspace</t>
  </si>
  <si>
    <t>1) Open /settings/templates and create the Nephrology OPD Note template 2) Open the /opd consultation workspace 3) Open the template picker</t>
  </si>
  <si>
    <t>The new template is offered for the matching specialty.</t>
  </si>
  <si>
    <t>A template configured but never offered means the specialist writes free text instead. Free text cannot be coded for a claim or aggregated for a clinical audit.</t>
  </si>
  <si>
    <t>emr_template_definitions → the template is offered in the consultation workspace</t>
  </si>
  <si>
    <t>TC-P2G-156</t>
  </si>
  <si>
    <t>A saved template survives a hard reload</t>
  </si>
  <si>
    <t>1) Open /settings/templates 2) Create a template 3) Hard-reload 4) Locate it</t>
  </si>
  <si>
    <t>The template is still listed after the reload.</t>
  </si>
  <si>
    <t>A false save means the specialist builds a template, is told it saved, and finds it gone the next time they open a clinic.</t>
  </si>
  <si>
    <t>TC-P2G-157</t>
  </si>
  <si>
    <t>Hospital A's EMR templates are invisible to Hospital B</t>
  </si>
  <si>
    <t>1) Sign in as the Hospital B administrator 2) Open /settings/templates as Hospital B 3) Query emr_template_definitions through the API with no hospital filter</t>
  </si>
  <si>
    <t>Not one Hospital A template is returned.</t>
  </si>
  <si>
    <t>Multi-tenancy, OPD, MRD</t>
  </si>
  <si>
    <t>A template encodes how a hospital's clinicians document care, which is intellectual property and clinically specific to their own protocols.</t>
  </si>
  <si>
    <t>emr_template_definitions queried as the Hospital B admin → zero rows with hospital_id = A</t>
  </si>
  <si>
    <t>TC-P2G-158</t>
  </si>
  <si>
    <t>The EMR Templates screen loads with no red console errors</t>
  </si>
  <si>
    <t>1) Open DevTools → Console 2) Open /settings/templates 3) Create and edit a template 4) Read the console</t>
  </si>
  <si>
    <t>No red console text from the emr_template_definitions read or write.</t>
  </si>
  <si>
    <t>Template definitions are stored as structured JSON. A malformed definition rejected by Postgres would surface only here while the builder reports the template saved.</t>
  </si>
  <si>
    <t>TC-P2H-001</t>
  </si>
  <si>
    <t>2H Workflows &amp; Communications</t>
  </si>
  <si>
    <t>OPD Queue Config screen loads</t>
  </si>
  <si>
    <t>1) Log in as hospital_admin (Hospital A) 2) Open /settings/opd-workflow 3) Read the form</t>
  </si>
  <si>
    <t>Token Prefix, Starting Number and Patient Name Format all render. No red console errors.</t>
  </si>
  <si>
    <t>phase2.entry./settings/opd-workflow — tokenPrefix OPD</t>
  </si>
  <si>
    <t>OPD, TV Display, Telemedicine</t>
  </si>
  <si>
    <t>SETTINGS_PREREQ_MATRIX notes that without OPD workflow config the defaults simply apply. A hospital that never sees this screen inherits a token scheme it did not choose and cannot explain to its own staff.</t>
  </si>
  <si>
    <t>hospital_settings where hospital_id = A → the OPD config key matches what is displayed</t>
  </si>
  <si>
    <t>e2e/phase-02-settings/P2H.workflows.spec.ts</t>
  </si>
  <si>
    <t>TC-P2H-002</t>
  </si>
  <si>
    <t>The token prefix saves</t>
  </si>
  <si>
    <t>1) Open /settings/opd-workflow 2) Set Prefix to "OPD" 3) Save 4) Reload</t>
  </si>
  <si>
    <t>The prefix persists after the reload.</t>
  </si>
  <si>
    <t>OPD, TV Display</t>
  </si>
  <si>
    <t>The token prefix is called out on the waiting-room display and printed on the slip a patient holds. A prefix that reverts means the number announced does not match the number in the patient's hand.</t>
  </si>
  <si>
    <t>hospital_settings OPD config → token prefix = OPD</t>
  </si>
  <si>
    <t>TC-P2H-003</t>
  </si>
  <si>
    <t>The token starting number saves</t>
  </si>
  <si>
    <t>1) Open /settings/opd-workflow 2) Set Starting Number 3) Save 4) Reload</t>
  </si>
  <si>
    <t>The starting number persists after the reload.</t>
  </si>
  <si>
    <t>phase2.entry./settings/opd-workflow — the token starting number</t>
  </si>
  <si>
    <t>Hospitals resume their existing token series when they migrate. Starting at 1 while the paper register is at 4,000 produces duplicate token numbers on the same day.</t>
  </si>
  <si>
    <t>hospital_settings OPD config → starting number persists</t>
  </si>
  <si>
    <t>TC-P2H-004</t>
  </si>
  <si>
    <t>A negative token starting number is refused</t>
  </si>
  <si>
    <t>1) Open /settings/opd-workflow 2) Set Starting Number to -5 3) Save</t>
  </si>
  <si>
    <t>The save is refused, or the value is not stored as negative.</t>
  </si>
  <si>
    <t>phase2.invalid.ratePerDayNegative (-100) applied to the token start</t>
  </si>
  <si>
    <t>A negative token number is not a number anyone can call out, and it breaks the sort order on the queue display so the wrong patient is called next.</t>
  </si>
  <si>
    <t>hospital_settings OPD config → starting number &gt;= 0</t>
  </si>
  <si>
    <t>TC-P2H-005</t>
  </si>
  <si>
    <t>The patient name format saves</t>
  </si>
  <si>
    <t>1) Open /settings/opd-workflow 2) Change Patient Name Format 3) Save 4) Reload</t>
  </si>
  <si>
    <t>The chosen format persists after the reload.</t>
  </si>
  <si>
    <t>The Patient Name Format options on SettingsOPDWorkflowPage</t>
  </si>
  <si>
    <t>OPD, TV Display, Patient Portal</t>
  </si>
  <si>
    <t>The waiting room is a public space. Whether a full name or an initial is displayed on the queue board is a privacy decision under the DPDP Act, not a cosmetic preference.</t>
  </si>
  <si>
    <t>hospital_settings OPD config → patient name format persists</t>
  </si>
  <si>
    <t>TC-P2H-006</t>
  </si>
  <si>
    <t>The configured prefix appears on a newly created token</t>
  </si>
  <si>
    <t>1) Set the token prefix to OPD under /settings/opd-workflow 2) Open /opd and create a token 3) Read the token number</t>
  </si>
  <si>
    <t>The token carries the configured prefix.</t>
  </si>
  <si>
    <t>A prefix stored but not read means the setting is decorative. The receptionist changes it, sees it saved, and the tokens keep coming out with the old scheme.</t>
  </si>
  <si>
    <t>the OPD token → carries the configured prefix</t>
  </si>
  <si>
    <t>TC-P2H-007</t>
  </si>
  <si>
    <t>The follow-up charging mode saves</t>
  </si>
  <si>
    <t>1) Open /settings/opd-workflow 2) Set the follow-up charging mode to free, percent or fixed 3) Save 4) Reload</t>
  </si>
  <si>
    <t>The chosen mode persists after the reload.</t>
  </si>
  <si>
    <t>The follow-up mode options on SettingsOPDWorkflowPage — free, percent, fixed</t>
  </si>
  <si>
    <t>The mode decides whether a return visit inside the validity window is free, a percentage of the consultation, or a flat fee. Wrong, and the hospital either gives away revenue or charges a patient it promised would not pay.</t>
  </si>
  <si>
    <t>hospital_settings OPD config → follow-up mode persists</t>
  </si>
  <si>
    <t>TC-P2H-008</t>
  </si>
  <si>
    <t>OPD config survives a hard reload</t>
  </si>
  <si>
    <t>1) Open /settings/opd-workflow 2) Set the prefix and starting number 3) Save 4) Hard-reload 5) Re-read both</t>
  </si>
  <si>
    <t>Four screens in this phase showed a green toast and wrote nothing. On the token scheme a false save means every token issued that day uses a configuration nobody chose.</t>
  </si>
  <si>
    <t>hospital_settings where hospital_id = A → the OPD config key persists</t>
  </si>
  <si>
    <t>TC-P2H-009</t>
  </si>
  <si>
    <t>A saved OPD config shows a success confirmation</t>
  </si>
  <si>
    <t>1) Open /settings/opd-workflow 2) Change a value 3) Save 4) Read the toast</t>
  </si>
  <si>
    <t>A "OPD config saved" confirmation appears and a hospital_settings row exists.</t>
  </si>
  <si>
    <t>The toast is the only feedback the screen gives. It must appear only when the write succeeded, because a success message over a failed write is what four other screens in this phase were doing.</t>
  </si>
  <si>
    <t>hospital_settings where hospital_id = A → the OPD config row exists after the toast</t>
  </si>
  <si>
    <t>TC-P2H-010</t>
  </si>
  <si>
    <t>Hospital A's OPD config is invisible to Hospital B</t>
  </si>
  <si>
    <t>1) Sign in as the Hospital B administrator 2) Open /settings/opd-workflow as Hospital B 3) Query hospital_settings through the API with no hospital filter</t>
  </si>
  <si>
    <t>No Hospital A OPD config row is returned.</t>
  </si>
  <si>
    <t>hospital_settings has no per-role RLS, so tenant isolation is the only protection this table has. Two hospitals sharing a token series would call the same number in two buildings.</t>
  </si>
  <si>
    <t>TC-P2H-011</t>
  </si>
  <si>
    <t>A receptionist cannot change the OPD queue configuration</t>
  </si>
  <si>
    <t>1) Log in as receptionist (Hospital A) 2) Navigate directly to /settings/opd-workflow</t>
  </si>
  <si>
    <t>Reception issues tokens but must not change the scheme mid-day, and the follow-up charging mode on this screen decides what a return visit costs.</t>
  </si>
  <si>
    <t>TC-P2H-012</t>
  </si>
  <si>
    <t>The OPD Queue Config screen loads with no red console errors</t>
  </si>
  <si>
    <t>1) Open DevTools → Console 2) Open /settings/opd-workflow 3) Save a change 4) Read the console</t>
  </si>
  <si>
    <t>The config is stored as a JSON blob under a hospital_settings key. A malformed blob rejected by Postgres would surface only here while the UI reports the config saved.</t>
  </si>
  <si>
    <t>TC-P2H-013</t>
  </si>
  <si>
    <t>Discharge Workflow screen loads</t>
  </si>
  <si>
    <t>1) Open /settings/discharge-workflow 2) Read the workflow</t>
  </si>
  <si>
    <t>The discharge clearance steps render with an action to add a step. No red console errors.</t>
  </si>
  <si>
    <t>phase2.entry./settings/discharge-workflow — step "Pharmacy returns reconciled"</t>
  </si>
  <si>
    <t>IPD, Billing, Pharmacy, MRD</t>
  </si>
  <si>
    <t>SETTINGS_PREREQ_MATRIX notes that without hospitals.discharge_workflow the default clearance list applies. A hospital that never configures it discharges patients without the clearances it thinks it requires.</t>
  </si>
  <si>
    <t>hospitals where id = A → discharge_workflow matches what is displayed</t>
  </si>
  <si>
    <t>TC-P2H-014</t>
  </si>
  <si>
    <t>A discharge step saves</t>
  </si>
  <si>
    <t>1) Open /settings/discharge-workflow 2) Add the step "Pharmacy returns reconciled" 3) Save 4) Reload</t>
  </si>
  <si>
    <t>The step persists in hospitals.discharge_workflow after the reload.</t>
  </si>
  <si>
    <t>phase2.entry./settings/discharge-workflow — "Pharmacy returns reconciled"</t>
  </si>
  <si>
    <t>IPD, Pharmacy, Billing</t>
  </si>
  <si>
    <t>Unreturned ward stock is a real leak — drugs issued to a patient who went home without them are written off. A clearance step that does not save means nobody is ever prompted to reconcile.</t>
  </si>
  <si>
    <t>hospitals where id = A → discharge_workflow contains 'Pharmacy returns reconciled'</t>
  </si>
  <si>
    <t>TC-P2H-015</t>
  </si>
  <si>
    <t>Discharge steps save in order</t>
  </si>
  <si>
    <t>1) Open /settings/discharge-workflow 2) Add three steps in a specific order 3) Save 4) Reload and read the order</t>
  </si>
  <si>
    <t>The steps are listed in the order they were entered.</t>
  </si>
  <si>
    <t>phase2.entry./settings/discharge-workflow — ordered clearance steps</t>
  </si>
  <si>
    <t>Discharge clearance is a sequence: pharmacy returns before final billing, billing before the gate pass. Steps reordered on save let a patient leave before the bill is settled.</t>
  </si>
  <si>
    <t>hospitals where id = A → discharge_workflow steps in entry order</t>
  </si>
  <si>
    <t>TC-P2H-016</t>
  </si>
  <si>
    <t>An empty discharge step is refused</t>
  </si>
  <si>
    <t>1) Open /settings/discharge-workflow 2) Add a step with no name 3) Save</t>
  </si>
  <si>
    <t>The save is refused and no blank step is stored.</t>
  </si>
  <si>
    <t>None — deliberately submits a blank step name</t>
  </si>
  <si>
    <t>A blank clearance step renders as an unlabelled checkbox the ward clerk must tick without knowing what they are confirming, which turns the clearance into a formality.</t>
  </si>
  <si>
    <t>hospitals where id = A → discharge_workflow contains no blank steps</t>
  </si>
  <si>
    <t>TC-P2H-017</t>
  </si>
  <si>
    <t>A discharge step can be removed</t>
  </si>
  <si>
    <t>1) Open /settings/discharge-workflow 2) Remove a step 3) Save 4) Reload</t>
  </si>
  <si>
    <t>The step is gone and does not return after the reload.</t>
  </si>
  <si>
    <t>A clearance list that only grows becomes a ritual nobody reads. Removing a step that no longer applies is what keeps the remaining ones meaningful.</t>
  </si>
  <si>
    <t>hospitals where id = A → the removed step is absent after reload</t>
  </si>
  <si>
    <t>TC-P2H-018</t>
  </si>
  <si>
    <t>A named discharge workflow can be created</t>
  </si>
  <si>
    <t>1) Open /settings/discharge-workflow 2) Create a workflow with a name 3) Save</t>
  </si>
  <si>
    <t>A "Workflow saved" confirmation appears and the named workflow persists.</t>
  </si>
  <si>
    <t>Literal workflow name QA Standard Discharge</t>
  </si>
  <si>
    <t>A day-care discharge and a post-surgical discharge need different clearance lists. One undifferentiated workflow forces the ward to skip steps that do not apply, which trains staff to skip the ones that do.</t>
  </si>
  <si>
    <t>hospitals where id = A → the named workflow persists</t>
  </si>
  <si>
    <t>TC-P2H-019</t>
  </si>
  <si>
    <t>The configured steps appear on the discharge clearance screen</t>
  </si>
  <si>
    <t>1) Add a step under /settings/discharge-workflow 2) Open a discharge in the IPD module 3) Read the clearance list</t>
  </si>
  <si>
    <t>The configured step is presented as a clearance item.</t>
  </si>
  <si>
    <t>A step configured but never presented means the hospital documents a control in its quality manual and the ward never performs it. That is worse than not configuring it, because the audit looks clean.</t>
  </si>
  <si>
    <t>hospitals discharge_workflow → the step is presented in the IPD discharge clearance</t>
  </si>
  <si>
    <t>TC-P2H-020</t>
  </si>
  <si>
    <t>The discharge workflow survives a hard reload</t>
  </si>
  <si>
    <t>1) Open /settings/discharge-workflow 2) Add a step 3) Hard-reload 4) Look for the step</t>
  </si>
  <si>
    <t>The step is still listed after the reload.</t>
  </si>
  <si>
    <t>A false save leaves the hospital on the default clearance list while believing it has added its own steps, and the gap only shows when a patient leaves without a clearance the hospital thought it required.</t>
  </si>
  <si>
    <t>hospitals where id = A → discharge_workflow persists</t>
  </si>
  <si>
    <t>TC-P2H-021</t>
  </si>
  <si>
    <t>Hospital A's discharge workflow is invisible to Hospital B</t>
  </si>
  <si>
    <t>1) Sign in as the Hospital B administrator 2) Open /settings/discharge-workflow as Hospital B 3) Read the steps</t>
  </si>
  <si>
    <t>Hospital B sees only its own workflow.</t>
  </si>
  <si>
    <t>Multi-tenancy, IPD</t>
  </si>
  <si>
    <t>A clearance list encodes how a hospital controls patients leaving with unpaid bills or unreturned drugs. Inheriting another's would impose steps its own wards cannot complete.</t>
  </si>
  <si>
    <t>TC-P2H-022</t>
  </si>
  <si>
    <t>A nurse cannot change the discharge workflow</t>
  </si>
  <si>
    <t>1) Log in as nurse (Hospital A) 2) Navigate directly to /settings/discharge-workflow</t>
  </si>
  <si>
    <t>A nurse able to remove the billing clearance step could discharge a patient past the counter. The clearance list is a financial control as much as a clinical one.</t>
  </si>
  <si>
    <t>TC-P2H-023</t>
  </si>
  <si>
    <t>A discharge workflow with no steps is handled explicitly</t>
  </si>
  <si>
    <t>1) Open /settings/discharge-workflow 2) Remove every step 3) Save 4) Open a discharge in IPD</t>
  </si>
  <si>
    <t>Either the empty list is refused, or the default clearance list applies and the screen says so.</t>
  </si>
  <si>
    <t>None — deliberately empties the clearance list</t>
  </si>
  <si>
    <t>An empty clearance list means a patient can be discharged with one click and no checks at all. If the default is meant to apply, the administrator has to be told that rather than left assuming nothing happens.</t>
  </si>
  <si>
    <t>hospitals where id = A → an empty discharge_workflow falls back to the documented default</t>
  </si>
  <si>
    <t>TC-P2H-024</t>
  </si>
  <si>
    <t>The Discharge Workflow screen loads with no red console errors</t>
  </si>
  <si>
    <t>1) Open DevTools → Console 2) Open /settings/discharge-workflow 3) Add a step and save 4) Read the console</t>
  </si>
  <si>
    <t>No red console text from the hospitals update.</t>
  </si>
  <si>
    <t>The workflow is written into a JSON column on hospitals. A malformed structure rejected by Postgres would surface only here while the UI reports the workflow saved.</t>
  </si>
  <si>
    <t>TC-P2H-025</t>
  </si>
  <si>
    <t>IPD Ancillary Payment screen loads</t>
  </si>
  <si>
    <t>1) Open /settings/ipd-ancillary-payment 2) Read the form</t>
  </si>
  <si>
    <t>The pre-paid versus post-paid policy control renders with its override and urgency settings. No red console errors.</t>
  </si>
  <si>
    <t>MOCK_DATA_BOOK IPD ancillary payment — default post_paid</t>
  </si>
  <si>
    <t>IPD, Pharmacy, Lab, Radiology, Billing</t>
  </si>
  <si>
    <t>SETTINGS_PREREQ_MATRIX flags this in red: the setting changes whether pharmacy stock decrements at dispense AT ALL. Both values need a full test run because they are genuinely different code paths.</t>
  </si>
  <si>
    <t>hospital_settings where hospital_id = A → the IPD ancillary policy key matches what is displayed</t>
  </si>
  <si>
    <t>TC-P2H-026</t>
  </si>
  <si>
    <t>The post-paid policy saves</t>
  </si>
  <si>
    <t>1) Open /settings/ipd-ancillary-payment 2) Select post-paid 3) Save 4) Reload</t>
  </si>
  <si>
    <t>The policy reads post-paid after the reload.</t>
  </si>
  <si>
    <t>MOCK_DATA_BOOK IPD ancillary payment — post_paid is the default for testing</t>
  </si>
  <si>
    <t>Post-paid means ancillary orders accrue to the discharge bill, which is how most Indian hospitals run inpatients. It is the documented default, and a hospital that cannot hold it is forced into pre-paid without choosing it.</t>
  </si>
  <si>
    <t>hospital_settings IPD ancillary policy → post_paid</t>
  </si>
  <si>
    <t>TC-P2H-027</t>
  </si>
  <si>
    <t>The pre-paid policy saves</t>
  </si>
  <si>
    <t>1) Open /settings/ipd-ancillary-payment 2) Select pre-paid 3) Save 4) Reload</t>
  </si>
  <si>
    <t>The policy reads pre-paid after the reload.</t>
  </si>
  <si>
    <t>phase2.entry./settings/ipd-ancillary-payment — mode Pre-Paid</t>
  </si>
  <si>
    <t>MOCK_DATA_BOOK names scenarios P6-S03, P7-S12 and P5-S03 as switching to pre_paid and re-running, because they are genuinely different code paths — including whether stock decrements at all.</t>
  </si>
  <si>
    <t>hospital_settings IPD ancillary policy → pre_paid</t>
  </si>
  <si>
    <t>TC-P2H-028</t>
  </si>
  <si>
    <t>Under post-paid, an ancillary order accrues to the bill without payment</t>
  </si>
  <si>
    <t>1) Open /settings/ipd-ancillary-payment and set the policy to post-paid 2) Open /pharmacy and raise an order for an admitted patient 3) Observe whether payment is demanded</t>
  </si>
  <si>
    <t>The order proceeds and the charge accrues to the discharge bill.</t>
  </si>
  <si>
    <t>MOCK_DATA_BOOK IPD ancillary payment — post_paid</t>
  </si>
  <si>
    <t>Tier 0 complete; an admission exists</t>
  </si>
  <si>
    <t>Blocking an inpatient drug order on payment would stop a ward round. Post-paid must let the order through, or the setting is not doing what the hospital selected.</t>
  </si>
  <si>
    <t>the ancillary charge → accrues to the admission bill with no payment gate</t>
  </si>
  <si>
    <t>TC-P2H-029</t>
  </si>
  <si>
    <t>Under pre-paid, an ancillary order is gated on payment</t>
  </si>
  <si>
    <t>1) Open /settings/ipd-ancillary-payment and set the policy to pre-paid 2) Open /pharmacy and raise an order for an admitted patient 3) Observe the gate</t>
  </si>
  <si>
    <t>The order is blocked until the counter records payment.</t>
  </si>
  <si>
    <t>Pre-paid is what a hospital chooses when it cannot carry inpatient credit. If the gate does not fire, the hospital believes it is collecting up front and is not — and it finds out at discharge with an unpayable bill.</t>
  </si>
  <si>
    <t>the ancillary order → blocked until payment is recorded</t>
  </si>
  <si>
    <t>TC-P2H-030</t>
  </si>
  <si>
    <t>Stock decrement behaviour differs between the two modes</t>
  </si>
  <si>
    <t>1) Open /pharmacy and dispense a drug to an inpatient under post-paid, checking the batch quantity 2) Switch to pre-paid under /settings/ipd-ancillary-payment 3) Dispense again and check the batch quantity</t>
  </si>
  <si>
    <t>Stock decrements correctly under whichever mode is active, and the difference between the two is deliberate and documented.</t>
  </si>
  <si>
    <t>MOCK_DATA_BOOK Drug batches — QA-DOLO-A quantity 500</t>
  </si>
  <si>
    <t>Pharmacy, IPD, Inventory</t>
  </si>
  <si>
    <t>Tier 0 complete; a drug with a batch exists</t>
  </si>
  <si>
    <t>SETTINGS_PREREQ_MATRIX states this setting changes whether stock decrements at dispense at all. A mode where the drug leaves the shelf and the system still shows it in stock produces a physical count that never reconciles.</t>
  </si>
  <si>
    <t>drug_batches → quantity_available decrements as documented for the active mode</t>
  </si>
  <si>
    <t>TC-P2H-031</t>
  </si>
  <si>
    <t>The override roles list saves</t>
  </si>
  <si>
    <t>1) Open /settings/ipd-ancillary-payment 2) Enter comma-separated roles allowed to override 3) Save 4) Reload</t>
  </si>
  <si>
    <t>The role list persists after the reload.</t>
  </si>
  <si>
    <t>The "Roles allowed to override" field on SettingsIPDAncillaryPaymentPage</t>
  </si>
  <si>
    <t>IPD, Pharmacy, RBAC</t>
  </si>
  <si>
    <t>Someone has to be able to release an urgent drug for a patient who cannot pay at 2am. Without an override role the pre-paid gate becomes a clinical obstruction rather than a financial control.</t>
  </si>
  <si>
    <t>hospital_settings IPD ancillary policy → the override roles list persists</t>
  </si>
  <si>
    <t>TC-P2H-032</t>
  </si>
  <si>
    <t>The urgent priorities list saves</t>
  </si>
  <si>
    <t>1) Open /settings/ipd-ancillary-payment 2) Enter the priorities treated as urgent 3) Save 4) Reload</t>
  </si>
  <si>
    <t>The list persists after the reload.</t>
  </si>
  <si>
    <t>The "Priorities treated as urgent" field on SettingsIPDAncillaryPaymentPage</t>
  </si>
  <si>
    <t>IPD, Pharmacy, Emergency</t>
  </si>
  <si>
    <t>A STAT order for a deteriorating patient must bypass the payment gate. If the urgent list does not save, an emergency drug waits at the counter while somebody finds a card.</t>
  </si>
  <si>
    <t>hospital_settings IPD ancillary policy → the urgent priorities list persists</t>
  </si>
  <si>
    <t>TC-P2H-033</t>
  </si>
  <si>
    <t>An urgent-priority order bypasses the pre-paid gate</t>
  </si>
  <si>
    <t>1) Open /settings/ipd-ancillary-payment and set the policy to pre-paid with STAT listed as urgent 2) Open /pharmacy and raise a STAT order for an admitted patient 3) Observe the gate</t>
  </si>
  <si>
    <t>The urgent order proceeds without payment.</t>
  </si>
  <si>
    <t>MOCK_DATA_BOOK Config values — drug frequency STAT (immediately)</t>
  </si>
  <si>
    <t>Tier 0 complete; pre-paid policy active</t>
  </si>
  <si>
    <t>This is the safety valve on a financial control. Without it, pre-paid mode delays a STAT drug for a patient who is deteriorating, and no billing policy is worth that.</t>
  </si>
  <si>
    <t>the urgent ancillary order → proceeds without a payment gate under pre-paid</t>
  </si>
  <si>
    <t>TC-P2H-034</t>
  </si>
  <si>
    <t>The IPD ancillary policy survives a hard reload</t>
  </si>
  <si>
    <t>1) Open /settings/ipd-ancillary-payment 2) Set the policy to pre-paid 3) Hard-reload 4) Re-read the policy</t>
  </si>
  <si>
    <t>The policy still reads pre-paid after the reload.</t>
  </si>
  <si>
    <t>A false save silently reverts the hospital to post-paid, so it extends inpatient credit it deliberately decided not to extend and discovers the exposure only at discharge.</t>
  </si>
  <si>
    <t>hospital_settings where hospital_id = A → the IPD ancillary policy persists</t>
  </si>
  <si>
    <t>TC-P2H-035</t>
  </si>
  <si>
    <t>hospital_settings has no per-role RLS, so the route guard is the only control</t>
  </si>
  <si>
    <t>1) Confirm /settings/ipd-ancillary-payment is blocked for the nurse 2) Sign in through the API as nurse (Hospital A) 3) Attempt to write the ancillary policy key directly to hospital_settings via PostgREST</t>
  </si>
  <si>
    <t>Record the outcome. If the write succeeds, the route guard is the only protection and that must be documented as a known risk.</t>
  </si>
  <si>
    <t>IPD, Pharmacy, Security</t>
  </si>
  <si>
    <t>The page itself carries a security note saying hospital_settings has no per-role RLS — any authenticated user of the hospital can write any key via PostgREST. This case makes that stated risk a tested fact rather than a comment nobody re-checks.</t>
  </si>
  <si>
    <t>hospital_settings written as a nurse → record whether the write is refused</t>
  </si>
  <si>
    <t>TC-P2H-036</t>
  </si>
  <si>
    <t>Hospital A's ancillary policy is invisible to Hospital B</t>
  </si>
  <si>
    <t>1) Sign in as the Hospital B administrator 2) Open /settings/ipd-ancillary-payment as Hospital B 3) Query hospital_settings through the API with no hospital filter</t>
  </si>
  <si>
    <t>No Hospital A policy row is returned.</t>
  </si>
  <si>
    <t>Multi-tenancy, IPD, Pharmacy</t>
  </si>
  <si>
    <t>One hospital switching to pre-paid must never gate another hospital's inpatient drugs. With no per-role RLS on this table, tenant isolation is the only thing standing between them.</t>
  </si>
  <si>
    <t>TC-P2H-037</t>
  </si>
  <si>
    <t>A nurse cannot change the IPD ancillary payment policy</t>
  </si>
  <si>
    <t>1) Log in as nurse (Hospital A) 2) Navigate directly to /settings/ipd-ancillary-payment</t>
  </si>
  <si>
    <t>Switching to post-paid removes the payment gate on every inpatient drug, lab and scan. The route guard is the only control on this page, which makes it the whole control.</t>
  </si>
  <si>
    <t>TC-P2H-038</t>
  </si>
  <si>
    <t>The IPD Ancillary Payment screen loads with no red console errors</t>
  </si>
  <si>
    <t>1) Open DevTools → Console 2) Open /settings/ipd-ancillary-payment 3) Switch the mode and save 4) Read the console</t>
  </si>
  <si>
    <t>IPD, Pharmacy</t>
  </si>
  <si>
    <t>A failed write that appears only here leaves the hospital believing it switched mode. Every inpatient order afterwards then follows the old policy while the screen shows the new one.</t>
  </si>
  <si>
    <t>TC-P2H-039</t>
  </si>
  <si>
    <t>WhatsApp settings screen loads</t>
  </si>
  <si>
    <t>1) Open /settings/whatsapp 2) Read the form</t>
  </si>
  <si>
    <t>The WATI and Meta credential fields, template controls and test-send panel all render. No red console errors.</t>
  </si>
  <si>
    <t>phase2.entry./settings/whatsapp — template qa_appointment_reminder</t>
  </si>
  <si>
    <t>CRM, OPD, Billing, Patient Portal</t>
  </si>
  <si>
    <t>SETTINGS_PREREQ_MATRIX flags this in red: without WhatsApp config ALL notifications silently no-op. Nothing fails and nothing sends, so the hospital believes reminders are going out and patients simply stop turning up.</t>
  </si>
  <si>
    <t>hospitals where id = A → WhatsApp config matches what is displayed</t>
  </si>
  <si>
    <t>e2e/phase-02-settings/P2H.communications.spec.ts</t>
  </si>
  <si>
    <t>TC-P2H-040</t>
  </si>
  <si>
    <t>The WATI endpoint and API key save</t>
  </si>
  <si>
    <t>1) Open /settings/whatsapp 2) Enter the WATI API Endpoint and API Key 3) Save 4) Reload</t>
  </si>
  <si>
    <t>The endpoint persists and the key is stored but rendered masked.</t>
  </si>
  <si>
    <t>Literal WATI sandbox endpoint and key — no production credential is used</t>
  </si>
  <si>
    <t>CRM, OPD</t>
  </si>
  <si>
    <t>Without both values no message can be sent at all, and the failure is silent. The key must also not be re-displayed, because it authorises sending under the hospital's WhatsApp number.</t>
  </si>
  <si>
    <t>hospitals where id = A → WATI endpoint stored, key masked in the UI</t>
  </si>
  <si>
    <t>TC-P2H-041</t>
  </si>
  <si>
    <t>The WhatsApp API key is never rendered in plain text</t>
  </si>
  <si>
    <t>1) Open /settings/whatsapp 2) Save an API key 3) Reload 4) Inspect the field and the DOM</t>
  </si>
  <si>
    <t>The key renders masked and the plain value is not present in the DOM.</t>
  </si>
  <si>
    <t>Literal WATI sandbox API key</t>
  </si>
  <si>
    <t>CRM, Security</t>
  </si>
  <si>
    <t>The key lets anyone send WhatsApp messages as the hospital. Rendered in plain text on a settings screen, it can be copied by anyone who walks past a logged-in terminal and used to message patients.</t>
  </si>
  <si>
    <t>TC-P2H-042</t>
  </si>
  <si>
    <t>Testing the connection with no credentials is refused</t>
  </si>
  <si>
    <t>1) Open /settings/whatsapp 2) Clear the endpoint and key 3) Click the connection test</t>
  </si>
  <si>
    <t>A message reads "Please enter both endpoint and API key" and no request is attempted.</t>
  </si>
  <si>
    <t>None — deliberately clears both credentials before testing</t>
  </si>
  <si>
    <t>CRM</t>
  </si>
  <si>
    <t>A test that silently does nothing when credentials are missing teaches the administrator that the integration is broken, when in fact they simply have not filled the form in.</t>
  </si>
  <si>
    <t>TC-P2H-043</t>
  </si>
  <si>
    <t>The connection test reports success or failure explicitly</t>
  </si>
  <si>
    <t>1) Open /settings/whatsapp 2) Enter credentials 3) Run the connection test 4) Read the result</t>
  </si>
  <si>
    <t>The screen states clearly whether the connection succeeded, failed, or the endpoint was unreachable.</t>
  </si>
  <si>
    <t>Literal WATI sandbox endpoint and key</t>
  </si>
  <si>
    <t>This is the only way to find out the integration works BEFORE relying on it. Given that a broken WhatsApp config fails silently everywhere else, an explicit test result is the hospital's only early warning.</t>
  </si>
  <si>
    <t>None — reads the connection test outcome</t>
  </si>
  <si>
    <t>TC-P2H-044</t>
  </si>
  <si>
    <t>A WhatsApp template saves</t>
  </si>
  <si>
    <t>1) Open /settings/whatsapp 2) Add template "qa_appointment_reminder" with its body 3) Save</t>
  </si>
  <si>
    <t>A whatsapp_templates row exists with that name and body.</t>
  </si>
  <si>
    <t>phase2.entry./settings/whatsapp — qa_appointment_reminder with its body text</t>
  </si>
  <si>
    <t>CRM, OPD, Patient Portal</t>
  </si>
  <si>
    <t>Meta requires pre-approved templates for business-initiated messages. A template that does not save means the reminder cannot be sent at all, and the send fails silently.</t>
  </si>
  <si>
    <t>whatsapp_templates where hospital_id = A and name = 'qa_appointment_reminder' → 1 row</t>
  </si>
  <si>
    <t>TC-P2H-045</t>
  </si>
  <si>
    <t>Template placeholders are preserved exactly</t>
  </si>
  <si>
    <t>1) Open /settings/whatsapp 2) Save a template body containing {{hospital}} and {{date}} 3) Reload and re-read the body</t>
  </si>
  <si>
    <t>Both placeholders survive exactly as typed, braces intact.</t>
  </si>
  <si>
    <t>phase2.entry./settings/whatsapp — "Reminder: your appointment at {{hospital}} is on {{date}}."</t>
  </si>
  <si>
    <t>Meta matches the approved template by its exact placeholder structure. A mangled brace makes the send fail at the API with a template-mismatch error the hospital cannot interpret.</t>
  </si>
  <si>
    <t>whatsapp_templates where hospital_id = A → body contains {{hospital}} and {{date}}</t>
  </si>
  <si>
    <t>TC-P2H-046</t>
  </si>
  <si>
    <t>A template cannot be saved without a name</t>
  </si>
  <si>
    <t>1) Open /settings/whatsapp 2) Add a template with a body but no name 3) Save</t>
  </si>
  <si>
    <t>The save is refused and no whatsapp_templates row is written.</t>
  </si>
  <si>
    <t>None — deliberately omits the template name</t>
  </si>
  <si>
    <t>The template name is the key Meta matches on. Without it the message cannot be sent, and the row sits in the list looking configured.</t>
  </si>
  <si>
    <t>whatsapp_templates where hospital_id = A and (name is null or name = '') → 0 rows</t>
  </si>
  <si>
    <t>TC-P2H-047</t>
  </si>
  <si>
    <t>The Meta template language saves</t>
  </si>
  <si>
    <t>1) Open /settings/whatsapp 2) Set the Meta Template Language 3) Save 4) Reload</t>
  </si>
  <si>
    <t>The language persists after the reload.</t>
  </si>
  <si>
    <t>Literal template language en (the placeholder the field itself suggests)</t>
  </si>
  <si>
    <t>CRM, Patient Portal</t>
  </si>
  <si>
    <t>Meta approves a template per language. Sending against the wrong language code returns a template-not-found error, and the patient simply never receives the message.</t>
  </si>
  <si>
    <t>whatsapp_templates or hospitals → the template language persists</t>
  </si>
  <si>
    <t>TC-P2H-048</t>
  </si>
  <si>
    <t>The fallback message template saves</t>
  </si>
  <si>
    <t>1) Open /settings/whatsapp 2) Enter a Fallback Message Template 3) Save 4) Reload</t>
  </si>
  <si>
    <t>The fallback persists after the reload.</t>
  </si>
  <si>
    <t>The Fallback Message Template field on SettingsWhatsAppPage</t>
  </si>
  <si>
    <t>The fallback is what a wa.me link carries when the API route is unavailable. Without it, a hospital with no WATI subscription has no way to message a patient at all.</t>
  </si>
  <si>
    <t>hospitals where id = A → the fallback template persists</t>
  </si>
  <si>
    <t>TC-P2H-049</t>
  </si>
  <si>
    <t>A malformed recipient phone number is rejected on the test send</t>
  </si>
  <si>
    <t>1) Open /settings/whatsapp 2) Enter a 9-digit Recipient Phone Number 3) Attempt a test send</t>
  </si>
  <si>
    <t>The send is refused with a message naming the format.</t>
  </si>
  <si>
    <t>A malformed number is accepted by the form and rejected by the gateway, so the test reports a connection failure when the real problem is the number. That sends the administrator debugging the wrong thing.</t>
  </si>
  <si>
    <t>None — reads the validation message on the test send</t>
  </si>
  <si>
    <t>TC-P2H-050</t>
  </si>
  <si>
    <t>The send delay saves</t>
  </si>
  <si>
    <t>1) Open /settings/whatsapp 2) Set the send delay 3) Save 4) Reload</t>
  </si>
  <si>
    <t>The delay persists after the reload.</t>
  </si>
  <si>
    <t>The Send delay control on SettingsWhatsAppPage</t>
  </si>
  <si>
    <t>WhatsApp rate-limits business sends. A delay that does not persist means a bulk reminder run trips the limit and the remaining messages are dropped without notice.</t>
  </si>
  <si>
    <t>hospitals where id = A → the send delay persists</t>
  </si>
  <si>
    <t>TC-P2H-051</t>
  </si>
  <si>
    <t>With WhatsApp unconfigured, notifications are visibly inert rather than silently dropped</t>
  </si>
  <si>
    <t>1) Open /settings/whatsapp and clear the configuration 2) Trigger an action that would send a notification 3) Observe what the system reports</t>
  </si>
  <si>
    <t>The system indicates the notification could not be sent. It must not report success.</t>
  </si>
  <si>
    <t>None — deliberately clears the WhatsApp configuration</t>
  </si>
  <si>
    <t>CRM, OPD, Billing, Nursing</t>
  </si>
  <si>
    <t>SETTINGS_PREREQ_MATRIX flags exactly this: all notifications SILENTLY no-op — nothing fails, nothing sends. A hospital relying on appointment reminders finds out through empty clinics, weeks later.</t>
  </si>
  <si>
    <t>whatsapp_notifications → no silent success recorded when the config is absent</t>
  </si>
  <si>
    <t>TC-P2H-052</t>
  </si>
  <si>
    <t>WhatsApp settings survive a hard reload</t>
  </si>
  <si>
    <t>1) Open /settings/whatsapp 2) Save the endpoint and a template 3) Hard-reload 4) Re-read both</t>
  </si>
  <si>
    <t>Both are still present after the reload.</t>
  </si>
  <si>
    <t>phase2.entry./settings/whatsapp — qa_appointment_reminder</t>
  </si>
  <si>
    <t>A false save here is invisible in the worst way: the configuration screen looks correct and every message quietly fails to send.</t>
  </si>
  <si>
    <t>whatsapp_templates and hospitals → the WhatsApp configuration persists</t>
  </si>
  <si>
    <t>TC-P2H-053</t>
  </si>
  <si>
    <t>Hospital A's WhatsApp credentials are invisible to Hospital B</t>
  </si>
  <si>
    <t>1) Sign in as the Hospital B administrator 2) Open /settings/whatsapp as Hospital B 3) Query whatsapp_templates through the API with no hospital filter</t>
  </si>
  <si>
    <t>No Hospital A credential or template is returned.</t>
  </si>
  <si>
    <t>Multi-tenancy, CRM, Security</t>
  </si>
  <si>
    <t>A WhatsApp API key lets the holder message patients as that hospital. Leaking one across tenants enables impersonation of a healthcare provider to its own patients.</t>
  </si>
  <si>
    <t>whatsapp_templates queried as the Hospital B admin → zero rows with hospital_id = A</t>
  </si>
  <si>
    <t>TC-P2H-054</t>
  </si>
  <si>
    <t>The WhatsApp screen loads with no red console errors</t>
  </si>
  <si>
    <t>1) Open DevTools → Console 2) Open /settings/whatsapp 3) Save a template 4) Read the console</t>
  </si>
  <si>
    <t>No red console text, and no API key echoed into a console message.</t>
  </si>
  <si>
    <t>Literal WATI sandbox credentials</t>
  </si>
  <si>
    <t>No credential must ever appear in console output. A WhatsApp key logged to the console is captured by any browser extension the hospital has installed.</t>
  </si>
  <si>
    <t>TC-P2H-055</t>
  </si>
  <si>
    <t>Scheduled Reports screen loads</t>
  </si>
  <si>
    <t>1) Open /settings/report-schedules 2) Read the form and the schedule list</t>
  </si>
  <si>
    <t>Report Name, Report Type, Frequency, Send Time, Recipient Emails and Format all render. No red console errors.</t>
  </si>
  <si>
    <t>phase2.entry./settings/report-schedules — Nephrology Daily Collections</t>
  </si>
  <si>
    <t>Analytics, Accounts, Billing, Quality</t>
  </si>
  <si>
    <t>Scheduled reports are how the owner and CFO see the hospital without logging in. A screen that will not load means the management reporting nobody asked for explicitly but everybody depends on simply never starts.</t>
  </si>
  <si>
    <t>report_schedules where hospital_id = A → matches the list displayed</t>
  </si>
  <si>
    <t>TC-P2H-056</t>
  </si>
  <si>
    <t>A report schedule saves with all its fields</t>
  </si>
  <si>
    <t>1) Open /settings/report-schedules 2) Add "Nephrology Daily Collections", Daily Collection Summary, Daily, 08:30, the QA recipient, PDF 3) Save</t>
  </si>
  <si>
    <t>A report_schedules row exists with all six values.</t>
  </si>
  <si>
    <t>phase2.entry./settings/report-schedules — the full schedule definition</t>
  </si>
  <si>
    <t>Analytics, Accounts</t>
  </si>
  <si>
    <t>Every field drives a different part of the delivery: type selects the query, frequency and time drive the cron, recipients drive the send, format drives the attachment. A partial save produces a schedule that fires and delivers nothing usable.</t>
  </si>
  <si>
    <t>report_schedules where hospital_id = A and report_name = 'Nephrology Daily Collections' → 1 row</t>
  </si>
  <si>
    <t>TC-P2H-057</t>
  </si>
  <si>
    <t>A report schedule cannot be saved without a name</t>
  </si>
  <si>
    <t>1) Open /settings/report-schedules 2) Leave Report Name blank 3) Save</t>
  </si>
  <si>
    <t>A destructive toast reads "Report name is required" and no row is written.</t>
  </si>
  <si>
    <t>None — deliberately omits the required Report Name</t>
  </si>
  <si>
    <t>Analytics</t>
  </si>
  <si>
    <t>An unnamed schedule cannot be identified in the list, so nobody can tell which report to stop when the recipient changes role or leaves.</t>
  </si>
  <si>
    <t>report_schedules where hospital_id = A and (report_name is null or report_name = '') → 0 rows</t>
  </si>
  <si>
    <t>TC-P2H-058</t>
  </si>
  <si>
    <t>A report schedule cannot be saved without a recipient</t>
  </si>
  <si>
    <t>1) Open /settings/report-schedules 2) Leave Recipient Emails blank 3) Save</t>
  </si>
  <si>
    <t>The save is refused, or the schedule is visibly flagged as undeliverable.</t>
  </si>
  <si>
    <t>None — deliberately omits the Recipient Emails</t>
  </si>
  <si>
    <t>A schedule with no recipient runs on time, generates the report, and sends it nowhere. It appears healthy in the list while nobody ever receives anything.</t>
  </si>
  <si>
    <t>report_schedules where hospital_id = A → recipient_emails set on every row</t>
  </si>
  <si>
    <t>TC-P2H-059</t>
  </si>
  <si>
    <t>A malformed recipient email is rejected</t>
  </si>
  <si>
    <t>1) Open /settings/report-schedules 2) Enter "rakesh.iyer@" as the recipient 3) Save</t>
  </si>
  <si>
    <t>A malformed address bounces silently at the mail gateway. The schedule reports as sent and the CFO never receives the month-end figures.</t>
  </si>
  <si>
    <t>report_schedules where hospital_id = A → no row with recipient 'rakesh.iyer@'</t>
  </si>
  <si>
    <t>TC-P2H-060</t>
  </si>
  <si>
    <t>Multiple comma-separated recipients are accepted</t>
  </si>
  <si>
    <t>1) Open /settings/report-schedules 2) Enter two comma-separated recipient addresses 3) Save 4) Reload</t>
  </si>
  <si>
    <t>Both addresses persist.</t>
  </si>
  <si>
    <t>phase2.entry./settings/report-schedules — the QA reports mailbox, plus a second address</t>
  </si>
  <si>
    <t>A month-end report goes to the owner, the CFO and the accountant at once. If only the first address survives, the others quietly stop receiving it and assume the report was discontinued.</t>
  </si>
  <si>
    <t>report_schedules where hospital_id = A → recipient_emails holds both addresses</t>
  </si>
  <si>
    <t>TC-P2H-061</t>
  </si>
  <si>
    <t>Report type "Daily Executive Summary" saves</t>
  </si>
  <si>
    <t>1) Open /settings/report-schedules 2) Create a schedule with Report Type "Daily Executive Summary" 3) Save 4) Reload and re-read the type</t>
  </si>
  <si>
    <t>report_schedules.report_type = 'daily_summary' and the dropdown still shows "Daily Executive Summary" after the reload.</t>
  </si>
  <si>
    <t>phase2.dropdowns.reportType — "daily_summary"</t>
  </si>
  <si>
    <t>Report type selects which query runs, so a mis-stored type delivers the wrong report to a recipient who will read it as though it were the right one. This one covers the owner's morning read on yesterday.</t>
  </si>
  <si>
    <t>report_schedules where hospital_id = A → report_type = 'daily_summary'</t>
  </si>
  <si>
    <t>TC-P2H-062</t>
  </si>
  <si>
    <t>Report type "Daily Collection Summary" saves</t>
  </si>
  <si>
    <t>1) Open /settings/report-schedules 2) Create a schedule with Report Type "Daily Collection Summary" 3) Save 4) Reload and re-read the type</t>
  </si>
  <si>
    <t>report_schedules.report_type = 'daily_collection' and the dropdown still shows "Daily Collection Summary" after the reload.</t>
  </si>
  <si>
    <t>phase2.dropdowns.reportType — "daily_collection"</t>
  </si>
  <si>
    <t>Report type selects which query runs, so a mis-stored type delivers the wrong report to a recipient who will read it as though it were the right one. This one covers what was actually banked, checked against day closure.</t>
  </si>
  <si>
    <t>report_schedules where hospital_id = A → report_type = 'daily_collection'</t>
  </si>
  <si>
    <t>TC-P2H-063</t>
  </si>
  <si>
    <t>Report type "Weekly OPD Report" saves</t>
  </si>
  <si>
    <t>1) Open /settings/report-schedules 2) Create a schedule with Report Type "Weekly OPD Report" 3) Save 4) Reload and re-read the type</t>
  </si>
  <si>
    <t>report_schedules.report_type = 'weekly_opd' and the dropdown still shows "Weekly OPD Report" after the reload.</t>
  </si>
  <si>
    <t>phase2.dropdowns.reportType — "weekly_opd"</t>
  </si>
  <si>
    <t>Report type selects which query runs, so a mis-stored type delivers the wrong report to a recipient who will read it as though it were the right one. This one covers outpatient volume by department and doctor.</t>
  </si>
  <si>
    <t>report_schedules where hospital_id = A → report_type = 'weekly_opd'</t>
  </si>
  <si>
    <t>TC-P2H-064</t>
  </si>
  <si>
    <t>Report type "Weekly Outstanding Receivables" saves</t>
  </si>
  <si>
    <t>1) Open /settings/report-schedules 2) Create a schedule with Report Type "Weekly Outstanding Receivables" 3) Save 4) Reload and re-read the type</t>
  </si>
  <si>
    <t>report_schedules.report_type = 'weekly_outstanding' and the dropdown still shows "Weekly Outstanding Receivables" after the reload.</t>
  </si>
  <si>
    <t>phase2.dropdowns.reportType — "weekly_outstanding"</t>
  </si>
  <si>
    <t>Report type selects which query runs, so a mis-stored type delivers the wrong report to a recipient who will read it as though it were the right one. This one covers the ageing that drives the collections call list.</t>
  </si>
  <si>
    <t>report_schedules where hospital_id = A → report_type = 'weekly_outstanding'</t>
  </si>
  <si>
    <t>TC-P2H-065</t>
  </si>
  <si>
    <t>Report type "Monthly Revenue Report" saves</t>
  </si>
  <si>
    <t>1) Open /settings/report-schedules 2) Create a schedule with Report Type "Monthly Revenue Report" 3) Save 4) Reload and re-read the type</t>
  </si>
  <si>
    <t>report_schedules.report_type = 'monthly_revenue' and the dropdown still shows "Monthly Revenue Report" after the reload.</t>
  </si>
  <si>
    <t>phase2.dropdowns.reportType — "monthly_revenue"</t>
  </si>
  <si>
    <t>Report type selects which query runs, so a mis-stored type delivers the wrong report to a recipient who will read it as though it were the right one. This one covers the figure the board sees.</t>
  </si>
  <si>
    <t>report_schedules where hospital_id = A → report_type = 'monthly_revenue'</t>
  </si>
  <si>
    <t>TC-P2H-066</t>
  </si>
  <si>
    <t>Report type "Monthly Revenue by Department" saves</t>
  </si>
  <si>
    <t>1) Open /settings/report-schedules 2) Create a schedule with Report Type "Monthly Revenue by Department" 3) Save 4) Reload and re-read the type</t>
  </si>
  <si>
    <t>report_schedules.report_type = 'monthly_revenue_dept' and the dropdown still shows "Monthly Revenue by Department" after the reload.</t>
  </si>
  <si>
    <t>phase2.dropdowns.reportType — "monthly_revenue_dept"</t>
  </si>
  <si>
    <t>Report type selects which query runs, so a mis-stored type delivers the wrong report to a recipient who will read it as though it were the right one. This one covers which units carry the hospital and which do not.</t>
  </si>
  <si>
    <t>report_schedules where hospital_id = A → report_type = 'monthly_revenue_dept'</t>
  </si>
  <si>
    <t>TC-P2H-067</t>
  </si>
  <si>
    <t>Report type "Monthly NABH Quality Report" saves</t>
  </si>
  <si>
    <t>1) Open /settings/report-schedules 2) Create a schedule with Report Type "Monthly NABH Quality Report" 3) Save 4) Reload and re-read the type</t>
  </si>
  <si>
    <t>report_schedules.report_type = 'monthly_quality' and the dropdown still shows "Monthly NABH Quality Report" after the reload.</t>
  </si>
  <si>
    <t>phase2.dropdowns.reportType — "monthly_quality"</t>
  </si>
  <si>
    <t>Report type selects which query runs, so a mis-stored type delivers the wrong report to a recipient who will read it as though it were the right one. This one covers the evidence pack an assessor asks for.</t>
  </si>
  <si>
    <t>report_schedules where hospital_id = A → report_type = 'monthly_quality'</t>
  </si>
  <si>
    <t>TC-P2H-068</t>
  </si>
  <si>
    <t>Report type "Custom Report" saves</t>
  </si>
  <si>
    <t>1) Open /settings/report-schedules 2) Create a schedule with Report Type "Custom Report" 3) Save 4) Reload and re-read the type</t>
  </si>
  <si>
    <t>report_schedules.report_type = 'custom' and the dropdown still shows "Custom Report" after the reload.</t>
  </si>
  <si>
    <t>phase2.dropdowns.reportType — "custom"</t>
  </si>
  <si>
    <t>Report type selects which query runs, so a mis-stored type delivers the wrong report to a recipient who will read it as though it were the right one. This one covers anything the hospital defines for itself.</t>
  </si>
  <si>
    <t>report_schedules where hospital_id = A → report_type = 'custom'</t>
  </si>
  <si>
    <t>TC-P2H-069</t>
  </si>
  <si>
    <t>Report frequency "Daily" saves</t>
  </si>
  <si>
    <t>1) Open /settings/report-schedules 2) Create a schedule with Frequency "Daily" 3) Save 4) Reload</t>
  </si>
  <si>
    <t>report_schedules.frequency = 'daily' after the reload.</t>
  </si>
  <si>
    <t>phase2.dropdowns.reportFrequency — "daily"</t>
  </si>
  <si>
    <t>Frequency drives the cron expression. A mis-stored value either fires far too often or never at all, and sent every morning; the send time matters most here.</t>
  </si>
  <si>
    <t>report_schedules where hospital_id = A → frequency = 'daily'</t>
  </si>
  <si>
    <t>TC-P2H-070</t>
  </si>
  <si>
    <t>Report frequency "Weekly" saves</t>
  </si>
  <si>
    <t>1) Open /settings/report-schedules 2) Create a schedule with Frequency "Weekly" 3) Save 4) Reload</t>
  </si>
  <si>
    <t>report_schedules.frequency = 'weekly' after the reload.</t>
  </si>
  <si>
    <t>phase2.dropdowns.reportFrequency — "weekly"</t>
  </si>
  <si>
    <t>Frequency drives the cron expression. A mis-stored value either fires far too often or never at all, and needs a day of week, or it never fires.</t>
  </si>
  <si>
    <t>report_schedules where hospital_id = A → frequency = 'weekly'</t>
  </si>
  <si>
    <t>TC-P2H-071</t>
  </si>
  <si>
    <t>Report frequency "Monthly" saves</t>
  </si>
  <si>
    <t>1) Open /settings/report-schedules 2) Create a schedule with Frequency "Monthly" 3) Save 4) Reload</t>
  </si>
  <si>
    <t>report_schedules.frequency = 'monthly' after the reload.</t>
  </si>
  <si>
    <t>phase2.dropdowns.reportFrequency — "monthly"</t>
  </si>
  <si>
    <t>Frequency drives the cron expression. A mis-stored value either fires far too often or never at all, and needs a day of month capped at 28 so February still works.</t>
  </si>
  <si>
    <t>report_schedules where hospital_id = A → frequency = 'monthly'</t>
  </si>
  <si>
    <t>TC-P2H-072</t>
  </si>
  <si>
    <t>Report format "PDF" saves</t>
  </si>
  <si>
    <t>1) Open /settings/report-schedules 2) Create a schedule with Format "PDF" 3) Save 4) Reload</t>
  </si>
  <si>
    <t>report_schedules.format = 'pdf' after the reload.</t>
  </si>
  <si>
    <t>phase2.dropdowns.reportFormat — "pdf"</t>
  </si>
  <si>
    <t>Format decides what the recipient can actually do with the report — what gets printed and filed. Each value is stored separately, so one can fail while the others save.</t>
  </si>
  <si>
    <t>report_schedules where hospital_id = A → format = 'pdf'</t>
  </si>
  <si>
    <t>TC-P2H-073</t>
  </si>
  <si>
    <t>Report format "Excel" saves</t>
  </si>
  <si>
    <t>1) Open /settings/report-schedules 2) Create a schedule with Format "Excel" 3) Save 4) Reload</t>
  </si>
  <si>
    <t>report_schedules.format = 'excel' after the reload.</t>
  </si>
  <si>
    <t>phase2.dropdowns.reportFormat — "excel"</t>
  </si>
  <si>
    <t>Format decides what the recipient can actually do with the report — what the accountant actually works in. Each value is stored separately, so one can fail while the others save.</t>
  </si>
  <si>
    <t>report_schedules where hospital_id = A → format = 'excel'</t>
  </si>
  <si>
    <t>TC-P2H-074</t>
  </si>
  <si>
    <t>Report format "Both" saves</t>
  </si>
  <si>
    <t>1) Open /settings/report-schedules 2) Create a schedule with Format "Both" 3) Save 4) Reload</t>
  </si>
  <si>
    <t>report_schedules.format = 'both' after the reload.</t>
  </si>
  <si>
    <t>phase2.dropdowns.reportFormat — "both"</t>
  </si>
  <si>
    <t>Format decides what the recipient can actually do with the report — the belt-and-braces option for month-end. Each value is stored separately, so one can fail while the others save.</t>
  </si>
  <si>
    <t>report_schedules where hospital_id = A → format = 'both'</t>
  </si>
  <si>
    <t>TC-P2H-075</t>
  </si>
  <si>
    <t>Report format "HTML (in email)" saves</t>
  </si>
  <si>
    <t>1) Open /settings/report-schedules 2) Create a schedule with Format "HTML (in email)" 3) Save 4) Reload</t>
  </si>
  <si>
    <t>report_schedules.format = 'html' after the reload.</t>
  </si>
  <si>
    <t>phase2.dropdowns.reportFormat — "html"</t>
  </si>
  <si>
    <t>Format decides what the recipient can actually do with the report — readable on a phone without opening an attachment. Each value is stored separately, so one can fail while the others save.</t>
  </si>
  <si>
    <t>report_schedules where hospital_id = A → format = 'html'</t>
  </si>
  <si>
    <t>TC-P2H-076</t>
  </si>
  <si>
    <t>A weekly schedule requires a day of week</t>
  </si>
  <si>
    <t>1) Open /settings/report-schedules 2) Set Frequency to Weekly 3) Leave Day of Week blank 4) Save</t>
  </si>
  <si>
    <t>The save is refused, or a day of week is required before the schedule can be created.</t>
  </si>
  <si>
    <t>The Day of Week field on SettingsReportSchedulesPage (0=Sun … 6=Sat)</t>
  </si>
  <si>
    <t>A weekly schedule with no day has no valid cron expression. It either never fires or fires every day, and both look like the schedule was never set up.</t>
  </si>
  <si>
    <t>report_schedules where frequency = 'weekly' → day_of_week is set</t>
  </si>
  <si>
    <t>TC-P2H-077</t>
  </si>
  <si>
    <t>A monthly schedule caps the day of month at 28</t>
  </si>
  <si>
    <t>1) Open /settings/report-schedules 2) Set Frequency to Monthly 3) Attempt to set Day of Month to 31 4) Save</t>
  </si>
  <si>
    <t>The field caps at 28, matching its own label.</t>
  </si>
  <si>
    <t>The Day of Month field on SettingsReportSchedulesPage (1–28)</t>
  </si>
  <si>
    <t>A schedule set to the 31st never fires in February, April, June, September or November. Capping at 28 is why the label says 1–28 — the month-end report has to arrive every month, not seven times a year.</t>
  </si>
  <si>
    <t>report_schedules where frequency = 'monthly' → day_of_month between 1 and 28</t>
  </si>
  <si>
    <t>TC-P2H-078</t>
  </si>
  <si>
    <t>The send time saves</t>
  </si>
  <si>
    <t>1) Open /settings/report-schedules 2) Set Send Time to 08:30 3) Save 4) Reload</t>
  </si>
  <si>
    <t>The send time persists at 08:30 after the reload.</t>
  </si>
  <si>
    <t>phase2.entry./settings/report-schedules — send_time 08:30</t>
  </si>
  <si>
    <t>A daily collection summary is useful at 08:30 and useless at 23:00. The time is the whole point of scheduling it rather than running it by hand.</t>
  </si>
  <si>
    <t>report_schedules where hospital_id = A → send_time = '08:30'</t>
  </si>
  <si>
    <t>TC-P2H-079</t>
  </si>
  <si>
    <t>A schedule can be edited and deleted</t>
  </si>
  <si>
    <t>1) Open /settings/report-schedules 2) Edit a schedule and save 3) Delete it 4) Reload</t>
  </si>
  <si>
    <t>The edit persists, and after deletion the schedule does not return on reload.</t>
  </si>
  <si>
    <t>When a recipient leaves the hospital their schedule has to be stopped or redirected. A delete that only clears local state means the report keeps arriving at a former employee's mailbox — a DPDP exposure.</t>
  </si>
  <si>
    <t>report_schedules → the edit persists and the deleted row stays deleted</t>
  </si>
  <si>
    <t>TC-P2H-080</t>
  </si>
  <si>
    <t>Hospital A's report schedules are invisible to Hospital B</t>
  </si>
  <si>
    <t>1) Sign in as the Hospital B administrator 2) Open /settings/report-schedules as Hospital B 3) Query report_schedules through the API with no hospital filter</t>
  </si>
  <si>
    <t>Not one Hospital A schedule is returned.</t>
  </si>
  <si>
    <t>Multi-tenancy, Analytics, Accounts</t>
  </si>
  <si>
    <t>A schedule row carries recipient email addresses and names a revenue report. A leak would let one hospital add itself as a recipient of another's financial reporting.</t>
  </si>
  <si>
    <t>report_schedules queried as the Hospital B admin → zero rows with hospital_id = A</t>
  </si>
  <si>
    <t>TC-P2H-081</t>
  </si>
  <si>
    <t>TV Display screen loads</t>
  </si>
  <si>
    <t>1) Open /settings/tv-display 2) Read the form</t>
  </si>
  <si>
    <t>Announcement Language, Call Format Template and Slide Interval all render. No red console errors.</t>
  </si>
  <si>
    <t>phase2.entry./settings/tv-display — "Token {number}, please proceed to {doctor}"</t>
  </si>
  <si>
    <t>TV Display, OPD, CRM</t>
  </si>
  <si>
    <t>The waiting-room screen is the only interface most outpatients ever see. If it cannot be configured, the hospital falls back to calling names aloud across a crowded hall.</t>
  </si>
  <si>
    <t>tv_display_settings where hospital_id = A → matches what is displayed</t>
  </si>
  <si>
    <t>TC-P2H-082</t>
  </si>
  <si>
    <t>The call format template saves with its placeholders</t>
  </si>
  <si>
    <t>1) Open /settings/tv-display 2) Set the Call Format Template to "Token {number}, please proceed to {doctor}" 3) Save 4) Reload</t>
  </si>
  <si>
    <t>The template persists with both placeholders intact.</t>
  </si>
  <si>
    <t>TV Display, OPD</t>
  </si>
  <si>
    <t>The template is what the speech synthesiser reads aloud. A mangled placeholder makes the announcement say the literal word "number" instead of the token, and patients stop responding to it.</t>
  </si>
  <si>
    <t>tv_display_settings where hospital_id = A → call format contains {number} and {doctor}</t>
  </si>
  <si>
    <t>TC-P2H-083</t>
  </si>
  <si>
    <t>The announcement language saves</t>
  </si>
  <si>
    <t>1) Open /settings/tv-display 2) Set the Announcement Language 3) Save 4) Reload</t>
  </si>
  <si>
    <t>MOCK_DATA_BOOK Preferred Patient Languages — Telugu for Hospital A in Hyderabad</t>
  </si>
  <si>
    <t>TV Display, OPD, Patient Portal</t>
  </si>
  <si>
    <t>A token announced in English in a Telugu-speaking waiting room is not heard. The announcement language is an access issue for patients with limited English.</t>
  </si>
  <si>
    <t>tv_display_settings where hospital_id = A → announcement language persists</t>
  </si>
  <si>
    <t>TC-P2H-084</t>
  </si>
  <si>
    <t>The slide interval saves</t>
  </si>
  <si>
    <t>1) Open /settings/tv-display 2) Set the Slide Interval in seconds 3) Save 4) Reload</t>
  </si>
  <si>
    <t>The interval persists after the reload.</t>
  </si>
  <si>
    <t>The Slide Interval (seconds) field on SettingsTVDisplayPage</t>
  </si>
  <si>
    <t>The interval controls how long a health tip or banner stays on screen between token calls. Too short and nothing is readable; unsaved and the hospital gets a default it never chose.</t>
  </si>
  <si>
    <t>tv_display_settings where hospital_id = A → slide interval persists</t>
  </si>
  <si>
    <t>TC-P2H-085</t>
  </si>
  <si>
    <t>A zero or negative slide interval is refused</t>
  </si>
  <si>
    <t>1) Open /settings/tv-display 2) Set the Slide Interval to 0, then to -5 3) Save each time</t>
  </si>
  <si>
    <t>Both are refused, or the interval is clamped to a sensible minimum.</t>
  </si>
  <si>
    <t>phase2.invalid.ratePerDayZero (0) and ratePerDayNegative (-100) applied to the interval</t>
  </si>
  <si>
    <t>TV Display</t>
  </si>
  <si>
    <t>A zero interval makes the display cycle continuously, which is unreadable and can trigger discomfort in a waiting room full of people who cannot look away.</t>
  </si>
  <si>
    <t>tv_display_settings where hospital_id = A → slide interval &gt; 0</t>
  </si>
  <si>
    <t>TC-P2H-086</t>
  </si>
  <si>
    <t>A marketing banner can be added</t>
  </si>
  <si>
    <t>1) Open /settings/tv-display 2) Add a banner image URL and a health tip 3) Save 4) Reload</t>
  </si>
  <si>
    <t>Literal banner URL https://example.com/banner.jpg (the placeholder the field suggests)</t>
  </si>
  <si>
    <t>The waiting-room screen is the hospital's own advertising space between token calls. Content that does not persist leaves it showing an empty frame.</t>
  </si>
  <si>
    <t>tv_display_settings where hospital_id = A → banner and health tip persist</t>
  </si>
  <si>
    <t>TC-P2H-087</t>
  </si>
  <si>
    <t>The patient name format from OPD config is respected on the display</t>
  </si>
  <si>
    <t>1) Set the patient name format under /settings/opd-workflow 2) Open the TV display 3) Read how a called patient is identified</t>
  </si>
  <si>
    <t>The display follows the configured name format.</t>
  </si>
  <si>
    <t>The waiting room is public. Showing a full name where the hospital chose an initial is a DPDP disclosure to everyone sitting in the hall, and it happens dozens of times an hour.</t>
  </si>
  <si>
    <t>tv_display_settings and the OPD config → the display honours the configured name format</t>
  </si>
  <si>
    <t>TC-P2H-088</t>
  </si>
  <si>
    <t>TV display settings survive a hard reload</t>
  </si>
  <si>
    <t>1) Open /settings/tv-display 2) Save the call template and interval 3) Hard-reload 4) Re-read both</t>
  </si>
  <si>
    <t>Both are still set after the reload.</t>
  </si>
  <si>
    <t>A false save leaves the waiting-room screen on defaults. Nobody notices from the settings page, because the screen it controls is in another room.</t>
  </si>
  <si>
    <t>tv_display_settings where hospital_id = A → the configuration persists</t>
  </si>
  <si>
    <t>TC-P2H-089</t>
  </si>
  <si>
    <t>Hospital A's TV display settings are invisible to Hospital B</t>
  </si>
  <si>
    <t>1) Sign in as the Hospital B administrator 2) Open /settings/tv-display as Hospital B 3) Query tv_display_settings through the API with no hospital filter</t>
  </si>
  <si>
    <t>No Hospital A settings row is returned.</t>
  </si>
  <si>
    <t>Multi-tenancy, TV Display</t>
  </si>
  <si>
    <t>The display config carries the hospital's own banners and announcement wording. One tenant's marketing appearing in another's waiting room is the most publicly visible leak possible.</t>
  </si>
  <si>
    <t>tv_display_settings queried as the Hospital B admin → zero rows with hospital_id = A</t>
  </si>
  <si>
    <t>TC-P2H-090</t>
  </si>
  <si>
    <t>The TV Display screen loads with no red console errors</t>
  </si>
  <si>
    <t>1) Open DevTools → Console 2) Open /settings/tv-display 3) Save the configuration 4) Read the console</t>
  </si>
  <si>
    <t>No red console text, and the speech-synthesis capability check does not error.</t>
  </si>
  <si>
    <t>phase2.entry./settings/tv-display — the call format template</t>
  </si>
  <si>
    <t>The screen probes SpeechSynthesis support. An unhandled failure there would stop the announcement feature with no visible explanation on the display device itself.</t>
  </si>
  <si>
    <t>TC-P2H-091</t>
  </si>
  <si>
    <t>Store Locations screen loads</t>
  </si>
  <si>
    <t>1) Open /settings/inventory 2) Read the store list</t>
  </si>
  <si>
    <t>The store locations render with an action to add one. No red console errors.</t>
  </si>
  <si>
    <t>MOCK_DATA_BOOK Phase 2 additions — Nephrology Sub-Store</t>
  </si>
  <si>
    <t>Inventory, Pharmacy, OT, CSSD, Nursing</t>
  </si>
  <si>
    <t>SETTINGS_PREREQ_MATRIX warns that without store_locations there are no store transfers. Ward stock cannot be issued from the central store, so every indent has to be handled on paper.</t>
  </si>
  <si>
    <t>store_locations where hospital_id = A → matches the list displayed</t>
  </si>
  <si>
    <t>TC-P2H-092</t>
  </si>
  <si>
    <t>A store location saves</t>
  </si>
  <si>
    <t>1) Open /settings/inventory 2) Add "Nephrology Sub-Store" 3) Save</t>
  </si>
  <si>
    <t>A store_locations row exists with that name.</t>
  </si>
  <si>
    <t>MOCK_DATA_BOOK requires this store to appear as a transfer destination. Without it, ward stock has nowhere to be issued to and the sub-store runs on an informal cupboard nobody counts.</t>
  </si>
  <si>
    <t>store_locations where hospital_id = A and name = 'Nephrology Sub-Store' → 1 row</t>
  </si>
  <si>
    <t>TC-P2H-093</t>
  </si>
  <si>
    <t>A store cannot be saved without a name</t>
  </si>
  <si>
    <t>1) Open /settings/inventory 2) Add a store with a blank Store Name 3) Save</t>
  </si>
  <si>
    <t>The save is refused and no store_locations row is written.</t>
  </si>
  <si>
    <t>None — deliberately omits the required Store Name</t>
  </si>
  <si>
    <t>Inventory</t>
  </si>
  <si>
    <t>An unnamed store appears as a blank transfer destination, so stock is issued to nowhere identifiable and the physical count never reconciles.</t>
  </si>
  <si>
    <t>store_locations where hospital_id = A and (name is null or name = '') → 0 rows</t>
  </si>
  <si>
    <t>TC-P2H-094</t>
  </si>
  <si>
    <t>A store can be linked to a ward</t>
  </si>
  <si>
    <t>1) Open /settings/inventory 2) Create a store and set Linked Ward to Nephrology Ward 3) Save 4) Reload</t>
  </si>
  <si>
    <t>The ward link persists after the reload.</t>
  </si>
  <si>
    <t>MOCK_DATA_BOOK Phase 2 additions — Nephrology Ward and Nephrology Sub-Store</t>
  </si>
  <si>
    <t>Inventory, IPD, Nursing</t>
  </si>
  <si>
    <t>Tier 0 complete; the ward exists</t>
  </si>
  <si>
    <t>The ward link is how consumption is attributed to a cost centre. Unlinked, the sub-store's usage cannot be charged back to the ward that used it.</t>
  </si>
  <si>
    <t>store_locations where hospital_id = A and name = 'Nephrology Sub-Store' → linked ward set</t>
  </si>
  <si>
    <t>TC-P2H-095</t>
  </si>
  <si>
    <t>A store with linked indents cannot be deleted</t>
  </si>
  <si>
    <t>1) Open /settings/inventory, create a store and raise an indent against it 2) Attempt to delete the store</t>
  </si>
  <si>
    <t>A destructive toast reads "Cannot delete — store has linked indents" and the store remains.</t>
  </si>
  <si>
    <t>MOCK_DATA_BOOK Phase 2 additions — Nephrology Sub-Store with a linked indent</t>
  </si>
  <si>
    <t>Tier 0 complete; an indent exists against the store</t>
  </si>
  <si>
    <t>Deleting a store with indents against it orphans the stock movement history, so the physical count and the system diverge with no audit trail explaining why.</t>
  </si>
  <si>
    <t>store_locations → the store still exists when indents reference it</t>
  </si>
  <si>
    <t>TC-P2H-096</t>
  </si>
  <si>
    <t>Hospital A's store locations are invisible to Hospital B</t>
  </si>
  <si>
    <t>1) Sign in as the Hospital B administrator 2) Open /settings/inventory as Hospital B 3) Query store_locations through the API with no hospital filter</t>
  </si>
  <si>
    <t>Not one Hospital A store is returned.</t>
  </si>
  <si>
    <t>Multi-tenancy, Inventory</t>
  </si>
  <si>
    <t>A store appearing as a transfer destination in another hospital would let stock be issued across tenants, which no physical count could ever reconcile.</t>
  </si>
  <si>
    <t>store_locations queried as the Hospital B admin → zero rows with hospital_id = A</t>
  </si>
  <si>
    <t>TC-P2I-001</t>
  </si>
  <si>
    <t>2I Integrations, Data &amp; API</t>
  </si>
  <si>
    <t>Integrations Console loads</t>
  </si>
  <si>
    <t>1) Log in as hospital_admin (Hospital A) 2) Open /settings/integrations 3) Read the console</t>
  </si>
  <si>
    <t>The lab analyser, PACS, WhatsApp and Tally sections render. No red console errors.</t>
  </si>
  <si>
    <t>phase2.entry./settings/integrations — connector QA Lab Analyser at 192.168.1.77</t>
  </si>
  <si>
    <t>Lab, Radiology, Accounts, CRM, Biomedical</t>
  </si>
  <si>
    <t>SETTINGS_PREREQ_MATRIX warns that without HL7 and analyser connectors, analyser results simply do not arrive. The lab runs the sample, the machine produces a result, and nothing reaches the patient chart.</t>
  </si>
  <si>
    <t>lab_device_connectors where hospital_id = A → matches what is displayed</t>
  </si>
  <si>
    <t>e2e/phase-02-settings/P2I.integrations.spec.ts</t>
  </si>
  <si>
    <t>TC-P2I-002</t>
  </si>
  <si>
    <t>A lab analyser connector saves</t>
  </si>
  <si>
    <t>1) Open /settings/integrations 2) Add connector "QA Lab Analyser" with host 192.168.1.77 3) Save</t>
  </si>
  <si>
    <t>A lab_device_connectors row exists with that name and host.</t>
  </si>
  <si>
    <t>phase2.entry./settings/integrations — QA Lab Analyser, endpoint 192.168.1.77</t>
  </si>
  <si>
    <t>Lab, Biomedical</t>
  </si>
  <si>
    <t>The connector is what pulls results off the analyser. Without it a technician retypes every value by hand, which is both slow and the commonest source of transcription error in a lab.</t>
  </si>
  <si>
    <t>lab_device_connectors where hospital_id = A and name = 'QA Lab Analyser' → 1 row</t>
  </si>
  <si>
    <t>TC-P2I-003</t>
  </si>
  <si>
    <t>A connector cannot be saved without a name</t>
  </si>
  <si>
    <t>1) Open /settings/integrations 2) Add a connector with a blank Name 3) Save</t>
  </si>
  <si>
    <t>A destructive toast reads "Name is required" and no row is written.</t>
  </si>
  <si>
    <t>None — deliberately omits the required connector Name</t>
  </si>
  <si>
    <t>An unnamed connector cannot be identified in the list, so when results stop arriving nobody can tell which machine has gone offline.</t>
  </si>
  <si>
    <t>lab_device_connectors where hospital_id = A and (name is null or name = '') → 0 rows</t>
  </si>
  <si>
    <t>TC-P2I-004</t>
  </si>
  <si>
    <t>The connector protocol and connection type save</t>
  </si>
  <si>
    <t>1) Open /settings/integrations 2) Set Device Type, Protocol and Connection Type on a connector 3) Save 4) Reload</t>
  </si>
  <si>
    <t>The Device Type, Protocol and Connection Type controls on IntegrationsHubPage</t>
  </si>
  <si>
    <t>A Sysmex on serial and a Sysmex on TCP need entirely different handling. The wrong protocol produces a connector that appears configured and never receives a byte.</t>
  </si>
  <si>
    <t>lab_device_connectors where hospital_id = A → protocol and connection type persist</t>
  </si>
  <si>
    <t>TC-P2I-005</t>
  </si>
  <si>
    <t>A serial connector stores its port and a network connector stores host and port</t>
  </si>
  <si>
    <t>1) Open /settings/integrations 2) Configure one serial connector and one network connector 3) Save both 4) Reload</t>
  </si>
  <si>
    <t>The serial connector holds a serial port and the network connector holds a host and port. Neither loses its own field.</t>
  </si>
  <si>
    <t>IntegrationsHubPage placeholders — COM3 or /dev/ttyUSB0 for serial, 192.168.1.50:6000 for network</t>
  </si>
  <si>
    <t>The two connection types use different fields. A form that stores only one set silently discards whichever the other kind of analyser needs, and that machine never connects.</t>
  </si>
  <si>
    <t>lab_device_connectors where hospital_id = A → serial and network connectors each retain their own fields</t>
  </si>
  <si>
    <t>TC-P2I-006</t>
  </si>
  <si>
    <t>A file-drop connector stores its folder path</t>
  </si>
  <si>
    <t>1) Open /settings/integrations 2) Configure a file-drop connector with a folder path 3) Save 4) Reload</t>
  </si>
  <si>
    <t>The folder path persists exactly, backslashes intact.</t>
  </si>
  <si>
    <t>IntegrationsHubPage placeholder — C:\LabResults\incoming</t>
  </si>
  <si>
    <t>Windows paths contain backslashes that are easy to mangle in transit. A corrupted path means the watcher polls a folder that does not exist and no results are ever picked up.</t>
  </si>
  <si>
    <t>lab_device_connectors where hospital_id = A → the file drop path persists with its separators</t>
  </si>
  <si>
    <t>TC-P2I-007</t>
  </si>
  <si>
    <t>A connector can be removed</t>
  </si>
  <si>
    <t>1) Open /settings/integrations 2) Remove a connector 3) Reload</t>
  </si>
  <si>
    <t>A "Connector removed" confirmation appears and the connector does not return after the reload.</t>
  </si>
  <si>
    <t>phase2.entry./settings/integrations — QA Lab Analyser</t>
  </si>
  <si>
    <t>A decommissioned analyser left configured keeps its connector polling a dead IP, which fills the error log and masks a genuine failure on a machine that is still in use.</t>
  </si>
  <si>
    <t>lab_device_connectors where hospital_id = A and name = 'QA Lab Analyser' → 0 rows</t>
  </si>
  <si>
    <t>TC-P2I-008</t>
  </si>
  <si>
    <t>A PACS connector saves</t>
  </si>
  <si>
    <t>1) Open /settings/integrations 2) Enter a PACS Vendor name, Base URL, AE Title and DICOM Port 3) Save</t>
  </si>
  <si>
    <t>A "PACS configuration saved" confirmation appears and a pacs_connectors row exists.</t>
  </si>
  <si>
    <t>IntegrationsHubPage placeholders — Orthanc, AUMRTI_SCU, port 4242</t>
  </si>
  <si>
    <t>SETTINGS_PREREQ_MATRIX warns that without hospital_pacs_config the DICOM and PACS features are inert. The radiologist opens a study and there are no images attached to it.</t>
  </si>
  <si>
    <t>pacs_connectors where hospital_id = A → 1 row with the AE title and port</t>
  </si>
  <si>
    <t>TC-P2I-009</t>
  </si>
  <si>
    <t>A PACS connector cannot be saved without a vendor name</t>
  </si>
  <si>
    <t>1) Open /settings/integrations 2) Attempt to save a PACS connector with a blank vendor name 3) Save</t>
  </si>
  <si>
    <t>A destructive toast reads "Vendor name is required" and no row is written.</t>
  </si>
  <si>
    <t>None — deliberately omits the required PACS vendor name</t>
  </si>
  <si>
    <t>A hospital may run more than one PACS. An unnamed one cannot be told apart when images stop arriving from one of them.</t>
  </si>
  <si>
    <t>pacs_connectors where hospital_id = A and (vendor is null or vendor = '') → 0 rows</t>
  </si>
  <si>
    <t>TC-P2I-010</t>
  </si>
  <si>
    <t>Testing a PACS endpoint with no base URL is refused</t>
  </si>
  <si>
    <t>1) Open /settings/integrations 2) Clear the PACS Base URL 3) Click the test action</t>
  </si>
  <si>
    <t>A message reads "Enter base URL to test" and no request is attempted.</t>
  </si>
  <si>
    <t>None — deliberately clears the PACS base URL before testing</t>
  </si>
  <si>
    <t>A test that silently does nothing teaches the administrator the PACS is unreachable, when in fact they have not entered the address yet.</t>
  </si>
  <si>
    <t>TC-P2I-011</t>
  </si>
  <si>
    <t>The PACS reachability test reports its outcome</t>
  </si>
  <si>
    <t>1) Open /settings/integrations 2) Enter a PACS Base URL 3) Run the test 4) Read the result</t>
  </si>
  <si>
    <t>The screen states clearly whether the endpoint was reachable or not.</t>
  </si>
  <si>
    <t>IntegrationsHubPage placeholder — https://pacs.yourhospital.com/wado</t>
  </si>
  <si>
    <t>This is the only way to confirm the PACS link works before a radiologist depends on it. Without an explicit result the failure surfaces mid-report, with a patient waiting on the finding.</t>
  </si>
  <si>
    <t>None — reads the reachability test outcome</t>
  </si>
  <si>
    <t>TC-P2I-012</t>
  </si>
  <si>
    <t>A WhatsApp connector saves with its sender number</t>
  </si>
  <si>
    <t>1) Open /settings/integrations 2) Enter a WhatsApp API Key and Sender Number 3) Save 4) Reload</t>
  </si>
  <si>
    <t>A whatsapp_connectors row exists and the API key is rendered masked.</t>
  </si>
  <si>
    <t>IntegrationsHubPage placeholder — +91 98765 43210</t>
  </si>
  <si>
    <t>CRM, OPD, Billing</t>
  </si>
  <si>
    <t>The sender number is what a patient sees the message arrive from. A wrong or missing number means reminders come from an unrecognised sender and are ignored or reported as spam.</t>
  </si>
  <si>
    <t>whatsapp_connectors where hospital_id = A → 1 row with the sender number</t>
  </si>
  <si>
    <t>TC-P2I-013</t>
  </si>
  <si>
    <t>Tally ledger mapping saves</t>
  </si>
  <si>
    <t>1) Open /settings/integrations 2) Map a ledger to a Tally account 3) Save 4) Reload</t>
  </si>
  <si>
    <t>A tally_ledger_mapping row exists and persists after the reload.</t>
  </si>
  <si>
    <t>The Tally ledger mapping section on IntegrationsHubPage</t>
  </si>
  <si>
    <t>Most Indian hospitals still keep statutory books in Tally. An unmapped ledger means the export lands in a suspense account and the accountant reallocates every line by hand.</t>
  </si>
  <si>
    <t>tally_ledger_mapping where hospital_id = A → the mapping persists</t>
  </si>
  <si>
    <t>TC-P2I-014</t>
  </si>
  <si>
    <t>Hospital A's connectors are invisible to Hospital B</t>
  </si>
  <si>
    <t>1) Sign in as the Hospital B administrator 2) Open /settings/integrations as Hospital B 3) Query lab_device_connectors through the API with no hospital filter</t>
  </si>
  <si>
    <t>Not one Hospital A connector is returned.</t>
  </si>
  <si>
    <t>Multi-tenancy, Lab, Radiology</t>
  </si>
  <si>
    <t>A connector row carries internal IP addresses and API credentials. Leaking them across tenants hands one hospital a map of another's internal network.</t>
  </si>
  <si>
    <t>lab_device_connectors queried as the Hospital B admin → zero rows with hospital_id = A</t>
  </si>
  <si>
    <t>TC-P2I-015</t>
  </si>
  <si>
    <t>A lab technician cannot edit the Integrations Console</t>
  </si>
  <si>
    <t>1) Log in as lab_technician (Hospital A) 2) Navigate directly to /settings/integrations</t>
  </si>
  <si>
    <t>MOCK_DATA_BOOK Staff logins — lab_technician (Hospital A), Mr. Naveen Kumar</t>
  </si>
  <si>
    <t>Lab, Security</t>
  </si>
  <si>
    <t>The console holds internal IP addresses and integration credentials. A technician repointing an analyser connector could redirect result traffic without anyone noticing.</t>
  </si>
  <si>
    <t>lab_technician (Hospital A)</t>
  </si>
  <si>
    <t>TC-P2I-016</t>
  </si>
  <si>
    <t>The Integrations Console loads with no red console errors</t>
  </si>
  <si>
    <t>1) Open DevTools → Console 2) Open /settings/integrations 3) Save a connector 4) Read the console</t>
  </si>
  <si>
    <t>No red console text from any of the four connector tables.</t>
  </si>
  <si>
    <t>Lab, Radiology, Accounts</t>
  </si>
  <si>
    <t>This screen writes to four separate tables. A failure on one leaves the console looking correct while one entire integration is silently unconfigured.</t>
  </si>
  <si>
    <t>TC-P2I-017</t>
  </si>
  <si>
    <t>Payment gateway "Razorpay" can be selected and saves</t>
  </si>
  <si>
    <t>1) Open /settings/integrations 2) Select payment gateway "Razorpay" 3) Save 4) Reload and re-read the selection</t>
  </si>
  <si>
    <t>The gateway persists as 'razorpay' after the reload.</t>
  </si>
  <si>
    <t>phase2.dropdowns.paymentGateway — "razorpay"</t>
  </si>
  <si>
    <t>The gateway decides where a patient's payment settles. Each value is stored separately, so one failing to persist silently reverts the hospital to a provider it does not hold a merchant account with. This one covers the default, and the one the Razorpay settings screen configures separately.</t>
  </si>
  <si>
    <t>the integrations config → payment gateway = 'razorpay'</t>
  </si>
  <si>
    <t>TC-P2I-018</t>
  </si>
  <si>
    <t>Payment gateway "PayU" can be selected and saves</t>
  </si>
  <si>
    <t>1) Open /settings/integrations 2) Select payment gateway "PayU" 3) Save 4) Reload and re-read the selection</t>
  </si>
  <si>
    <t>The gateway persists as 'payu' after the reload.</t>
  </si>
  <si>
    <t>phase2.dropdowns.paymentGateway — "payu"</t>
  </si>
  <si>
    <t>The gateway decides where a patient's payment settles. Each value is stored separately, so one failing to persist silently reverts the hospital to a provider it does not hold a merchant account with. This one covers common where a hospital already has a PayU merchant relationship.</t>
  </si>
  <si>
    <t>the integrations config → payment gateway = 'payu'</t>
  </si>
  <si>
    <t>TC-P2I-019</t>
  </si>
  <si>
    <t>Payment gateway "PhonePe for Business" can be selected and saves</t>
  </si>
  <si>
    <t>1) Open /settings/integrations 2) Select payment gateway "PhonePe for Business" 3) Save 4) Reload and re-read the selection</t>
  </si>
  <si>
    <t>The gateway persists as 'phonepe' after the reload.</t>
  </si>
  <si>
    <t>phase2.dropdowns.paymentGateway — "phonepe"</t>
  </si>
  <si>
    <t>The gateway decides where a patient's payment settles. Each value is stored separately, so one failing to persist silently reverts the hospital to a provider it does not hold a merchant account with. This one covers UPI-first, which is how most Indian outpatients pay.</t>
  </si>
  <si>
    <t>the integrations config → payment gateway = 'phonepe'</t>
  </si>
  <si>
    <t>TC-P2I-020</t>
  </si>
  <si>
    <t>Payment gateway "CCAvenue" can be selected and saves</t>
  </si>
  <si>
    <t>1) Open /settings/integrations 2) Select payment gateway "CCAvenue" 3) Save 4) Reload and re-read the selection</t>
  </si>
  <si>
    <t>The gateway persists as 'ccavenue' after the reload.</t>
  </si>
  <si>
    <t>phase2.dropdowns.paymentGateway — "ccavenue"</t>
  </si>
  <si>
    <t>The gateway decides where a patient's payment settles. Each value is stored separately, so one failing to persist silently reverts the hospital to a provider it does not hold a merchant account with. This one covers the long-standing choice for hospitals with legacy card terminals.</t>
  </si>
  <si>
    <t>the integrations config → payment gateway = 'ccavenue'</t>
  </si>
  <si>
    <t>TC-P2I-021</t>
  </si>
  <si>
    <t>HL7 / FHIR screen loads</t>
  </si>
  <si>
    <t>1) Open /settings/hl7 2) Read the form</t>
  </si>
  <si>
    <t>Mirth host, port, channel, sending and receiving facility fields all render. No red console errors.</t>
  </si>
  <si>
    <t>phase2.entry./settings/hl7 — endpoint 192.168.1.100, port 2575</t>
  </si>
  <si>
    <t>Lab, Radiology, ABDM, MRD</t>
  </si>
  <si>
    <t>HL7 is how results arrive from a LIS or RIS. SETTINGS_PREREQ_MATRIX warns that without the connector configured, analyser results do not arrive at all — and nothing about the lab screen says why.</t>
  </si>
  <si>
    <t>config_values where hospital_id = A → the HL7 configuration matches what is displayed</t>
  </si>
  <si>
    <t>TC-P2I-022</t>
  </si>
  <si>
    <t>The Mirth host and port save</t>
  </si>
  <si>
    <t>1) Open /settings/hl7 2) Enter Mirth Host 192.168.1.100 and Port 2575 3) Save 4) Reload</t>
  </si>
  <si>
    <t>Lab, Radiology</t>
  </si>
  <si>
    <t>Port 2575 is the conventional HL7 MLLP port. A wrong host or port means the integration engine is never reached and every result stays on the analyser.</t>
  </si>
  <si>
    <t>config_values where hospital_id = A → Mirth host = 192.168.1.100, port = 2575</t>
  </si>
  <si>
    <t>TC-P2I-023</t>
  </si>
  <si>
    <t>A non-numeric HL7 port is refused</t>
  </si>
  <si>
    <t>1) Open /settings/hl7 2) Enter a non-numeric Port 3) Save</t>
  </si>
  <si>
    <t>The save is refused, or the port is not stored as a non-numeric value.</t>
  </si>
  <si>
    <t>phase2.invalid.feeNonNumeric (abc) applied to the HL7 port</t>
  </si>
  <si>
    <t>A non-numeric port cannot open a socket. The connection fails with a low-level error that looks like a network problem rather than a typo on this screen.</t>
  </si>
  <si>
    <t>config_values where hospital_id = A → the HL7 port is numeric</t>
  </si>
  <si>
    <t>TC-P2I-024</t>
  </si>
  <si>
    <t>An HL7 port outside the valid range is refused</t>
  </si>
  <si>
    <t>1) Open /settings/hl7 2) Enter Port 70000 3) Save</t>
  </si>
  <si>
    <t>The save is refused. TCP ports run from 1 to 65535.</t>
  </si>
  <si>
    <t>Literal out-of-range port 70000</t>
  </si>
  <si>
    <t>A port above 65535 cannot be bound. The failure appears at connection time as an obscure system error, days after the value was entered.</t>
  </si>
  <si>
    <t>config_values where hospital_id = A → the HL7 port is between 1 and 65535</t>
  </si>
  <si>
    <t>TC-P2I-025</t>
  </si>
  <si>
    <t>The sending and receiving facility identifiers save</t>
  </si>
  <si>
    <t>1) Open /settings/hl7 2) Enter Sending Facility, Sending Application, Receiving Facility and Receiving Application 3) Save 4) Reload</t>
  </si>
  <si>
    <t>All four persist after the reload.</t>
  </si>
  <si>
    <t>SettingsHL7Page placeholder — LIS / RIS facility name</t>
  </si>
  <si>
    <t>Lab, Radiology, MRD</t>
  </si>
  <si>
    <t>These four values populate the MSH segment of every HL7 message. A mismatch makes the receiving system reject the message outright, and the rejection is logged at the far end where the hospital cannot see it.</t>
  </si>
  <si>
    <t>config_values where hospital_id = A → all four MSH identifiers persist</t>
  </si>
  <si>
    <t>TC-P2I-026</t>
  </si>
  <si>
    <t>The Mirth channel ID saves</t>
  </si>
  <si>
    <t>1) Open /settings/hl7 2) Enter a Channel ID 3) Save 4) Reload</t>
  </si>
  <si>
    <t>The channel ID persists after the reload.</t>
  </si>
  <si>
    <t>SettingsHL7Page placeholder — Mirth channel UUID</t>
  </si>
  <si>
    <t>The channel ID routes the message to the right Mirth pipeline. Wrong, and lab results are processed by the radiology channel, which drops them as unparseable.</t>
  </si>
  <si>
    <t>config_values where hospital_id = A → the Mirth channel ID persists</t>
  </si>
  <si>
    <t>TC-P2I-027</t>
  </si>
  <si>
    <t>Testing the Mirth connection with no host is refused</t>
  </si>
  <si>
    <t>1) Open /settings/hl7 2) Clear the Mirth Host 3) Run the connection test</t>
  </si>
  <si>
    <t>A message reads "Connection failed — no host configured" rather than a generic failure.</t>
  </si>
  <si>
    <t>None — deliberately clears the Mirth host before testing</t>
  </si>
  <si>
    <t>A generic "connection failed" sends the hospital IT team investigating the network. Naming the missing field turns a half-day of debugging into a ten-second fix.</t>
  </si>
  <si>
    <t>TC-P2I-028</t>
  </si>
  <si>
    <t>The Mirth connection test reports reachability explicitly</t>
  </si>
  <si>
    <t>1) Open /settings/hl7 2) Enter a host and port 3) Run the connection test 4) Read the result</t>
  </si>
  <si>
    <t>The screen states whether Mirth Connect was reachable.</t>
  </si>
  <si>
    <t>Without an explicit reachability result the hospital discovers the integration is down when a clinician asks why a result from three hours ago has not appeared.</t>
  </si>
  <si>
    <t>TC-P2I-029</t>
  </si>
  <si>
    <t>Vitals monitor vendor "Mindray (BeneVision)" can be selected and saves</t>
  </si>
  <si>
    <t>1) Open /settings/hl7 2) Enable "Auto-populate ICU Flowsheet from Bedside Monitors" 3) Select Device Manufacturer "Mindray (BeneVision)" 4) Save 5) Reload</t>
  </si>
  <si>
    <t>The vendor persists as 'mindray' after the reload.</t>
  </si>
  <si>
    <t>phase2.dropdowns.vitalsMonitorVendor — "Mindray (BeneVision)"</t>
  </si>
  <si>
    <t>IPD, Nursing, ICU</t>
  </si>
  <si>
    <t>Tier 0 complete; the bedside monitor toggle is enabled</t>
  </si>
  <si>
    <t>Each vendor speaks a different dialect of HL7 for vitals. A mis-stored vendor means the ICU flowsheet is populated with the wrong parameters or nothing at all, and the nurse charts by hand while believing it is automatic. This one covers the commonest bedside monitor in Indian ICUs.</t>
  </si>
  <si>
    <t>config_values where hospital_id = A → vitals monitor vendor = 'mindray'</t>
  </si>
  <si>
    <t>TC-P2I-030</t>
  </si>
  <si>
    <t>Vitals monitor vendor "Philips IntelliVue" can be selected and saves</t>
  </si>
  <si>
    <t>1) Open /settings/hl7 2) Enable "Auto-populate ICU Flowsheet from Bedside Monitors" 3) Select Device Manufacturer "Philips IntelliVue" 4) Save 5) Reload</t>
  </si>
  <si>
    <t>The vendor persists as 'philips' after the reload.</t>
  </si>
  <si>
    <t>phase2.dropdowns.vitalsMonitorVendor — "Philips IntelliVue"</t>
  </si>
  <si>
    <t>Each vendor speaks a different dialect of HL7 for vitals. A mis-stored vendor means the ICU flowsheet is populated with the wrong parameters or nothing at all, and the nurse charts by hand while believing it is automatic. This one covers the tertiary-care standard, usually in the older ICU block.</t>
  </si>
  <si>
    <t>config_values where hospital_id = A → vitals monitor vendor = 'philips'</t>
  </si>
  <si>
    <t>TC-P2I-031</t>
  </si>
  <si>
    <t>Vitals monitor vendor "GE Healthcare" can be selected and saves</t>
  </si>
  <si>
    <t>1) Open /settings/hl7 2) Enable "Auto-populate ICU Flowsheet from Bedside Monitors" 3) Select Device Manufacturer "GE Healthcare" 4) Save 5) Reload</t>
  </si>
  <si>
    <t>The vendor persists as 'ge' after the reload.</t>
  </si>
  <si>
    <t>phase2.dropdowns.vitalsMonitorVendor — "GE Healthcare"</t>
  </si>
  <si>
    <t>Each vendor speaks a different dialect of HL7 for vitals. A mis-stored vendor means the ICU flowsheet is populated with the wrong parameters or nothing at all, and the nurse charts by hand while believing it is automatic. This one covers frequently paired with GE anaesthesia machines in theatre.</t>
  </si>
  <si>
    <t>config_values where hospital_id = A → vitals monitor vendor = 'ge'</t>
  </si>
  <si>
    <t>TC-P2I-032</t>
  </si>
  <si>
    <t>Vitals monitor vendor "Dräger" can be selected and saves</t>
  </si>
  <si>
    <t>1) Open /settings/hl7 2) Enable "Auto-populate ICU Flowsheet from Bedside Monitors" 3) Select Device Manufacturer "Dräger" 4) Save 5) Reload</t>
  </si>
  <si>
    <t>The vendor persists as 'drager' after the reload.</t>
  </si>
  <si>
    <t>phase2.dropdowns.vitalsMonitorVendor — "Dräger"</t>
  </si>
  <si>
    <t>Each vendor speaks a different dialect of HL7 for vitals. A mis-stored vendor means the ICU flowsheet is populated with the wrong parameters or nothing at all, and the nurse charts by hand while believing it is automatic. This one covers ventilator-integrated, so its feed carries respiratory parameters too.</t>
  </si>
  <si>
    <t>config_values where hospital_id = A → vitals monitor vendor = 'drager'</t>
  </si>
  <si>
    <t>TC-P2I-033</t>
  </si>
  <si>
    <t>Vitals monitor vendor "Nihon Kohden" can be selected and saves</t>
  </si>
  <si>
    <t>1) Open /settings/hl7 2) Enable "Auto-populate ICU Flowsheet from Bedside Monitors" 3) Select Device Manufacturer "Nihon Kohden" 4) Save 5) Reload</t>
  </si>
  <si>
    <t>The vendor persists as 'nihon_kohden' after the reload.</t>
  </si>
  <si>
    <t>phase2.dropdowns.vitalsMonitorVendor — "Nihon Kohden"</t>
  </si>
  <si>
    <t>Each vendor speaks a different dialect of HL7 for vitals. A mis-stored vendor means the ICU flowsheet is populated with the wrong parameters or nothing at all, and the nurse charts by hand while believing it is automatic. This one covers common in neonatal units where the alarm limits differ.</t>
  </si>
  <si>
    <t>config_values where hospital_id = A → vitals monitor vendor = 'nihon_kohden'</t>
  </si>
  <si>
    <t>TC-P2I-034</t>
  </si>
  <si>
    <t>The vitals vendor selector appears only once bedside monitoring is enabled</t>
  </si>
  <si>
    <t>1) Open /settings/hl7 with the bedside monitor toggle off 2) Look for the Device Manufacturer control 3) Enable the toggle 4) Look again</t>
  </si>
  <si>
    <t>The vendor selector is hidden while the toggle is off and appears once it is on.</t>
  </si>
  <si>
    <t>MOCK_DATA_BOOK Vitals Monitor Vendor — only visible once the ICU flowsheet toggle is on</t>
  </si>
  <si>
    <t>MOCK_DATA_BOOK records this conditional deliberately. A vendor selected while the feature is off stores a setting that does nothing, and the administrator believes bedside integration is configured.</t>
  </si>
  <si>
    <t>None — asserts the conditional visibility of the vendor selector</t>
  </si>
  <si>
    <t>TC-P2I-035</t>
  </si>
  <si>
    <t>HL7 settings survive a hard reload</t>
  </si>
  <si>
    <t>1) Open /settings/hl7 2) Save the host, port and facilities 3) Hard-reload 4) Re-read them</t>
  </si>
  <si>
    <t>All values are still present after the reload.</t>
  </si>
  <si>
    <t>A false save leaves the integration unconfigured while the screen shows it set up. Results stop arriving and the lab assumes the analyser has failed.</t>
  </si>
  <si>
    <t>config_values where hospital_id = A → the HL7 configuration persists</t>
  </si>
  <si>
    <t>TC-P2I-036</t>
  </si>
  <si>
    <t>A lab technician cannot change the HL7 configuration</t>
  </si>
  <si>
    <t>1) Log in as lab_technician (Hospital A) 2) Navigate directly to /settings/hl7</t>
  </si>
  <si>
    <t>Repointing the HL7 receiving facility would divert result messages to another system. That is a clinical data-routing change and belongs to whoever owns the integration.</t>
  </si>
  <si>
    <t>TC-P2I-037</t>
  </si>
  <si>
    <t>ABDM screen loads</t>
  </si>
  <si>
    <t>1) Open /settings/abdm 2) Read the form</t>
  </si>
  <si>
    <t>HFR ID, Facility Name, Bridge URL, ABDM Base URL and the Production Mode toggle all render. No red console errors.</t>
  </si>
  <si>
    <t>phase2.entry./settings/abdm — hipId QA-HIP-001, hipName Aarogya Multispecialty Hospital</t>
  </si>
  <si>
    <t>ABDM, Patient Portal, MRD</t>
  </si>
  <si>
    <t>SETTINGS_PREREQ_MATRIX warns that without hospital_abdm_config the ABDM edge functions fail quietly. ABHA linkage appears to work and no record ever reaches the national exchange.</t>
  </si>
  <si>
    <t>hospital_abdm_config where hospital_id = A → matches what is displayed</t>
  </si>
  <si>
    <t>TC-P2I-038</t>
  </si>
  <si>
    <t>The HFR ID and facility name save</t>
  </si>
  <si>
    <t>1) Open /settings/abdm 2) Enter the HFR ID and Facility Name 3) Save 4) Reload</t>
  </si>
  <si>
    <t>ABDM, MRD</t>
  </si>
  <si>
    <t>The HFR ID is the hospital's registered identity in the national Health Facility Registry. A wrong one means records are published under another facility, which is a data-integrity problem at national scale.</t>
  </si>
  <si>
    <t>hospital_abdm_config where hospital_id = A → HFR ID = 'QA-HIP-001'</t>
  </si>
  <si>
    <t>TC-P2I-039</t>
  </si>
  <si>
    <t>The ABDM facility name matches the registered hospital name</t>
  </si>
  <si>
    <t>1) Open /settings/abdm 2) Compare the Facility Name against the hospital name on /settings/profile</t>
  </si>
  <si>
    <t>They match, or the screen states that the ABDM name must be exactly as registered with HFR.</t>
  </si>
  <si>
    <t>ABDM validates the facility name against the HFR record. A mismatch is rejected at the gateway with an error the hospital sees only in an edge-function log it never reads.</t>
  </si>
  <si>
    <t>hospital_abdm_config facility name matches hospitals.name</t>
  </si>
  <si>
    <t>TC-P2I-040</t>
  </si>
  <si>
    <t>The bridge callback URL saves</t>
  </si>
  <si>
    <t>1) Open /settings/abdm 2) Enter the Bridge URL 3) Save 4) Reload</t>
  </si>
  <si>
    <t>The callback URL persists after the reload.</t>
  </si>
  <si>
    <t>The Bridge URL (Callback URL) field on SettingsABDMPage</t>
  </si>
  <si>
    <t>ABDM</t>
  </si>
  <si>
    <t>ABDM calls back to this URL with consent artefacts. A wrong address means consent requests are issued and the response never arrives, so the linkage hangs forever in a pending state.</t>
  </si>
  <si>
    <t>hospital_abdm_config where hospital_id = A → the bridge URL persists</t>
  </si>
  <si>
    <t>TC-P2I-041</t>
  </si>
  <si>
    <t>ABDM credentials are stored securely and can be rotated</t>
  </si>
  <si>
    <t>1) Open /settings/abdm 2) Save the ABDM credentials 3) Use the rotate action 4) Read the confirmation</t>
  </si>
  <si>
    <t>A "Credentials saved securely" confirmation appears, and rotation reports that the token cache was cleared.</t>
  </si>
  <si>
    <t>Literal sandbox ABDM credentials — no production secret is used</t>
  </si>
  <si>
    <t>ABDM, Security</t>
  </si>
  <si>
    <t>ABDM credentials authorise publishing patient records to the national exchange. They must be rotatable without a redeploy, and rotation must clear the cached token or the old credential keeps being used.</t>
  </si>
  <si>
    <t>hospital_abdm_config where hospital_id = A → credentials stored, rotation clears the token cache</t>
  </si>
  <si>
    <t>TC-P2I-042</t>
  </si>
  <si>
    <t>ABDM credentials are never rendered in plain text</t>
  </si>
  <si>
    <t>1) Open /settings/abdm 2) Save a credential 3) Reload 4) Inspect the field and the DOM</t>
  </si>
  <si>
    <t>The credential renders masked and the plain value is not present in the DOM.</t>
  </si>
  <si>
    <t>Literal sandbox ABDM credential</t>
  </si>
  <si>
    <t>An exposed ABDM credential lets the holder publish or retrieve patient health records under the hospital's national identity. That is the highest-value credential in the product.</t>
  </si>
  <si>
    <t>TC-P2I-043</t>
  </si>
  <si>
    <t>Switching ABDM to Production Mode warns before it takes effect</t>
  </si>
  <si>
    <t>1) Open /settings/abdm 2) Switch Production Mode on 3) Read the screen</t>
  </si>
  <si>
    <t>A warning states that real patient records will be published to the national exchange.</t>
  </si>
  <si>
    <t>The Production Mode toggle on SettingsABDMPage</t>
  </si>
  <si>
    <t>ABDM, Security, MRD</t>
  </si>
  <si>
    <t>A record published to the national exchange cannot be recalled. Flipping this during configuration would push real PHI into ABDM before the hospital has verified anything.</t>
  </si>
  <si>
    <t>None — reads the production-mode warning</t>
  </si>
  <si>
    <t>TC-P2I-044</t>
  </si>
  <si>
    <t>ABDM settings survive a hard reload</t>
  </si>
  <si>
    <t>1) Open /settings/abdm 2) Save the HFR ID and base URL 3) Hard-reload 4) Re-read them</t>
  </si>
  <si>
    <t>phase2.entry./settings/abdm — hipId QA-HIP-001</t>
  </si>
  <si>
    <t>The ABDM edge functions fail quietly when unconfigured. A false save means ABHA linkage silently does nothing while the settings screen shows it as ready.</t>
  </si>
  <si>
    <t>hospital_abdm_config where hospital_id = A → the configuration persists</t>
  </si>
  <si>
    <t>TC-P2I-045</t>
  </si>
  <si>
    <t>Hospital A's ABDM configuration is invisible to Hospital B</t>
  </si>
  <si>
    <t>1) Sign in as the Hospital B administrator 2) Open /settings/abdm as Hospital B 3) Query hospital_abdm_config through the API with no hospital filter</t>
  </si>
  <si>
    <t>No Hospital A ABDM row is returned.</t>
  </si>
  <si>
    <t>Multi-tenancy, ABDM, Security</t>
  </si>
  <si>
    <t>The HFR ID is a national registered identity. One hospital publishing records under another's HFR ID would attribute patient care to the wrong facility in the national health record.</t>
  </si>
  <si>
    <t>hospital_abdm_config queried as the Hospital B admin → zero rows with hospital_id = A</t>
  </si>
  <si>
    <t>TC-P2I-046</t>
  </si>
  <si>
    <t>An MRD officer cannot change the ABDM configuration</t>
  </si>
  <si>
    <t>1) Log in as mrd_officer (Hospital A) 2) Navigate directly to /settings/abdm</t>
  </si>
  <si>
    <t>MOCK_DATA_BOOK Staff logins — mrd_officer (Hospital A), Mr. Sanjay Deshmukh</t>
  </si>
  <si>
    <t>ABDM, MRD, Security</t>
  </si>
  <si>
    <t>MRD publishes records through ABDM but must not hold the credentials that authorise publishing under the hospital's national identity.</t>
  </si>
  <si>
    <t>mrd_officer (Hospital A)</t>
  </si>
  <si>
    <t>TC-P2I-047</t>
  </si>
  <si>
    <t>HMIS Portal screen loads</t>
  </si>
  <si>
    <t>1) Open /settings/hmis-portal 2) Read the form</t>
  </si>
  <si>
    <t>HIN Code, Facility Code, Portal Username, Portal Password and Portal Base URL all render. No red console errors.</t>
  </si>
  <si>
    <t>phase2.entry./settings/hmis-portal — facilityCode QA-HMIS-001</t>
  </si>
  <si>
    <t>HMIS, Quality, Analytics</t>
  </si>
  <si>
    <t>HMIS submission to the MoHFW portal is a statutory monthly return for most Indian hospitals. Without credentials the return cannot be filed and the hospital falls out of compliance.</t>
  </si>
  <si>
    <t>api_configurations where hospital_id = A → the HMIS row matches what is displayed</t>
  </si>
  <si>
    <t>TC-P2I-048</t>
  </si>
  <si>
    <t>The HIN and facility codes save</t>
  </si>
  <si>
    <t>1) Open /settings/hmis-portal 2) Enter the HIN Code and Facility Code 3) Save 4) Reload</t>
  </si>
  <si>
    <t>HMIS, Quality</t>
  </si>
  <si>
    <t>The HIN identifies the hospital on the National Health Portal. A wrong code files the hospital's monthly return against another facility, which is very hard to unwind once submitted.</t>
  </si>
  <si>
    <t>api_configurations where hospital_id = A → HMIS facility code = 'QA-HMIS-001'</t>
  </si>
  <si>
    <t>TC-P2I-049</t>
  </si>
  <si>
    <t>The HMIS portal password is never rendered in plain text</t>
  </si>
  <si>
    <t>1) Open /settings/hmis-portal 2) Save a portal password 3) Reload 4) Inspect the field and the DOM</t>
  </si>
  <si>
    <t>The password renders masked and the plain value is not present in the DOM.</t>
  </si>
  <si>
    <t>Literal sandbox portal password — no production credential is used</t>
  </si>
  <si>
    <t>HMIS, Security</t>
  </si>
  <si>
    <t>These are government portal credentials tied to a named hospital. Exposure would let someone file or alter statutory returns in the hospital's name.</t>
  </si>
  <si>
    <t>TC-P2I-050</t>
  </si>
  <si>
    <t>The portal base URL saves</t>
  </si>
  <si>
    <t>1) Open /settings/hmis-portal 2) Enter the Portal Base URL 3) Save 4) Reload</t>
  </si>
  <si>
    <t>The URL persists after the reload.</t>
  </si>
  <si>
    <t>SettingsHMISPage placeholder — https://ihip.nhp.gov.in</t>
  </si>
  <si>
    <t>HMIS</t>
  </si>
  <si>
    <t>The IHIP portal address changes between state and central deployments. A wrong base URL means submissions post to an endpoint that accepts and discards them.</t>
  </si>
  <si>
    <t>api_configurations where hospital_id = A → the HMIS base URL persists</t>
  </si>
  <si>
    <t>TC-P2I-051</t>
  </si>
  <si>
    <t>An insecure http portal URL is refused or warned</t>
  </si>
  <si>
    <t>1) Open /settings/hmis-portal 2) Enter an http:// base URL 3) Save</t>
  </si>
  <si>
    <t>The save is refused, or the screen warns that credentials would be sent unencrypted.</t>
  </si>
  <si>
    <t>phase2.invalid.webhookInsecure (http://qa.example.invalid/webhook)</t>
  </si>
  <si>
    <t>Posting government portal credentials over plain http exposes them to anyone on the hospital network. The warning is the only thing standing between a typo and a credential leak.</t>
  </si>
  <si>
    <t>api_configurations where hospital_id = A → the HMIS base URL uses https</t>
  </si>
  <si>
    <t>TC-P2I-052</t>
  </si>
  <si>
    <t>HMIS settings survive a hard reload</t>
  </si>
  <si>
    <t>1) Open /settings/hmis-portal 2) Save the codes and URL 3) Hard-reload 4) Re-read them</t>
  </si>
  <si>
    <t>A false save means the monthly statutory return cannot be filed, and the hospital only discovers it at the filing deadline.</t>
  </si>
  <si>
    <t>api_configurations where hospital_id = A → the HMIS configuration persists</t>
  </si>
  <si>
    <t>TC-P2I-053</t>
  </si>
  <si>
    <t>Hospital A's HMIS credentials are invisible to Hospital B</t>
  </si>
  <si>
    <t>1) Sign in as the Hospital B administrator 2) Open /settings/hmis-portal as Hospital B 3) Query api_configurations through the API with no hospital filter</t>
  </si>
  <si>
    <t>No Hospital A HMIS row is returned.</t>
  </si>
  <si>
    <t>Multi-tenancy, HMIS, Security</t>
  </si>
  <si>
    <t>Government portal credentials in the wrong hands allow statutory returns to be filed in another hospital's name — a regulatory offence attributable to the hospital named on the submission.</t>
  </si>
  <si>
    <t>TC-P2I-054</t>
  </si>
  <si>
    <t>The HMIS Portal screen loads with no red console errors</t>
  </si>
  <si>
    <t>1) Open DevTools → Console 2) Open /settings/hmis-portal 3) Save the credentials 4) Read the console</t>
  </si>
  <si>
    <t>No red console text, and no credential echoed into a console message.</t>
  </si>
  <si>
    <t>No credential must ever appear in console output. A government portal password logged there is captured by any browser extension the hospital has installed.</t>
  </si>
  <si>
    <t>TC-P2I-055</t>
  </si>
  <si>
    <t>API Keys screen loads</t>
  </si>
  <si>
    <t>1) Open /settings/api-keys 2) Read the key list</t>
  </si>
  <si>
    <t>The key list renders with a generate action. No red console errors.</t>
  </si>
  <si>
    <t>phase2.entry./settings/api-keys — keyName "QA Phase 2 key"</t>
  </si>
  <si>
    <t>Platform, Security</t>
  </si>
  <si>
    <t>API keys grant programmatic access to hospital data. If the screen will not load, existing keys cannot be reviewed or revoked, which is the entire point of having a key management page.</t>
  </si>
  <si>
    <t>api_keys where hospital_id = A → matches the list displayed</t>
  </si>
  <si>
    <t>TC-P2I-056</t>
  </si>
  <si>
    <t>An API key can be generated with a name</t>
  </si>
  <si>
    <t>1) Open /settings/api-keys 2) Enter Key Name "QA Phase 2 key" 3) Generate</t>
  </si>
  <si>
    <t>An api_keys row exists with that name and the key value is shown once.</t>
  </si>
  <si>
    <t>The name is how a key is identified for revocation later. An unnamed key cannot be safely revoked because nobody knows what would break.</t>
  </si>
  <si>
    <t>api_keys where hospital_id = A and name = 'QA Phase 2 key' → 1 row</t>
  </si>
  <si>
    <t>TC-P2I-057</t>
  </si>
  <si>
    <t>The generated key value is shown once and never again</t>
  </si>
  <si>
    <t>1) Open /settings/api-keys 2) Generate a key and note the value 3) Reload the page 4) Look for the key value</t>
  </si>
  <si>
    <t>The full key is displayed at generation and is not retrievable afterwards — only a prefix or hash is shown.</t>
  </si>
  <si>
    <t>A key retrievable from the list is a key any settings-permitted user can copy at any time. Show-once is what makes revocation meaningful, because the stored value is a hash rather than the secret.</t>
  </si>
  <si>
    <t>api_keys where hospital_id = A → the stored value is not the plain key</t>
  </si>
  <si>
    <t>TC-P2I-058</t>
  </si>
  <si>
    <t>A key cannot be generated without a name</t>
  </si>
  <si>
    <t>1) Open /settings/api-keys 2) Leave Key Name blank 3) Generate</t>
  </si>
  <si>
    <t>The generation is refused and no api_keys row is written.</t>
  </si>
  <si>
    <t>None — deliberately omits the required Key Name</t>
  </si>
  <si>
    <t>An unnamed key in the list cannot be attributed to a system, so nobody dares revoke it and it lives forever.</t>
  </si>
  <si>
    <t>api_keys where hospital_id = A and (name is null or name = '') → 0 rows</t>
  </si>
  <si>
    <t>TC-P2I-059</t>
  </si>
  <si>
    <t>An API key can be revoked</t>
  </si>
  <si>
    <t>1) Open /settings/api-keys 2) Revoke a key 3) Reload</t>
  </si>
  <si>
    <t>An "API key revoked" confirmation appears and the key is marked revoked after the reload.</t>
  </si>
  <si>
    <t>Revocation is the only response to a leaked key. If it does not persist, the compromised key keeps working while the screen says it is revoked.</t>
  </si>
  <si>
    <t>api_keys where hospital_id = A and name = 'QA Phase 2 key' → revoked</t>
  </si>
  <si>
    <t>TC-P2I-060</t>
  </si>
  <si>
    <t>A revoked key no longer authenticates</t>
  </si>
  <si>
    <t>1) Open /settings/api-keys, generate a key and confirm it authenticates 2) Revoke it 3) Attempt to use it again</t>
  </si>
  <si>
    <t>The revoked key is rejected.</t>
  </si>
  <si>
    <t>A revocation stored but not enforced is the worst possible security failure: the hospital believes it has responded to a leak and the attacker retains access.</t>
  </si>
  <si>
    <t>api_keys → a revoked key is refused at authentication</t>
  </si>
  <si>
    <t>TC-P2I-061</t>
  </si>
  <si>
    <t>The key value can be copied to the clipboard at generation</t>
  </si>
  <si>
    <t>1) Open /settings/api-keys 2) Generate a key 3) Use the copy action</t>
  </si>
  <si>
    <t>An "API key copied to clipboard" confirmation appears.</t>
  </si>
  <si>
    <t>The key is shown once. Forcing the integrator to transcribe a long secret by hand guarantees a typo, and the key cannot be re-read to check.</t>
  </si>
  <si>
    <t>TC-P2I-062</t>
  </si>
  <si>
    <t>Hospital A's API keys are invisible to Hospital B</t>
  </si>
  <si>
    <t>1) Sign in as the Hospital B administrator 2) Open /settings/api-keys as Hospital B 3) Query api_keys through the API with no hospital filter</t>
  </si>
  <si>
    <t>Not one Hospital A key is returned.</t>
  </si>
  <si>
    <t>Multi-tenancy, Platform, Security</t>
  </si>
  <si>
    <t>An API key grants programmatic access to a hospital's patient data. Cross-tenant visibility here is the most direct possible path to a PHI breach under the DPDP Act.</t>
  </si>
  <si>
    <t>api_keys queried as the Hospital B admin → zero rows with hospital_id = A</t>
  </si>
  <si>
    <t>TC-P2I-063</t>
  </si>
  <si>
    <t>A receptionist cannot reach the API Keys screen</t>
  </si>
  <si>
    <t>1) Log in as receptionist (Hospital A) 2) Navigate directly to /settings/api-keys</t>
  </si>
  <si>
    <t>Generating an API key creates a credential with programmatic access to patient data that outlives the session and is not tied to a login.</t>
  </si>
  <si>
    <t>TC-P2I-064</t>
  </si>
  <si>
    <t>The API Keys screen loads with no red console errors</t>
  </si>
  <si>
    <t>1) Open DevTools → Console 2) Open /settings/api-keys 3) Generate and revoke a key 4) Read the console</t>
  </si>
  <si>
    <t>No red console text, and no key value echoed into a console message.</t>
  </si>
  <si>
    <t>A generated key logged to the console defeats show-once entirely — the secret sits in the browser log where any extension can read it.</t>
  </si>
  <si>
    <t>TC-P2I-065</t>
  </si>
  <si>
    <t>API Portal screen loads</t>
  </si>
  <si>
    <t>1) Open /settings/api-portal 2) Read the page</t>
  </si>
  <si>
    <t>The key management and webhook endpoint sections render. No red console errors.</t>
  </si>
  <si>
    <t>phase2.entry./settings/api-portal — endpoint https://qa.example.invalid/webhook</t>
  </si>
  <si>
    <t>The developer portal is how a hospital wires the HMS to its own systems. A broken portal blocks every partner integration the hospital has commissioned.</t>
  </si>
  <si>
    <t>api_keys and webhook_endpoints where hospital_id = A → match what is displayed</t>
  </si>
  <si>
    <t>TC-P2I-066</t>
  </si>
  <si>
    <t>A webhook endpoint saves</t>
  </si>
  <si>
    <t>1) Open /settings/api-portal 2) Enter Endpoint URL https://qa.example.invalid/webhook and an Event 3) Register</t>
  </si>
  <si>
    <t>A "Webhook endpoint registered" confirmation appears and a webhook_endpoints row exists.</t>
  </si>
  <si>
    <t>A webhook is how the hospital's own systems learn that a bill was finalised or a patient admitted. An endpoint that does not save means those systems silently stop being told.</t>
  </si>
  <si>
    <t>webhook_endpoints where hospital_id = A and url = 'https://qa.example.invalid/webhook' → 1 row</t>
  </si>
  <si>
    <t>TC-P2I-067</t>
  </si>
  <si>
    <t>An insecure http webhook URL is refused</t>
  </si>
  <si>
    <t>1) Open /settings/api-portal 2) Enter "http://qa.example.invalid/webhook" 3) Register</t>
  </si>
  <si>
    <t>The save is refused with a message requiring https.</t>
  </si>
  <si>
    <t>A webhook payload carries patient and billing data. Delivered over plain http it is readable by anyone on the path, which is a DPDP Act breach the hospital caused by accepting a typo.</t>
  </si>
  <si>
    <t>webhook_endpoints where hospital_id = A → no row with an http:// URL</t>
  </si>
  <si>
    <t>TC-P2I-068</t>
  </si>
  <si>
    <t>A webhook cannot be registered without a URL</t>
  </si>
  <si>
    <t>1) Open /settings/api-portal 2) Leave Endpoint URL blank 3) Register</t>
  </si>
  <si>
    <t>The registration is refused and no row is written.</t>
  </si>
  <si>
    <t>None — deliberately omits the required Endpoint URL</t>
  </si>
  <si>
    <t>An endpoint with no URL appears registered and delivers nowhere. The integrator waits for events that were never going to arrive.</t>
  </si>
  <si>
    <t>webhook_endpoints where hospital_id = A and (url is null or url = '') → 0 rows</t>
  </si>
  <si>
    <t>TC-P2I-069</t>
  </si>
  <si>
    <t>API key scopes save</t>
  </si>
  <si>
    <t>1) Open /settings/api-portal 2) Create a key with a restricted set of Scopes 3) Save 4) Reload</t>
  </si>
  <si>
    <t>The scopes persist after the reload.</t>
  </si>
  <si>
    <t>The Scopes control on SettingsAPIPortalPage</t>
  </si>
  <si>
    <t>Scopes are what stop a billing integration reading clinical notes. A key whose scopes do not persist defaults to whatever the API grants by default, which is the opposite of least privilege.</t>
  </si>
  <si>
    <t>api_keys where hospital_id = A → the scope set persists</t>
  </si>
  <si>
    <t>TC-P2I-070</t>
  </si>
  <si>
    <t>A newly created portal key is shown once with an explicit warning</t>
  </si>
  <si>
    <t>1) Open /settings/api-portal 2) Create a key 3) Read the message shown with the key</t>
  </si>
  <si>
    <t>The message states the key will not be shown again.</t>
  </si>
  <si>
    <t>phase2.entry./settings/api-portal — a new API key</t>
  </si>
  <si>
    <t>Without the warning an integrator closes the dialog assuming they can copy the key later, and the only recovery is to revoke and reissue — which breaks whatever was already wired up.</t>
  </si>
  <si>
    <t>None — reads the show-once warning</t>
  </si>
  <si>
    <t>TC-P2I-071</t>
  </si>
  <si>
    <t>Hospital A's webhook endpoints are invisible to Hospital B</t>
  </si>
  <si>
    <t>1) Sign in as the Hospital B administrator 2) Open /settings/api-portal as Hospital B 3) Query webhook_endpoints through the API with no hospital filter</t>
  </si>
  <si>
    <t>Not one Hospital A endpoint is returned.</t>
  </si>
  <si>
    <t>A webhook URL is where patient and billing events are delivered. One tenant registering an endpoint visible to another could redirect another hospital's clinical event stream.</t>
  </si>
  <si>
    <t>webhook_endpoints queried as the Hospital B admin → zero rows with hospital_id = A</t>
  </si>
  <si>
    <t>TC-P2I-072</t>
  </si>
  <si>
    <t>The API Portal screen loads with no red console errors</t>
  </si>
  <si>
    <t>1) Open DevTools → Console 2) Open /settings/api-portal 3) Create a key and register a webhook 4) Read the console</t>
  </si>
  <si>
    <t>This screen writes to two tables and displays a secret once. A console-only failure on either write leaves the integrator holding a key that authorises nothing.</t>
  </si>
  <si>
    <t>TC-P2I-073</t>
  </si>
  <si>
    <t>Integration Keys hub loads</t>
  </si>
  <si>
    <t>1) Open /settings/api-hub 2) Read the credential list</t>
  </si>
  <si>
    <t>The payment, WhatsApp and government API credential slots render. No red console errors.</t>
  </si>
  <si>
    <t>phase2.entry./settings/api-hub — label qa-ai-provider-key</t>
  </si>
  <si>
    <t>Payments, CRM, ABDM, HMIS</t>
  </si>
  <si>
    <t>This hub is where the credentials for several integrations live in one place. If it will not load, none of them can be rotated when one is compromised.</t>
  </si>
  <si>
    <t>api_configurations where hospital_id = A → matches the list displayed</t>
  </si>
  <si>
    <t>TC-P2I-074</t>
  </si>
  <si>
    <t>An integration credential saves</t>
  </si>
  <si>
    <t>1) Open /settings/api-hub 2) Enter an API Key and Endpoint URL for a service 3) Save</t>
  </si>
  <si>
    <t>A confirmation names the service and an api_configurations row exists.</t>
  </si>
  <si>
    <t>Payments, CRM, ABDM</t>
  </si>
  <si>
    <t>Every external call the product makes authenticates with a credential from this table. A save that does not persist leaves the integration dead with no error visible on the screen that owns it.</t>
  </si>
  <si>
    <t>api_configurations where hospital_id = A → the credential row exists</t>
  </si>
  <si>
    <t>TC-P2I-075</t>
  </si>
  <si>
    <t>Integration secrets are never rendered in plain text</t>
  </si>
  <si>
    <t>1) Open /settings/api-hub 2) Save a Key Secret 3) Reload 4) Inspect the field and the DOM</t>
  </si>
  <si>
    <t>Literal sandbox key secret</t>
  </si>
  <si>
    <t>This hub holds payment and government credentials together. A single unmasked field here exposes more than any other screen in the product.</t>
  </si>
  <si>
    <t>TC-P2I-076</t>
  </si>
  <si>
    <t>The credential mode saves</t>
  </si>
  <si>
    <t>1) Open /settings/api-hub 2) Set the Mode for a credential 3) Save 4) Reload</t>
  </si>
  <si>
    <t>The mode persists after the reload.</t>
  </si>
  <si>
    <t>The Mode control on APIConfigHubPage</t>
  </si>
  <si>
    <t>Payments, GST</t>
  </si>
  <si>
    <t>Mode decides whether a credential points at sandbox or production. A hospital stuck in sandbox takes payments that never settle, and one accidentally in production issues real tax documents while testing.</t>
  </si>
  <si>
    <t>api_configurations where hospital_id = A → the mode persists</t>
  </si>
  <si>
    <t>TC-P2I-077</t>
  </si>
  <si>
    <t>An existing credential can be edited without clearing the others</t>
  </si>
  <si>
    <t>1) Open /settings/api-hub 2) Edit one service credential 3) Save 4) Check the other credentials</t>
  </si>
  <si>
    <t>Only the edited credential changes. The others are untouched.</t>
  </si>
  <si>
    <t>Several integrations share this table. A save that sends a partial payload would silently null every other credential, taking down payments, WhatsApp and ABDM in one action.</t>
  </si>
  <si>
    <t>api_configurations where hospital_id = A → unrelated credential rows are unchanged</t>
  </si>
  <si>
    <t>TC-P2I-078</t>
  </si>
  <si>
    <t>Integration credentials survive a hard reload</t>
  </si>
  <si>
    <t>1) Open /settings/api-hub 2) Save a credential 3) Hard-reload 4) Confirm it is still listed</t>
  </si>
  <si>
    <t>The credential is still present after the reload.</t>
  </si>
  <si>
    <t>Payments, CRM</t>
  </si>
  <si>
    <t>A false save means the integration is dead and the settings screen says it is configured. The failure then surfaces at the far end of whatever workflow depends on it.</t>
  </si>
  <si>
    <t>api_configurations where hospital_id = A → the credential persists</t>
  </si>
  <si>
    <t>TC-P2I-079</t>
  </si>
  <si>
    <t>Hospital A's integration credentials are invisible to Hospital B</t>
  </si>
  <si>
    <t>1) Sign in as the Hospital B administrator 2) Open /settings/api-hub as Hospital B 3) Query api_configurations through the API with no hospital filter</t>
  </si>
  <si>
    <t>Not one Hospital A credential is returned.</t>
  </si>
  <si>
    <t>This table holds payment gateway keys, WhatsApp keys and government portal credentials together. A cross-tenant leak here compromises money, patient communication and statutory filing at once.</t>
  </si>
  <si>
    <t>TC-P2I-080</t>
  </si>
  <si>
    <t>An accountant cannot reach the Integration Keys hub</t>
  </si>
  <si>
    <t>1) Log in as accountant (Hospital A) 2) Navigate directly to /settings/api-hub</t>
  </si>
  <si>
    <t>MOCK_DATA_BOOK Staff logins — accountant (Hospital A), Mr. Venkat Rao</t>
  </si>
  <si>
    <t>The accountant reconciles payments but must not hold the merchant credentials that authorise them. Separating the two is the basic control against redirected settlement.</t>
  </si>
  <si>
    <t>accountant (Hospital A)</t>
  </si>
  <si>
    <t>TC-P2I-081</t>
  </si>
  <si>
    <t>AI Language Packs screen loads</t>
  </si>
  <si>
    <t>1) Open /settings/ai-languages 2) Read the language list</t>
  </si>
  <si>
    <t>The supported AI languages render with per-language toggles. No red console errors.</t>
  </si>
  <si>
    <t>phase2.entry./settings/ai-languages — language Hindi</t>
  </si>
  <si>
    <t>AI Suite, OPD, IPD, TV Display, Patient Portal</t>
  </si>
  <si>
    <t>SETTINGS_PREREQ_MATRIX warns that without ai_language_settings the AI output defaults to English only. A Voice Scribe that only understands English is unusable for a doctor dictating in Telugu.</t>
  </si>
  <si>
    <t>ai_language_settings where hospital_id = A → matches what is displayed</t>
  </si>
  <si>
    <t>e2e/phase-02-settings/P2I.data-audit.spec.ts</t>
  </si>
  <si>
    <t>TC-P2I-082</t>
  </si>
  <si>
    <t>A language pack can be enabled and saves</t>
  </si>
  <si>
    <t>1) Open /settings/ai-languages 2) Enable Hindi 3) Save 4) Reload</t>
  </si>
  <si>
    <t>An ai_language_settings row records Hindi as enabled after the reload.</t>
  </si>
  <si>
    <t>AI Suite, OPD</t>
  </si>
  <si>
    <t>The enabled set decides which languages Voice Scribe and the discharge summary generator will produce. A toggle that does not persist means the hospital believes it has enabled a language its clinicians cannot actually use.</t>
  </si>
  <si>
    <t>ai_language_settings where hospital_id = A → Hindi enabled</t>
  </si>
  <si>
    <t>TC-P2I-083</t>
  </si>
  <si>
    <t>A language pack can be disabled again</t>
  </si>
  <si>
    <t>1) Open /settings/ai-languages 2) Disable a previously enabled language 3) Save 4) Reload</t>
  </si>
  <si>
    <t>The language reads disabled after the reload.</t>
  </si>
  <si>
    <t>A language pack the hospital has not validated for its own clinical vocabulary should be switchable off. A one-way toggle forces the hospital to keep an output it does not trust.</t>
  </si>
  <si>
    <t>ai_language_settings where hospital_id = A → the language reads disabled</t>
  </si>
  <si>
    <t>TC-P2I-084</t>
  </si>
  <si>
    <t>English remains available regardless of the other selections</t>
  </si>
  <si>
    <t>1) Open /settings/ai-languages 2) Disable every language 3) Save 4) Read the resulting state</t>
  </si>
  <si>
    <t>English remains available as the fallback.</t>
  </si>
  <si>
    <t>MOCK_DATA_BOOK Preferred Patient Languages — English is always included</t>
  </si>
  <si>
    <t>English is the fallback every other language degrades to. With no language enabled at all, an AI feature would have no output language and would fail with an error the clinician cannot interpret.</t>
  </si>
  <si>
    <t>ai_language_settings where hospital_id = A → English available even with all others disabled</t>
  </si>
  <si>
    <t>TC-P2I-085</t>
  </si>
  <si>
    <t>The enabled languages align with the hospital patient languages</t>
  </si>
  <si>
    <t>1) Open /settings/profile and note the Preferred Patient Languages 2) Open /settings/ai-languages 3) Compare the two lists</t>
  </si>
  <si>
    <t>The screen makes the relationship clear, or flags a language the hospital serves that has no AI pack enabled.</t>
  </si>
  <si>
    <t>MOCK_DATA_BOOK Hospital A — Telugu among the preferred patient languages</t>
  </si>
  <si>
    <t>AI Suite, Patients, Patient Portal</t>
  </si>
  <si>
    <t>A hospital serving Telugu patients with only English AI enabled produces discharge summaries the patient cannot read. The two settings describe the same population and should not silently diverge.</t>
  </si>
  <si>
    <t>hospitals.patient_languages compared against ai_language_settings</t>
  </si>
  <si>
    <t>TC-P2I-086</t>
  </si>
  <si>
    <t>AI language settings survive a hard reload</t>
  </si>
  <si>
    <t>1) Open /settings/ai-languages 2) Enable a language and save 3) Hard-reload 4) Re-read the toggle</t>
  </si>
  <si>
    <t>The language is still enabled after the reload.</t>
  </si>
  <si>
    <t>A false save leaves AI output on English only while the screen shows the language enabled, so nobody investigates why the Telugu discharge summary never appears.</t>
  </si>
  <si>
    <t>ai_language_settings where hospital_id = A → the enabled set persists</t>
  </si>
  <si>
    <t>TC-P2I-087</t>
  </si>
  <si>
    <t>Hospital A's AI language settings are invisible to Hospital B</t>
  </si>
  <si>
    <t>1) Sign in as the Hospital B administrator 2) Open /settings/ai-languages as Hospital B 3) Query ai_language_settings through the API with no hospital filter</t>
  </si>
  <si>
    <t>No Hospital A row is returned.</t>
  </si>
  <si>
    <t>A Telangana hospital enables Telugu and a Maharashtra hospital enables Marathi. Crossed settings would generate clinical documents in a language the receiving patient does not read.</t>
  </si>
  <si>
    <t>ai_language_settings queried as the Hospital B admin → zero rows with hospital_id = A</t>
  </si>
  <si>
    <t>TC-P2I-088</t>
  </si>
  <si>
    <t>A doctor cannot change the hospital AI language packs</t>
  </si>
  <si>
    <t>1) Log in as doctor (Hospital A) 2) Navigate directly to /settings/ai-languages</t>
  </si>
  <si>
    <t>Enabling a language pack commits the hospital to clinical output in a language it may not have validated. That is a governance decision, not an individual preference.</t>
  </si>
  <si>
    <t>TC-P2I-089</t>
  </si>
  <si>
    <t>The enabled-language count is shown</t>
  </si>
  <si>
    <t>1) Open /settings/ai-languages 2) Read the summary of how many languages are on</t>
  </si>
  <si>
    <t>The screen states how many packs are enabled.</t>
  </si>
  <si>
    <t>Each enabled pack has a cost and a validation obligation. An at-a-glance count is how an administrator notices that ten languages are on when the hospital only serves two.</t>
  </si>
  <si>
    <t>None — reads the enabled count</t>
  </si>
  <si>
    <t>TC-P2I-090</t>
  </si>
  <si>
    <t>The AI Language Packs screen loads with no red console errors</t>
  </si>
  <si>
    <t>1) Open DevTools → Console 2) Open /settings/ai-languages 3) Toggle a language and save 4) Read the console</t>
  </si>
  <si>
    <t>No red console text from the ai_language_settings read or write.</t>
  </si>
  <si>
    <t>A failed write appearing only in the console leaves the hospital believing a language is enabled while every AI output continues in English.</t>
  </si>
  <si>
    <t>TC-P2I-091</t>
  </si>
  <si>
    <t>Backup &amp; Export screen loads</t>
  </si>
  <si>
    <t>1) Open /settings/backup 2) Read the page</t>
  </si>
  <si>
    <t>The export actions and the data erasure request form render. No red console errors.</t>
  </si>
  <si>
    <t>phase2.entry./settings/backup — scope "QA export check"</t>
  </si>
  <si>
    <t>MRD, Security, DPDP</t>
  </si>
  <si>
    <t>DPDP Act 2023 gives a data principal the right to erasure and the hospital the obligation to honour it. This screen is where both the export and the erasure request live.</t>
  </si>
  <si>
    <t>data_erasure_requests where hospital_id = A → matches what is displayed</t>
  </si>
  <si>
    <t>TC-P2I-092</t>
  </si>
  <si>
    <t>An audit log export produces a file</t>
  </si>
  <si>
    <t>1) Open /settings/backup 2) Export the audit log 3) Observe the result</t>
  </si>
  <si>
    <t>An "Audit log exported" confirmation appears, or a clear message explains there is no data.</t>
  </si>
  <si>
    <t>audit_log — the existing entries for Hospital A</t>
  </si>
  <si>
    <t>MRD, Quality, Security</t>
  </si>
  <si>
    <t>The audit log is the evidence a NABH assessor or a DPDP investigation asks for. An export that fails silently means the hospital cannot produce it when required.</t>
  </si>
  <si>
    <t>audit_log where hospital_id = A → export succeeds or explains the empty state</t>
  </si>
  <si>
    <t>TC-P2I-093</t>
  </si>
  <si>
    <t>An export with no data explains itself rather than failing silently</t>
  </si>
  <si>
    <t>1) Open /settings/backup 2) Export a dataset that is empty 3) Read the message</t>
  </si>
  <si>
    <t>A message such as "No audit data to export" appears. Nothing downloads silently.</t>
  </si>
  <si>
    <t>None — exports a dataset with no rows</t>
  </si>
  <si>
    <t>A download that produces nothing looks like a broken button. Saying the dataset is empty tells the administrator the system worked and there was simply nothing to send.</t>
  </si>
  <si>
    <t>None — reads the empty-export message</t>
  </si>
  <si>
    <t>TC-P2I-094</t>
  </si>
  <si>
    <t>A data erasure request can be submitted</t>
  </si>
  <si>
    <t>1) Open /settings/backup 2) Submit an erasure request with a reason 3) Read the confirmation</t>
  </si>
  <si>
    <t>An "Erasure request submitted" confirmation appears and a data_erasure_requests row exists.</t>
  </si>
  <si>
    <t>Literal erasure reason "QA Phase 2 verification — safe to reject"</t>
  </si>
  <si>
    <t>Under the DPDP Act a data principal can demand erasure and the hospital must record and act on the request. A request that is not stored means the obligation is missed and the clock keeps running.</t>
  </si>
  <si>
    <t>data_erasure_requests where hospital_id = A → 1 new row with the reason</t>
  </si>
  <si>
    <t>TC-P2I-095</t>
  </si>
  <si>
    <t>An erasure request is recorded rather than executed immediately</t>
  </si>
  <si>
    <t>1) Open /settings/backup 2) Submit an erasure request 3) Check whether patient data was deleted</t>
  </si>
  <si>
    <t>The request is recorded for review. No patient record is deleted at the moment of the request.</t>
  </si>
  <si>
    <t>Medical records carry statutory retention periods that override an erasure request — three years, and ten for MLC. Immediate deletion would breach retention law while satisfying a DPDP request, so it has to be a reviewed workflow.</t>
  </si>
  <si>
    <t>patients where hospital_id = A → row count unchanged immediately after the request</t>
  </si>
  <si>
    <t>TC-P2I-096</t>
  </si>
  <si>
    <t>A patient data export is available</t>
  </si>
  <si>
    <t>1) Open /settings/backup 2) Export patient data 3) Observe the result</t>
  </si>
  <si>
    <t>The export produces a file, or explains that there is no patient data.</t>
  </si>
  <si>
    <t>MOCK_DATA_BOOK Patients — the 40 seeded records</t>
  </si>
  <si>
    <t>MRD, DPDP</t>
  </si>
  <si>
    <t>Data portability is the other half of the DPDP obligation. A hospital that cannot export a patient's own record on request is non-compliant.</t>
  </si>
  <si>
    <t>patients where hospital_id = A → export succeeds or explains the empty state</t>
  </si>
  <si>
    <t>TC-P2I-097</t>
  </si>
  <si>
    <t>An export never includes another tenant's data</t>
  </si>
  <si>
    <t>1) Sign in as the Hospital A administrator 2) Open /settings/backup and export patient data 3) Inspect the export for Hospital B records</t>
  </si>
  <si>
    <t>The export contains only Hospital A records.</t>
  </si>
  <si>
    <t>MOCK_DATA_BOOK Patients — PT-QA-0030 Rohan Kulkarni is HOSPITAL B ONLY</t>
  </si>
  <si>
    <t>Multi-tenancy, MRD, Security</t>
  </si>
  <si>
    <t>MOCK_DATA_BOOK seeds PT-QA-0030 in Hospital B specifically as the isolation control. An export that includes it is a bulk PHI breach of another hospital's patients, delivered as a downloadable file.</t>
  </si>
  <si>
    <t>the export → contains no patient with hospital_id = B</t>
  </si>
  <si>
    <t>TC-P2I-098</t>
  </si>
  <si>
    <t>A receptionist cannot reach the Backup &amp; Export screen</t>
  </si>
  <si>
    <t>1) Log in as receptionist (Hospital A) 2) Navigate directly to /settings/backup</t>
  </si>
  <si>
    <t>MRD, Security</t>
  </si>
  <si>
    <t>This screen exports the entire patient database to a file. Anyone who can reach it can walk out with the hospital's PHI on a laptop.</t>
  </si>
  <si>
    <t>TC-P2I-099</t>
  </si>
  <si>
    <t>Hospital A's erasure requests are invisible to Hospital B</t>
  </si>
  <si>
    <t>1) Sign in as the Hospital B administrator 2) Open /settings/backup as Hospital B 3) Query data_erasure_requests through the API with no hospital filter</t>
  </si>
  <si>
    <t>No Hospital A erasure request is returned.</t>
  </si>
  <si>
    <t>Multi-tenancy, Security, DPDP</t>
  </si>
  <si>
    <t>An erasure request names a patient and states why they want their record removed. It is among the most sensitive rows the product holds.</t>
  </si>
  <si>
    <t>data_erasure_requests queried as the Hospital B admin → zero rows with hospital_id = A</t>
  </si>
  <si>
    <t>TC-P2I-100</t>
  </si>
  <si>
    <t>The Backup &amp; Export screen loads with no red console errors</t>
  </si>
  <si>
    <t>1) Open DevTools → Console 2) Open /settings/backup 3) Run an export 4) Read the console</t>
  </si>
  <si>
    <t>No red console text, and no patient identifier written into a console message.</t>
  </si>
  <si>
    <t>MOCK_DATA_BOOK Patients — the seeded records</t>
  </si>
  <si>
    <t>No PHI must ever appear in console output. A patient name or UHID logged during an export is a disclosure into the browser log.</t>
  </si>
  <si>
    <t>TC-P2I-101</t>
  </si>
  <si>
    <t>Record Retention screen loads</t>
  </si>
  <si>
    <t>1) Open /settings/record-retention 2) Read the policy list</t>
  </si>
  <si>
    <t>Retention policies render per record type. No red console errors.</t>
  </si>
  <si>
    <t>MOCK_DATA_BOOK — record_retention_policies default 3 years, 10 for MLC</t>
  </si>
  <si>
    <t>MRD, Quality, Lab, Radiology, IPD</t>
  </si>
  <si>
    <t>SETTINGS_PREREQ_MATRIX notes that without record_retention_policies the defaults are 3 years and 10 for MLC. A hospital that never sees this screen inherits retention periods it has not reviewed against its own state law.</t>
  </si>
  <si>
    <t>record_retention_policies where hospital_id = A → matches what is displayed</t>
  </si>
  <si>
    <t>TC-P2I-102</t>
  </si>
  <si>
    <t>A retention period saves per record type</t>
  </si>
  <si>
    <t>1) Open /settings/record-retention 2) Set a retention period for a record type 3) Save 4) Reload</t>
  </si>
  <si>
    <t>A confirmation names the record type and the period persists after the reload.</t>
  </si>
  <si>
    <t>MOCK_DATA_BOOK — record retention defaults, 3 years and 10 for MLC</t>
  </si>
  <si>
    <t>MRD, Quality</t>
  </si>
  <si>
    <t>Retention drives when a record may be purged. Too short and the hospital destroys evidence it is legally required to hold; too long and it holds PHI beyond its lawful purpose under the DPDP Act.</t>
  </si>
  <si>
    <t>record_retention_policies where hospital_id = A → the period persists per record type</t>
  </si>
  <si>
    <t>TC-P2I-103</t>
  </si>
  <si>
    <t>The MLC retention period is longer than the general one</t>
  </si>
  <si>
    <t>1) Open /settings/record-retention 2) Compare the MLC retention period against the general record period</t>
  </si>
  <si>
    <t>MLC retention is longer — ten years against three by default.</t>
  </si>
  <si>
    <t>MOCK_DATA_BOOK — 3 years general, 10 years for MLC</t>
  </si>
  <si>
    <t>MRD, Quality, Emergency</t>
  </si>
  <si>
    <t>A medico-legal case record destroyed at three years is evidence lost in a matter that may still be before a court. The longer MLC period is a legal requirement, not a preference.</t>
  </si>
  <si>
    <t>record_retention_policies where hospital_id = A → MLC period &gt; general period</t>
  </si>
  <si>
    <t>TC-P2I-104</t>
  </si>
  <si>
    <t>A zero or negative retention period is refused</t>
  </si>
  <si>
    <t>1) Open /settings/record-retention 2) Set a retention period of 0, then -1 3) Save each time</t>
  </si>
  <si>
    <t>Both are refused.</t>
  </si>
  <si>
    <t>phase2.invalid.ratePerDayZero (0) and ratePerDayNegative (-100) applied to the retention period</t>
  </si>
  <si>
    <t>A zero retention period makes every record immediately purgeable. If a scheduled purge ever ran against it, the hospital would destroy its entire medical record archive in one pass.</t>
  </si>
  <si>
    <t>record_retention_policies where hospital_id = A → every period &gt; 0</t>
  </si>
  <si>
    <t>TC-P2I-105</t>
  </si>
  <si>
    <t>The legal basis and notes save against a policy</t>
  </si>
  <si>
    <t>1) Open /settings/record-retention 2) Enter a Legal basis and Notes 3) Save 4) Reload</t>
  </si>
  <si>
    <t>SettingsRecordRetentionPage placeholders — Legal basis, Notes</t>
  </si>
  <si>
    <t>DPDP requires a documented purpose and lawful basis for holding personal data. The legal basis field is where the hospital records why it keeps each record type for as long as it does.</t>
  </si>
  <si>
    <t>record_retention_policies where hospital_id = A → legal basis and notes persist</t>
  </si>
  <si>
    <t>TC-P2I-106</t>
  </si>
  <si>
    <t>A retention scan reports its outcome</t>
  </si>
  <si>
    <t>1) Open /settings/record-retention 2) Run the retention scan 3) Read the result</t>
  </si>
  <si>
    <t>A "Retention scan complete" confirmation appears with what it found.</t>
  </si>
  <si>
    <t>MOCK_DATA_BOOK — the seeded records under the default retention periods</t>
  </si>
  <si>
    <t>The scan is how the hospital learns which records are now beyond retention. A scan with no reported outcome cannot support the purge decision it exists to inform.</t>
  </si>
  <si>
    <t>None — reads the retention scan outcome</t>
  </si>
  <si>
    <t>TC-P2I-107</t>
  </si>
  <si>
    <t>Hospital A's retention policies are invisible to Hospital B</t>
  </si>
  <si>
    <t>1) Sign in as the Hospital B administrator 2) Open /settings/record-retention as Hospital B 3) Query record_retention_policies through the API with no hospital filter</t>
  </si>
  <si>
    <t>Not one Hospital A policy is returned.</t>
  </si>
  <si>
    <t>Multi-tenancy, MRD, Quality</t>
  </si>
  <si>
    <t>Retention periods differ by state law — Telangana and Maharashtra are not identical. One hospital inheriting another's policy could purge records it was legally required to keep.</t>
  </si>
  <si>
    <t>record_retention_policies queried as the Hospital B admin → zero rows with hospital_id = A</t>
  </si>
  <si>
    <t>TC-P2I-108</t>
  </si>
  <si>
    <t>An MRD officer cannot shorten a retention period unilaterally</t>
  </si>
  <si>
    <t>1) Log in as mrd_officer (Hospital A) 2) Navigate directly to /settings/record-retention 3) Attempt to shorten a period</t>
  </si>
  <si>
    <t>The route is blocked, or the change is refused and logged.</t>
  </si>
  <si>
    <t>Shortening retention makes records purgeable earlier than the law allows. Whoever does it is making a legal determination on the hospital's behalf, so it needs authority and an audit trail.</t>
  </si>
  <si>
    <t>TC-P2I-109</t>
  </si>
  <si>
    <t>Config Change Log screen loads</t>
  </si>
  <si>
    <t>1) Open /settings/change-log 2) Read the log</t>
  </si>
  <si>
    <t>The change log renders with From, To, Config Area and Changed By filters. No red console errors.</t>
  </si>
  <si>
    <t>phase2.entry./settings/change-log — search Nephrology</t>
  </si>
  <si>
    <t>Audit, Quality, Security, RBAC</t>
  </si>
  <si>
    <t>Controlled change management is a NABH expectation. Without a readable change log the hospital cannot answer who altered a clinical threshold or a permission, or when.</t>
  </si>
  <si>
    <t>config_change_logs where hospital_id = A → matches the entries displayed</t>
  </si>
  <si>
    <t>TC-P2I-110</t>
  </si>
  <si>
    <t>A settings change appears in the change log</t>
  </si>
  <si>
    <t>1) Change a role permission under /settings/roles 2) Open /settings/change-log 3) Look for the entry</t>
  </si>
  <si>
    <t>The change is listed with its config area, the old and new values and who made it.</t>
  </si>
  <si>
    <t>role_permissions — a permission change made during Phase 2</t>
  </si>
  <si>
    <t>Audit, RBAC, Quality</t>
  </si>
  <si>
    <t>A log that does not receive entries is worse than no log, because the hospital believes it has an audit trail. Nobody discovers the gap until an incident review needs it.</t>
  </si>
  <si>
    <t>config_change_logs where hospital_id = A and config_area = 'role_permissions' → the entry exists</t>
  </si>
  <si>
    <t>TC-P2I-111</t>
  </si>
  <si>
    <t>The change log records who made the change</t>
  </si>
  <si>
    <t>1) Make a settings change as hospital_admin 2) Open /settings/change-log 3) Read the Changed By column</t>
  </si>
  <si>
    <t>The entry names the user who made the change.</t>
  </si>
  <si>
    <t>Attribution is the whole point of a change log. An entry with no user answers what changed but not who is accountable for it.</t>
  </si>
  <si>
    <t>config_change_logs where hospital_id = A → the changed_by user is recorded</t>
  </si>
  <si>
    <t>TC-P2I-112</t>
  </si>
  <si>
    <t>The date range filter works</t>
  </si>
  <si>
    <t>1) Open /settings/change-log 2) Set a From and To date that exclude recent entries 3) Read the results</t>
  </si>
  <si>
    <t>Only entries within the range are listed.</t>
  </si>
  <si>
    <t>The From and To date filters on ConfigChangeLogPage</t>
  </si>
  <si>
    <t>An incident review asks what changed in a specific window. Without a working date filter the reviewer scrolls the whole log and misses the entry that matters.</t>
  </si>
  <si>
    <t>TC-P2I-113</t>
  </si>
  <si>
    <t>The config area filter works</t>
  </si>
  <si>
    <t>1) Open /settings/change-log 2) Filter by a Config Area 3) Read the results</t>
  </si>
  <si>
    <t>Only entries for that area are listed.</t>
  </si>
  <si>
    <t>config_change_logs — the role_permissions config area</t>
  </si>
  <si>
    <t>Audit, RBAC</t>
  </si>
  <si>
    <t>An auditor investigating a permission escalation wants only role_permissions entries. Mixing every configuration change into one list makes the relevant ones impossible to find.</t>
  </si>
  <si>
    <t>TC-P2I-114</t>
  </si>
  <si>
    <t>The change log can be exported</t>
  </si>
  <si>
    <t>1) Open /settings/change-log 2) Export the log 3) Read the confirmation</t>
  </si>
  <si>
    <t>An "Exported" confirmation appears, or a clear message explains why not.</t>
  </si>
  <si>
    <t>config_change_logs — the entries for Hospital A</t>
  </si>
  <si>
    <t>A NABH assessor asks for the change log as evidence. An export that fails silently means the hospital cannot produce it during the assessment window.</t>
  </si>
  <si>
    <t>None — export interaction</t>
  </si>
  <si>
    <t>TC-P2I-115</t>
  </si>
  <si>
    <t>The change log is read-only</t>
  </si>
  <si>
    <t>1) Open /settings/change-log 2) Look for any control that edits or deletes an entry</t>
  </si>
  <si>
    <t>No edit or delete control exists. The log can be filtered and exported only.</t>
  </si>
  <si>
    <t>None — asserts the absence of any mutation control</t>
  </si>
  <si>
    <t>Audit, Security, Quality</t>
  </si>
  <si>
    <t>An editable audit trail is not an audit trail. If entries can be removed, the log proves nothing and the first thing anyone acting improperly would do is delete their own entry.</t>
  </si>
  <si>
    <t>config_change_logs → no UI path exists to modify or delete an entry</t>
  </si>
  <si>
    <t>TC-P2I-116</t>
  </si>
  <si>
    <t>Hospital A's change log is invisible to Hospital B</t>
  </si>
  <si>
    <t>1) Sign in as the Hospital B administrator 2) Open /settings/change-log as Hospital B 3) Query config_change_logs through the API with no hospital filter</t>
  </si>
  <si>
    <t>Not one Hospital A entry is returned.</t>
  </si>
  <si>
    <t>Multi-tenancy, Audit, Security</t>
  </si>
  <si>
    <t>The change log names staff and describes how a hospital configures its controls. Cross-tenant visibility would expose one hospital's internal governance and its people to another.</t>
  </si>
  <si>
    <t>config_change_logs queried as the Hospital B admin → zero rows with hospital_id = A</t>
  </si>
  <si>
    <t>TC-P2J-001</t>
  </si>
  <si>
    <t>2J Downstream verification</t>
  </si>
  <si>
    <t>Consultation service rows exist, so OPD never bills the hardcoded ₹500</t>
  </si>
  <si>
    <t>1) Open /settings/services 2) Confirm consultation rows exist with their fees 3) Open /opd and create a consultation for each seeded doctor 4) Read each charge</t>
  </si>
  <si>
    <t>Every consultation bills its configured fee. No charge lands on ₹500 unless ₹500 is the configured fee for that doctor.</t>
  </si>
  <si>
    <t>MOCK_DATA_BOOK Doctors — Dr. Menon ₹500, Dr. Rao ₹700, Dr. Nair ₹800</t>
  </si>
  <si>
    <t>ALL of Phase 2 configured — this section runs last, with the tenant complete</t>
  </si>
  <si>
    <t>This is the headline silent failure in SETTINGS_PREREQ_MATRIX: with no consultation row the app bills a hardcoded ₹500 with no warning. Dr. Rao at ₹700 and Dr. Nair at ₹800 are what make the fallback detectable — if either bills ₹500, the fee lookup missed.</t>
  </si>
  <si>
    <t>service_master where hospital_id = A and category = consultation → one row per doctor with its own fee</t>
  </si>
  <si>
    <t>e2e/phase-02-settings/P2J.downstream.spec.ts</t>
  </si>
  <si>
    <t>TC-P2J-002</t>
  </si>
  <si>
    <t>Drug routes are configured, so the prescription route dropdown is not empty</t>
  </si>
  <si>
    <t>1) Open /settings/config-values?cat=drug_routes 2) Confirm the nine routes exist 3) Open /opd and open the Rx tab 4) Open the Route dropdown</t>
  </si>
  <si>
    <t>The route dropdown offers the configured routes. It is never empty.</t>
  </si>
  <si>
    <t>MOCK_DATA_BOOK Config values — Oral, IV, IM, SC, Topical, Inhalation, Rectal, Sublingual, Ophthalmic</t>
  </si>
  <si>
    <t>SETTINGS_PREREQ_MATRIX calls an empty route dropdown the single most common false "OPD is broken" report. It renders empty with no error, so the doctor concludes the module is faulty rather than unconfigured.</t>
  </si>
  <si>
    <t>hospital_config_values where hospital_id = A and category = 'drug_routes' → 9 rows</t>
  </si>
  <si>
    <t>TC-P2J-003</t>
  </si>
  <si>
    <t>Drug frequencies are configured, so the frequency dropdown is not empty</t>
  </si>
  <si>
    <t>1) Open /settings/config-values?cat=drug_frequencies 2) Confirm the nine frequencies exist 3) Open /opd and open the Rx tab 4) Open the Frequency dropdown</t>
  </si>
  <si>
    <t>The frequency dropdown offers OD, BD, TDS, QID, HS, SOS, STAT, Q6H and Q8H.</t>
  </si>
  <si>
    <t>MOCK_DATA_BOOK Config values — OD, BD, TDS, QID, HS, SOS, STAT, Q6H, Q8H</t>
  </si>
  <si>
    <t>Frequency is half of a dosing instruction. An empty dropdown means the prescription reaches the ward without it, which is an incomplete medication order and a NABH medication-safety finding.</t>
  </si>
  <si>
    <t>hospital_config_values where hospital_id = A and category = 'drug_frequencies' → 9 rows</t>
  </si>
  <si>
    <t>TC-P2J-004</t>
  </si>
  <si>
    <t>Drug master rows exist, so drug search returns results</t>
  </si>
  <si>
    <t>1) Open /settings/drugs 2) Confirm the twenty seeded drugs exist 3) Open /opd, open the Rx tab and search for "Dolo"</t>
  </si>
  <si>
    <t>The search returns Dolo 650. Drug search never returns nothing for a stocked drug.</t>
  </si>
  <si>
    <t>OPD, Pharmacy, IPD</t>
  </si>
  <si>
    <t>With no drug_master rows, drug search returns nothing. A doctor who cannot find a drug writes it as free text, and free text cannot be interaction-checked or dispensed against stock.</t>
  </si>
  <si>
    <t>TC-P2J-005</t>
  </si>
  <si>
    <t>Lab test master rows exist, so the Rx lab chips are not empty</t>
  </si>
  <si>
    <t>1) Open /settings/lab-tests 2) Confirm the fifteen seeded tests exist 3) Open /opd and open the Rx tab 4) Read the lab chips</t>
  </si>
  <si>
    <t>Lab chips render with the configured tests.</t>
  </si>
  <si>
    <t>SETTINGS_PREREQ_MATRIX says the lab chips render EMPTY without these rows. The doctor then types the test name, and the exact-name match silently drops anything not in the catalogue.</t>
  </si>
  <si>
    <t>TC-P2J-006</t>
  </si>
  <si>
    <t>Radiology study rows exist, so the Rx radiology chips are not empty</t>
  </si>
  <si>
    <t>1) Open /settings/radiology 2) Confirm the seven seeded studies exist 3) Open /opd and open the Rx tab 4) Read the radiology chips</t>
  </si>
  <si>
    <t>Radiology chips render with the configured studies.</t>
  </si>
  <si>
    <t>Empty radiology chips mean the doctor writes the study as free text, and free text never reaches the radiology worklist — the scan is simply never performed.</t>
  </si>
  <si>
    <t>radiology_study_master where hospital_id = A → 7 rows</t>
  </si>
  <si>
    <t>TC-P2J-007</t>
  </si>
  <si>
    <t>OPD workflow config exists, so tokens do not silently use defaults</t>
  </si>
  <si>
    <t>1) Open /settings/opd-workflow 2) Confirm the token prefix and starting number are set 3) Open /opd and create a token 4) Read the token number</t>
  </si>
  <si>
    <t>The token uses the configured prefix and series, not an unconfigured default.</t>
  </si>
  <si>
    <t>SETTINGS_PREREQ_MATRIX notes the defaults simply apply when unconfigured. The hospital never chose them, and the token series will not match its paper register.</t>
  </si>
  <si>
    <t>hospital_settings where hospital_id = A → the OPD config key exists</t>
  </si>
  <si>
    <t>TC-P2J-008</t>
  </si>
  <si>
    <t>Doctor schedules and slots exist, so appointments are bookable</t>
  </si>
  <si>
    <t>1) Open /settings/doctor-schedules 2) Confirm a schedule exists for a doctor 3) Open the appointment booking screen 4) Look for bookable slots</t>
  </si>
  <si>
    <t>Bookable slots appear for the configured session windows.</t>
  </si>
  <si>
    <t>MOCK_DATA_BOOK Phase 2 additions — the OPD schedule for Dr. Rakesh Iyer</t>
  </si>
  <si>
    <t>SETTINGS_PREREQ_MATRIX names both doctor_schedules and doctor_slots. Without them no appointment slot is bookable and the booking screen shows nothing, which reads as a broken module.</t>
  </si>
  <si>
    <t>doctor_schedules and doctor_slots where hospital_id = A → rows exist</t>
  </si>
  <si>
    <t>TC-P2J-009</t>
  </si>
  <si>
    <t>Every lab test carries a fee, so no order is raised at ₹0</t>
  </si>
  <si>
    <t>1) Open /settings/lab-tests 2) Read the fee on every seeded test 3) Order one and read the charge</t>
  </si>
  <si>
    <t>No lab test has a null or zero fee, and the order bills the configured amount.</t>
  </si>
  <si>
    <t>MOCK_DATA_BOOK Lab test master — fees from ₹80 to ₹1,200</t>
  </si>
  <si>
    <t>SETTINGS_PREREQ_MATRIX says an order is created at ₹0 without a fee. The lab consumes reagent and staff time and bills nothing, and it shows only in the monthly revenue variance.</t>
  </si>
  <si>
    <t>lab_test_master where hospital_id = A → fee &gt; 0 on every row</t>
  </si>
  <si>
    <t>TC-P2J-010</t>
  </si>
  <si>
    <t>Every lab test carries a normal range, so abnormal results are flagged</t>
  </si>
  <si>
    <t>1) Open /settings/lab-tests 2) Read the normal range on each numeric test 3) Enter an out-of-range result 4) Observe the abnormal flag</t>
  </si>
  <si>
    <t>Numeric tests carry a range, and an out-of-range result is flagged abnormal.</t>
  </si>
  <si>
    <t>MOCK_DATA_BOOK Lab test master — Haemoglobin 13.0–17.0, Potassium 3.5–5.1</t>
  </si>
  <si>
    <t>No normal range means no abnormal flag and NO CRITICAL ALERT. A dangerously abnormal result is reported as an unremarkable number and nobody is paged.</t>
  </si>
  <si>
    <t>lab_test_master where hospital_id = A → every numeric test has normal_min and normal_max</t>
  </si>
  <si>
    <t>TC-P2J-011</t>
  </si>
  <si>
    <t>The critical potassium value fires an alert</t>
  </si>
  <si>
    <t>1) Confirm Serum Potassium is configured 3.5–5.1 under /settings/lab-tests 2) Open /lab and enter a result of 7.2 3) Observe the alert</t>
  </si>
  <si>
    <t>A critical alert fires immediately.</t>
  </si>
  <si>
    <t>MOCK_DATA_BOOK names Serum Potassium as THE critical-value test and scenario P5-S07 enters 7.2. Potassium at that level causes fatal arrhythmia — this is the single most consequential alert in the product.</t>
  </si>
  <si>
    <t>lab_test_master where hospital_id = A and code = 'K' → normal 3.5–5.1 and a 7.2 result alerts</t>
  </si>
  <si>
    <t>TC-P2J-012</t>
  </si>
  <si>
    <t>The lab test group bills its package rate, not the sum of its members</t>
  </si>
  <si>
    <t>1) Confirm Fever Panel is ₹1,100 under /settings/lab-tests while its members sum to ₹1,300 2) Order the Fever Panel from /opd 3) Read the charge</t>
  </si>
  <si>
    <t>The order bills ₹1,100.</t>
  </si>
  <si>
    <t>MOCK_DATA_BOOK Lab test group — Fever Panel ₹1,100, members sum ₹1,300</t>
  </si>
  <si>
    <t>Without the group fee, panel orders bill as the sum of individual tests. The ₹200 gap exists precisely so the wrong behaviour is detectable, and a patient charged the sum is over-billed on a package the hospital advertised.</t>
  </si>
  <si>
    <t>lab_test_groups where hospital_id = A and name = 'Fever Panel' → fee = 1100</t>
  </si>
  <si>
    <t>TC-P2J-013</t>
  </si>
  <si>
    <t>Sample types are set, so specimens can be grouped for collection</t>
  </si>
  <si>
    <t>1) Open /settings/lab-tests 2) Confirm every test carries a sample type 3) Order several tests for one patient 4) Read the collection worklist</t>
  </si>
  <si>
    <t>Tests sharing a sample type are grouped into one collection, not one tube per test.</t>
  </si>
  <si>
    <t>MOCK_DATA_BOOK Lab test master — EDTA Blood, Fluoride, Serum, Urine, Culture Bottle</t>
  </si>
  <si>
    <t>SETTINGS_PREREQ_MATRIX warns that sample rows cannot be grouped for collection without matching sample types. The phlebotomist then draws a separate tube per test, which is more needles for the patient.</t>
  </si>
  <si>
    <t>TC-P2J-014</t>
  </si>
  <si>
    <t>Radiology modalities exist, so the module does not show "No studies configured"</t>
  </si>
  <si>
    <t>1) Open /settings/radiology 2) Confirm the four modalities exist 3) Open /radiology 4) Read the screen</t>
  </si>
  <si>
    <t>The radiology module lists studies. It does not show "No studies configured. Go to Settings → Radiology Modalities".</t>
  </si>
  <si>
    <t>MOCK_DATA_BOOK Radiology — X-Ray, Ultrasound, CT Scan, MRI</t>
  </si>
  <si>
    <t>SETTINGS_PREREQ_MATRIX says modalities must be created FIRST. That error message is the only clue a radiographer gets, and it appears on the module rather than on the settings screen that caused it.</t>
  </si>
  <si>
    <t>TC-P2J-015</t>
  </si>
  <si>
    <t>Every radiology study carries a fee and a modality</t>
  </si>
  <si>
    <t>1) Open /settings/radiology 2) Read the fee and modality on each study 3) Order one and read the charge</t>
  </si>
  <si>
    <t>No study has a null fee or a null modality, and the order bills correctly.</t>
  </si>
  <si>
    <t>MOCK_DATA_BOOK Radiology — fees from ₹400 to ₹8,500</t>
  </si>
  <si>
    <t>An unpriced study orders at ₹0. On an MRI at ₹8,500 that is a substantial silent loss on every scan, and a study with no modality cannot be routed to a machine.</t>
  </si>
  <si>
    <t>radiology_study_master where hospital_id = A → fee &gt; 0 and modality_id not null on every row</t>
  </si>
  <si>
    <t>TC-P2J-016</t>
  </si>
  <si>
    <t>PCPNDT settings exist, so Form F generates for obstetric scans</t>
  </si>
  <si>
    <t>1) Open /settings/radiology 2) Confirm the PCPNDT machine and doctor registration are set 3) Order USG Obstetric (Level II) for the pregnant patient 4) Check Form F</t>
  </si>
  <si>
    <t>Form F is generated carrying the machine and doctor registration numbers.</t>
  </si>
  <si>
    <t>MOCK_DATA_BOOK Patients — PT-QA-0012 Deepa Nair, 22 weeks pregnant; Radiology — USG Obstetric (Level II)</t>
  </si>
  <si>
    <t>SETTINGS_PREREQ_MATRIX flags this in red: Form F may not generate correctly without pcpndt_settings. Form F is a legal requirement for every obstetric ultrasound, and failure carries criminal liability and licence suspension.</t>
  </si>
  <si>
    <t>TC-P2J-017</t>
  </si>
  <si>
    <t>PACS configuration exists, so DICOM features are not inert</t>
  </si>
  <si>
    <t>1) Open /settings/radiology 2) Confirm the PACS viewer and WADO URLs are set 3) Open a radiology study 4) Look for the image viewer</t>
  </si>
  <si>
    <t>The image viewer is available on the study.</t>
  </si>
  <si>
    <t>IntegrationsHubPage — the PACS viewer and WADO URLs</t>
  </si>
  <si>
    <t>SETTINGS_PREREQ_MATRIX says DICOM and PACS features are inert without hospital_pacs_config. The radiologist opens a study and has a report screen with no images attached to it.</t>
  </si>
  <si>
    <t>TC-P2J-018</t>
  </si>
  <si>
    <t>Drug batches exist, so dispensing is possible and stock decrements</t>
  </si>
  <si>
    <t>1) Open /settings/drugs and confirm batches exist for the seeded drugs 2) Open /pharmacy and dispense one 3) Check the batch quantity before and after</t>
  </si>
  <si>
    <t>The dispense succeeds and quantity_available decrements by the quantity dispensed.</t>
  </si>
  <si>
    <t>SETTINGS_PREREQ_MATRIX is explicit: no dispensing is possible and no stock decrement happens without a batch. A drug with no batch is invisible to the dispenser even though the formulary lists it.</t>
  </si>
  <si>
    <t>drug_batches where hospital_id = A → rows exist with quantity_available &gt; 0</t>
  </si>
  <si>
    <t>TC-P2J-019</t>
  </si>
  <si>
    <t>FEFO batch selection picks the earliest expiry first</t>
  </si>
  <si>
    <t>1) Open /settings/drugs and confirm Dolo 650 has batch QA-DOLO-A expiring 31/12/2027 and QA-DOLO-B expiring 31/03/2027 2) Dispense Dolo 650 3) Read which batch was consumed</t>
  </si>
  <si>
    <t>Batch QA-DOLO-B is picked first — the earlier expiry.</t>
  </si>
  <si>
    <t>MOCK_DATA_BOOK Drug batches — QA-DOLO-B is the FEFO test, must be picked before QA-DOLO-A</t>
  </si>
  <si>
    <t>MOCK_DATA_BOOK seeds the two Dolo batches specifically for this. Picking the later expiry first means the earlier batch expires on the shelf and is written off — a direct, recurring loss.</t>
  </si>
  <si>
    <t>drug_batches → QA-DOLO-B is consumed before QA-DOLO-A</t>
  </si>
  <si>
    <t>TC-P2J-020</t>
  </si>
  <si>
    <t>An expired batch is refused at dispensing</t>
  </si>
  <si>
    <t>1) Open /settings/drugs and confirm Mox 500 has batch QA-MOX-EXP expiring 31/01/2026 2) Attempt to dispense from it 3) Observe the refusal</t>
  </si>
  <si>
    <t>The expired batch is excluded and cannot be dispensed.</t>
  </si>
  <si>
    <t>MOCK_DATA_BOOK Drug batches — QA-MOX-EXP, expired, must be refused</t>
  </si>
  <si>
    <t>Pharmacy, Quality</t>
  </si>
  <si>
    <t>Dispensing an expired drug is a patient-safety failure and a drug-inspector finding. MOCK_DATA_BOOK seeds this batch deliberately so the exclusion is provable rather than assumed.</t>
  </si>
  <si>
    <t>drug_batches where batch = 'QA-MOX-EXP' → excluded from dispensing</t>
  </si>
  <si>
    <t>TC-P2J-021</t>
  </si>
  <si>
    <t>A quarantined batch is excluded from dispensing</t>
  </si>
  <si>
    <t>1) Open /settings/drugs and confirm Zifi 200 has batch QA-ZIFI-Q in quarantined status 2) Attempt to dispense from it 3) Observe the refusal</t>
  </si>
  <si>
    <t>The quarantined batch is excluded.</t>
  </si>
  <si>
    <t>MOCK_DATA_BOOK Drug batches — QA-ZIFI-Q, quarantined, must be excluded</t>
  </si>
  <si>
    <t>A batch is quarantined because something is wrong with it — a recall, a temperature excursion, a damaged consignment. Dispensing from it defeats the entire purpose of the quarantine.</t>
  </si>
  <si>
    <t>drug_batches where batch = 'QA-ZIFI-Q' → excluded from dispensing</t>
  </si>
  <si>
    <t>TC-P2J-022</t>
  </si>
  <si>
    <t>Store locations exist, so stock transfers are possible</t>
  </si>
  <si>
    <t>1) Open /settings/inventory 2) Confirm store locations exist 3) Attempt a stock transfer between stores</t>
  </si>
  <si>
    <t>A transfer destination is offered and the transfer can be raised.</t>
  </si>
  <si>
    <t>Pharmacy, Inventory, Nursing</t>
  </si>
  <si>
    <t>SETTINGS_PREREQ_MATRIX warns there are no store transfers without store_locations. Ward stock cannot be issued from the central store and every indent goes on paper.</t>
  </si>
  <si>
    <t>store_locations where hospital_id = A → rows exist</t>
  </si>
  <si>
    <t>TC-P2J-023</t>
  </si>
  <si>
    <t>Every ward carries a rate_per_day, so no room charge falls back to ₹500</t>
  </si>
  <si>
    <t>1) Open /settings/wards 2) Read rate_per_day on all six seeded wards 3) Admit a patient to each and read the room charge</t>
  </si>
  <si>
    <t>Every ward has a rate and each admission bills that rate. No admission bills ₹500 unless ₹500 is the ward rate.</t>
  </si>
  <si>
    <t>MOCK_DATA_BOOK Wards — ₹1,500 to ₹12,000 per day across six wards</t>
  </si>
  <si>
    <t>Room-charge precedence is wards.rate_per_day → service_rates → service_master → ₹500. A ward without a rate silently under-bills every night of every stay, and nobody notices until month-end reconciliation.</t>
  </si>
  <si>
    <t>wards where hospital_id = A → rate_per_day is not null on all 6 rows</t>
  </si>
  <si>
    <t>TC-P2J-024</t>
  </si>
  <si>
    <t>Beds are linked to wards, so the Admit modal is not empty</t>
  </si>
  <si>
    <t>1) Open /settings/wards 2) Confirm each ward has its beds 3) Open the IPD Admit modal 4) Read the bed picker</t>
  </si>
  <si>
    <t>Beds are offered for each ward. The Admit modal never shows an empty bed list.</t>
  </si>
  <si>
    <t>MOCK_DATA_BOOK Wards &amp; beds — 32 beds across six wards</t>
  </si>
  <si>
    <t>SETTINGS_PREREQ_MATRIX says the Admit modal shows NO BEDS without them — admission is simply impossible. The ward clerk sees an empty picker and concludes the system is down.</t>
  </si>
  <si>
    <t>beds where hospital_id = A → every ward has at least one bed</t>
  </si>
  <si>
    <t>TC-P2J-025</t>
  </si>
  <si>
    <t>Payer masters exist, so insurance can be selected at admission</t>
  </si>
  <si>
    <t>1) Open /settings/payer-masters 2) Confirm the eight payers exist 3) Open the IPD Admit modal 4) Open the payer picker</t>
  </si>
  <si>
    <t>All configured payers are offered at admission.</t>
  </si>
  <si>
    <t>IPD, Insurance, Billing</t>
  </si>
  <si>
    <t>SETTINGS_PREREQ_MATRIX says there is no insurance selection at admission without payer_masters. Every insured patient is admitted as cash and the claim window closes before anyone notices.</t>
  </si>
  <si>
    <t>payer_masters where hospital_id = A → 8 rows offered at admission</t>
  </si>
  <si>
    <t>TC-P2J-026</t>
  </si>
  <si>
    <t>Each doctor carries an IPD consultation fee, so ward visits are charged</t>
  </si>
  <si>
    <t>1) Open /settings/staff 2) Confirm each doctor has an IPD Consultation Fee 3) Record a ward visit 4) Read the charge</t>
  </si>
  <si>
    <t>The ward visit bills the doctor's configured IPD fee.</t>
  </si>
  <si>
    <t>MOCK_DATA_BOOK Doctors — IPD visit ₹400, ₹500 and ₹600</t>
  </si>
  <si>
    <t>SETTINGS_PREREQ_MATRIX warns that doctor visit charges default or vanish entirely without ipd_consultation_fee. A ward round that generates no charge is pure revenue leakage, repeated daily for every inpatient.</t>
  </si>
  <si>
    <t>service_master where hospital_id = A → ipd_consultation_fee set for every doctor</t>
  </si>
  <si>
    <t>TC-P2J-027</t>
  </si>
  <si>
    <t>The discharge workflow is configured, so the default clearance list is not silently used</t>
  </si>
  <si>
    <t>1) Open /settings/discharge-workflow 2) Confirm the clearance steps are set 3) Open an IPD discharge 4) Read the clearance list</t>
  </si>
  <si>
    <t>The configured steps are presented, not an unconfigured default.</t>
  </si>
  <si>
    <t>SETTINGS_PREREQ_MATRIX notes the default clearance list applies when unconfigured. The hospital believes its own steps are in force and patients are discharged without checks it thought it required.</t>
  </si>
  <si>
    <t>hospitals where id = A → discharge_workflow is configured</t>
  </si>
  <si>
    <t>TC-P2J-028</t>
  </si>
  <si>
    <t>Day care procedures exist, so the day-care picker is not empty</t>
  </si>
  <si>
    <t>1) Open /settings/day-care-procedures 2) Confirm procedures exist 3) Open the day care module 4) Open the procedure picker</t>
  </si>
  <si>
    <t>The configured procedures are offered.</t>
  </si>
  <si>
    <t>SETTINGS_PREREQ_MATRIX says the day care procedure picker is empty without them. A same-day case cannot be booked against anything billable, so the hospital performs the procedure and charges nothing.</t>
  </si>
  <si>
    <t>day_care_procedures where hospital_id = A → rows exist</t>
  </si>
  <si>
    <t>TC-P2J-029</t>
  </si>
  <si>
    <t>Health packages exist, so the estimate step is not empty</t>
  </si>
  <si>
    <t>1) Open /settings/services 2) Confirm the Master Health Checkup package exists 3) Open the admission estimate step 4) Read the package list</t>
  </si>
  <si>
    <t>The configured package is offered on the estimate.</t>
  </si>
  <si>
    <t>IPD, Billing, Health Packages</t>
  </si>
  <si>
    <t>SETTINGS_PREREQ_MATRIX says the estimate step is empty without health_packages. A patient asking what a package costs gets no answer, which is exactly the moment they decide whether to proceed.</t>
  </si>
  <si>
    <t>health_packages where hospital_id = A → rows exist</t>
  </si>
  <si>
    <t>TC-P2J-030</t>
  </si>
  <si>
    <t>The hospital GSTIN is set, so invoices carry GST</t>
  </si>
  <si>
    <t>1) Open /settings/profile 2) Confirm the GSTIN is set 3) Raise a bill with a taxable line 4) Read the GST on the invoice</t>
  </si>
  <si>
    <t>The invoice shows GST calculated against the hospital GSTIN.</t>
  </si>
  <si>
    <t>SETTINGS_PREREQ_MATRIX says there is no GST on invoices without a GSTIN. The hospital under-collects tax it is liable for and carries the shortfall at the next filing.</t>
  </si>
  <si>
    <t>hospitals where id = A → gstin is not null</t>
  </si>
  <si>
    <t>TC-P2J-031</t>
  </si>
  <si>
    <t>Every billable service carries an HSN, so bill finalisation is not hard-blocked</t>
  </si>
  <si>
    <t>1) Confirm the hospital GSTIN is set 2) Open /settings/services and read the HSN on every row 3) Raise a bill covering several services 4) Attempt to finalise it</t>
  </si>
  <si>
    <t>Every service carries an HSN and the bill finalises. Any line lacking one is named explicitly.</t>
  </si>
  <si>
    <t>MOCK_DATA_BOOK Services &amp; rates — every row carries an HSN</t>
  </si>
  <si>
    <t>Once the GSTIN is set, finalisation is HARD-BLOCKED for any line lacking an HSN. MOCK_DATA_BOOK notes all seeded rows carry one precisely so this gate does not fire spuriously during later phases.</t>
  </si>
  <si>
    <t>service_master where hospital_id = A → hsn_code set on every billable row</t>
  </si>
  <si>
    <t>TC-P2J-032</t>
  </si>
  <si>
    <t>Service rates by bed category exist, so there is no ₹0 leakage</t>
  </si>
  <si>
    <t>1) Open /settings/services 2) Confirm service_rates rows exist by bed category 3) Raise a dialysis, physio and ambulance charge for an inpatient 4) Read each amount</t>
  </si>
  <si>
    <t>Each charge bills its configured rate. None bills ₹0.</t>
  </si>
  <si>
    <t>MOCK_DATA_BOOK Services &amp; rates — Haemodialysis ₹2,200, Ambulance ₹1,500</t>
  </si>
  <si>
    <t>SETTINGS_PREREQ_MATRIX names ₹0 leakage on dialysis, physio and ambulance specifically. A dialysis patient attending three times a week generates a large recurring loss that nothing on screen flags.</t>
  </si>
  <si>
    <t>service_rates where hospital_id = A → bed_category rows exist for the leakage-prone services</t>
  </si>
  <si>
    <t>TC-P2J-033</t>
  </si>
  <si>
    <t>Discount approval rules exist, so discounts do not all auto-approve</t>
  </si>
  <si>
    <t>1) Open /settings/approvals 2) Confirm the three tiers are configured 3) Apply a 35% discount to a bill 4) Observe whether approval is required</t>
  </si>
  <si>
    <t>The 35% discount is held for administrator approval.</t>
  </si>
  <si>
    <t>SETTINGS_PREREQ_MATRIX states it plainly: EVERY discount auto-approves with no approval workflow at all. The finance team believes a control exists and it does not — a 50% write-off is granted at the counter.</t>
  </si>
  <si>
    <t>hospital_settings where hospital_id = A → the discount approval rules key exists with three tiers</t>
  </si>
  <si>
    <t>TC-P2J-034</t>
  </si>
  <si>
    <t>Razorpay keys are configured, so payment links are not dead</t>
  </si>
  <si>
    <t>1) Open /settings/razorpay 2) Confirm the key ID and secret are set 3) Generate a payment link for a bill 4) Open the link</t>
  </si>
  <si>
    <t>A working payment link is produced.</t>
  </si>
  <si>
    <t>phase2.entry./settings/razorpay — keyId rzp_test_QA0000000000, Test Mode</t>
  </si>
  <si>
    <t>SETTINGS_PREREQ_MATRIX says payment links are DEAD without Razorpay keys. The patient receives a link that does nothing, and the hospital never sees the money or the failure.</t>
  </si>
  <si>
    <t>api_configurations where hospital_id = A → the Razorpay credential row exists</t>
  </si>
  <si>
    <t>TC-P2J-035</t>
  </si>
  <si>
    <t>The chart of accounts exists, so journals post</t>
  </si>
  <si>
    <t>1) Open /accounts and confirm chart_of_accounts and auto_posting_rules exist for the tenant 2) Finalise a bill 3) Check whether a journal entry posted</t>
  </si>
  <si>
    <t>A journal entry is posted against the configured accounts.</t>
  </si>
  <si>
    <t>SETTINGS_PREREQ_MATRIX — chart_of_accounts is auto-seeded by a DB trigger at hospital creation</t>
  </si>
  <si>
    <t>SETTINGS_PREREQ_MATRIX warns journals do not post without them, and notes they are auto-seeded by a trigger. If the trigger did not fire for this tenant, every bill raised is invisible to the ledger.</t>
  </si>
  <si>
    <t>chart_of_accounts and auto_posting_rules where hospital_id = A → rows exist</t>
  </si>
  <si>
    <t>TC-P2J-036</t>
  </si>
  <si>
    <t>A bank account exists, so day-closure reconciliation is possible</t>
  </si>
  <si>
    <t>1) Open /settings/bank-accounts 2) Confirm an account exists 3) Open day closure 4) Look for the reconciliation target</t>
  </si>
  <si>
    <t>The configured bank account is offered for reconciliation.</t>
  </si>
  <si>
    <t>Accounts, Day Closure, Payments</t>
  </si>
  <si>
    <t>SETTINGS_PREREQ_MATRIX says there is no reconciliation without bank_accounts. Day closure cannot be completed and cash differences go undetected until someone counts the drawer.</t>
  </si>
  <si>
    <t>bank_accounts where hospital_id = A → at least one active account</t>
  </si>
  <si>
    <t>TC-P2J-037</t>
  </si>
  <si>
    <t>TPA ceilings and co-pay are applied to an insured bill</t>
  </si>
  <si>
    <t>1) Confirm HDFC ERGO carries a ₹4,000/day ceiling under /settings/payer-masters 2) Admit a patient to the ₹6,000/day Private Room under that payer 3) Read the claim split</t>
  </si>
  <si>
    <t>A proportionate deduction is applied against the ₹4,000 ceiling.</t>
  </si>
  <si>
    <t>SETTINGS_PREREQ_MATRIX warns ceilings and co-pay are not applied and claim amounts come out wrong. MOCK_DATA_BOOK names this scenario P9-S07 — get it wrong and it is a real argument with a real patient at the discharge counter.</t>
  </si>
  <si>
    <t>payer_masters where hospital_id = A and name = 'HDFC ERGO' → ceiling 4000 applied against the 6000 room</t>
  </si>
  <si>
    <t>TC-P2J-038</t>
  </si>
  <si>
    <t>A CGHS patient without a referral date is hard-blocked at finalisation</t>
  </si>
  <si>
    <t>1) Open /patients and confirm PT-QA-0007 K. Venkatesan is categorised CGHS with NO referral letter 2) Raise their bill 3) Attempt to finalise it</t>
  </si>
  <si>
    <t>Finalisation is blocked, and the message names the missing referral date.</t>
  </si>
  <si>
    <t>MOCK_DATA_BOOK Patients — PT-QA-0007 K. Venkatesan, CGHS, NO referral letter</t>
  </si>
  <si>
    <t>SETTINGS_PREREQ_MATRIX flags this in red and says the block is DELIBERATE. MOCK_DATA_BOOK seeds PT-QA-0006 with a referral and PT-QA-0007 without, precisely so both branches are provable.</t>
  </si>
  <si>
    <t>cghs_echs_beneficiaries → PT-QA-0007 has no referral_date and finalisation is blocked</t>
  </si>
  <si>
    <t>TC-P2J-039</t>
  </si>
  <si>
    <t>A CGHS patient with a referral date finalises normally</t>
  </si>
  <si>
    <t>1) Open /patients and confirm PT-QA-0006 R. Subramanian is CGHS WITH a referral letter 2) Raise their bill 3) Finalise it</t>
  </si>
  <si>
    <t>The bill finalises without the referral block firing.</t>
  </si>
  <si>
    <t>MOCK_DATA_BOOK Patients — PT-QA-0006 R. Subramanian, CGHS, has referral letter</t>
  </si>
  <si>
    <t>The block must fire only when the referral is genuinely missing. A gate that blocks every CGHS patient regardless would stop the hospital billing an entire scheme population.</t>
  </si>
  <si>
    <t>cghs_echs_beneficiaries → PT-QA-0006 has a referral_date and finalisation succeeds</t>
  </si>
  <si>
    <t>TC-P2J-040</t>
  </si>
  <si>
    <t>Insurance automation config exists, so intimations and alerts fire</t>
  </si>
  <si>
    <t>1) Open /insurance and confirm insurance_automation_config exists for the tenant 2) Raise an insured admission 3) Check whether an intimation was generated</t>
  </si>
  <si>
    <t>An automated intimation or alert is produced.</t>
  </si>
  <si>
    <t>SETTINGS_PREREQ_MATRIX — insurance_automation_config under Insurance → Automation Settings</t>
  </si>
  <si>
    <t>SETTINGS_PREREQ_MATRIX says there are no automated intimations or alerts without it. An insurer intimation missed inside its window converts a payable claim into a rejected one.</t>
  </si>
  <si>
    <t>insurance_automation_config where hospital_id = A → the row exists</t>
  </si>
  <si>
    <t>TC-P2J-041</t>
  </si>
  <si>
    <t>All three AI gates are open, so the AI button renders</t>
  </si>
  <si>
    <t>1) Open /settings/plan and confirm the entitlement includes the AI feature key 2) Confirm the hospital toggle is on under /settings/ai-features 3) Confirm the AI budget is not exhausted 4) Open a module offering that AI action</t>
  </si>
  <si>
    <t>The AI control renders.</t>
  </si>
  <si>
    <t>MOCK_DATA_BOOK Hospital A — Professional plan; AI_FEATURES — the seven feature keys</t>
  </si>
  <si>
    <t>SETTINGS_PREREQ_MATRIX warns of THREE independent stacked gates and that the AI button is simply NOT RENDERED with no message and no explanation. Before logging "the AI button is missing", all three must be checked — this case checks them together.</t>
  </si>
  <si>
    <t>hospital_addons, hospitals.ai_feature_flags and hospital_ai_wallet → all three permit the feature</t>
  </si>
  <si>
    <t>TC-P2J-042</t>
  </si>
  <si>
    <t>AI language settings exist, so AI output is not English-only</t>
  </si>
  <si>
    <t>1) Open /settings/ai-languages 2) Confirm a non-English pack is enabled 3) Generate an AI output 4) Read the language</t>
  </si>
  <si>
    <t>The output can be produced in the enabled language.</t>
  </si>
  <si>
    <t>AI Suite, OPD, Patient Portal</t>
  </si>
  <si>
    <t>SETTINGS_PREREQ_MATRIX says the AI defaults to English only. A discharge summary generated in English for a patient who reads Telugu is a document they cannot use.</t>
  </si>
  <si>
    <t>ai_language_settings where hospital_id = A → a non-English pack is enabled</t>
  </si>
  <si>
    <t>TC-P2J-043</t>
  </si>
  <si>
    <t>The AI budget is not exhausted, so callAI does not refuse</t>
  </si>
  <si>
    <t>1) Open /settings/plan and check hospital_ai_wallet and the AI budget for the tenant 2) Invoke an AI feature 3) Observe whether it runs</t>
  </si>
  <si>
    <t>The AI call proceeds, or refuses with a message naming the budget rather than failing silently.</t>
  </si>
  <si>
    <t>SETTINGS_PREREQ_MATRIX — hospital_ai_wallet and ai_budget</t>
  </si>
  <si>
    <t>SETTINGS_PREREQ_MATRIX says callAI refuses and the feature appears broken. A doctor pressing an AI button that does nothing has no way to know the hospital has simply run out of budget.</t>
  </si>
  <si>
    <t>hospital_ai_wallet where hospital_id = A → budget available, or the refusal names the budget</t>
  </si>
  <si>
    <t>TC-P2J-044</t>
  </si>
  <si>
    <t>WhatsApp is configured, so notifications do not silently no-op</t>
  </si>
  <si>
    <t>1) Open /settings/whatsapp 2) Confirm the credentials and a template are set 3) Trigger a notification 4) Confirm it was actually sent</t>
  </si>
  <si>
    <t>The notification is sent, or the failure is reported. It is never silently dropped.</t>
  </si>
  <si>
    <t>SETTINGS_PREREQ_MATRIX flags this in red: ALL notifications silently no-op — nothing fails, nothing sends. A hospital relying on appointment reminders discovers it through empty clinics weeks later.</t>
  </si>
  <si>
    <t>whatsapp_templates and the WhatsApp credentials where hospital_id = A → configured, and a send is recorded</t>
  </si>
  <si>
    <t>TC-P2J-045</t>
  </si>
  <si>
    <t>ABDM configuration exists, so the edge functions do not fail quietly</t>
  </si>
  <si>
    <t>1) Open /settings/abdm 2) Confirm the HFR ID and credentials are set 3) Attempt an ABHA linkage 4) Observe the outcome</t>
  </si>
  <si>
    <t>The linkage succeeds, or fails with a visible error. It never appears to work and do nothing.</t>
  </si>
  <si>
    <t>SETTINGS_PREREQ_MATRIX says the ABDM edge functions fail QUIETLY. ABHA linkage appears to work, no record reaches the national exchange, and the hospital believes it is compliant.</t>
  </si>
  <si>
    <t>hospital_abdm_config where hospital_id = A → the row exists and linkage reports its outcome</t>
  </si>
  <si>
    <t>TC-P2J-046</t>
  </si>
  <si>
    <t>Every master-data picker renders populated for a correctly scoped user</t>
  </si>
  <si>
    <t>1) Log in as hospital_admin (Hospital A) 2) Open /settings and confirm the hub renders 3) Open /opd (Rx tab), /ipd (Admit modal) and /billing (charge picker) 4) Confirm each picker renders options</t>
  </si>
  <si>
    <t>Every picker is populated: departments, wards, service_master, drug_master, lab_test_master and payer_masters all return rows for Hospital A, and each dependent picker renders those rows rather than an empty list.</t>
  </si>
  <si>
    <t>MOCK_DATA_BOOK — the full seeded master data set</t>
  </si>
  <si>
    <t>OPD, IPD, Billing, Multi-tenancy</t>
  </si>
  <si>
    <t>SETTINGS_PREREQ_MATRIX describes the multi-tenancy failure mode: when hospital_id resolves wrong or null, master-data pickers render EMPTY with no error. An empty picker is the single most common symptom of a broken tenant anchor.</t>
  </si>
  <si>
    <t>users where hospital_id = A → the admin resolves to Hospital A and every picker is populated</t>
  </si>
  <si>
    <t>TC-P2J-047</t>
  </si>
  <si>
    <t>The bill number series is per-hospital and produces no duplicates</t>
  </si>
  <si>
    <t>1) Open /billing and raise several bills for Hospital A 2) Read the bill numbers 3) Confirm they are sequential and unique within the tenant</t>
  </si>
  <si>
    <t>Bill numbers are unique and follow the hospital's own series.</t>
  </si>
  <si>
    <t>Billing, Accounts, Multi-tenancy</t>
  </si>
  <si>
    <t>SETTINGS_PREREQ_MATRIX warns that bill number sequences are per-hospital, so a wrong tenant means a wrong or duplicate series. Duplicate invoice numbers are a GST filing problem, not just a data one.</t>
  </si>
  <si>
    <t>bills where hospital_id = A → bill numbers unique and in the tenant series</t>
  </si>
  <si>
    <t>TC-P2J-048</t>
  </si>
  <si>
    <t>The discharge charge sweep does not double-bill</t>
  </si>
  <si>
    <t>1) Open /ipd, admit a patient and accrue several charges 2) Run the discharge charge sweep 3) Run it again 4) Compare the bill totals</t>
  </si>
  <si>
    <t>The second sweep adds nothing. Charges appear exactly once.</t>
  </si>
  <si>
    <t>MOCK_DATA_BOOK Patients — PT-QA-0018 Sharma Ji, planned hernia repair</t>
  </si>
  <si>
    <t>IPD, Billing, Multi-tenancy</t>
  </si>
  <si>
    <t>SETTINGS_PREREQ_MATRIX flags this in red: the sweep's dedupe query is hospital-scoped, so a hospital_id mismatch makes dedupe fail and DOUBLE-BILLS the patient. That is money taken from a patient who owes it once.</t>
  </si>
  <si>
    <t>the admission bill → each charge appears exactly once after a repeated sweep</t>
  </si>
  <si>
    <t>TC-P2K-001</t>
  </si>
  <si>
    <t>2K Isolation &amp; permissions</t>
  </si>
  <si>
    <t>Departments: Hospital B cannot read any Hospital A row in departments</t>
  </si>
  <si>
    <t>1) Sign in to Supabase as the Hospital B admin using the anon key (RLS active) 2) Select every row from departments 3) Compare each hospital_id against Hospital A’s id</t>
  </si>
  <si>
    <t>Zero rows returned carry Hospital A’s hospital_id. RLS filters departments by get_user_hospital_id(), so a Hospital B session sees only Hospital B rows.</t>
  </si>
  <si>
    <t>MOCK_DATA_BOOK Hospitals — A Aarogya Multispecialty Hospital, B Sanjeevani General Hospital</t>
  </si>
  <si>
    <t>OPD, IPD, Staff</t>
  </si>
  <si>
    <t>Both QA tenants seeded and configured — Hospital A (Aarogya Multispecialty) and Hospital B (Sanjeevani General)</t>
  </si>
  <si>
    <t>A doctor assigned to a department that belongs to another hospital is an unresolvable reference — the OPD queue would filter on a department the tenant cannot see.</t>
  </si>
  <si>
    <t>departments read through an authenticated anon client as the Hospital B admin → no row has hospital_id = Hospital A. The service key is NOT used here because it bypasses RLS and would pass on a wide-open table.</t>
  </si>
  <si>
    <t>e2e/phase-02-settings/P2K.isolation-permissions.spec.ts</t>
  </si>
  <si>
    <t>TC-P2K-002</t>
  </si>
  <si>
    <t>Wards: Hospital B cannot read any Hospital A row in wards</t>
  </si>
  <si>
    <t>1) Sign in to Supabase as the Hospital B admin using the anon key (RLS active) 2) Select every row from wards 3) Compare each hospital_id against Hospital A’s id</t>
  </si>
  <si>
    <t>Zero rows returned carry Hospital A’s hospital_id. RLS filters wards by get_user_hospital_id(), so a Hospital B session sees only Hospital B rows.</t>
  </si>
  <si>
    <t>Ward rates drive the room charge. A leaked ward means another hospital’s tariff is visible, which is commercially sensitive information in a competitive market.</t>
  </si>
  <si>
    <t>wards read through an authenticated anon client as the Hospital B admin → no row has hospital_id = Hospital A. The service key is NOT used here because it bypasses RLS and would pass on a wide-open table.</t>
  </si>
  <si>
    <t>TC-P2K-003</t>
  </si>
  <si>
    <t>Beds: Hospital B cannot read any Hospital A row in beds</t>
  </si>
  <si>
    <t>1) Sign in to Supabase as the Hospital B admin using the anon key (RLS active) 2) Select every row from beds 3) Compare each hospital_id against Hospital A’s id</t>
  </si>
  <si>
    <t>Zero rows returned carry Hospital A’s hospital_id. RLS filters beds by get_user_hospital_id(), so a Hospital B session sees only Hospital B rows.</t>
  </si>
  <si>
    <t>A leaked bed could be offered in the Admit modal, so a patient would be admitted to a bed that physically sits in another hospital.</t>
  </si>
  <si>
    <t>beds read through an authenticated anon client as the Hospital B admin → no row has hospital_id = Hospital A. The service key is NOT used here because it bypasses RLS and would pass on a wide-open table.</t>
  </si>
  <si>
    <t>TC-P2K-004</t>
  </si>
  <si>
    <t>Services and tariffs: Hospital B cannot read any Hospital A row in service_master</t>
  </si>
  <si>
    <t>1) Sign in to Supabase as the Hospital B admin using the anon key (RLS active) 2) Select every row from service_master 3) Compare each hospital_id against Hospital A’s id</t>
  </si>
  <si>
    <t>Zero rows returned carry Hospital A’s hospital_id. RLS filters service_master by get_user_hospital_id(), so a Hospital B session sees only Hospital B rows.</t>
  </si>
  <si>
    <t>The full price list is the most commercially sensitive table in the product. Leaking it hands a competitor the hospital’s entire tariff.</t>
  </si>
  <si>
    <t>service_master read through an authenticated anon client as the Hospital B admin → no row has hospital_id = Hospital A. The service key is NOT used here because it bypasses RLS and would pass on a wide-open table.</t>
  </si>
  <si>
    <t>TC-P2K-005</t>
  </si>
  <si>
    <t>Drug formulary: Hospital B cannot read any Hospital A row in drug_master</t>
  </si>
  <si>
    <t>1) Sign in to Supabase as the Hospital B admin using the anon key (RLS active) 2) Select every row from drug_master 3) Compare each hospital_id against Hospital A’s id</t>
  </si>
  <si>
    <t>Zero rows returned carry Hospital A’s hospital_id. RLS filters drug_master by get_user_hospital_id(), so a Hospital B session sees only Hospital B rows.</t>
  </si>
  <si>
    <t>A leaked formulary lets one hospital prescribe against another’s catalogue, and the dispense then fails against stock that does not exist.</t>
  </si>
  <si>
    <t>drug_master read through an authenticated anon client as the Hospital B admin → no row has hospital_id = Hospital A. The service key is NOT used here because it bypasses RLS and would pass on a wide-open table.</t>
  </si>
  <si>
    <t>TC-P2K-006</t>
  </si>
  <si>
    <t>Drug batches: Hospital B cannot read any Hospital A row in drug_batches</t>
  </si>
  <si>
    <t>1) Sign in to Supabase as the Hospital B admin using the anon key (RLS active) 2) Select every row from drug_batches 3) Compare each hospital_id against Hospital A’s id</t>
  </si>
  <si>
    <t>Zero rows returned carry Hospital A’s hospital_id. RLS filters drug_batches by get_user_hospital_id(), so a Hospital B session sees only Hospital B rows.</t>
  </si>
  <si>
    <t>Batch rows carry stock quantity and purchase cost. A leak exposes both the margin and the physical stock position.</t>
  </si>
  <si>
    <t>drug_batches read through an authenticated anon client as the Hospital B admin → no row has hospital_id = Hospital A. The service key is NOT used here because it bypasses RLS and would pass on a wide-open table.</t>
  </si>
  <si>
    <t>TC-P2K-007</t>
  </si>
  <si>
    <t>Lab test catalogue: Hospital B cannot read any Hospital A row in lab_test_master</t>
  </si>
  <si>
    <t>1) Sign in to Supabase as the Hospital B admin using the anon key (RLS active) 2) Select every row from lab_test_master 3) Compare each hospital_id against Hospital A’s id</t>
  </si>
  <si>
    <t>Zero rows returned carry Hospital A’s hospital_id. RLS filters lab_test_master by get_user_hospital_id(), so a Hospital B session sees only Hospital B rows.</t>
  </si>
  <si>
    <t>Lab, OPD, Billing</t>
  </si>
  <si>
    <t>A leaked test catalogue exposes fees, and a test ordered against another tenant’s row produces a result nobody can report against.</t>
  </si>
  <si>
    <t>lab_test_master read through an authenticated anon client as the Hospital B admin → no row has hospital_id = Hospital A. The service key is NOT used here because it bypasses RLS and would pass on a wide-open table.</t>
  </si>
  <si>
    <t>TC-P2K-008</t>
  </si>
  <si>
    <t>Lab test groups: Hospital B cannot read any Hospital A row in lab_test_groups</t>
  </si>
  <si>
    <t>1) Sign in to Supabase as the Hospital B admin using the anon key (RLS active) 2) Select every row from lab_test_groups 3) Compare each hospital_id against Hospital A’s id</t>
  </si>
  <si>
    <t>Zero rows returned carry Hospital A’s hospital_id. RLS filters lab_test_groups by get_user_hospital_id(), so a Hospital B session sees only Hospital B rows.</t>
  </si>
  <si>
    <t>Panel package rates are the discounted end of the tariff. They are the numbers a hospital least wants a rival to hold.</t>
  </si>
  <si>
    <t>lab_test_groups read through an authenticated anon client as the Hospital B admin → no row has hospital_id = Hospital A. The service key is NOT used here because it bypasses RLS and would pass on a wide-open table.</t>
  </si>
  <si>
    <t>TC-P2K-009</t>
  </si>
  <si>
    <t>Radiology modalities: Hospital B cannot read any Hospital A row in radiology_modalities</t>
  </si>
  <si>
    <t>1) Sign in to Supabase as the Hospital B admin using the anon key (RLS active) 2) Select every row from radiology_modalities 3) Compare each hospital_id against Hospital A’s id</t>
  </si>
  <si>
    <t>Zero rows returned carry Hospital A’s hospital_id. RLS filters radiology_modalities by get_user_hospital_id(), so a Hospital B session sees only Hospital B rows.</t>
  </si>
  <si>
    <t>A leaked modality could route a study to a machine in another building belonging to another company.</t>
  </si>
  <si>
    <t>radiology_modalities read through an authenticated anon client as the Hospital B admin → no row has hospital_id = Hospital A. The service key is NOT used here because it bypasses RLS and would pass on a wide-open table.</t>
  </si>
  <si>
    <t>TC-P2K-010</t>
  </si>
  <si>
    <t>Radiology studies: Hospital B cannot read any Hospital A row in radiology_study_master</t>
  </si>
  <si>
    <t>1) Sign in to Supabase as the Hospital B admin using the anon key (RLS active) 2) Select every row from radiology_study_master 3) Compare each hospital_id against Hospital A’s id</t>
  </si>
  <si>
    <t>Zero rows returned carry Hospital A’s hospital_id. RLS filters radiology_study_master by get_user_hospital_id(), so a Hospital B session sees only Hospital B rows.</t>
  </si>
  <si>
    <t>Study fees are tariff data, and an MRI at ₹8,500 ordered against the wrong tenant’s row bills the wrong hospital.</t>
  </si>
  <si>
    <t>radiology_study_master read through an authenticated anon client as the Hospital B admin → no row has hospital_id = Hospital A. The service key is NOT used here because it bypasses RLS and would pass on a wide-open table.</t>
  </si>
  <si>
    <t>TC-P2K-011</t>
  </si>
  <si>
    <t>Payers and TPAs: Hospital B cannot read any Hospital A row in payer_masters</t>
  </si>
  <si>
    <t>1) Sign in to Supabase as the Hospital B admin using the anon key (RLS active) 2) Select every row from payer_masters 3) Compare each hospital_id against Hospital A’s id</t>
  </si>
  <si>
    <t>Zero rows returned carry Hospital A’s hospital_id. RLS filters payer_masters by get_user_hospital_id(), so a Hospital B session sees only Hospital B rows.</t>
  </si>
  <si>
    <t>Payer rows hold negotiated discount percentages and ceilings — the specific commercial terms a hospital agreed with each insurer.</t>
  </si>
  <si>
    <t>payer_masters read through an authenticated anon client as the Hospital B admin → no row has hospital_id = Hospital A. The service key is NOT used here because it bypasses RLS and would pass on a wide-open table.</t>
  </si>
  <si>
    <t>TC-P2K-012</t>
  </si>
  <si>
    <t>Configuration values: Hospital B cannot read any Hospital A row in hospital_config_values</t>
  </si>
  <si>
    <t>1) Sign in to Supabase as the Hospital B admin using the anon key (RLS active) 2) Select every row from hospital_config_values 3) Compare each hospital_id against Hospital A’s id</t>
  </si>
  <si>
    <t>Zero rows returned carry Hospital A’s hospital_id. RLS filters hospital_config_values by get_user_hospital_id(), so a Hospital B session sees only Hospital B rows.</t>
  </si>
  <si>
    <t>Config values feed most dropdowns in the product. A cross-tenant leak would show another hospital’s option lists in this hospital’s forms.</t>
  </si>
  <si>
    <t>hospital_config_values read through an authenticated anon client as the Hospital B admin → no row has hospital_id = Hospital A. The service key is NOT used here because it bypasses RLS and would pass on a wide-open table.</t>
  </si>
  <si>
    <t>TC-P2K-013</t>
  </si>
  <si>
    <t>Shifts: Hospital B cannot read any Hospital A row in shift_master</t>
  </si>
  <si>
    <t>1) Sign in to Supabase as the Hospital B admin using the anon key (RLS active) 2) Select every row from shift_master 3) Compare each hospital_id against Hospital A’s id</t>
  </si>
  <si>
    <t>Zero rows returned carry Hospital A’s hospital_id. RLS filters shift_master by get_user_hospital_id(), so a Hospital B session sees only Hospital B rows.</t>
  </si>
  <si>
    <t>Staff, Nursing</t>
  </si>
  <si>
    <t>Shift definitions are HR data and drive duty rosters. A leak both exposes the roster and risks scheduling staff against another hospital’s shift.</t>
  </si>
  <si>
    <t>shift_master read through an authenticated anon client as the Hospital B admin → no row has hospital_id = Hospital A. The service key is NOT used here because it bypasses RLS and would pass on a wide-open table.</t>
  </si>
  <si>
    <t>TC-P2K-014</t>
  </si>
  <si>
    <t>Clinical protocols: Hospital B cannot read any Hospital A row in clinical_protocols</t>
  </si>
  <si>
    <t>1) Sign in to Supabase as the Hospital B admin using the anon key (RLS active) 2) Select every row from clinical_protocols 3) Compare each hospital_id against Hospital A’s id</t>
  </si>
  <si>
    <t>Zero rows returned carry Hospital A’s hospital_id. RLS filters clinical_protocols by get_user_hospital_id(), so a Hospital B session sees only Hospital B rows.</t>
  </si>
  <si>
    <t>OPD, IPD, Quality</t>
  </si>
  <si>
    <t>A protocol is a clinical instruction. Applying another hospital’s protocol means treating a patient by rules the treating clinicians never agreed to.</t>
  </si>
  <si>
    <t>clinical_protocols read through an authenticated anon client as the Hospital B admin → no row has hospital_id = Hospital A. The service key is NOT used here because it bypasses RLS and would pass on a wide-open table.</t>
  </si>
  <si>
    <t>TC-P2K-015</t>
  </si>
  <si>
    <t>Hospital settings key/value: Hospital B cannot read any Hospital A row in hospital_settings</t>
  </si>
  <si>
    <t>1) Sign in to Supabase as the Hospital B admin using the anon key (RLS active) 2) Select every row from hospital_settings 3) Compare each hospital_id against Hospital A’s id</t>
  </si>
  <si>
    <t>Zero rows returned carry Hospital A’s hospital_id. RLS filters hospital_settings by get_user_hospital_id(), so a Hospital B session sees only Hospital B rows.</t>
  </si>
  <si>
    <t>This table now holds notification routing, language and region, discount rules and ancillary payment config. A leak exposes a hospital’s entire operating configuration in one query.</t>
  </si>
  <si>
    <t>hospital_settings read through an authenticated anon client as the Hospital B admin → no row has hospital_id = Hospital A. The service key is NOT used here because it bypasses RLS and would pass on a wide-open table.</t>
  </si>
  <si>
    <t>TC-P2K-016</t>
  </si>
  <si>
    <t>Staff records: Hospital B cannot read any Hospital A row in users</t>
  </si>
  <si>
    <t>1) Sign in to Supabase as the Hospital B admin using the anon key (RLS active) 2) Select every row from users 3) Compare each hospital_id against Hospital A’s id</t>
  </si>
  <si>
    <t>Zero rows returned carry Hospital A’s hospital_id. RLS filters users by get_user_hospital_id(), so a Hospital B session sees only Hospital B rows.</t>
  </si>
  <si>
    <t>Staff, RBAC, HR</t>
  </si>
  <si>
    <t>Staff rows are personal data under the DPDP Act 2023. A cross-tenant leak of names, emails and phone numbers is a reportable personal-data breach.</t>
  </si>
  <si>
    <t>users read through an authenticated anon client as the Hospital B admin → no row has hospital_id = Hospital A. The service key is NOT used here because it bypasses RLS and would pass on a wide-open table.</t>
  </si>
  <si>
    <t>TC-P2K-017</t>
  </si>
  <si>
    <t>Doctor schedules: Hospital B cannot read any Hospital A row in doctor_schedules</t>
  </si>
  <si>
    <t>1) Sign in to Supabase as the Hospital B admin using the anon key (RLS active) 2) Select every row from doctor_schedules 3) Compare each hospital_id against Hospital A’s id</t>
  </si>
  <si>
    <t>Zero rows returned carry Hospital A’s hospital_id. RLS filters doctor_schedules by get_user_hospital_id(), so a Hospital B session sees only Hospital B rows.</t>
  </si>
  <si>
    <t>A leaked schedule would offer a patient an appointment slot with a doctor who does not work at the hospital they are booking into.</t>
  </si>
  <si>
    <t>doctor_schedules read through an authenticated anon client as the Hospital B admin → no row has hospital_id = Hospital A. The service key is NOT used here because it bypasses RLS and would pass on a wide-open table.</t>
  </si>
  <si>
    <t>TC-P2K-018</t>
  </si>
  <si>
    <t>Store locations: Hospital B cannot read any Hospital A row in store_locations</t>
  </si>
  <si>
    <t>1) Sign in to Supabase as the Hospital B admin using the anon key (RLS active) 2) Select every row from store_locations 3) Compare each hospital_id against Hospital A’s id</t>
  </si>
  <si>
    <t>Zero rows returned carry Hospital A’s hospital_id. RLS filters store_locations by get_user_hospital_id(), so a Hospital B session sees only Hospital B rows.</t>
  </si>
  <si>
    <t>A leaked store makes another hospital’s store a transfer destination, so stock could be issued out of the building entirely.</t>
  </si>
  <si>
    <t>store_locations read through an authenticated anon client as the Hospital B admin → no row has hospital_id = Hospital A. The service key is NOT used here because it bypasses RLS and would pass on a wide-open table.</t>
  </si>
  <si>
    <t>TC-P2K-019</t>
  </si>
  <si>
    <t>Bank accounts: Hospital B cannot read any Hospital A row in bank_accounts</t>
  </si>
  <si>
    <t>1) Sign in to Supabase as the Hospital B admin using the anon key (RLS active) 2) Select every row from bank_accounts 3) Compare each hospital_id against Hospital A’s id</t>
  </si>
  <si>
    <t>Zero rows returned carry Hospital A’s hospital_id. RLS filters bank_accounts by get_user_hospital_id(), so a Hospital B session sees only Hospital B rows.</t>
  </si>
  <si>
    <t>Bank account numbers and IFSC codes are financial credentials. Cross-tenant visibility of them is the most serious leak on this list.</t>
  </si>
  <si>
    <t>bank_accounts read through an authenticated anon client as the Hospital B admin → no row has hospital_id = Hospital A. The service key is NOT used here because it bypasses RLS and would pass on a wide-open table.</t>
  </si>
  <si>
    <t>TC-P2K-020</t>
  </si>
  <si>
    <t>Health packages: Hospital B cannot read any Hospital A row in health_packages</t>
  </si>
  <si>
    <t>1) Sign in to Supabase as the Hospital B admin using the anon key (RLS active) 2) Select every row from health_packages 3) Compare each hospital_id against Hospital A’s id</t>
  </si>
  <si>
    <t>Zero rows returned carry Hospital A’s hospital_id. RLS filters health_packages by get_user_hospital_id(), so a Hospital B session sees only Hospital B rows.</t>
  </si>
  <si>
    <t>Package pricing is the advertised end of the tariff and the most directly competitive number a hospital publishes.</t>
  </si>
  <si>
    <t>health_packages read through an authenticated anon client as the Hospital B admin → no row has hospital_id = Hospital A. The service key is NOT used here because it bypasses RLS and would pass on a wide-open table.</t>
  </si>
  <si>
    <t>TC-P2K-021</t>
  </si>
  <si>
    <t>The Departments screen shows Hospital B only its own departments</t>
  </si>
  <si>
    <t>1) Log in as the Hospital B admin 2) Open /settings/departments 3) Read every department name rendered</t>
  </si>
  <si>
    <t>Only Hospital B departments render. None of Hospital A’s eight seeded departments appears on the page.</t>
  </si>
  <si>
    <t>MOCK_DATA_BOOK Departments — the eight Hospital A rows, and Hospital B’s own set</t>
  </si>
  <si>
    <t>RLS at the database is only half the guarantee. This case proves the rendered screen agrees with it, which is what an auditor is shown during a DPDP assessment.</t>
  </si>
  <si>
    <t>departments where hospital_id = B → matches exactly the names rendered on /settings/departments</t>
  </si>
  <si>
    <t>TC-P2K-022</t>
  </si>
  <si>
    <t>The Wards screen shows Hospital B only its own wards and rates</t>
  </si>
  <si>
    <t>1) Log in as the Hospital B admin 2) Open /settings/wards 3) Read every ward name and rate rendered</t>
  </si>
  <si>
    <t>Only Hospital B wards render. Hospital A’s General Ward, Semi-Private, Private Room, ICU and Nephrology Ward do not appear, and neither do their rates.</t>
  </si>
  <si>
    <t>MOCK_DATA_BOOK Wards — the Hospital A set with rates from ₹1,200 to ₹6,500</t>
  </si>
  <si>
    <t>Ward rates are the visible face of the tariff. A rival admin reading them on screen is the leak that matters commercially, whatever the database says.</t>
  </si>
  <si>
    <t>wards where hospital_id = B → matches exactly the rows rendered on /settings/wards</t>
  </si>
  <si>
    <t>TC-P2K-023</t>
  </si>
  <si>
    <t>The Services screen shows Hospital B only its own tariff</t>
  </si>
  <si>
    <t>1) Log in as the Hospital B admin 2) Open /settings/services 3) Search for a service code that exists only in Hospital A, such as CONS-SPL</t>
  </si>
  <si>
    <t>The search returns nothing. Hospital A’s Specialist Consultation at ₹800 is not reachable from a Hospital B session.</t>
  </si>
  <si>
    <t>MOCK_DATA_BOOK Services — CONS-SPL Specialist Consultation ₹800 (Hospital A)</t>
  </si>
  <si>
    <t>Searching by a known code is how a leak would actually be exploited — not by browsing the list but by asking for a specific competitor price.</t>
  </si>
  <si>
    <t>service_master where hospital_id = B and code = CONS-SPL → zero rows</t>
  </si>
  <si>
    <t>TC-P2K-024</t>
  </si>
  <si>
    <t>A department created in Hospital B never appears in Hospital A</t>
  </si>
  <si>
    <t>1) Log in as the Hospital B admin 2) Open /settings/departments and create a department named QA Isolation Probe 3) Log out 4) Log in as the Hospital A admin 5) Open /settings/departments and search for QA Isolation Probe</t>
  </si>
  <si>
    <t>Hospital A does not show QA Isolation Probe. The row exists in departments with hospital_id = B and with no Hospital A copy.</t>
  </si>
  <si>
    <t>Purpose-built probe row — QA Isolation Probe</t>
  </si>
  <si>
    <t>This is isolation proven in the direction a leak would actually travel — a write in one tenant becoming visible in the other. A read-only check cannot catch a write that sets the wrong hospital_id.</t>
  </si>
  <si>
    <t>departments where name = QA Isolation Probe → exactly one row, hospital_id = B</t>
  </si>
  <si>
    <t>TC-P2K-025</t>
  </si>
  <si>
    <t>An anonymous client cannot read hospital_settings</t>
  </si>
  <si>
    <t>1) Create a Supabase client with the anon key and no session 2) Select from hospital_settings 3) Read the response</t>
  </si>
  <si>
    <t>Zero rows, or an RLS error. An unauthenticated caller reads nothing.</t>
  </si>
  <si>
    <t>None — this case deliberately carries no credentials</t>
  </si>
  <si>
    <t>hospital_settings now holds notification routing, language and region, discount rules and ancillary payment config. Anonymous read access would publish every tenant’s operating configuration to the internet.</t>
  </si>
  <si>
    <t>Anonymous (no session)</t>
  </si>
  <si>
    <t>hospital_settings selected through an anon client with no session → zero rows or an RLS error</t>
  </si>
  <si>
    <t>TC-P2K-026</t>
  </si>
  <si>
    <t>An anonymous client cannot read the users table</t>
  </si>
  <si>
    <t>1) Create a Supabase client with the anon key and no session 2) Select from users 3) Read the response</t>
  </si>
  <si>
    <t>Zero rows, or an RLS error. No staff name, email or phone number is returned.</t>
  </si>
  <si>
    <t>Staff rows are personal data under the DPDP Act 2023. Anonymous readability would be a reportable breach affecting every hospital on the platform at once, not just one tenant.</t>
  </si>
  <si>
    <t>users selected through an anon client with no session → zero rows or an RLS error</t>
  </si>
  <si>
    <t>TC-P2K-027</t>
  </si>
  <si>
    <t>A forged hospital_id on insert is refused or rewritten</t>
  </si>
  <si>
    <t>1) Sign in through the anon key as the Hospital B admin 2) Insert a department carrying Hospital A’s hospital_id 3) Re-read that row from departments with the service key</t>
  </si>
  <si>
    <t>The insert is refused by the RLS WITH CHECK policy. If it is accepted, the stored row must carry Hospital B’s hospital_id, never the forged one.</t>
  </si>
  <si>
    <t>Purpose-built probe row — QA Forged Tenant Probe</t>
  </si>
  <si>
    <t>Multi-tenancy</t>
  </si>
  <si>
    <t>Reading is the obvious attack; writing is the damaging one. A row planted into another tenant with a forged hospital_id would appear to that hospital as its own configuration.</t>
  </si>
  <si>
    <t>departments where name = QA Forged Tenant Probe → either zero rows, or one row whose hospital_id is B and not A</t>
  </si>
  <si>
    <t>TC-P2K-028</t>
  </si>
  <si>
    <t>A cross-tenant update is refused, so Hospital A rows cannot be edited from Hospital B</t>
  </si>
  <si>
    <t>1) Sign in through the anon key as the Hospital B admin 2) Attempt to update a Hospital A ward’s rate_per_day to 1 3) Re-read that ward from wards with the service key</t>
  </si>
  <si>
    <t>No Hospital A row is modified. The ward keeps its original rate_per_day.</t>
  </si>
  <si>
    <t>MOCK_DATA_BOOK Wards — Hospital A Private Room at ₹4,500/day</t>
  </si>
  <si>
    <t>A cross-tenant update is worse than a read: setting a rival’s room rate to ₹1 would destroy their revenue silently and look like their own misconfiguration.</t>
  </si>
  <si>
    <t>wards where hospital_id = A and name = Private Room → rate_per_day is unchanged at 4500</t>
  </si>
  <si>
    <t>TC-P2K-029</t>
  </si>
  <si>
    <t>doctor is refused the settings surface</t>
  </si>
  <si>
    <t>1) Log in as Dr. Suresh Menon (doctor, Hospital A) 2) Navigate directly to /settings 3) Navigate directly to /settings/wards, /settings/services, /settings/staff and /settings/roles 4) Observe each outcome</t>
  </si>
  <si>
    <t>Every route is refused — the user is redirected away or shown an access-denied surface. No settings form renders and no Save control is reachable.</t>
  </si>
  <si>
    <t>MOCK_DATA_BOOK Staff — Dr. Suresh Menon</t>
  </si>
  <si>
    <t>RBAC, all settings screens</t>
  </si>
  <si>
    <t>A doctor who can reach /settings/services can change what the hospital charges. Clinical authority is not commercial authority.</t>
  </si>
  <si>
    <t>None — this is a route-guard assertion in the browser. The database is not reached because the screen never renders.</t>
  </si>
  <si>
    <t>TC-P2K-030</t>
  </si>
  <si>
    <t>nurse is refused the settings surface</t>
  </si>
  <si>
    <t>1) Log in as Sr. Mary Thomas (nurse, Hospital A) 2) Navigate directly to /settings 3) Navigate directly to /settings/wards, /settings/services, /settings/staff and /settings/roles 4) Observe each outcome</t>
  </si>
  <si>
    <t>MOCK_DATA_BOOK Staff — Sr. Mary Thomas</t>
  </si>
  <si>
    <t>A nurse reaching /settings/wards could change bed configuration mid-shift, and the IPD census would stop matching the physical ward.</t>
  </si>
  <si>
    <t>TC-P2K-031</t>
  </si>
  <si>
    <t>receptionist is refused the settings surface</t>
  </si>
  <si>
    <t>1) Log in as Ms. Divya Sharma (receptionist, Hospital A) 2) Navigate directly to /settings 3) Navigate directly to /settings/wards, /settings/services, /settings/staff and /settings/roles 4) Observe each outcome</t>
  </si>
  <si>
    <t>MOCK_DATA_BOOK Staff — Ms. Divya Sharma</t>
  </si>
  <si>
    <t>The front desk handles money at the counter. Reaching /settings/approvals would let the same person both grant and take a discount.</t>
  </si>
  <si>
    <t>TC-P2K-032</t>
  </si>
  <si>
    <t>pharmacist is refused the settings surface</t>
  </si>
  <si>
    <t>1) Log in as Mr. Imran Khan (pharmacist, Hospital A) 2) Navigate directly to /settings 3) Navigate directly to /settings/wards, /settings/services, /settings/staff and /settings/roles 4) Observe each outcome</t>
  </si>
  <si>
    <t>MOCK_DATA_BOOK Staff — Mr. Imran Khan</t>
  </si>
  <si>
    <t>A pharmacist reaching /settings/drugs could alter the formulary and the stock rules that constrain their own dispensing.</t>
  </si>
  <si>
    <t>pharmacist (Hospital A)</t>
  </si>
  <si>
    <t>TC-P2K-033</t>
  </si>
  <si>
    <t>lab_technician is refused the settings surface</t>
  </si>
  <si>
    <t>1) Log in as Mr. Naveen Kumar (lab_technician, Hospital A) 2) Navigate directly to /settings 3) Navigate directly to /settings/wards, /settings/services, /settings/staff and /settings/roles 4) Observe each outcome</t>
  </si>
  <si>
    <t>MOCK_DATA_BOOK Staff — Mr. Naveen Kumar</t>
  </si>
  <si>
    <t>A technician reaching /settings/lab-tests could change a reference range, and a changed range silently switches critical alerts off.</t>
  </si>
  <si>
    <t>TC-P2K-034</t>
  </si>
  <si>
    <t>lab_tech is refused the settings surface</t>
  </si>
  <si>
    <t>1) Log in as Ms. Sneha Patil (lab_tech, Hospital A) 2) Navigate directly to /settings 3) Navigate directly to /settings/wards, /settings/services, /settings/staff and /settings/roles 4) Observe each outcome</t>
  </si>
  <si>
    <t>MOCK_DATA_BOOK Staff — Ms. Sneha Patil</t>
  </si>
  <si>
    <t>Both lab_tech and lab_technician exist in the enum. If only one is guarded, the unguarded spelling is a permanent open door.</t>
  </si>
  <si>
    <t>lab_tech (Hospital A)</t>
  </si>
  <si>
    <t>TC-P2K-035</t>
  </si>
  <si>
    <t>radiologist is refused the settings surface</t>
  </si>
  <si>
    <t>1) Log in as Dr. Anil Verma (radiologist, Hospital A) 2) Navigate directly to /settings 3) Navigate directly to /settings/wards, /settings/services, /settings/staff and /settings/roles 4) Observe each outcome</t>
  </si>
  <si>
    <t>MOCK_DATA_BOOK Staff — Dr. Anil Verma</t>
  </si>
  <si>
    <t>A radiologist reaching /settings/radiology could change study fees, and PCPNDT settings are a legal register that no clinician edits unilaterally.</t>
  </si>
  <si>
    <t>radiologist (Hospital A)</t>
  </si>
  <si>
    <t>TC-P2K-036</t>
  </si>
  <si>
    <t>billing_executive is refused the settings surface</t>
  </si>
  <si>
    <t>1) Log in as Billing executive (Hospital A) (billing_executive, Hospital A) 2) Navigate directly to /settings 3) Navigate directly to /settings/wards, /settings/services, /settings/staff and /settings/roles 4) Observe each outcome</t>
  </si>
  <si>
    <t>MOCK_DATA_BOOK Staff — Billing executive (Hospital A)</t>
  </si>
  <si>
    <t>Billing staff raise the bills. Letting them edit the tariff removes the separation between setting a price and charging it.</t>
  </si>
  <si>
    <t>TC-P2K-037</t>
  </si>
  <si>
    <t>billing_staff is refused the settings surface</t>
  </si>
  <si>
    <t>1) Log in as Billing staff (Hospital A) (billing_staff, Hospital A) 2) Navigate directly to /settings 3) Navigate directly to /settings/wards, /settings/services, /settings/staff and /settings/roles 4) Observe each outcome</t>
  </si>
  <si>
    <t>MOCK_DATA_BOOK Staff — Billing staff (Hospital A)</t>
  </si>
  <si>
    <t>billing_staff and billing_executive are separate enum values. A guard written for one and not the other leaves a role that looks restricted and is not.</t>
  </si>
  <si>
    <t>billing_staff (Hospital A)</t>
  </si>
  <si>
    <t>TC-P2K-038</t>
  </si>
  <si>
    <t>accountant is refused the settings surface</t>
  </si>
  <si>
    <t>1) Log in as Accountant (Hospital A) (accountant, Hospital A) 2) Navigate directly to /settings 3) Navigate directly to /settings/wards, /settings/services, /settings/staff and /settings/roles 4) Observe each outcome</t>
  </si>
  <si>
    <t>MOCK_DATA_BOOK Staff — Accountant (Hospital A)</t>
  </si>
  <si>
    <t>An accountant reaching /settings/bank-accounts could redirect settlement to a different account — the most direct financial fraud path in the product.</t>
  </si>
  <si>
    <t>TC-P2K-039</t>
  </si>
  <si>
    <t>cfo is refused the settings surface</t>
  </si>
  <si>
    <t>1) Log in as CFO (Hospital A) (cfo, Hospital A) 2) Navigate directly to /settings 3) Navigate directly to /settings/wards, /settings/services, /settings/staff and /settings/roles 4) Observe each outcome</t>
  </si>
  <si>
    <t>MOCK_DATA_BOOK Staff — CFO (Hospital A)</t>
  </si>
  <si>
    <t>Seniority is not the same as administration. A CFO with settings access can change the tariff and the approval rules that are meant to constrain them.</t>
  </si>
  <si>
    <t>cfo (Hospital A)</t>
  </si>
  <si>
    <t>TC-P2K-040</t>
  </si>
  <si>
    <t>hr_manager is refused the settings surface</t>
  </si>
  <si>
    <t>1) Log in as HR manager (Hospital A) (hr_manager, Hospital A) 2) Navigate directly to /settings 3) Navigate directly to /settings/wards, /settings/services, /settings/staff and /settings/roles 4) Observe each outcome</t>
  </si>
  <si>
    <t>MOCK_DATA_BOOK Staff — HR manager (Hospital A)</t>
  </si>
  <si>
    <t>HR legitimately manages people, but /settings/roles assigns application permissions. Letting HR grant roles means HR can grant itself anything.</t>
  </si>
  <si>
    <t>hr_manager (Hospital A)</t>
  </si>
  <si>
    <t>TC-P2K-041</t>
  </si>
  <si>
    <t>insurance_executive is refused the settings surface</t>
  </si>
  <si>
    <t>1) Log in as Insurance executive (Hospital A) (insurance_executive, Hospital A) 2) Navigate directly to /settings 3) Navigate directly to /settings/wards, /settings/services, /settings/staff and /settings/roles 4) Observe each outcome</t>
  </si>
  <si>
    <t>MOCK_DATA_BOOK Staff — Insurance executive (Hospital A)</t>
  </si>
  <si>
    <t>An insurance executive reaching /settings/payer-masters could change the negotiated discount and ceiling terms they are supposed to work within.</t>
  </si>
  <si>
    <t>insurance_executive (Hospital A)</t>
  </si>
  <si>
    <t>TC-P2K-042</t>
  </si>
  <si>
    <t>mrd_officer is refused the settings surface</t>
  </si>
  <si>
    <t>1) Log in as MRD officer (Hospital A) (mrd_officer, Hospital A) 2) Navigate directly to /settings 3) Navigate directly to /settings/wards, /settings/services, /settings/staff and /settings/roles 4) Observe each outcome</t>
  </si>
  <si>
    <t>MOCK_DATA_BOOK Staff — MRD officer (Hospital A)</t>
  </si>
  <si>
    <t>Records custody is not configuration authority. /settings/record-retention decides how long records live, which is exactly the control MRD is audited against.</t>
  </si>
  <si>
    <t>TC-P2K-043</t>
  </si>
  <si>
    <t>hospital_admin reaches all fifty settings routes, so the guard is not simply blocking everyone</t>
  </si>
  <si>
    <t>1) Log in as the Hospital A admin 2) Visit each of the fifty /settings/* routes in the catalogue 3) Confirm each renders its own screen rather than a denial</t>
  </si>
  <si>
    <t>All fifty routes render. None redirects and none shows an access-denied surface.</t>
  </si>
  <si>
    <t>src/lib/settingsCatalog.ts — the fifty routable settings screens</t>
  </si>
  <si>
    <t>A negative RBAC suite proves nothing on its own — a guard that denies everybody would pass all fourteen refusal cases. This is the control that makes those cases meaningful.</t>
  </si>
  <si>
    <t>None — this is a route-guard assertion in the browser across the full catalogue.</t>
  </si>
  <si>
    <t>TC-P2K-044</t>
  </si>
  <si>
    <t>The refusal is a real route guard, not merely a hidden sidebar link</t>
  </si>
  <si>
    <t>1) Log in as Dr. Suresh Menon (doctor, Hospital A) 2) Confirm no Settings entry appears in the sidebar 3) Type /settings/wards straight into the address bar 4) Observe the outcome</t>
  </si>
  <si>
    <t>The deep link is refused exactly as the hidden link implies. The wards form never renders.</t>
  </si>
  <si>
    <t>RBAC, Wards</t>
  </si>
  <si>
    <t>Hiding a nav item is presentation, not security. A user who has ever seen the URL — or simply guesses it — bypasses a hidden link in one keystroke, so the guard has to live on the route.</t>
  </si>
  <si>
    <t>None — this is a route-guard assertion in the browser against a directly typed URL.</t>
  </si>
  <si>
    <t>TC-P2K-045</t>
  </si>
  <si>
    <t>hospital_settings has no per-role RLS, so the route guard is the only gate — documented and asserted</t>
  </si>
  <si>
    <t>1) Sign in through the anon key as Dr. Suresh Menon (doctor, Hospital A) 2) Select from hospital_settings 3) Read what comes back</t>
  </si>
  <si>
    <t>The doctor session reads Hospital A rows, because the policy is tenant-scoped and not role-scoped. No Hospital B row is returned. This is the known and accepted design, and the finding is that /settings route guards are the ONLY control preventing a non-admin from writing these keys.</t>
  </si>
  <si>
    <t>All modules, Multi-tenancy</t>
  </si>
  <si>
    <t>SettingsIPDAncillaryPaymentPage carries this security note and every fix in this phase inherits it. Writing the finding down as a passing test is what stops it being rediscovered as a surprise during a security review — the containment is the route guard, so if that guard ever regresses, this becomes a real vulnerability rather than an accepted design.</t>
  </si>
  <si>
    <t>hospital_settings read through an authenticated anon client as a doctor → Hospital A rows are readable, zero Hospital B rows. Tenant-scoped, not role-scoped.</t>
  </si>
  <si>
    <t>TC-P2K-046</t>
  </si>
  <si>
    <t>No non-admin route reaches a hospital_settings write, so the containment holds in the UI</t>
  </si>
  <si>
    <t>1) Log in as Dr. Suresh Menon (doctor, Hospital A) 2) Attempt the four routes that write hospital_settings — /settings/notifications, /settings/language, /settings/approvals and /settings/ipd-ancillary-payment 3) Observe each outcome</t>
  </si>
  <si>
    <t>All four are refused. No Save control is reachable, so no hospital_settings write can be initiated from a non-admin session through the product.</t>
  </si>
  <si>
    <t>Notifications, Language, Approvals, IPD ancillary payment</t>
  </si>
  <si>
    <t>This is the other half of the finding above. The database will accept the write; the route guard is what prevents it ever being asked for, so the guard has to be proven on every writing route rather than assumed.</t>
  </si>
  <si>
    <t>None — this is a route-guard assertion in the browser across the four hospital_settings writers.</t>
  </si>
  <si>
    <t>TC-P2K-047</t>
  </si>
  <si>
    <t>Hospital B cannot read Hospital A hospital_settings keys</t>
  </si>
  <si>
    <t>1) Sign in through the anon key as the Hospital B admin 2) Select key and value from hospital_settings 3) Check every returned row against Hospital A’s id</t>
  </si>
  <si>
    <t>No Hospital A row is returned. Hospital A’s notification_config and language_region are not visible to Hospital B.</t>
  </si>
  <si>
    <t>MOCK_DATA_BOOK Phase 2 additions — notification_config and language_region for Hospital A</t>
  </si>
  <si>
    <t>Notifications, Language, Multi-tenancy</t>
  </si>
  <si>
    <t>The two screens fixed in this phase both write here. A fix that persists correctly but leaks across tenants would have traded a silent no-op for a data breach, which is the worse outcome of the two.</t>
  </si>
  <si>
    <t>hospital_settings read through an authenticated anon client as the Hospital B admin → no row has hospital_id = Hospital A</t>
  </si>
  <si>
    <t>TC-P2K-048</t>
  </si>
  <si>
    <t>The sidebar hides Settings for a non-admin, so the refusal is not a dead end the user keeps hitting</t>
  </si>
  <si>
    <t>1) Log in as Sr. Mary Thomas (nurse, Hospital A) 2) Open /dashboard and read the sidebar 3) Confirm no Settings entry is present 4) Log in as the Hospital A admin and confirm it is</t>
  </si>
  <si>
    <t>The nurse sees no Settings entry. The admin does. Navigation matches permission in both directions.</t>
  </si>
  <si>
    <t>MOCK_DATA_BOOK Staff — Sr. Mary Thomas and Dr. Ravi Shankar</t>
  </si>
  <si>
    <t>RBAC, Navigation</t>
  </si>
  <si>
    <t>The route guard is the security control; hiding the link is the usability half. Showing a nurse a Settings entry that always refuses trains staff to ignore access-denied messages, which is how a real one gets missed.</t>
  </si>
  <si>
    <t>None — this asserts rendered navigation, not stored data.</t>
  </si>
  <si>
    <t>TC-P2L-001</t>
  </si>
  <si>
    <t>2L Full-tenant sweep</t>
  </si>
  <si>
    <t>Sweep step 1 of 50 — Hospital Profile is configured and holds</t>
  </si>
  <si>
    <t>1) Open /settings/profile as the Hospital A admin 2) Confirm the screen renders its own heading rather than a denial or an empty state 3) Confirm the configuration entered in the earlier sections is present and stored in hospitals 4) Continue the sweep without reloading the session</t>
  </si>
  <si>
    <t>Hospital Profile renders and hospitals holds at least one Hospital A row carrying the swept configuration. The value survives the rest of the sweep unchanged.</t>
  </si>
  <si>
    <t>mock-data.json phase2.entry["/settings/profile"] — the seeded entry block for this screen</t>
  </si>
  <si>
    <t>All modules — this is the commissioning pass</t>
  </si>
  <si>
    <t>Sections 2B-2K complete — this sweep runs last and re-proves the tenant end to end</t>
  </si>
  <si>
    <t>Nothing else can be commissioned until the tenant knows its own name, address, state and GSTIN. The state code drives CGST/SGST versus IGST on every invoice the hospital will ever raise. Sweep position matters: sections 2B-2I prove this screen in isolation with its own prerequisite satisfied, whereas this case proves it in dependency order, which is the only way to catch a screen that works solely because an earlier section left data behind.</t>
  </si>
  <si>
    <t>hospitals where hospital_id = A → at least one row, matching what /settings/profile renders</t>
  </si>
  <si>
    <t>e2e/phase-02-settings/P2L.tenant-sweep.spec.ts</t>
  </si>
  <si>
    <t>TC-P2L-002</t>
  </si>
  <si>
    <t>Sweep step 2 of 50 — Branding is configured and holds</t>
  </si>
  <si>
    <t>1) Open /settings/branding as the Hospital A admin 2) Confirm the screen renders its own heading rather than a denial or an empty state 3) Confirm the configuration entered in the earlier sections is present and stored in hospitals 4) Continue the sweep without reloading the session</t>
  </si>
  <si>
    <t>Branding renders and hospitals holds at least one Hospital A row carrying the swept configuration. The value survives the rest of the sweep unchanged.</t>
  </si>
  <si>
    <t>mock-data.json phase2.entry["/settings/branding"] — the seeded entry block for this screen</t>
  </si>
  <si>
    <t>Branding is what a patient sees on a printed prescription and a discharge summary. An unbranded document is not obviously from this hospital at all. Sweep position matters: sections 2B-2I prove this screen in isolation with its own prerequisite satisfied, whereas this case proves it in dependency order, which is the only way to catch a screen that works solely because an earlier section left data behind.</t>
  </si>
  <si>
    <t>hospitals where hospital_id = A → at least one row, matching what /settings/branding renders</t>
  </si>
  <si>
    <t>TC-P2L-003</t>
  </si>
  <si>
    <t>Sweep step 3 of 50 — White-Label Branding is configured and holds</t>
  </si>
  <si>
    <t>1) Open /settings/white-label as the Hospital A admin 2) Confirm the screen renders its own heading rather than a denial or an empty state 3) Confirm the configuration entered in the earlier sections is present and stored in hospitals 4) Continue the sweep without reloading the session</t>
  </si>
  <si>
    <t>White-Label Branding renders and hospitals holds at least one Hospital A row carrying the swept configuration. The value survives the rest of the sweep unchanged.</t>
  </si>
  <si>
    <t>mock-data.json phase2.entry["/settings/white-label"] — the seeded entry block for this screen</t>
  </si>
  <si>
    <t>White-label is a paid entitlement. Sweeping it proves the plan gate opened for a tenant that bought it, rather than being blocked by an unrelated default. Sweep position matters: sections 2B-2I prove this screen in isolation with its own prerequisite satisfied, whereas this case proves it in dependency order, which is the only way to catch a screen that works solely because an earlier section left data behind.</t>
  </si>
  <si>
    <t>hospitals where hospital_id = A → at least one row, matching what /settings/white-label renders</t>
  </si>
  <si>
    <t>TC-P2L-004</t>
  </si>
  <si>
    <t>Sweep step 4 of 50 — Language &amp; Region is configured and holds</t>
  </si>
  <si>
    <t>1) Open /settings/language as the Hospital A admin 2) Confirm the screen renders its own heading rather than a denial or an empty state 3) Confirm the configuration entered in the earlier sections is present and stored in hospital_settings 4) Continue the sweep without reloading the session</t>
  </si>
  <si>
    <t>Language &amp; Region renders and hospital_settings holds at least one Hospital A row carrying the swept configuration. The value survives the rest of the sweep unchanged.</t>
  </si>
  <si>
    <t>mock-data.json phase2.entry["/settings/language"] — the seeded entry block for this screen</t>
  </si>
  <si>
    <t>This screen persisted nothing at all before BUG-P2-004. In a continuous sweep the regression would show as a hospital that silently reverts to US date and number formats on the next screen. Sweep position matters: sections 2B-2I prove this screen in isolation with its own prerequisite satisfied, whereas this case proves it in dependency order, which is the only way to catch a screen that works solely because an earlier section left data behind.</t>
  </si>
  <si>
    <t>hospital_settings where hospital_id = A → at least one row, matching what /settings/language renders</t>
  </si>
  <si>
    <t>TC-P2L-005</t>
  </si>
  <si>
    <t>Sweep step 5 of 50 — Support is configured and holds</t>
  </si>
  <si>
    <t>1) Open /settings/support as the Hospital A admin 2) Confirm the screen renders its own heading rather than a denial or an empty state 3) Confirm the configuration entered in the earlier sections is present and stored in platform_support_tickets 4) Continue the sweep without reloading the session</t>
  </si>
  <si>
    <t>Support renders and platform_support_tickets holds at least one Hospital A row carrying the swept configuration. The value survives the rest of the sweep unchanged.</t>
  </si>
  <si>
    <t>mock-data.json phase2.entry["/settings/support"] — the seeded entry block for this screen</t>
  </si>
  <si>
    <t>Support is the hospital’s only route to the vendor when something breaks in production. A tenant commissioned without it has no escalation path on day one. Sweep position matters: sections 2B-2I prove this screen in isolation with its own prerequisite satisfied, whereas this case proves it in dependency order, which is the only way to catch a screen that works solely because an earlier section left data behind.</t>
  </si>
  <si>
    <t>platform_support_tickets where hospital_id = A → at least one row, matching what /settings/support renders</t>
  </si>
  <si>
    <t>TC-P2L-006</t>
  </si>
  <si>
    <t>Sweep step 6 of 50 — Training Videos is configured and holds</t>
  </si>
  <si>
    <t>1) Open /settings/training as the Hospital A admin 2) Confirm the screen renders its own heading rather than a denial or an empty state 3) Read the state the sweep has produced so far 4) Continue the sweep without reloading the session</t>
  </si>
  <si>
    <t>Training Videos renders and reflects the tenant’s current state. It writes nothing, so nothing is asserted in the database beyond what earlier steps of the sweep stored.</t>
  </si>
  <si>
    <t>mock-data.json phase2.entry["/settings/training"] — the seeded entry block for this screen</t>
  </si>
  <si>
    <t>Read-only, but staff are trained from it before go-live. An empty training screen means the hospital goes live with untrained users, which produces bug reports that are really training gaps. Sweep position matters: sections 2B-2I prove this screen in isolation with its own prerequisite satisfied, whereas this case proves it in dependency order, which is the only way to catch a screen that works solely because an earlier section left data behind.</t>
  </si>
  <si>
    <t>None — this screen is read-only and writes nothing.</t>
  </si>
  <si>
    <t>TC-P2L-007</t>
  </si>
  <si>
    <t>Sweep step 7 of 50 — Plan &amp; Billing is configured and holds</t>
  </si>
  <si>
    <t>1) Open /settings/plan as the Hospital A admin 2) Confirm the screen renders its own heading rather than a denial or an empty state 3) Read the state the sweep has produced so far 4) Continue the sweep without reloading the session</t>
  </si>
  <si>
    <t>Plan &amp; Billing renders and reflects the tenant’s current state. It writes nothing, so nothing is asserted in the database beyond what earlier steps of the sweep stored.</t>
  </si>
  <si>
    <t>mock-data.json phase2.entry["/settings/plan"] — the seeded entry block for this screen</t>
  </si>
  <si>
    <t>The plan is the first of three stacked AI gates and the gate on every paid module. Reading it early in the sweep tells the tester which later screens are legitimately unavailable. Sweep position matters: sections 2B-2I prove this screen in isolation with its own prerequisite satisfied, whereas this case proves it in dependency order, which is the only way to catch a screen that works solely because an earlier section left data behind.</t>
  </si>
  <si>
    <t>TC-P2L-008</t>
  </si>
  <si>
    <t>Sweep step 8 of 50 — AI Features &amp; Attestation is configured and holds</t>
  </si>
  <si>
    <t>1) Open /settings/ai-features as the Hospital A admin 2) Confirm the screen renders its own heading rather than a denial or an empty state 3) Confirm the configuration entered in the earlier sections is present and stored in hospitals 4) Continue the sweep without reloading the session</t>
  </si>
  <si>
    <t>AI Features &amp; Attestation renders and hospitals holds at least one Hospital A row carrying the swept configuration. The value survives the rest of the sweep unchanged.</t>
  </si>
  <si>
    <t>mock-data.json phase2.entry["/settings/ai-features"] — the seeded entry block for this screen</t>
  </si>
  <si>
    <t>The second AI gate. Attestation is a clinical-governance record — the hospital stating it understands AI output is advisory — and it must exist before any AI feature is used on a patient. Sweep position matters: sections 2B-2I prove this screen in isolation with its own prerequisite satisfied, whereas this case proves it in dependency order, which is the only way to catch a screen that works solely because an earlier section left data behind.</t>
  </si>
  <si>
    <t>hospitals where hospital_id = A → at least one row, matching what /settings/ai-features renders</t>
  </si>
  <si>
    <t>TC-P2L-009</t>
  </si>
  <si>
    <t>Sweep step 9 of 50 — Departments is configured and holds</t>
  </si>
  <si>
    <t>1) Open /settings/departments as the Hospital A admin 2) Confirm the screen renders its own heading rather than a denial or an empty state 3) Confirm the configuration entered in the earlier sections is present and stored in departments 4) Continue the sweep without reloading the session</t>
  </si>
  <si>
    <t>Departments renders and departments holds at least one Hospital A row carrying the swept configuration. The value survives the rest of the sweep unchanged.</t>
  </si>
  <si>
    <t>mock-data.json phase2.entry["/settings/departments"] — the seeded entry block for this screen</t>
  </si>
  <si>
    <t>Departments come first in the structural block because staff, wards, services and the OPD queue all reference them. Commissioning them late means every later screen has an empty department picker. Sweep position matters: sections 2B-2I prove this screen in isolation with its own prerequisite satisfied, whereas this case proves it in dependency order, which is the only way to catch a screen that works solely because an earlier section left data behind.</t>
  </si>
  <si>
    <t>departments where hospital_id = A → at least one row, matching what /settings/departments renders</t>
  </si>
  <si>
    <t>TC-P2L-010</t>
  </si>
  <si>
    <t>Sweep step 10 of 50 — Wards &amp; Beds is configured and holds</t>
  </si>
  <si>
    <t>1) Open /settings/wards as the Hospital A admin 2) Confirm the screen renders its own heading rather than a denial or an empty state 3) Confirm the configuration entered in the earlier sections is present and stored in wards 4) Continue the sweep without reloading the session</t>
  </si>
  <si>
    <t>Wards &amp; Beds renders and wards holds at least one Hospital A row carrying the swept configuration. The value survives the rest of the sweep unchanged.</t>
  </si>
  <si>
    <t>mock-data.json phase2.entry["/settings/wards"] — the seeded entry block for this screen</t>
  </si>
  <si>
    <t>Wards carry rate_per_day, which is the first term in the room-charge precedence chain. A ward swept in without its rate silently under-bills every night of every admission. Sweep position matters: sections 2B-2I prove this screen in isolation with its own prerequisite satisfied, whereas this case proves it in dependency order, which is the only way to catch a screen that works solely because an earlier section left data behind.</t>
  </si>
  <si>
    <t>wards where hospital_id = A → at least one row, matching what /settings/wards renders</t>
  </si>
  <si>
    <t>TC-P2L-011</t>
  </si>
  <si>
    <t>Sweep step 11 of 50 — Shifts is configured and holds</t>
  </si>
  <si>
    <t>1) Open /settings/shifts as the Hospital A admin 2) Confirm the screen renders its own heading rather than a denial or an empty state 3) Confirm the configuration entered in the earlier sections is present and stored in shift_master 4) Continue the sweep without reloading the session</t>
  </si>
  <si>
    <t>Shifts renders and shift_master holds at least one Hospital A row carrying the swept configuration. The value survives the rest of the sweep unchanged.</t>
  </si>
  <si>
    <t>mock-data.json phase2.entry["/settings/shifts"] — the seeded entry block for this screen</t>
  </si>
  <si>
    <t>This screen wrote nothing before BUG-P2-002. Duty rosters depend on it, so in a sweep a regression shows as a hospital that cannot roster a single nurse. Sweep position matters: sections 2B-2I prove this screen in isolation with its own prerequisite satisfied, whereas this case proves it in dependency order, which is the only way to catch a screen that works solely because an earlier section left data behind.</t>
  </si>
  <si>
    <t>shift_master where hospital_id = A → at least one row, matching what /settings/shifts renders</t>
  </si>
  <si>
    <t>TC-P2L-012</t>
  </si>
  <si>
    <t>Sweep step 12 of 50 — Bank Accounts is configured and holds</t>
  </si>
  <si>
    <t>1) Open /settings/bank-accounts as the Hospital A admin 2) Confirm the screen renders its own heading rather than a denial or an empty state 3) Confirm the configuration entered in the earlier sections is present and stored in bank_accounts 4) Continue the sweep without reloading the session</t>
  </si>
  <si>
    <t>Bank Accounts renders and bank_accounts holds at least one Hospital A row carrying the swept configuration. The value survives the rest of the sweep unchanged.</t>
  </si>
  <si>
    <t>mock-data.json phase2.entry["/settings/bank-accounts"] — the seeded entry block for this screen</t>
  </si>
  <si>
    <t>Without a bank account there is no day-closure reconciliation, so cash differences go undetected from the very first day of operation. Sweep position matters: sections 2B-2I prove this screen in isolation with its own prerequisite satisfied, whereas this case proves it in dependency order, which is the only way to catch a screen that works solely because an earlier section left data behind.</t>
  </si>
  <si>
    <t>bank_accounts where hospital_id = A → at least one row, matching what /settings/bank-accounts renders</t>
  </si>
  <si>
    <t>TC-P2L-013</t>
  </si>
  <si>
    <t>Sweep step 13 of 50 — Configurable Dropdowns is configured and holds</t>
  </si>
  <si>
    <t>1) Open /settings/config-values as the Hospital A admin 2) Confirm the screen renders its own heading rather than a denial or an empty state 3) Confirm the configuration entered in the earlier sections is present and stored in hospital_config_values 4) Continue the sweep without reloading the session</t>
  </si>
  <si>
    <t>Configurable Dropdowns renders and hospital_config_values holds at least one Hospital A row carrying the swept configuration. The value survives the rest of the sweep unchanged.</t>
  </si>
  <si>
    <t>mock-data.json phase2.entry["/settings/config-values"] — the seeded entry block for this screen</t>
  </si>
  <si>
    <t>Twenty-three categories feed dropdowns across OPD, pharmacy and IPD. Sweeping them before the clinical screens is what stops those screens rendering empty pickers later in this same pass. Sweep position matters: sections 2B-2I prove this screen in isolation with its own prerequisite satisfied, whereas this case proves it in dependency order, which is the only way to catch a screen that works solely because an earlier section left data behind.</t>
  </si>
  <si>
    <t>hospital_config_values where hospital_id = A → at least one row, matching what /settings/config-values renders</t>
  </si>
  <si>
    <t>TC-P2L-014</t>
  </si>
  <si>
    <t>Sweep step 14 of 50 — Staff Members is configured and holds</t>
  </si>
  <si>
    <t>1) Open /settings/staff as the Hospital A admin 2) Confirm the screen renders its own heading rather than a denial or an empty state 3) Confirm the configuration entered in the earlier sections is present and stored in users 4) Continue the sweep without reloading the session</t>
  </si>
  <si>
    <t>Staff Members renders and users holds at least one Hospital A row carrying the swept configuration. The value survives the rest of the sweep unchanged.</t>
  </si>
  <si>
    <t>mock-data.json phase2.entry["/settings/staff"] — the seeded entry block for this screen</t>
  </si>
  <si>
    <t>Staff come after departments because each is assigned to one. A hospital with no staff has nobody to log in as, which makes every later phase untestable. Sweep position matters: sections 2B-2I prove this screen in isolation with its own prerequisite satisfied, whereas this case proves it in dependency order, which is the only way to catch a screen that works solely because an earlier section left data behind.</t>
  </si>
  <si>
    <t>users where hospital_id = A → at least one row, matching what /settings/staff renders</t>
  </si>
  <si>
    <t>TC-P2L-015</t>
  </si>
  <si>
    <t>Sweep step 15 of 50 — Roles &amp; Permissions is configured and holds</t>
  </si>
  <si>
    <t>1) Open /settings/roles as the Hospital A admin 2) Confirm the screen renders its own heading rather than a denial or an empty state 3) Confirm the configuration entered in the earlier sections is present and stored in role_permissions 4) Continue the sweep without reloading the session</t>
  </si>
  <si>
    <t>Roles &amp; Permissions renders and role_permissions holds at least one Hospital A row carrying the swept configuration. The value survives the rest of the sweep unchanged.</t>
  </si>
  <si>
    <t>mock-data.json phase2.entry["/settings/roles"] — the seeded entry block for this screen</t>
  </si>
  <si>
    <t>Roles decide who can reach what. Commissioning them is what makes the fourteen refusal cases in 2K meaningful rather than accidental. Sweep position matters: sections 2B-2I prove this screen in isolation with its own prerequisite satisfied, whereas this case proves it in dependency order, which is the only way to catch a screen that works solely because an earlier section left data behind.</t>
  </si>
  <si>
    <t>role_permissions where hospital_id = A → at least one row, matching what /settings/roles renders</t>
  </si>
  <si>
    <t>TC-P2L-016</t>
  </si>
  <si>
    <t>Sweep step 16 of 50 — Doctor Schedules is configured and holds</t>
  </si>
  <si>
    <t>1) Open /settings/doctor-schedules as the Hospital A admin 2) Confirm the screen renders its own heading rather than a denial or an empty state 3) Confirm the configuration entered in the earlier sections is present and stored in doctor_schedules 4) Continue the sweep without reloading the session</t>
  </si>
  <si>
    <t>Doctor Schedules renders and doctor_schedules holds at least one Hospital A row carrying the swept configuration. The value survives the rest of the sweep unchanged.</t>
  </si>
  <si>
    <t>mock-data.json phase2.entry["/settings/doctor-schedules"] — the seeded entry block for this screen</t>
  </si>
  <si>
    <t>Schedules come after staff because they reference a doctor. Without them no appointment slot is bookable and the booking screen simply shows nothing. Sweep position matters: sections 2B-2I prove this screen in isolation with its own prerequisite satisfied, whereas this case proves it in dependency order, which is the only way to catch a screen that works solely because an earlier section left data behind.</t>
  </si>
  <si>
    <t>doctor_schedules where hospital_id = A → at least one row, matching what /settings/doctor-schedules renders</t>
  </si>
  <si>
    <t>TC-P2L-017</t>
  </si>
  <si>
    <t>Sweep step 17 of 50 — Service Rates is configured and holds</t>
  </si>
  <si>
    <t>1) Open /settings/services as the Hospital A admin 2) Confirm the screen renders its own heading rather than a denial or an empty state 3) Confirm the configuration entered in the earlier sections is present and stored in service_master 4) Continue the sweep without reloading the session</t>
  </si>
  <si>
    <t>Service Rates renders and service_master holds at least one Hospital A row carrying the swept configuration. The value survives the rest of the sweep unchanged.</t>
  </si>
  <si>
    <t>mock-data.json phase2.entry["/settings/services"] — the seeded entry block for this screen</t>
  </si>
  <si>
    <t>The tariff is the single most consequential table in the sweep. A missing consultation row makes OPD bill a hardcoded ₹500 with no warning of any kind. Sweep position matters: sections 2B-2I prove this screen in isolation with its own prerequisite satisfied, whereas this case proves it in dependency order, which is the only way to catch a screen that works solely because an earlier section left data behind.</t>
  </si>
  <si>
    <t>service_master where hospital_id = A → at least one row, matching what /settings/services renders</t>
  </si>
  <si>
    <t>TC-P2L-018</t>
  </si>
  <si>
    <t>Sweep step 18 of 50 — Payer Masters is configured and holds</t>
  </si>
  <si>
    <t>1) Open /settings/payer-masters as the Hospital A admin 2) Confirm the screen renders its own heading rather than a denial or an empty state 3) Confirm the configuration entered in the earlier sections is present and stored in payer_masters 4) Continue the sweep without reloading the session</t>
  </si>
  <si>
    <t>Payer Masters renders and payer_masters holds at least one Hospital A row carrying the swept configuration. The value survives the rest of the sweep unchanged.</t>
  </si>
  <si>
    <t>mock-data.json phase2.entry["/settings/payer-masters"] — the seeded entry block for this screen</t>
  </si>
  <si>
    <t>Payers carry the negotiated ceilings and co-pay terms. Without them every insured patient is admitted as cash and the claim window closes unnoticed. Sweep position matters: sections 2B-2I prove this screen in isolation with its own prerequisite satisfied, whereas this case proves it in dependency order, which is the only way to catch a screen that works solely because an earlier section left data behind.</t>
  </si>
  <si>
    <t>payer_masters where hospital_id = A → at least one row, matching what /settings/payer-masters renders</t>
  </si>
  <si>
    <t>TC-P2L-019</t>
  </si>
  <si>
    <t>Sweep step 19 of 50 — GST / NIC IRP is configured and holds</t>
  </si>
  <si>
    <t>1) Open /settings/gst as the Hospital A admin 2) Confirm the screen renders its own heading rather than a denial or an empty state 3) Confirm the configuration entered in the earlier sections is present and stored in hospitals 4) Continue the sweep without reloading the session</t>
  </si>
  <si>
    <t>GST / NIC IRP renders and hospitals holds at least one Hospital A row carrying the swept configuration. The value survives the rest of the sweep unchanged.</t>
  </si>
  <si>
    <t>mock-data.json phase2.entry["/settings/gst"] — the seeded entry block for this screen</t>
  </si>
  <si>
    <t>GST configuration switches on the HSN hard-block at bill finalisation. Sweeping it before the clinical masters is deliberate — it is what makes a missing HSN visible while there is still time to fix it. Sweep position matters: sections 2B-2I prove this screen in isolation with its own prerequisite satisfied, whereas this case proves it in dependency order, which is the only way to catch a screen that works solely because an earlier section left data behind.</t>
  </si>
  <si>
    <t>hospitals where hospital_id = A → at least one row, matching what /settings/gst renders</t>
  </si>
  <si>
    <t>TC-P2L-020</t>
  </si>
  <si>
    <t>Sweep step 20 of 50 — Approval Rules is configured and holds</t>
  </si>
  <si>
    <t>1) Open /settings/approvals as the Hospital A admin 2) Confirm the screen renders its own heading rather than a denial or an empty state 3) Confirm the configuration entered in the earlier sections is present and stored in hospital_settings 4) Continue the sweep without reloading the session</t>
  </si>
  <si>
    <t>Approval Rules renders and hospital_settings holds at least one Hospital A row carrying the swept configuration. The value survives the rest of the sweep unchanged.</t>
  </si>
  <si>
    <t>mock-data.json phase2.entry["/settings/approvals"] — the seeded entry block for this screen</t>
  </si>
  <si>
    <t>With no approval rules EVERY discount auto-approves. Finance believes a control exists and it does not, so a 50% write-off is granted at the counter. Sweep position matters: sections 2B-2I prove this screen in isolation with its own prerequisite satisfied, whereas this case proves it in dependency order, which is the only way to catch a screen that works solely because an earlier section left data behind.</t>
  </si>
  <si>
    <t>hospital_settings where hospital_id = A → at least one row, matching what /settings/approvals renders</t>
  </si>
  <si>
    <t>TC-P2L-021</t>
  </si>
  <si>
    <t>Sweep step 21 of 50 — Razorpay Payments is configured and holds</t>
  </si>
  <si>
    <t>1) Open /settings/razorpay as the Hospital A admin 2) Confirm the screen renders its own heading rather than a denial or an empty state 3) Confirm the configuration entered in the earlier sections is present and stored in api_configurations 4) Continue the sweep without reloading the session</t>
  </si>
  <si>
    <t>Razorpay Payments renders and api_configurations holds at least one Hospital A row carrying the swept configuration. The value survives the rest of the sweep unchanged.</t>
  </si>
  <si>
    <t>mock-data.json phase2.entry["/settings/razorpay"] — the seeded entry block for this screen</t>
  </si>
  <si>
    <t>Without credentials, payment links are dead — the patient receives a link that does nothing, and the hospital sees neither the money nor the failure. Sweep position matters: sections 2B-2I prove this screen in isolation with its own prerequisite satisfied, whereas this case proves it in dependency order, which is the only way to catch a screen that works solely because an earlier section left data behind.</t>
  </si>
  <si>
    <t>api_configurations where hospital_id = A → at least one row, matching what /settings/razorpay renders</t>
  </si>
  <si>
    <t>TC-P2L-022</t>
  </si>
  <si>
    <t>Sweep step 22 of 50 — Lab Test Master is configured and holds</t>
  </si>
  <si>
    <t>1) Open /settings/lab-tests as the Hospital A admin 2) Confirm the screen renders its own heading rather than a denial or an empty state 3) Confirm the configuration entered in the earlier sections is present and stored in lab_test_master 4) Continue the sweep without reloading the session</t>
  </si>
  <si>
    <t>Lab Test Master renders and lab_test_master holds at least one Hospital A row carrying the swept configuration. The value survives the rest of the sweep unchanged.</t>
  </si>
  <si>
    <t>mock-data.json phase2.entry["/settings/lab-tests"] — the seeded entry block for this screen</t>
  </si>
  <si>
    <t>Every test needs a fee and a reference range. No range means no abnormal flag and no critical alert, so a dangerous result reports as an unremarkable number. Sweep position matters: sections 2B-2I prove this screen in isolation with its own prerequisite satisfied, whereas this case proves it in dependency order, which is the only way to catch a screen that works solely because an earlier section left data behind.</t>
  </si>
  <si>
    <t>lab_test_master where hospital_id = A → at least one row, matching what /settings/lab-tests renders</t>
  </si>
  <si>
    <t>TC-P2L-023</t>
  </si>
  <si>
    <t>Sweep step 23 of 50 — Drug Formulary is configured and holds</t>
  </si>
  <si>
    <t>1) Open /settings/drugs as the Hospital A admin 2) Confirm the screen renders its own heading rather than a denial or an empty state 3) Confirm the configuration entered in the earlier sections is present and stored in drug_master 4) Continue the sweep without reloading the session</t>
  </si>
  <si>
    <t>Drug Formulary renders and drug_master holds at least one Hospital A row carrying the swept configuration. The value survives the rest of the sweep unchanged.</t>
  </si>
  <si>
    <t>mock-data.json phase2.entry["/settings/drugs"] — the seeded entry block for this screen</t>
  </si>
  <si>
    <t>The formulary comes after config values because its route and frequency dropdowns are fed by them. An empty formulary sends the doctor to free text, which cannot be interaction-checked. Sweep position matters: sections 2B-2I prove this screen in isolation with its own prerequisite satisfied, whereas this case proves it in dependency order, which is the only way to catch a screen that works solely because an earlier section left data behind.</t>
  </si>
  <si>
    <t>drug_master where hospital_id = A → at least one row, matching what /settings/drugs renders</t>
  </si>
  <si>
    <t>TC-P2L-024</t>
  </si>
  <si>
    <t>Sweep step 24 of 50 — Notification Config is configured and holds</t>
  </si>
  <si>
    <t>1) Open /settings/notifications as the Hospital A admin 2) Confirm the screen renders its own heading rather than a denial or an empty state 3) Confirm the configuration entered in the earlier sections is present and stored in hospital_settings 4) Continue the sweep without reloading the session</t>
  </si>
  <si>
    <t>Notification Config renders and hospital_settings holds at least one Hospital A row carrying the swept configuration. The value survives the rest of the sweep unchanged.</t>
  </si>
  <si>
    <t>mock-data.json phase2.entry["/settings/notifications"] — the seeded entry block for this screen</t>
  </si>
  <si>
    <t>This screen faked a save with a setTimeout before BUG-P2-003. In a sweep the regression shows as alert routing that appears configured and delivers nothing. Sweep position matters: sections 2B-2I prove this screen in isolation with its own prerequisite satisfied, whereas this case proves it in dependency order, which is the only way to catch a screen that works solely because an earlier section left data behind.</t>
  </si>
  <si>
    <t>hospital_settings where hospital_id = A → at least one row, matching what /settings/notifications renders</t>
  </si>
  <si>
    <t>TC-P2L-025</t>
  </si>
  <si>
    <t>Sweep step 25 of 50 — Radiology Modalities is configured and holds</t>
  </si>
  <si>
    <t>1) Open /settings/radiology as the Hospital A admin 2) Confirm the screen renders its own heading rather than a denial or an empty state 3) Confirm the configuration entered in the earlier sections is present and stored in radiology_modalities 4) Continue the sweep without reloading the session</t>
  </si>
  <si>
    <t>Radiology Modalities renders and radiology_modalities holds at least one Hospital A row carrying the swept configuration. The value survives the rest of the sweep unchanged.</t>
  </si>
  <si>
    <t>mock-data.json phase2.entry["/settings/radiology"] — the seeded entry block for this screen</t>
  </si>
  <si>
    <t>Modalities must exist before studies or the module shows "No studies configured" — a message that appears on the module rather than on the settings screen that caused it. Sweep position matters: sections 2B-2I prove this screen in isolation with its own prerequisite satisfied, whereas this case proves it in dependency order, which is the only way to catch a screen that works solely because an earlier section left data behind.</t>
  </si>
  <si>
    <t>radiology_modalities where hospital_id = A → at least one row, matching what /settings/radiology renders</t>
  </si>
  <si>
    <t>TC-P2L-026</t>
  </si>
  <si>
    <t>Sweep step 26 of 50 — ICD-10 Code Master is configured and holds</t>
  </si>
  <si>
    <t>1) Open /settings/icd-codes as the Hospital A admin 2) Confirm the screen renders its own heading rather than a denial or an empty state 3) Confirm the configuration entered in the earlier sections is present and stored in hospital_icd_settings 4) Continue the sweep without reloading the session</t>
  </si>
  <si>
    <t>ICD-10 Code Master renders and hospital_icd_settings holds at least one Hospital A row carrying the swept configuration. The value survives the rest of the sweep unchanged.</t>
  </si>
  <si>
    <t>mock-data.json phase2.entry["/settings/icd-codes"] — the seeded entry block for this screen</t>
  </si>
  <si>
    <t>ICD-10 coding drives insurance claims and HMIS reporting. An uncoded diagnosis is a claim the insurer can reject on a technicality. Sweep position matters: sections 2B-2I prove this screen in isolation with its own prerequisite satisfied, whereas this case proves it in dependency order, which is the only way to catch a screen that works solely because an earlier section left data behind.</t>
  </si>
  <si>
    <t>hospital_icd_settings where hospital_id = A → at least one row, matching what /settings/icd-codes renders</t>
  </si>
  <si>
    <t>TC-P2L-027</t>
  </si>
  <si>
    <t>Sweep step 27 of 50 — Consent Forms is configured and holds</t>
  </si>
  <si>
    <t>1) Open /settings/consent-forms as the Hospital A admin 2) Confirm the screen renders its own heading rather than a denial or an empty state 3) Confirm the configuration entered in the earlier sections is present and stored in consent_form_templates 4) Continue the sweep without reloading the session</t>
  </si>
  <si>
    <t>Consent Forms renders and consent_form_templates holds at least one Hospital A row carrying the swept configuration. The value survives the rest of the sweep unchanged.</t>
  </si>
  <si>
    <t>mock-data.json phase2.entry["/settings/consent-forms"] — the seeded entry block for this screen</t>
  </si>
  <si>
    <t>Consent is a legal document, not a formality. A procedure performed without the right consent template on file is indefensible in a complaint or a court. Sweep position matters: sections 2B-2I prove this screen in isolation with its own prerequisite satisfied, whereas this case proves it in dependency order, which is the only way to catch a screen that works solely because an earlier section left data behind.</t>
  </si>
  <si>
    <t>consent_form_templates where hospital_id = A → at least one row, matching what /settings/consent-forms renders</t>
  </si>
  <si>
    <t>TC-P2L-028</t>
  </si>
  <si>
    <t>Sweep step 28 of 50 — OT Checklist is configured and holds</t>
  </si>
  <si>
    <t>1) Open /settings/ot-checklist as the Hospital A admin 2) Confirm the screen renders its own heading rather than a denial or an empty state 3) Confirm the configuration entered in the earlier sections is present and stored in ot_checklist_custom_items 4) Continue the sweep without reloading the session</t>
  </si>
  <si>
    <t>OT Checklist renders and ot_checklist_custom_items holds at least one Hospital A row carrying the swept configuration. The value survives the rest of the sweep unchanged.</t>
  </si>
  <si>
    <t>mock-data.json phase2.entry["/settings/ot-checklist"] — the seeded entry block for this screen</t>
  </si>
  <si>
    <t>The WHO surgical safety checklist is a NABH requirement and the single most effective intervention against wrong-site surgery. Sweep position matters: sections 2B-2I prove this screen in isolation with its own prerequisite satisfied, whereas this case proves it in dependency order, which is the only way to catch a screen that works solely because an earlier section left data behind.</t>
  </si>
  <si>
    <t>ot_checklist_custom_items where hospital_id = A → at least one row, matching what /settings/ot-checklist renders</t>
  </si>
  <si>
    <t>TC-P2L-029</t>
  </si>
  <si>
    <t>Sweep step 29 of 50 — Clinical Protocols is configured and holds</t>
  </si>
  <si>
    <t>1) Open /settings/protocols as the Hospital A admin 2) Confirm the screen renders its own heading rather than a denial or an empty state 3) Confirm the configuration entered in the earlier sections is present and stored in clinical_protocols 4) Continue the sweep without reloading the session</t>
  </si>
  <si>
    <t>Clinical Protocols renders and clinical_protocols holds at least one Hospital A row carrying the swept configuration. The value survives the rest of the sweep unchanged.</t>
  </si>
  <si>
    <t>mock-data.json phase2.entry["/settings/protocols"] — the seeded entry block for this screen</t>
  </si>
  <si>
    <t>This screen wrote nothing before BUG-P2-005. A protocol that appears saved and is not stored means clinicians follow rules the system never recorded. Sweep position matters: sections 2B-2I prove this screen in isolation with its own prerequisite satisfied, whereas this case proves it in dependency order, which is the only way to catch a screen that works solely because an earlier section left data behind.</t>
  </si>
  <si>
    <t>clinical_protocols where hospital_id = A → at least one row, matching what /settings/protocols renders</t>
  </si>
  <si>
    <t>TC-P2L-030</t>
  </si>
  <si>
    <t>Sweep step 30 of 50 — Alert Thresholds is configured and holds</t>
  </si>
  <si>
    <t>1) Open /settings/clinical-thresholds as the Hospital A admin 2) Confirm the screen renders its own heading rather than a denial or an empty state 3) Confirm the configuration entered in the earlier sections is present and stored in hospital_settings 4) Continue the sweep without reloading the session</t>
  </si>
  <si>
    <t>Alert Thresholds renders and hospital_settings holds at least one Hospital A row carrying the swept configuration. The value survives the rest of the sweep unchanged.</t>
  </si>
  <si>
    <t>mock-data.json phase2.entry["/settings/clinical-thresholds"] — the seeded entry block for this screen</t>
  </si>
  <si>
    <t>Thresholds decide when a deteriorating patient triggers an alert. Set wrong or not at all, the alert either never fires or fires so often that staff stop reading it. Sweep position matters: sections 2B-2I prove this screen in isolation with its own prerequisite satisfied, whereas this case proves it in dependency order, which is the only way to catch a screen that works solely because an earlier section left data behind.</t>
  </si>
  <si>
    <t>hospital_settings where hospital_id = A → at least one row, matching what /settings/clinical-thresholds renders</t>
  </si>
  <si>
    <t>TC-P2L-031</t>
  </si>
  <si>
    <t>Sweep step 31 of 50 — Day Care Procedures is configured and holds</t>
  </si>
  <si>
    <t>1) Open /settings/day-care-procedures as the Hospital A admin 2) Confirm the screen renders its own heading rather than a denial or an empty state 3) Confirm the configuration entered in the earlier sections is present and stored in day_care_procedures 4) Continue the sweep without reloading the session</t>
  </si>
  <si>
    <t>Day Care Procedures renders and day_care_procedures holds at least one Hospital A row carrying the swept configuration. The value survives the rest of the sweep unchanged.</t>
  </si>
  <si>
    <t>mock-data.json phase2.entry["/settings/day-care-procedures"] — the seeded entry block for this screen</t>
  </si>
  <si>
    <t>Without these the day-care picker is empty, so a same-day case cannot be booked against anything billable — the procedure is performed and nothing is charged. Sweep position matters: sections 2B-2I prove this screen in isolation with its own prerequisite satisfied, whereas this case proves it in dependency order, which is the only way to catch a screen that works solely because an earlier section left data behind.</t>
  </si>
  <si>
    <t>day_care_procedures where hospital_id = A → at least one row, matching what /settings/day-care-procedures renders</t>
  </si>
  <si>
    <t>TC-P2L-032</t>
  </si>
  <si>
    <t>Sweep step 32 of 50 — EMR Templates is configured and holds</t>
  </si>
  <si>
    <t>1) Open /settings/templates as the Hospital A admin 2) Confirm the screen renders its own heading rather than a denial or an empty state 3) Confirm the configuration entered in the earlier sections is present and stored in emr_template_definitions 4) Continue the sweep without reloading the session</t>
  </si>
  <si>
    <t>EMR Templates renders and emr_template_definitions holds at least one Hospital A row carrying the swept configuration. The value survives the rest of the sweep unchanged.</t>
  </si>
  <si>
    <t>mock-data.json phase2.entry["/settings/templates"] — the seeded entry block for this screen</t>
  </si>
  <si>
    <t>Templates are what make consultation notes consistent enough to audit. Free-text-only notes cannot be reported on or reviewed at scale. Sweep position matters: sections 2B-2I prove this screen in isolation with its own prerequisite satisfied, whereas this case proves it in dependency order, which is the only way to catch a screen that works solely because an earlier section left data behind.</t>
  </si>
  <si>
    <t>emr_template_definitions where hospital_id = A → at least one row, matching what /settings/templates renders</t>
  </si>
  <si>
    <t>TC-P2L-033</t>
  </si>
  <si>
    <t>Sweep step 33 of 50 — OPD Queue Config is configured and holds</t>
  </si>
  <si>
    <t>1) Open /settings/opd-workflow as the Hospital A admin 2) Confirm the screen renders its own heading rather than a denial or an empty state 3) Confirm the configuration entered in the earlier sections is present and stored in hospital_settings 4) Continue the sweep without reloading the session</t>
  </si>
  <si>
    <t>OPD Queue Config renders and hospital_settings holds at least one Hospital A row carrying the swept configuration. The value survives the rest of the sweep unchanged.</t>
  </si>
  <si>
    <t>mock-data.json phase2.entry["/settings/opd-workflow"] — the seeded entry block for this screen</t>
  </si>
  <si>
    <t>Token prefix and series must match the hospital’s paper register from day one, or the two records diverge immediately and permanently. Sweep position matters: sections 2B-2I prove this screen in isolation with its own prerequisite satisfied, whereas this case proves it in dependency order, which is the only way to catch a screen that works solely because an earlier section left data behind.</t>
  </si>
  <si>
    <t>hospital_settings where hospital_id = A → at least one row, matching what /settings/opd-workflow renders</t>
  </si>
  <si>
    <t>TC-P2L-034</t>
  </si>
  <si>
    <t>Sweep step 34 of 50 — Discharge Workflow is configured and holds</t>
  </si>
  <si>
    <t>1) Open /settings/discharge-workflow as the Hospital A admin 2) Confirm the screen renders its own heading rather than a denial or an empty state 3) Confirm the configuration entered in the earlier sections is present and stored in hospitals 4) Continue the sweep without reloading the session</t>
  </si>
  <si>
    <t>Discharge Workflow renders and hospitals holds at least one Hospital A row carrying the swept configuration. The value survives the rest of the sweep unchanged.</t>
  </si>
  <si>
    <t>mock-data.json phase2.entry["/settings/discharge-workflow"] — the seeded entry block for this screen</t>
  </si>
  <si>
    <t>Unconfigured, the default clearance list applies. The hospital believes its own steps are in force and patients are discharged without checks it thought it required. Sweep position matters: sections 2B-2I prove this screen in isolation with its own prerequisite satisfied, whereas this case proves it in dependency order, which is the only way to catch a screen that works solely because an earlier section left data behind.</t>
  </si>
  <si>
    <t>hospitals where hospital_id = A → at least one row, matching what /settings/discharge-workflow renders</t>
  </si>
  <si>
    <t>TC-P2L-035</t>
  </si>
  <si>
    <t>Sweep step 35 of 50 — IPD Ancillary Payment is configured and holds</t>
  </si>
  <si>
    <t>1) Open /settings/ipd-ancillary-payment as the Hospital A admin 2) Confirm the screen renders its own heading rather than a denial or an empty state 3) Confirm the configuration entered in the earlier sections is present and stored in hospital_settings 4) Continue the sweep without reloading the session</t>
  </si>
  <si>
    <t>IPD Ancillary Payment renders and hospital_settings holds at least one Hospital A row carrying the swept configuration. The value survives the rest of the sweep unchanged.</t>
  </si>
  <si>
    <t>mock-data.json phase2.entry["/settings/ipd-ancillary-payment"] — the seeded entry block for this screen</t>
  </si>
  <si>
    <t>This decides whether an inpatient pays for a lab test at the counter or on the final bill. Getting it wrong means either double payment or a charge that never reaches the bill. Sweep position matters: sections 2B-2I prove this screen in isolation with its own prerequisite satisfied, whereas this case proves it in dependency order, which is the only way to catch a screen that works solely because an earlier section left data behind.</t>
  </si>
  <si>
    <t>hospital_settings where hospital_id = A → at least one row, matching what /settings/ipd-ancillary-payment renders</t>
  </si>
  <si>
    <t>TC-P2L-036</t>
  </si>
  <si>
    <t>Sweep step 36 of 50 — WhatsApp Bot is configured and holds</t>
  </si>
  <si>
    <t>1) Open /settings/whatsapp as the Hospital A admin 2) Confirm the screen renders its own heading rather than a denial or an empty state 3) Confirm the configuration entered in the earlier sections is present and stored in whatsapp_templates 4) Continue the sweep without reloading the session</t>
  </si>
  <si>
    <t>WhatsApp Bot renders and whatsapp_templates holds at least one Hospital A row carrying the swept configuration. The value survives the rest of the sweep unchanged.</t>
  </si>
  <si>
    <t>mock-data.json phase2.entry["/settings/whatsapp"] — the seeded entry block for this screen</t>
  </si>
  <si>
    <t>With no templates, ALL notifications silently no-op — nothing fails and nothing sends. A hospital relying on reminders discovers it through empty clinics weeks later. Sweep position matters: sections 2B-2I prove this screen in isolation with its own prerequisite satisfied, whereas this case proves it in dependency order, which is the only way to catch a screen that works solely because an earlier section left data behind.</t>
  </si>
  <si>
    <t>whatsapp_templates where hospital_id = A → at least one row, matching what /settings/whatsapp renders</t>
  </si>
  <si>
    <t>TC-P2L-037</t>
  </si>
  <si>
    <t>Sweep step 37 of 50 — Scheduled Reports is configured and holds</t>
  </si>
  <si>
    <t>1) Open /settings/report-schedules as the Hospital A admin 2) Confirm the screen renders its own heading rather than a denial or an empty state 3) Confirm the configuration entered in the earlier sections is present and stored in report_schedules 4) Continue the sweep without reloading the session</t>
  </si>
  <si>
    <t>Scheduled Reports renders and report_schedules holds at least one Hospital A row carrying the swept configuration. The value survives the rest of the sweep unchanged.</t>
  </si>
  <si>
    <t>mock-data.json phase2.entry["/settings/report-schedules"] — the seeded entry block for this screen</t>
  </si>
  <si>
    <t>Scheduled reports are how management sees the hospital at all. Without them the daily revenue and census numbers reach nobody. Sweep position matters: sections 2B-2I prove this screen in isolation with its own prerequisite satisfied, whereas this case proves it in dependency order, which is the only way to catch a screen that works solely because an earlier section left data behind.</t>
  </si>
  <si>
    <t>report_schedules where hospital_id = A → at least one row, matching what /settings/report-schedules renders</t>
  </si>
  <si>
    <t>TC-P2L-038</t>
  </si>
  <si>
    <t>Sweep step 38 of 50 — TV Queue Display is configured and holds</t>
  </si>
  <si>
    <t>1) Open /settings/tv-display as the Hospital A admin 2) Confirm the screen renders its own heading rather than a denial or an empty state 3) Confirm the configuration entered in the earlier sections is present and stored in tv_display_settings 4) Continue the sweep without reloading the session</t>
  </si>
  <si>
    <t>TV Queue Display renders and tv_display_settings holds at least one Hospital A row carrying the swept configuration. The value survives the rest of the sweep unchanged.</t>
  </si>
  <si>
    <t>mock-data.json phase2.entry["/settings/tv-display"] — the seeded entry block for this screen</t>
  </si>
  <si>
    <t>The waiting-room display is the patient-facing face of the queue. An unconfigured screen means patients crowd the consultation door because they cannot see their token. Sweep position matters: sections 2B-2I prove this screen in isolation with its own prerequisite satisfied, whereas this case proves it in dependency order, which is the only way to catch a screen that works solely because an earlier section left data behind.</t>
  </si>
  <si>
    <t>tv_display_settings where hospital_id = A → at least one row, matching what /settings/tv-display renders</t>
  </si>
  <si>
    <t>TC-P2L-039</t>
  </si>
  <si>
    <t>Sweep step 39 of 50 — Store Locations is configured and holds</t>
  </si>
  <si>
    <t>1) Open /settings/inventory as the Hospital A admin 2) Confirm the screen renders its own heading rather than a denial or an empty state 3) Confirm the configuration entered in the earlier sections is present and stored in store_locations 4) Continue the sweep without reloading the session</t>
  </si>
  <si>
    <t>Store Locations renders and store_locations holds at least one Hospital A row carrying the swept configuration. The value survives the rest of the sweep unchanged.</t>
  </si>
  <si>
    <t>mock-data.json phase2.entry["/settings/inventory"] — the seeded entry block for this screen</t>
  </si>
  <si>
    <t>Without stores there are no transfers — ward stock cannot be issued from the central store and every indent falls back to paper. Sweep position matters: sections 2B-2I prove this screen in isolation with its own prerequisite satisfied, whereas this case proves it in dependency order, which is the only way to catch a screen that works solely because an earlier section left data behind.</t>
  </si>
  <si>
    <t>store_locations where hospital_id = A → at least one row, matching what /settings/inventory renders</t>
  </si>
  <si>
    <t>TC-P2L-040</t>
  </si>
  <si>
    <t>Sweep step 40 of 50 — Integrations Console is configured and holds</t>
  </si>
  <si>
    <t>1) Open /settings/integrations as the Hospital A admin 2) Confirm the screen renders its own heading rather than a denial or an empty state 3) Confirm the configuration entered in the earlier sections is present and stored in lab_device_connectors 4) Continue the sweep without reloading the session</t>
  </si>
  <si>
    <t>Integrations Console renders and lab_device_connectors holds at least one Hospital A row carrying the swept configuration. The value survives the rest of the sweep unchanged.</t>
  </si>
  <si>
    <t>mock-data.json phase2.entry["/settings/integrations"] — the seeded entry block for this screen</t>
  </si>
  <si>
    <t>Analyser connectors are what stop a technician retyping results. Manual transcription of a potassium value is exactly where a fatal typo enters the record. Sweep position matters: sections 2B-2I prove this screen in isolation with its own prerequisite satisfied, whereas this case proves it in dependency order, which is the only way to catch a screen that works solely because an earlier section left data behind.</t>
  </si>
  <si>
    <t>lab_device_connectors where hospital_id = A → at least one row, matching what /settings/integrations renders</t>
  </si>
  <si>
    <t>TC-P2L-041</t>
  </si>
  <si>
    <t>Sweep step 41 of 50 — HL7 / FHIR Integration is configured and holds</t>
  </si>
  <si>
    <t>1) Open /settings/hl7 as the Hospital A admin 2) Confirm the screen renders its own heading rather than a denial or an empty state 3) Confirm the configuration entered in the earlier sections is present and stored in config_values 4) Continue the sweep without reloading the session</t>
  </si>
  <si>
    <t>HL7 / FHIR Integration renders and config_values holds at least one Hospital A row carrying the swept configuration. The value survives the rest of the sweep unchanged.</t>
  </si>
  <si>
    <t>mock-data.json phase2.entry["/settings/hl7"] — the seeded entry block for this screen</t>
  </si>
  <si>
    <t>HL7 is how the hospital exchanges data with equipment and external systems. Misconfigured, messages are accepted and dropped without any visible error. Sweep position matters: sections 2B-2I prove this screen in isolation with its own prerequisite satisfied, whereas this case proves it in dependency order, which is the only way to catch a screen that works solely because an earlier section left data behind.</t>
  </si>
  <si>
    <t>config_values where hospital_id = A → at least one row, matching what /settings/hl7 renders</t>
  </si>
  <si>
    <t>TC-P2L-042</t>
  </si>
  <si>
    <t>Sweep step 42 of 50 — ABDM / ABHA is configured and holds</t>
  </si>
  <si>
    <t>1) Open /settings/abdm as the Hospital A admin 2) Confirm the screen renders its own heading rather than a denial or an empty state 3) Confirm the configuration entered in the earlier sections is present and stored in hospital_abdm_config 4) Continue the sweep without reloading the session</t>
  </si>
  <si>
    <t>ABDM / ABHA renders and hospital_abdm_config holds at least one Hospital A row carrying the swept configuration. The value survives the rest of the sweep unchanged.</t>
  </si>
  <si>
    <t>mock-data.json phase2.entry["/settings/abdm"] — the seeded entry block for this screen</t>
  </si>
  <si>
    <t>Without ABDM configuration the edge functions fail QUIETLY. ABHA linkage appears to work, nothing reaches the national exchange, and the hospital believes it is compliant. Sweep position matters: sections 2B-2I prove this screen in isolation with its own prerequisite satisfied, whereas this case proves it in dependency order, which is the only way to catch a screen that works solely because an earlier section left data behind.</t>
  </si>
  <si>
    <t>hospital_abdm_config where hospital_id = A → at least one row, matching what /settings/abdm renders</t>
  </si>
  <si>
    <t>TC-P2L-043</t>
  </si>
  <si>
    <t>Sweep step 43 of 50 — HMIS / IHIP Portal is configured and holds</t>
  </si>
  <si>
    <t>1) Open /settings/hmis-portal as the Hospital A admin 2) Confirm the screen renders its own heading rather than a denial or an empty state 3) Confirm the configuration entered in the earlier sections is present and stored in api_configurations 4) Continue the sweep without reloading the session</t>
  </si>
  <si>
    <t>HMIS / IHIP Portal renders and api_configurations holds at least one Hospital A row carrying the swept configuration. The value survives the rest of the sweep unchanged.</t>
  </si>
  <si>
    <t>mock-data.json phase2.entry["/settings/hmis-portal"] — the seeded entry block for this screen</t>
  </si>
  <si>
    <t>HMIS and IHIP reporting is a statutory obligation for Indian hospitals. Missed submissions are a compliance failure regardless of clinical performance. Sweep position matters: sections 2B-2I prove this screen in isolation with its own prerequisite satisfied, whereas this case proves it in dependency order, which is the only way to catch a screen that works solely because an earlier section left data behind.</t>
  </si>
  <si>
    <t>api_configurations where hospital_id = A → at least one row, matching what /settings/hmis-portal renders</t>
  </si>
  <si>
    <t>TC-P2L-044</t>
  </si>
  <si>
    <t>Sweep step 44 of 50 — API Keys is configured and holds</t>
  </si>
  <si>
    <t>1) Open /settings/api-keys as the Hospital A admin 2) Confirm the screen renders its own heading rather than a denial or an empty state 3) Confirm the configuration entered in the earlier sections is present and stored in api_keys 4) Continue the sweep without reloading the session</t>
  </si>
  <si>
    <t>API Keys renders and api_keys holds at least one Hospital A row carrying the swept configuration. The value survives the rest of the sweep unchanged.</t>
  </si>
  <si>
    <t>mock-data.json phase2.entry["/settings/api-keys"] — the seeded entry block for this screen</t>
  </si>
  <si>
    <t>API keys are credentials. Sweeping them proves they are created scoped to this tenant and are not visible to any other hospital on the platform. Sweep position matters: sections 2B-2I prove this screen in isolation with its own prerequisite satisfied, whereas this case proves it in dependency order, which is the only way to catch a screen that works solely because an earlier section left data behind.</t>
  </si>
  <si>
    <t>api_keys where hospital_id = A → at least one row, matching what /settings/api-keys renders</t>
  </si>
  <si>
    <t>TC-P2L-045</t>
  </si>
  <si>
    <t>Sweep step 45 of 50 — API Portal is configured and holds</t>
  </si>
  <si>
    <t>1) Open /settings/api-portal as the Hospital A admin 2) Confirm the screen renders its own heading rather than a denial or an empty state 3) Confirm the configuration entered in the earlier sections is present and stored in webhook_endpoints 4) Continue the sweep without reloading the session</t>
  </si>
  <si>
    <t>API Portal renders and webhook_endpoints holds at least one Hospital A row carrying the swept configuration. The value survives the rest of the sweep unchanged.</t>
  </si>
  <si>
    <t>mock-data.json phase2.entry["/settings/api-portal"] — the seeded entry block for this screen</t>
  </si>
  <si>
    <t>Webhooks push patient data outward. An endpoint on plain http:// sends clinical information across the network in the clear. Sweep position matters: sections 2B-2I prove this screen in isolation with its own prerequisite satisfied, whereas this case proves it in dependency order, which is the only way to catch a screen that works solely because an earlier section left data behind.</t>
  </si>
  <si>
    <t>webhook_endpoints where hospital_id = A → at least one row, matching what /settings/api-portal renders</t>
  </si>
  <si>
    <t>TC-P2L-046</t>
  </si>
  <si>
    <t>Sweep step 46 of 50 — Integration Keys is configured and holds</t>
  </si>
  <si>
    <t>1) Open /settings/api-hub as the Hospital A admin 2) Confirm the screen renders its own heading rather than a denial or an empty state 3) Confirm the configuration entered in the earlier sections is present and stored in api_configurations 4) Continue the sweep without reloading the session</t>
  </si>
  <si>
    <t>Integration Keys renders and api_configurations holds at least one Hospital A row carrying the swept configuration. The value survives the rest of the sweep unchanged.</t>
  </si>
  <si>
    <t>mock-data.json phase2.entry["/settings/api-hub"] — the seeded entry block for this screen</t>
  </si>
  <si>
    <t>The hub is where third-party credentials are held. A key stored against the wrong tenant would let one hospital spend another hospital’s integration quota. Sweep position matters: sections 2B-2I prove this screen in isolation with its own prerequisite satisfied, whereas this case proves it in dependency order, which is the only way to catch a screen that works solely because an earlier section left data behind.</t>
  </si>
  <si>
    <t>api_configurations where hospital_id = A → at least one row, matching what /settings/api-hub renders</t>
  </si>
  <si>
    <t>TC-P2L-047</t>
  </si>
  <si>
    <t>Sweep step 47 of 50 — AI Language Packs is configured and holds</t>
  </si>
  <si>
    <t>1) Open /settings/ai-languages as the Hospital A admin 2) Confirm the screen renders its own heading rather than a denial or an empty state 3) Confirm the configuration entered in the earlier sections is present and stored in ai_language_settings 4) Continue the sweep without reloading the session</t>
  </si>
  <si>
    <t>AI Language Packs renders and ai_language_settings holds at least one Hospital A row carrying the swept configuration. The value survives the rest of the sweep unchanged.</t>
  </si>
  <si>
    <t>mock-data.json phase2.entry["/settings/ai-languages"] — the seeded entry block for this screen</t>
  </si>
  <si>
    <t>Unconfigured, AI output defaults to English only. A discharge summary in English for a patient who reads Telugu is a document they cannot use. Sweep position matters: sections 2B-2I prove this screen in isolation with its own prerequisite satisfied, whereas this case proves it in dependency order, which is the only way to catch a screen that works solely because an earlier section left data behind.</t>
  </si>
  <si>
    <t>ai_language_settings where hospital_id = A → at least one row, matching what /settings/ai-languages renders</t>
  </si>
  <si>
    <t>TC-P2L-048</t>
  </si>
  <si>
    <t>Sweep step 48 of 50 — Backup &amp; Export is configured and holds</t>
  </si>
  <si>
    <t>1) Open /settings/backup as the Hospital A admin 2) Confirm the screen renders its own heading rather than a denial or an empty state 3) Read the state the sweep has produced so far 4) Continue the sweep without reloading the session</t>
  </si>
  <si>
    <t>Backup &amp; Export renders and reflects the tenant’s current state. It writes nothing, so nothing is asserted in the database beyond what earlier steps of the sweep stored.</t>
  </si>
  <si>
    <t>mock-data.json phase2.entry["/settings/backup"] — the seeded entry block for this screen</t>
  </si>
  <si>
    <t>Read-only, but it is the last line of defence. A hospital that has never confirmed its backup position discovers the gap only when it needs a restore. Sweep position matters: sections 2B-2I prove this screen in isolation with its own prerequisite satisfied, whereas this case proves it in dependency order, which is the only way to catch a screen that works solely because an earlier section left data behind.</t>
  </si>
  <si>
    <t>TC-P2L-049</t>
  </si>
  <si>
    <t>Sweep step 49 of 50 — Record Retention is configured and holds</t>
  </si>
  <si>
    <t>1) Open /settings/record-retention as the Hospital A admin 2) Confirm the screen renders its own heading rather than a denial or an empty state 3) Confirm the configuration entered in the earlier sections is present and stored in record_retention_policies 4) Continue the sweep without reloading the session</t>
  </si>
  <si>
    <t>Record Retention renders and record_retention_policies holds at least one Hospital A row carrying the swept configuration. The value survives the rest of the sweep unchanged.</t>
  </si>
  <si>
    <t>mock-data.json phase2.entry["/settings/record-retention"] — the seeded entry block for this screen</t>
  </si>
  <si>
    <t>Retention periods are a legal requirement under the DPDP Act 2023 and MRD rules. Deleting a record too early and keeping one too long are both violations. Sweep position matters: sections 2B-2I prove this screen in isolation with its own prerequisite satisfied, whereas this case proves it in dependency order, which is the only way to catch a screen that works solely because an earlier section left data behind.</t>
  </si>
  <si>
    <t>record_retention_policies where hospital_id = A → at least one row, matching what /settings/record-retention renders</t>
  </si>
  <si>
    <t>TC-P2L-050</t>
  </si>
  <si>
    <t>Sweep step 50 of 50 — Config Change Log is configured and holds</t>
  </si>
  <si>
    <t>1) Open /settings/change-log as the Hospital A admin 2) Confirm the screen renders its own heading rather than a denial or an empty state 3) Read the state the sweep has produced so far 4) Continue the sweep without reloading the session</t>
  </si>
  <si>
    <t>Config Change Log renders and reflects the tenant’s current state. It writes nothing, so nothing is asserted in the database beyond what earlier steps of the sweep stored.</t>
  </si>
  <si>
    <t>mock-data.json phase2.entry["/settings/change-log"] — the seeded entry block for this screen</t>
  </si>
  <si>
    <t>Read-only, and the sweep’s own audit trail. Every change made in this pass should be attributable to a named user afterwards, which is what NABH and DPDP both ask for. Sweep position matters: sections 2B-2I prove this screen in isolation with its own prerequisite satisfied, whereas this case proves it in dependency order, which is the only way to catch a screen that works solely because an earlier section left data behind.</t>
  </si>
  <si>
    <t>TC-P2L-051</t>
  </si>
  <si>
    <t>Every writing settings screen has left at least one row in its target table</t>
  </si>
  <si>
    <t>1) Complete the fifty-step sweep 2) For each writing screen count the Hospital A rows in its target table — select from departments, from wards, from service_master, from drug_master and from every other target 3) List any table that is still empty</t>
  </si>
  <si>
    <t>No writing screen has an empty target table. Every one of the forty-six writing screens has persisted something for Hospital A.</t>
  </si>
  <si>
    <t>src/lib/settingsCatalog.ts — the fifty screens and their target tables</t>
  </si>
  <si>
    <t>This is the check that would have caught all four write-nothing screens in a single run. A screen that toasts "saved" and stores nothing looks identical to a working one until someone reads the table, and this case reads all forty-six at once.</t>
  </si>
  <si>
    <t>One count per writing target table where hospital_id = A → every count is greater than zero</t>
  </si>
  <si>
    <t>TC-P2L-052</t>
  </si>
  <si>
    <t>The Settings hub shows no screen still sitting in its unconfigured empty state</t>
  </si>
  <si>
    <t>1) Complete the sweep 2) Open /settings 3) Read every card and any status the hub renders 4) Look for cards still marked unconfigured or not set up</t>
  </si>
  <si>
    <t>The hub renders all fifty-two cards and none is flagged as unconfigured. The tenant reads as commissioned from the hub alone.</t>
  </si>
  <si>
    <t>src/lib/settingsCatalog.ts — fifty routes across fifty-two cards, two of which are aliases</t>
  </si>
  <si>
    <t>The hub is the first screen a hospital administrator opens after go-live. If it still shows work outstanding after a complete sweep, either the sweep missed something or the hub is lying about the tenant’s state — and both are worth knowing before Phase 3.</t>
  </si>
  <si>
    <t>None — this asserts the rendered hub, which is exactly the surface the assertion is about.</t>
  </si>
  <si>
    <t>TC-P2L-053</t>
  </si>
  <si>
    <t>The full sweep produces no console error on any of the fifty screens</t>
  </si>
  <si>
    <t>1) Re-visit all fifty /settings/* routes with console capture on 2) Collect every console error and page error raised 3) List them by route</t>
  </si>
  <si>
    <t>Zero console errors across all fifty screens. Any error is attached to the tracker row with its route and verbatim text.</t>
  </si>
  <si>
    <t>mock-data.json phase2.entry — the full fifty-screen entry set</t>
  </si>
  <si>
    <t>A console error is how a silent failure announces itself when nothing on screen does. This product falls back rather than warning, so the console is frequently the only visible evidence that a save did not reach the database.</t>
  </si>
  <si>
    <t>None — console output is captured by the consoleErrors fixture and attached to the tracker row.</t>
  </si>
  <si>
    <t>TC-P2L-054</t>
  </si>
  <si>
    <t>Every swept value survives a full session restart</t>
  </si>
  <si>
    <t>1) Complete the sweep 2) Log out and clear session and local storage 3) Log back in as the Hospital A admin 4) Re-open /settings and each writing screen, then re-count every target table from departments through hospital_settings</t>
  </si>
  <si>
    <t>Every value is still present after the restart. Nothing was held only in React state or in browser storage.</t>
  </si>
  <si>
    <t>All four write-nothing screens looked correct until the page was reloaded, because the value lived in component state. A restart is the cheapest test that distinguishes a real save from a convincing one, and it is the one a hospital performs unintentionally every morning.</t>
  </si>
  <si>
    <t>Every writing target table where hospital_id = A → the swept rows are still present after re-authentication</t>
  </si>
  <si>
    <t>TC-P2L-055</t>
  </si>
  <si>
    <t>Phase 3 readiness gate — every SETTINGS_PREREQ_MATRIX must-have is satisfied</t>
  </si>
  <si>
    <t>1) Complete the sweep and sections 2A-2K 2) Re-check each prerequisite named in docs/qa/SETTINGS_PREREQ_MATRIX.md against the database 3) List any that is still unmet 4) Declare the phase gate</t>
  </si>
  <si>
    <t>Every prerequisite in the matrix is satisfied for Hospital A. The tenant is fully configured, so any failure from Phase 3 onward is a real defect and not a configuration gap.</t>
  </si>
  <si>
    <t>docs/qa/SETTINGS_PREREQ_MATRIX.md — the full prerequisite list, and the seeded Hospital A data behind it</t>
  </si>
  <si>
    <t>OPD, Lab, Radiology, Pharmacy, IPD, Billing, Insurance, AI</t>
  </si>
  <si>
    <t>This is the boundary the whole phase exists to draw. Without it a tester spends the first day of Phase 3 logging configuration gaps as product bugs, and the real defects are lost in that noise. With it, the next phase starts from a known-good tenant.</t>
  </si>
  <si>
    <t>A count per prerequisite table where hospital_id = A, plus the hospital row’s own configured columns → every one satisfied</t>
  </si>
  <si>
    <t>Date</t>
  </si>
  <si>
    <t>Module</t>
  </si>
  <si>
    <t>Severity</t>
  </si>
  <si>
    <t>Summary</t>
  </si>
  <si>
    <t>Steps to Reproduce</t>
  </si>
  <si>
    <t>Console Error</t>
  </si>
  <si>
    <t>Related TC#</t>
  </si>
  <si>
    <t>Owner</t>
  </si>
  <si>
    <t>Fixed in /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</si>
</sst>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color rgb="FFFFFFFF"/>
      <sz val="10"/>
    </font>
    <font>
      <b/>
    </font>
    <font>
      <i/>
      <color rgb="FF666666"/>
      <sz val="9"/>
    </font>
    <font>
      <b/>
      <sz val="12"/>
    </font>
    <font>
      <b/>
      <color rgb="FF9C0006"/>
    </font>
  </fonts>
  <fills count="6">
    <fill>
      <patternFill patternType="none"/>
    </fill>
    <fill>
      <patternFill patternType="gray125"/>
    </fill>
    <fill>
      <patternFill patternType="solid">
        <fgColor rgb="FF1A2F5A"/>
      </patternFill>
    </fill>
    <fill>
      <patternFill patternType="solid">
        <fgColor rgb="FFF2F4F7"/>
      </patternFill>
    </fill>
    <fill>
      <patternFill patternType="solid">
        <fgColor rgb="FF0E7B7B"/>
      </patternFill>
    </fill>
    <fill>
      <patternFill patternType="solid">
        <fgColor rgb="FFB91C1C"/>
      </patternFill>
    </fill>
  </fills>
  <borders count="2">
    <border>
      <left/>
      <right/>
      <top/>
      <bottom/>
      <diagonal/>
    </border>
    <border>
      <left/>
      <right/>
      <top/>
      <bottom style="thin">
        <color rgb="FFFFFFFF"/>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9" fontId="0" fillId="0" borderId="0" xfId="0" applyNumberFormat="1"/>
    <xf numFmtId="0" fontId="2" fillId="0" borderId="0" xfId="0" applyFont="1"/>
    <xf numFmtId="0" fontId="2" fillId="3" borderId="0" xfId="0" applyFont="1" applyFill="1"/>
    <xf numFmtId="9" fontId="2" fillId="3" borderId="0" xfId="0" applyNumberFormat="1" applyFont="1" applyFill="1"/>
    <xf numFmtId="0" fontId="3" fillId="0" borderId="0" xfId="0" applyFont="1"/>
    <xf numFmtId="0" fontId="1" fillId="4" borderId="1" xfId="0" applyFont="1" applyFill="1" applyBorder="1" applyAlignment="1">
      <alignment horizontal="center" vertical="center" wrapText="1"/>
    </xf>
    <xf numFmtId="0" fontId="0" fillId="0" borderId="0" xfId="0" applyAlignment="1">
      <alignment vertical="top" wrapText="1"/>
    </xf>
    <xf numFmtId="0" fontId="4" fillId="0" borderId="0" xfId="0" applyFont="1"/>
    <xf numFmtId="0" fontId="0" fillId="0" borderId="0" xfId="0" applyAlignment="1">
      <alignment vertical="top"/>
    </xf>
    <xf numFmtId="0" fontId="5" fillId="0" borderId="0" xfId="0" applyFont="1" applyAlignment="1">
      <alignment vertical="top"/>
    </xf>
    <xf numFmtId="0" fontId="1" fillId="5" borderId="1" xfId="0" applyFont="1" applyFill="1" applyBorder="1" applyAlignment="1">
      <alignment horizontal="center" vertical="center" wrapText="1"/>
    </xf>
  </cellXfs>
  <cellStyles count="1">
    <cellStyle name="Normal" xfId="0" builtinId="0"/>
  </cellStyles>
  <dxfs count="21">
    <dxf>
      <font>
        <b/>
        <color rgb="FF006100"/>
      </font>
      <fill>
        <patternFill patternType="solid">
          <bgColor rgb="FFC6EFCE"/>
        </patternFill>
      </fill>
    </dxf>
    <dxf>
      <font>
        <b/>
        <color rgb="FF9C0006"/>
      </font>
      <fill>
        <patternFill patternType="solid">
          <bgColor rgb="FFFFC7CE"/>
        </patternFill>
      </fill>
    </dxf>
    <dxf>
      <font>
        <b/>
        <color rgb="FF9C6500"/>
      </font>
      <fill>
        <patternFill patternType="solid">
          <bgColor rgb="FFFFEB9C"/>
        </patternFill>
      </fill>
    </dxf>
    <dxf>
      <font>
        <b/>
        <color rgb="FF006100"/>
      </font>
      <fill>
        <patternFill patternType="solid">
          <bgColor rgb="FFC6EFCE"/>
        </patternFill>
      </fill>
    </dxf>
    <dxf>
      <font>
        <b/>
        <color rgb="FF9C0006"/>
      </font>
      <fill>
        <patternFill patternType="solid">
          <bgColor rgb="FFFFC7CE"/>
        </patternFill>
      </fill>
    </dxf>
    <dxf>
      <font>
        <b/>
        <color rgb="FF9C6500"/>
      </font>
      <fill>
        <patternFill patternType="solid">
          <bgColor rgb="FFFFEB9C"/>
        </patternFill>
      </fill>
    </dxf>
    <dxf>
      <font>
        <b/>
        <color rgb="FF006100"/>
      </font>
      <fill>
        <patternFill patternType="solid">
          <bgColor rgb="FFC6EFCE"/>
        </patternFill>
      </fill>
    </dxf>
    <dxf>
      <font>
        <b/>
        <color rgb="FF9C0006"/>
      </font>
      <fill>
        <patternFill patternType="solid">
          <bgColor rgb="FFFFC7CE"/>
        </patternFill>
      </fill>
    </dxf>
    <dxf>
      <font>
        <b/>
        <color rgb="FF006100"/>
      </font>
      <fill>
        <patternFill patternType="solid">
          <bgColor rgb="FFC6EFCE"/>
        </patternFill>
      </fill>
    </dxf>
    <dxf>
      <font>
        <b/>
        <color rgb="FF9C0006"/>
      </font>
      <fill>
        <patternFill patternType="solid">
          <bgColor rgb="FFFFC7CE"/>
        </patternFill>
      </fill>
    </dxf>
    <dxf>
      <font>
        <b/>
        <color rgb="FF006100"/>
      </font>
      <fill>
        <patternFill patternType="solid">
          <bgColor rgb="FFC6EFCE"/>
        </patternFill>
      </fill>
    </dxf>
    <dxf>
      <font>
        <b/>
        <color rgb="FF9C0006"/>
      </font>
      <fill>
        <patternFill patternType="solid">
          <bgColor rgb="FFFFC7CE"/>
        </patternFill>
      </fill>
    </dxf>
    <dxf>
      <font>
        <b/>
        <color rgb="FF9C6500"/>
      </font>
      <fill>
        <patternFill patternType="solid">
          <bgColor rgb="FFFFEB9C"/>
        </patternFill>
      </fill>
    </dxf>
    <dxf>
      <font>
        <color rgb="FF9C0006"/>
      </font>
      <fill>
        <patternFill patternType="solid">
          <bgColor rgb="FFFFF0F0"/>
        </patternFill>
      </fill>
    </dxf>
    <dxf>
      <font>
        <b/>
        <color rgb="FF006100"/>
      </font>
      <fill>
        <patternFill patternType="solid">
          <bgColor rgb="FFC6EFCE"/>
        </patternFill>
      </fill>
    </dxf>
    <dxf>
      <font>
        <b/>
        <color rgb="FF9C0006"/>
      </font>
      <fill>
        <patternFill patternType="solid">
          <bgColor rgb="FFFFC7CE"/>
        </patternFill>
      </fill>
    </dxf>
    <dxf>
      <font>
        <b/>
        <color rgb="FF9C6500"/>
      </font>
      <fill>
        <patternFill patternType="solid">
          <bgColor rgb="FFFFEB9C"/>
        </patternFill>
      </fill>
    </dxf>
    <dxf>
      <font>
        <color rgb="FF9C0006"/>
      </font>
      <fill>
        <patternFill patternType="solid">
          <bgColor rgb="FFFFF0F0"/>
        </patternFill>
      </fill>
    </dxf>
    <dxf>
      <font>
        <color rgb="FF006100"/>
      </font>
      <fill>
        <patternFill patternType="solid">
          <bgColor rgb="FFC6EFCE"/>
        </patternFill>
      </fill>
    </dxf>
    <dxf>
      <font>
        <color rgb="FF9C0006"/>
      </font>
      <fill>
        <patternFill patternType="solid">
          <bgColor rgb="FFFFC7CE"/>
        </patternFill>
      </fill>
    </dxf>
    <dxf>
      <font>
        <b/>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
  <sheetViews>
    <sheetView workbookViewId="0">
      <pane xSplit="1" ySplit="1" topLeftCell="B2" activePane="bottomRight" state="frozen"/>
      <selection pane="bottomRight"/>
    </sheetView>
  </sheetViews>
  <sheetFormatPr defaultRowHeight="18" outlineLevelRow="0" outlineLevelCol="0" x14ac:dyDescent="55" customHeight="1"/>
  <cols>
    <col min="1" max="1" width="34" customWidth="1"/>
    <col min="2" max="5" width="10" customWidth="1"/>
    <col min="6" max="6" width="11" customWidth="1"/>
    <col min="7" max="11" width="10" customWidth="1"/>
    <col min="12" max="12" width="28" customWidth="1"/>
  </cols>
  <sheetData>
    <row r="1" ht="34" customHeight="1" spans="1:12" x14ac:dyDescent="0.25">
      <c r="A1" s="1" t="s">
        <v>0</v>
      </c>
      <c r="B1" s="1" t="s">
        <v>1</v>
      </c>
      <c r="C1" s="1" t="s">
        <v>2</v>
      </c>
      <c r="D1" s="1" t="s">
        <v>3</v>
      </c>
      <c r="E1" s="1" t="s">
        <v>4</v>
      </c>
      <c r="F1" s="1" t="s">
        <v>5</v>
      </c>
      <c r="G1" s="1" t="s">
        <v>6</v>
      </c>
      <c r="H1" s="1" t="s">
        <v>7</v>
      </c>
      <c r="I1" s="1" t="s">
        <v>8</v>
      </c>
      <c r="J1" s="1" t="s">
        <v>9</v>
      </c>
      <c r="K1" s="1" t="s">
        <v>10</v>
      </c>
      <c r="L1" s="1" t="s">
        <v>11</v>
      </c>
    </row>
    <row r="2" spans="1:12" x14ac:dyDescent="0.25">
      <c r="A2" t="s">
        <v>12</v>
      </c>
      <c r="B2">
        <v>177</v>
      </c>
      <c r="C2">
        <f>COUNTIF('Phase 01 Foundation &amp; Access'!$G$2:$G$178,"PASS")+COUNTIF('Phase 01 Foundation &amp; Access'!$G$2:$G$178,"FAIL")+COUNTIF('Phase 01 Foundation &amp; Access'!$G$2:$G$178,"BLOCKED")</f>
      </c>
      <c r="D2">
        <f>COUNTIF('Phase 01 Foundation &amp; Access'!$G$2:$G$178,"PASS")</f>
      </c>
      <c r="E2">
        <f>COUNTIF('Phase 01 Foundation &amp; Access'!$G$2:$G$178,"FAIL")</f>
      </c>
      <c r="F2">
        <f>COUNTIF('Phase 01 Foundation &amp; Access'!$G$2:$G$178,"BLOCKED")</f>
      </c>
      <c r="G2">
        <f>177-(COUNTIF('Phase 01 Foundation &amp; Access'!$G$2:$G$178,"PASS")+COUNTIF('Phase 01 Foundation &amp; Access'!$G$2:$G$178,"FAIL")+COUNTIF('Phase 01 Foundation &amp; Access'!$G$2:$G$178,"BLOCKED"))</f>
      </c>
      <c r="H2" s="2">
        <f>IF(177=0,0,(COUNTIF('Phase 01 Foundation &amp; Access'!$G$2:$G$178,"PASS")+COUNTIF('Phase 01 Foundation &amp; Access'!$G$2:$G$178,"FAIL")+COUNTIF('Phase 01 Foundation &amp; Access'!$G$2:$G$178,"BLOCKED"))/177)</f>
      </c>
      <c r="I2" s="2">
        <f>IF((COUNTIF('Phase 01 Foundation &amp; Access'!$G$2:$G$178,"PASS")+COUNTIF('Phase 01 Foundation &amp; Access'!$G$2:$G$178,"FAIL")+COUNTIF('Phase 01 Foundation &amp; Access'!$G$2:$G$178,"BLOCKED"))=0,0,COUNTIF('Phase 01 Foundation &amp; Access'!$G$2:$G$178,"PASS")/(COUNTIF('Phase 01 Foundation &amp; Access'!$G$2:$G$178,"PASS")+COUNTIF('Phase 01 Foundation &amp; Access'!$G$2:$G$178,"FAIL")+COUNTIF('Phase 01 Foundation &amp; Access'!$G$2:$G$178,"BLOCKED")))</f>
      </c>
      <c r="J2">
        <f>COUNTIF('Phase 01 Foundation &amp; Access'!$C$2:$C$178,"P1")</f>
      </c>
      <c r="K2">
        <f>COUNTIFS('Phase 01 Foundation &amp; Access'!$C$2:$C$178,"P1",'Phase 01 Foundation &amp; Access'!$G$2:$G$178,"FAIL")</f>
      </c>
      <c r="L2" s="3">
        <f>IF(COUNTIFS('Phase 01 Foundation &amp; Access'!$C$2:$C$178,"P1",'Phase 01 Foundation &amp; Access'!$G$2:$G$178,"FAIL")&gt;0,"BLOCKED - open P1",IF((COUNTIF('Phase 01 Foundation &amp; Access'!$G$2:$G$178,"PASS")+COUNTIF('Phase 01 Foundation &amp; Access'!$G$2:$G$178,"FAIL")+COUNTIF('Phase 01 Foundation &amp; Access'!$G$2:$G$178,"BLOCKED"))&lt;177,"IN PROGRESS",IF(COUNTIF('Phase 01 Foundation &amp; Access'!$G$2:$G$178,"FAIL")&gt;0,"BLOCKED - open defects","PASSED")))</f>
      </c>
    </row>
    <row r="3" spans="1:12" x14ac:dyDescent="0.25">
      <c r="A3" t="s">
        <v>13</v>
      </c>
      <c r="B3">
        <v>1056</v>
      </c>
      <c r="C3">
        <f>COUNTIF('Phase 02 Settings &amp; Masters'!$G$2:$G$1057,"PASS")+COUNTIF('Phase 02 Settings &amp; Masters'!$G$2:$G$1057,"FAIL")+COUNTIF('Phase 02 Settings &amp; Masters'!$G$2:$G$1057,"BLOCKED")</f>
      </c>
      <c r="D3">
        <f>COUNTIF('Phase 02 Settings &amp; Masters'!$G$2:$G$1057,"PASS")</f>
      </c>
      <c r="E3">
        <f>COUNTIF('Phase 02 Settings &amp; Masters'!$G$2:$G$1057,"FAIL")</f>
      </c>
      <c r="F3">
        <f>COUNTIF('Phase 02 Settings &amp; Masters'!$G$2:$G$1057,"BLOCKED")</f>
      </c>
      <c r="G3">
        <f>1056-(COUNTIF('Phase 02 Settings &amp; Masters'!$G$2:$G$1057,"PASS")+COUNTIF('Phase 02 Settings &amp; Masters'!$G$2:$G$1057,"FAIL")+COUNTIF('Phase 02 Settings &amp; Masters'!$G$2:$G$1057,"BLOCKED"))</f>
      </c>
      <c r="H3" s="2">
        <f>IF(1056=0,0,(COUNTIF('Phase 02 Settings &amp; Masters'!$G$2:$G$1057,"PASS")+COUNTIF('Phase 02 Settings &amp; Masters'!$G$2:$G$1057,"FAIL")+COUNTIF('Phase 02 Settings &amp; Masters'!$G$2:$G$1057,"BLOCKED"))/1056)</f>
      </c>
      <c r="I3" s="2">
        <f>IF((COUNTIF('Phase 02 Settings &amp; Masters'!$G$2:$G$1057,"PASS")+COUNTIF('Phase 02 Settings &amp; Masters'!$G$2:$G$1057,"FAIL")+COUNTIF('Phase 02 Settings &amp; Masters'!$G$2:$G$1057,"BLOCKED"))=0,0,COUNTIF('Phase 02 Settings &amp; Masters'!$G$2:$G$1057,"PASS")/(COUNTIF('Phase 02 Settings &amp; Masters'!$G$2:$G$1057,"PASS")+COUNTIF('Phase 02 Settings &amp; Masters'!$G$2:$G$1057,"FAIL")+COUNTIF('Phase 02 Settings &amp; Masters'!$G$2:$G$1057,"BLOCKED")))</f>
      </c>
      <c r="J3">
        <f>COUNTIF('Phase 02 Settings &amp; Masters'!$C$2:$C$1057,"P1")</f>
      </c>
      <c r="K3">
        <f>COUNTIFS('Phase 02 Settings &amp; Masters'!$C$2:$C$1057,"P1",'Phase 02 Settings &amp; Masters'!$G$2:$G$1057,"FAIL")</f>
      </c>
      <c r="L3" s="3">
        <f>IF(COUNTIFS('Phase 02 Settings &amp; Masters'!$C$2:$C$1057,"P1",'Phase 02 Settings &amp; Masters'!$G$2:$G$1057,"FAIL")&gt;0,"BLOCKED - open P1",IF((COUNTIF('Phase 02 Settings &amp; Masters'!$G$2:$G$1057,"PASS")+COUNTIF('Phase 02 Settings &amp; Masters'!$G$2:$G$1057,"FAIL")+COUNTIF('Phase 02 Settings &amp; Masters'!$G$2:$G$1057,"BLOCKED"))&lt;1056,"IN PROGRESS",IF(COUNTIF('Phase 02 Settings &amp; Masters'!$G$2:$G$1057,"FAIL")&gt;0,"BLOCKED - open defects","PASSED")))</f>
      </c>
    </row>
    <row r="5" spans="1:12" s="3" customFormat="1" x14ac:dyDescent="0.25">
      <c r="A5" s="4" t="s">
        <v>14</v>
      </c>
      <c r="B5" s="4">
        <f>SUM(B2:B3)</f>
      </c>
      <c r="C5" s="4">
        <f>SUM(C2:C3)</f>
      </c>
      <c r="D5" s="4">
        <f>SUM(D2:D3)</f>
      </c>
      <c r="E5" s="4">
        <f>SUM(E2:E3)</f>
      </c>
      <c r="F5" s="4">
        <f>SUM(F2:F3)</f>
      </c>
      <c r="G5" s="4">
        <f>SUM(G2:G3)</f>
      </c>
      <c r="H5" s="5">
        <f>IF(B5=0,0,C5/B5)</f>
      </c>
      <c r="I5" s="5">
        <f>IF(C5=0,0,D5/C5)</f>
      </c>
      <c r="J5" s="4">
        <f>SUM(J2:J3)</f>
      </c>
      <c r="K5" s="4">
        <f>SUM(K2:K3)</f>
      </c>
      <c r="L5" s="4">
        <f>IF(K5&gt;0,"NOT READY - open P1","")</f>
      </c>
    </row>
    <row r="7" spans="1:12" s="6" customFormat="1" x14ac:dyDescent="0.25">
      <c r="A7" s="6" t="s">
        <v>15</v>
      </c>
      <c r="B7" s="6"/>
      <c r="C7" s="6"/>
      <c r="D7" s="6"/>
      <c r="E7" s="6"/>
      <c r="F7" s="6"/>
      <c r="G7" s="6"/>
      <c r="H7" s="6"/>
      <c r="I7" s="6"/>
      <c r="J7" s="6"/>
      <c r="K7" s="6"/>
      <c r="L7" s="6"/>
    </row>
  </sheetData>
  <mergeCells count="1">
    <mergeCell ref="A7:L7"/>
  </mergeCells>
  <conditionalFormatting sqref="L2:L3">
    <cfRule type="containsText" dxfId="0" priority="1">
      <formula>NOT(ISERROR(SEARCH("PASSED",L2)))</formula>
    </cfRule>
    <cfRule type="containsText" dxfId="1" priority="2">
      <formula>NOT(ISERROR(SEARCH("BLOCKED",L2)))</formula>
    </cfRule>
    <cfRule type="containsText" dxfId="2" priority="3">
      <formula>NOT(ISERROR(SEARCH("IN PROGRESS",L2)))</formula>
    </cfRule>
  </conditionalFormatting>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
  <sheetViews>
    <sheetView workbookViewId="0">
      <pane xSplit="1" ySplit="1" topLeftCell="B2" activePane="bottomRight" state="frozen"/>
      <selection pane="bottomRight"/>
    </sheetView>
  </sheetViews>
  <sheetFormatPr defaultRowHeight="18" outlineLevelRow="0" outlineLevelCol="0" x14ac:dyDescent="55" customHeight="1"/>
  <cols>
    <col min="1" max="1" width="18" customWidth="1"/>
    <col min="2" max="2" width="30" customWidth="1"/>
    <col min="6" max="6" width="10" customWidth="1"/>
    <col min="7" max="7" width="24" customWidth="1"/>
  </cols>
  <sheetData>
    <row r="1" ht="34" customHeight="1" spans="1:7" x14ac:dyDescent="0.25">
      <c r="A1" s="7" t="s">
        <v>16</v>
      </c>
      <c r="B1" s="7" t="s">
        <v>0</v>
      </c>
      <c r="C1" s="7" t="s">
        <v>1</v>
      </c>
      <c r="D1" s="7" t="s">
        <v>3</v>
      </c>
      <c r="E1" s="7" t="s">
        <v>4</v>
      </c>
      <c r="F1" s="7" t="s">
        <v>6</v>
      </c>
      <c r="G1" s="7" t="s">
        <v>17</v>
      </c>
    </row>
    <row r="2" spans="1:7" x14ac:dyDescent="0.25">
      <c r="A2" t="s">
        <v>18</v>
      </c>
      <c r="B2" t="s">
        <v>12</v>
      </c>
      <c r="C2">
        <f>COUNTIF('Phase 01 Foundation &amp; Access'!$O$2:$O$178,"P1-Setup")</f>
      </c>
      <c r="D2">
        <f>COUNTIFS('Phase 01 Foundation &amp; Access'!$O$2:$O$178,"P1-Setup",'Phase 01 Foundation &amp; Access'!$G$2:$G$178,"PASS")</f>
      </c>
      <c r="E2">
        <f>COUNTIFS('Phase 01 Foundation &amp; Access'!$O$2:$O$178,"P1-Setup",'Phase 01 Foundation &amp; Access'!$G$2:$G$178,"FAIL")</f>
      </c>
      <c r="F2">
        <f>COUNTIF('Phase 01 Foundation &amp; Access'!$O$2:$O$178,"P1-Setup")-COUNTIFS('Phase 01 Foundation &amp; Access'!$O$2:$O$178,"P1-Setup",'Phase 01 Foundation &amp; Access'!$G$2:$G$178,"PASS")-COUNTIFS('Phase 01 Foundation &amp; Access'!$O$2:$O$178,"P1-Setup",'Phase 01 Foundation &amp; Access'!$G$2:$G$178,"FAIL")-COUNTIFS('Phase 01 Foundation &amp; Access'!$O$2:$O$178,"P1-Setup",'Phase 01 Foundation &amp; Access'!$G$2:$G$178,"BLOCKED")</f>
      </c>
      <c r="G2" s="3">
        <f>IF(COUNTIFS('Phase 01 Foundation &amp; Access'!$O$2:$O$178,"P1-Setup",'Phase 01 Foundation &amp; Access'!$G$2:$G$178,"FAIL")&gt;0,"FAIL",IF(COUNTIFS('Phase 01 Foundation &amp; Access'!$O$2:$O$178,"P1-Setup",'Phase 01 Foundation &amp; Access'!$G$2:$G$178,"PASS")=COUNTIF('Phase 01 Foundation &amp; Access'!$O$2:$O$178,"P1-Setup"),"PASS",IF(COUNTIFS('Phase 01 Foundation &amp; Access'!$O$2:$O$178,"P1-Setup",'Phase 01 Foundation &amp; Access'!$G$2:$G$178,"PASS")+COUNTIFS('Phase 01 Foundation &amp; Access'!$O$2:$O$178,"P1-Setup",'Phase 01 Foundation &amp; Access'!$G$2:$G$178,"BLOCKED")&gt;0,"IN PROGRESS","NOT STARTED")))</f>
      </c>
    </row>
    <row r="3" spans="1:7" x14ac:dyDescent="0.25">
      <c r="A3" t="s">
        <v>19</v>
      </c>
      <c r="B3" t="s">
        <v>13</v>
      </c>
      <c r="C3">
        <f>COUNTIF('Phase 02 Settings &amp; Masters'!$O$2:$O$1057,"P2-Setup")</f>
      </c>
      <c r="D3">
        <f>COUNTIFS('Phase 02 Settings &amp; Masters'!$O$2:$O$1057,"P2-Setup",'Phase 02 Settings &amp; Masters'!$G$2:$G$1057,"PASS")</f>
      </c>
      <c r="E3">
        <f>COUNTIFS('Phase 02 Settings &amp; Masters'!$O$2:$O$1057,"P2-Setup",'Phase 02 Settings &amp; Masters'!$G$2:$G$1057,"FAIL")</f>
      </c>
      <c r="F3">
        <f>COUNTIF('Phase 02 Settings &amp; Masters'!$O$2:$O$1057,"P2-Setup")-COUNTIFS('Phase 02 Settings &amp; Masters'!$O$2:$O$1057,"P2-Setup",'Phase 02 Settings &amp; Masters'!$G$2:$G$1057,"PASS")-COUNTIFS('Phase 02 Settings &amp; Masters'!$O$2:$O$1057,"P2-Setup",'Phase 02 Settings &amp; Masters'!$G$2:$G$1057,"FAIL")-COUNTIFS('Phase 02 Settings &amp; Masters'!$O$2:$O$1057,"P2-Setup",'Phase 02 Settings &amp; Masters'!$G$2:$G$1057,"BLOCKED")</f>
      </c>
      <c r="G3" s="3">
        <f>IF(COUNTIFS('Phase 02 Settings &amp; Masters'!$O$2:$O$1057,"P2-Setup",'Phase 02 Settings &amp; Masters'!$G$2:$G$1057,"FAIL")&gt;0,"FAIL",IF(COUNTIFS('Phase 02 Settings &amp; Masters'!$O$2:$O$1057,"P2-Setup",'Phase 02 Settings &amp; Masters'!$G$2:$G$1057,"PASS")=COUNTIF('Phase 02 Settings &amp; Masters'!$O$2:$O$1057,"P2-Setup"),"PASS",IF(COUNTIFS('Phase 02 Settings &amp; Masters'!$O$2:$O$1057,"P2-Setup",'Phase 02 Settings &amp; Masters'!$G$2:$G$1057,"PASS")+COUNTIFS('Phase 02 Settings &amp; Masters'!$O$2:$O$1057,"P2-Setup",'Phase 02 Settings &amp; Masters'!$G$2:$G$1057,"BLOCKED")&gt;0,"IN PROGRESS","NOT STARTED")))</f>
      </c>
    </row>
    <row r="5" spans="1:1" s="6" customFormat="1" x14ac:dyDescent="0.25">
      <c r="A5" s="6" t="s">
        <v>20</v>
      </c>
    </row>
  </sheetData>
  <autoFilter ref="A1:G3"/>
  <conditionalFormatting sqref="G2:G3">
    <cfRule type="cellIs" dxfId="3" priority="1" operator="equal">
      <formula>"PASS"</formula>
    </cfRule>
    <cfRule type="cellIs" dxfId="4" priority="2" operator="equal">
      <formula>"FAIL"</formula>
    </cfRule>
    <cfRule type="cellIs" dxfId="5" priority="3" operator="equal">
      <formula>"IN PROGRESS"</formula>
    </cfRule>
  </conditionalFormatting>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workbookViewId="0">
      <pane xSplit="1" ySplit="1" topLeftCell="B2" activePane="bottomRight" state="frozen"/>
      <selection pane="bottomRight"/>
    </sheetView>
  </sheetViews>
  <sheetFormatPr defaultRowHeight="18" outlineLevelRow="0" outlineLevelCol="0" x14ac:dyDescent="55" customHeight="1"/>
  <cols>
    <col min="1" max="1" width="16" customWidth="1"/>
    <col min="2" max="2" width="14" customWidth="1"/>
    <col min="3" max="3" width="68" customWidth="1"/>
    <col min="4" max="4" width="14" customWidth="1"/>
    <col min="5" max="5" width="44" customWidth="1"/>
  </cols>
  <sheetData>
    <row r="1" ht="34" customHeight="1" spans="1:5" x14ac:dyDescent="0.25">
      <c r="A1" s="7" t="s">
        <v>21</v>
      </c>
      <c r="B1" s="7" t="s">
        <v>22</v>
      </c>
      <c r="C1" s="7" t="s">
        <v>23</v>
      </c>
      <c r="D1" s="7" t="s">
        <v>24</v>
      </c>
      <c r="E1" s="7" t="s">
        <v>25</v>
      </c>
    </row>
    <row r="2" spans="1:5" x14ac:dyDescent="0.25">
      <c r="A2" t="s">
        <v>26</v>
      </c>
      <c r="B2" t="s">
        <v>27</v>
      </c>
      <c r="C2" s="8" t="s">
        <v>28</v>
      </c>
      <c r="D2" t="s">
        <v>29</v>
      </c>
      <c r="E2" s="8" t="s">
        <v>29</v>
      </c>
    </row>
    <row r="3" spans="1:5" x14ac:dyDescent="0.25">
      <c r="A3" t="s">
        <v>26</v>
      </c>
      <c r="B3" t="s">
        <v>30</v>
      </c>
      <c r="C3" s="8" t="s">
        <v>31</v>
      </c>
      <c r="D3" t="s">
        <v>29</v>
      </c>
      <c r="E3" s="8" t="s">
        <v>29</v>
      </c>
    </row>
    <row r="4" spans="1:5" x14ac:dyDescent="0.25">
      <c r="A4" t="s">
        <v>26</v>
      </c>
      <c r="B4" t="s">
        <v>32</v>
      </c>
      <c r="C4" s="8" t="s">
        <v>33</v>
      </c>
      <c r="D4" t="s">
        <v>29</v>
      </c>
      <c r="E4" s="8" t="s">
        <v>29</v>
      </c>
    </row>
    <row r="5" spans="1:5" x14ac:dyDescent="0.25">
      <c r="A5" t="s">
        <v>26</v>
      </c>
      <c r="B5" t="s">
        <v>34</v>
      </c>
      <c r="C5" s="8" t="s">
        <v>35</v>
      </c>
      <c r="D5" t="s">
        <v>29</v>
      </c>
      <c r="E5" s="8" t="s">
        <v>29</v>
      </c>
    </row>
    <row r="6" spans="1:5" x14ac:dyDescent="0.25">
      <c r="A6" t="s">
        <v>26</v>
      </c>
      <c r="B6" t="s">
        <v>36</v>
      </c>
      <c r="C6" s="8" t="s">
        <v>37</v>
      </c>
      <c r="D6" t="s">
        <v>29</v>
      </c>
      <c r="E6" s="8" t="s">
        <v>29</v>
      </c>
    </row>
    <row r="7" spans="1:5" x14ac:dyDescent="0.25">
      <c r="A7" t="s">
        <v>26</v>
      </c>
      <c r="B7" t="s">
        <v>38</v>
      </c>
      <c r="C7" s="8" t="s">
        <v>39</v>
      </c>
      <c r="D7" t="s">
        <v>29</v>
      </c>
      <c r="E7" s="8" t="s">
        <v>29</v>
      </c>
    </row>
    <row r="8" spans="1:5" x14ac:dyDescent="0.25">
      <c r="A8" t="s">
        <v>26</v>
      </c>
      <c r="B8" t="s">
        <v>40</v>
      </c>
      <c r="C8" s="8" t="s">
        <v>41</v>
      </c>
      <c r="D8" t="s">
        <v>29</v>
      </c>
      <c r="E8" s="8" t="s">
        <v>29</v>
      </c>
    </row>
    <row r="9" spans="1:5" x14ac:dyDescent="0.25">
      <c r="A9" t="s">
        <v>26</v>
      </c>
      <c r="B9" t="s">
        <v>42</v>
      </c>
      <c r="C9" s="8" t="s">
        <v>43</v>
      </c>
      <c r="D9" t="s">
        <v>29</v>
      </c>
      <c r="E9" s="8" t="s">
        <v>29</v>
      </c>
    </row>
    <row r="10" spans="1:5" x14ac:dyDescent="0.25">
      <c r="A10" t="s">
        <v>26</v>
      </c>
      <c r="B10" t="s">
        <v>44</v>
      </c>
      <c r="C10" s="8" t="s">
        <v>45</v>
      </c>
      <c r="D10" t="s">
        <v>29</v>
      </c>
      <c r="E10" s="8" t="s">
        <v>29</v>
      </c>
    </row>
    <row r="11" spans="1:5" x14ac:dyDescent="0.25">
      <c r="A11" t="s">
        <v>26</v>
      </c>
      <c r="B11" t="s">
        <v>46</v>
      </c>
      <c r="C11" s="8" t="s">
        <v>47</v>
      </c>
      <c r="D11" t="s">
        <v>29</v>
      </c>
      <c r="E11" s="8" t="s">
        <v>29</v>
      </c>
    </row>
    <row r="12" spans="1:5" x14ac:dyDescent="0.25">
      <c r="A12" t="s">
        <v>26</v>
      </c>
      <c r="B12" t="s">
        <v>48</v>
      </c>
      <c r="C12" s="8" t="s">
        <v>49</v>
      </c>
      <c r="D12" t="s">
        <v>29</v>
      </c>
      <c r="E12" s="8" t="s">
        <v>29</v>
      </c>
    </row>
    <row r="13" spans="1:5" x14ac:dyDescent="0.25">
      <c r="A13" t="s">
        <v>26</v>
      </c>
      <c r="B13" t="s">
        <v>50</v>
      </c>
      <c r="C13" s="8" t="s">
        <v>51</v>
      </c>
      <c r="D13" t="s">
        <v>29</v>
      </c>
      <c r="E13" s="8" t="s">
        <v>29</v>
      </c>
    </row>
    <row r="14" spans="1:5" x14ac:dyDescent="0.25">
      <c r="A14" t="s">
        <v>26</v>
      </c>
      <c r="B14" t="s">
        <v>52</v>
      </c>
      <c r="C14" s="8" t="s">
        <v>53</v>
      </c>
      <c r="D14" t="s">
        <v>29</v>
      </c>
      <c r="E14" s="8" t="s">
        <v>29</v>
      </c>
    </row>
    <row r="15" spans="1:5" x14ac:dyDescent="0.25">
      <c r="A15" t="s">
        <v>26</v>
      </c>
      <c r="B15" t="s">
        <v>54</v>
      </c>
      <c r="C15" s="8" t="s">
        <v>55</v>
      </c>
      <c r="D15" t="s">
        <v>29</v>
      </c>
      <c r="E15" s="8" t="s">
        <v>29</v>
      </c>
    </row>
    <row r="16" spans="1:5" x14ac:dyDescent="0.25">
      <c r="A16" t="s">
        <v>56</v>
      </c>
      <c r="B16" t="s">
        <v>57</v>
      </c>
      <c r="C16" s="8" t="s">
        <v>58</v>
      </c>
      <c r="D16" t="s">
        <v>29</v>
      </c>
      <c r="E16" s="8" t="s">
        <v>29</v>
      </c>
    </row>
    <row r="17" spans="1:5" x14ac:dyDescent="0.25">
      <c r="A17" t="s">
        <v>56</v>
      </c>
      <c r="B17" t="s">
        <v>59</v>
      </c>
      <c r="C17" s="8" t="s">
        <v>60</v>
      </c>
      <c r="D17" t="s">
        <v>29</v>
      </c>
      <c r="E17" s="8" t="s">
        <v>29</v>
      </c>
    </row>
    <row r="18" spans="1:5" x14ac:dyDescent="0.25">
      <c r="A18" t="s">
        <v>56</v>
      </c>
      <c r="B18" t="s">
        <v>61</v>
      </c>
      <c r="C18" s="8" t="s">
        <v>62</v>
      </c>
      <c r="D18" t="s">
        <v>29</v>
      </c>
      <c r="E18" s="8" t="s">
        <v>29</v>
      </c>
    </row>
    <row r="19" spans="1:5" x14ac:dyDescent="0.25">
      <c r="A19" t="s">
        <v>56</v>
      </c>
      <c r="B19" t="s">
        <v>63</v>
      </c>
      <c r="C19" s="8" t="s">
        <v>64</v>
      </c>
      <c r="D19" t="s">
        <v>29</v>
      </c>
      <c r="E19" s="8" t="s">
        <v>29</v>
      </c>
    </row>
    <row r="20" spans="1:5" x14ac:dyDescent="0.25">
      <c r="A20" t="s">
        <v>56</v>
      </c>
      <c r="B20" t="s">
        <v>65</v>
      </c>
      <c r="C20" s="8" t="s">
        <v>66</v>
      </c>
      <c r="D20" t="s">
        <v>29</v>
      </c>
      <c r="E20" s="8" t="s">
        <v>29</v>
      </c>
    </row>
    <row r="21" spans="1:5" x14ac:dyDescent="0.25">
      <c r="A21" t="s">
        <v>56</v>
      </c>
      <c r="B21" t="s">
        <v>67</v>
      </c>
      <c r="C21" s="8" t="s">
        <v>68</v>
      </c>
      <c r="D21" t="s">
        <v>29</v>
      </c>
      <c r="E21" s="8" t="s">
        <v>29</v>
      </c>
    </row>
    <row r="22" spans="1:5" x14ac:dyDescent="0.25">
      <c r="A22" t="s">
        <v>56</v>
      </c>
      <c r="B22" t="s">
        <v>69</v>
      </c>
      <c r="C22" s="8" t="s">
        <v>70</v>
      </c>
      <c r="D22" t="s">
        <v>29</v>
      </c>
      <c r="E22" s="8" t="s">
        <v>29</v>
      </c>
    </row>
    <row r="23" spans="1:5" x14ac:dyDescent="0.25">
      <c r="A23" t="s">
        <v>56</v>
      </c>
      <c r="B23" t="s">
        <v>71</v>
      </c>
      <c r="C23" s="8" t="s">
        <v>72</v>
      </c>
      <c r="D23" t="s">
        <v>29</v>
      </c>
      <c r="E23" s="8" t="s">
        <v>29</v>
      </c>
    </row>
    <row r="24" spans="1:5" x14ac:dyDescent="0.25">
      <c r="A24" t="s">
        <v>56</v>
      </c>
      <c r="B24" t="s">
        <v>73</v>
      </c>
      <c r="C24" s="8" t="s">
        <v>74</v>
      </c>
      <c r="D24" t="s">
        <v>29</v>
      </c>
      <c r="E24" s="8" t="s">
        <v>29</v>
      </c>
    </row>
    <row r="25" spans="1:5" x14ac:dyDescent="0.25">
      <c r="A25" t="s">
        <v>56</v>
      </c>
      <c r="B25" t="s">
        <v>75</v>
      </c>
      <c r="C25" s="8" t="s">
        <v>76</v>
      </c>
      <c r="D25" t="s">
        <v>29</v>
      </c>
      <c r="E25" s="8" t="s">
        <v>29</v>
      </c>
    </row>
    <row r="26" spans="1:5" x14ac:dyDescent="0.25">
      <c r="A26" t="s">
        <v>56</v>
      </c>
      <c r="B26" t="s">
        <v>77</v>
      </c>
      <c r="C26" s="8" t="s">
        <v>78</v>
      </c>
      <c r="D26" t="s">
        <v>29</v>
      </c>
      <c r="E26" s="8" t="s">
        <v>29</v>
      </c>
    </row>
    <row r="27" spans="1:5" x14ac:dyDescent="0.25">
      <c r="A27" t="s">
        <v>56</v>
      </c>
      <c r="B27" t="s">
        <v>79</v>
      </c>
      <c r="C27" s="8" t="s">
        <v>80</v>
      </c>
      <c r="D27" t="s">
        <v>29</v>
      </c>
      <c r="E27" s="8" t="s">
        <v>29</v>
      </c>
    </row>
    <row r="28" spans="1:5" x14ac:dyDescent="0.25">
      <c r="A28" t="s">
        <v>56</v>
      </c>
      <c r="B28" t="s">
        <v>81</v>
      </c>
      <c r="C28" s="8" t="s">
        <v>82</v>
      </c>
      <c r="D28" t="s">
        <v>29</v>
      </c>
      <c r="E28" s="8" t="s">
        <v>29</v>
      </c>
    </row>
    <row r="29" spans="1:5" x14ac:dyDescent="0.25">
      <c r="A29" t="s">
        <v>56</v>
      </c>
      <c r="B29" t="s">
        <v>83</v>
      </c>
      <c r="C29" s="8" t="s">
        <v>84</v>
      </c>
      <c r="D29" t="s">
        <v>29</v>
      </c>
      <c r="E29" s="8" t="s">
        <v>29</v>
      </c>
    </row>
    <row r="30" spans="1:5" x14ac:dyDescent="0.25">
      <c r="A30" t="s">
        <v>56</v>
      </c>
      <c r="B30" t="s">
        <v>85</v>
      </c>
      <c r="C30" s="8" t="s">
        <v>86</v>
      </c>
      <c r="D30" t="s">
        <v>29</v>
      </c>
      <c r="E30" s="8" t="s">
        <v>29</v>
      </c>
    </row>
    <row r="31" spans="1:5" x14ac:dyDescent="0.25">
      <c r="A31" t="s">
        <v>56</v>
      </c>
      <c r="B31" t="s">
        <v>87</v>
      </c>
      <c r="C31" s="8" t="s">
        <v>88</v>
      </c>
      <c r="D31" t="s">
        <v>29</v>
      </c>
      <c r="E31" s="8" t="s">
        <v>29</v>
      </c>
    </row>
    <row r="32" spans="1:5" x14ac:dyDescent="0.25">
      <c r="A32" t="s">
        <v>56</v>
      </c>
      <c r="B32" t="s">
        <v>89</v>
      </c>
      <c r="C32" s="8" t="s">
        <v>90</v>
      </c>
      <c r="D32" t="s">
        <v>29</v>
      </c>
      <c r="E32" s="8" t="s">
        <v>29</v>
      </c>
    </row>
    <row r="33" spans="1:5" x14ac:dyDescent="0.25">
      <c r="A33" t="s">
        <v>91</v>
      </c>
      <c r="B33" t="s">
        <v>92</v>
      </c>
      <c r="C33" s="8" t="s">
        <v>93</v>
      </c>
      <c r="D33" t="s">
        <v>29</v>
      </c>
      <c r="E33" s="8" t="s">
        <v>29</v>
      </c>
    </row>
    <row r="34" spans="1:5" x14ac:dyDescent="0.25">
      <c r="A34" t="s">
        <v>91</v>
      </c>
      <c r="B34" t="s">
        <v>94</v>
      </c>
      <c r="C34" s="8" t="s">
        <v>95</v>
      </c>
      <c r="D34" t="s">
        <v>29</v>
      </c>
      <c r="E34" s="8" t="s">
        <v>29</v>
      </c>
    </row>
    <row r="35" spans="1:5" x14ac:dyDescent="0.25">
      <c r="A35" t="s">
        <v>91</v>
      </c>
      <c r="B35" t="s">
        <v>96</v>
      </c>
      <c r="C35" s="8" t="s">
        <v>97</v>
      </c>
      <c r="D35" t="s">
        <v>29</v>
      </c>
      <c r="E35" s="8" t="s">
        <v>29</v>
      </c>
    </row>
    <row r="36" spans="1:5" x14ac:dyDescent="0.25">
      <c r="A36" t="s">
        <v>91</v>
      </c>
      <c r="B36" t="s">
        <v>98</v>
      </c>
      <c r="C36" s="8" t="s">
        <v>99</v>
      </c>
      <c r="D36" t="s">
        <v>29</v>
      </c>
      <c r="E36" s="8" t="s">
        <v>29</v>
      </c>
    </row>
    <row r="37" spans="1:5" x14ac:dyDescent="0.25">
      <c r="A37" t="s">
        <v>91</v>
      </c>
      <c r="B37" t="s">
        <v>100</v>
      </c>
      <c r="C37" s="8" t="s">
        <v>101</v>
      </c>
      <c r="D37" t="s">
        <v>29</v>
      </c>
      <c r="E37" s="8" t="s">
        <v>29</v>
      </c>
    </row>
    <row r="38" spans="1:5" x14ac:dyDescent="0.25">
      <c r="A38" t="s">
        <v>91</v>
      </c>
      <c r="B38" t="s">
        <v>102</v>
      </c>
      <c r="C38" s="8" t="s">
        <v>103</v>
      </c>
      <c r="D38" t="s">
        <v>29</v>
      </c>
      <c r="E38" s="8" t="s">
        <v>29</v>
      </c>
    </row>
    <row r="39" spans="1:5" x14ac:dyDescent="0.25">
      <c r="A39" t="s">
        <v>91</v>
      </c>
      <c r="B39" t="s">
        <v>104</v>
      </c>
      <c r="C39" s="8" t="s">
        <v>105</v>
      </c>
      <c r="D39" t="s">
        <v>29</v>
      </c>
      <c r="E39" s="8" t="s">
        <v>29</v>
      </c>
    </row>
    <row r="40" spans="1:5" x14ac:dyDescent="0.25">
      <c r="A40" t="s">
        <v>91</v>
      </c>
      <c r="B40" t="s">
        <v>106</v>
      </c>
      <c r="C40" s="8" t="s">
        <v>107</v>
      </c>
      <c r="D40" t="s">
        <v>29</v>
      </c>
      <c r="E40" s="8" t="s">
        <v>29</v>
      </c>
    </row>
    <row r="41" spans="1:5" x14ac:dyDescent="0.25">
      <c r="A41" t="s">
        <v>91</v>
      </c>
      <c r="B41" t="s">
        <v>108</v>
      </c>
      <c r="C41" s="8" t="s">
        <v>109</v>
      </c>
      <c r="D41" t="s">
        <v>29</v>
      </c>
      <c r="E41" s="8" t="s">
        <v>29</v>
      </c>
    </row>
    <row r="42" spans="1:5" x14ac:dyDescent="0.25">
      <c r="A42" t="s">
        <v>91</v>
      </c>
      <c r="B42" t="s">
        <v>110</v>
      </c>
      <c r="C42" s="8" t="s">
        <v>111</v>
      </c>
      <c r="D42" t="s">
        <v>29</v>
      </c>
      <c r="E42" s="8" t="s">
        <v>29</v>
      </c>
    </row>
    <row r="43" spans="1:5" x14ac:dyDescent="0.25">
      <c r="A43" t="s">
        <v>91</v>
      </c>
      <c r="B43" t="s">
        <v>112</v>
      </c>
      <c r="C43" s="8" t="s">
        <v>113</v>
      </c>
      <c r="D43" t="s">
        <v>29</v>
      </c>
      <c r="E43" s="8" t="s">
        <v>29</v>
      </c>
    </row>
    <row r="44" spans="1:5" x14ac:dyDescent="0.25">
      <c r="A44" t="s">
        <v>114</v>
      </c>
      <c r="B44" t="s">
        <v>115</v>
      </c>
      <c r="C44" s="8" t="s">
        <v>116</v>
      </c>
      <c r="D44" t="s">
        <v>29</v>
      </c>
      <c r="E44" s="8" t="s">
        <v>29</v>
      </c>
    </row>
    <row r="45" spans="1:5" x14ac:dyDescent="0.25">
      <c r="A45" t="s">
        <v>114</v>
      </c>
      <c r="B45" t="s">
        <v>117</v>
      </c>
      <c r="C45" s="8" t="s">
        <v>118</v>
      </c>
      <c r="D45" t="s">
        <v>29</v>
      </c>
      <c r="E45" s="8" t="s">
        <v>29</v>
      </c>
    </row>
    <row r="46" spans="1:5" x14ac:dyDescent="0.25">
      <c r="A46" t="s">
        <v>114</v>
      </c>
      <c r="B46" t="s">
        <v>119</v>
      </c>
      <c r="C46" s="8" t="s">
        <v>120</v>
      </c>
      <c r="D46" t="s">
        <v>29</v>
      </c>
      <c r="E46" s="8" t="s">
        <v>29</v>
      </c>
    </row>
    <row r="47" spans="1:5" x14ac:dyDescent="0.25">
      <c r="A47" t="s">
        <v>114</v>
      </c>
      <c r="B47" t="s">
        <v>121</v>
      </c>
      <c r="C47" s="8" t="s">
        <v>122</v>
      </c>
      <c r="D47" t="s">
        <v>29</v>
      </c>
      <c r="E47" s="8" t="s">
        <v>29</v>
      </c>
    </row>
    <row r="48" spans="1:5" x14ac:dyDescent="0.25">
      <c r="A48" t="s">
        <v>114</v>
      </c>
      <c r="B48" t="s">
        <v>123</v>
      </c>
      <c r="C48" s="8" t="s">
        <v>124</v>
      </c>
      <c r="D48" t="s">
        <v>29</v>
      </c>
      <c r="E48" s="8" t="s">
        <v>29</v>
      </c>
    </row>
    <row r="49" spans="1:5" x14ac:dyDescent="0.25">
      <c r="A49" t="s">
        <v>125</v>
      </c>
      <c r="B49" t="s">
        <v>126</v>
      </c>
      <c r="C49" s="8" t="s">
        <v>127</v>
      </c>
      <c r="D49" t="s">
        <v>29</v>
      </c>
      <c r="E49" s="8" t="s">
        <v>29</v>
      </c>
    </row>
    <row r="50" spans="1:5" x14ac:dyDescent="0.25">
      <c r="A50" t="s">
        <v>125</v>
      </c>
      <c r="B50" t="s">
        <v>128</v>
      </c>
      <c r="C50" s="8" t="s">
        <v>129</v>
      </c>
      <c r="D50" t="s">
        <v>29</v>
      </c>
      <c r="E50" s="8" t="s">
        <v>29</v>
      </c>
    </row>
    <row r="51" spans="1:5" x14ac:dyDescent="0.25">
      <c r="A51" t="s">
        <v>125</v>
      </c>
      <c r="B51" t="s">
        <v>130</v>
      </c>
      <c r="C51" s="8" t="s">
        <v>131</v>
      </c>
      <c r="D51" t="s">
        <v>29</v>
      </c>
      <c r="E51" s="8" t="s">
        <v>29</v>
      </c>
    </row>
    <row r="52" spans="1:5" x14ac:dyDescent="0.25">
      <c r="A52" t="s">
        <v>125</v>
      </c>
      <c r="B52" t="s">
        <v>132</v>
      </c>
      <c r="C52" s="8" t="s">
        <v>133</v>
      </c>
      <c r="D52" t="s">
        <v>29</v>
      </c>
      <c r="E52" s="8" t="s">
        <v>29</v>
      </c>
    </row>
    <row r="53" spans="1:5" x14ac:dyDescent="0.25">
      <c r="A53" t="s">
        <v>134</v>
      </c>
      <c r="B53" t="s">
        <v>135</v>
      </c>
      <c r="C53" s="8" t="s">
        <v>136</v>
      </c>
      <c r="D53" t="s">
        <v>29</v>
      </c>
      <c r="E53" s="8" t="s">
        <v>29</v>
      </c>
    </row>
    <row r="54" spans="1:5" x14ac:dyDescent="0.25">
      <c r="A54" t="s">
        <v>134</v>
      </c>
      <c r="B54" t="s">
        <v>137</v>
      </c>
      <c r="C54" s="8" t="s">
        <v>138</v>
      </c>
      <c r="D54" t="s">
        <v>29</v>
      </c>
      <c r="E54" s="8" t="s">
        <v>29</v>
      </c>
    </row>
    <row r="55" spans="1:5" x14ac:dyDescent="0.25">
      <c r="A55" t="s">
        <v>134</v>
      </c>
      <c r="B55" t="s">
        <v>139</v>
      </c>
      <c r="C55" s="8" t="s">
        <v>140</v>
      </c>
      <c r="D55" t="s">
        <v>29</v>
      </c>
      <c r="E55" s="8" t="s">
        <v>29</v>
      </c>
    </row>
    <row r="56" spans="1:5" x14ac:dyDescent="0.25">
      <c r="A56" t="s">
        <v>134</v>
      </c>
      <c r="B56" t="s">
        <v>117</v>
      </c>
      <c r="C56" s="8" t="s">
        <v>141</v>
      </c>
      <c r="D56" t="s">
        <v>29</v>
      </c>
      <c r="E56" s="8" t="s">
        <v>29</v>
      </c>
    </row>
    <row r="58" ht="26" customHeight="1" spans="1:5" s="9" customFormat="1" x14ac:dyDescent="0.25">
      <c r="A58" s="9" t="s">
        <v>142</v>
      </c>
      <c r="B58" s="9" t="s">
        <v>29</v>
      </c>
      <c r="C58" s="9" t="s">
        <v>143</v>
      </c>
      <c r="D58" s="9">
        <f>IF(COUNTIF(D2:D56,"PASS")=55,"READY TO GO LIVE","NOT READY")</f>
      </c>
      <c r="E58" s="9" t="s">
        <v>29</v>
      </c>
    </row>
  </sheetData>
  <autoFilter ref="A1:E56"/>
  <conditionalFormatting sqref="D2:D56">
    <cfRule type="cellIs" dxfId="6" priority="1" operator="equal">
      <formula>"PASS"</formula>
    </cfRule>
    <cfRule type="cellIs" dxfId="7" priority="2" operator="equal">
      <formula>"FAIL"</formula>
    </cfRule>
  </conditionalFormatting>
  <conditionalFormatting sqref="D58:D58">
    <cfRule type="containsText" dxfId="8" priority="1">
      <formula>NOT(ISERROR(SEARCH("READY TO GO LIVE",D58)))</formula>
    </cfRule>
    <cfRule type="containsText" dxfId="9" priority="2">
      <formula>NOT(ISERROR(SEARCH("NOT READY",D58)))</formula>
    </cfRule>
  </conditionalFormatting>
  <dataValidations count="2">
    <dataValidation type="list" allowBlank="1" showErrorMessage="1" errorStyle="warning" sqref="D10:D56">
      <formula1>"PASS,FAIL,NOT RUN"</formula1>
    </dataValidation>
    <dataValidation type="list" allowBlank="1" showErrorMessage="1" errorStyle="warning" sqref="D2:D56">
      <formula1>"PASS,FAIL,NOT RUN"</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78"/>
  <sheetViews>
    <sheetView workbookViewId="0">
      <pane xSplit="1" ySplit="1" topLeftCell="B2" activePane="bottomRight" state="frozen"/>
      <selection pane="bottomRight"/>
    </sheetView>
  </sheetViews>
  <sheetFormatPr defaultRowHeight="18" outlineLevelRow="0" outlineLevelCol="0" x14ac:dyDescent="55" customHeight="1"/>
  <cols>
    <col min="1" max="1" width="16" customWidth="1"/>
    <col min="2" max="2" width="20" customWidth="1"/>
    <col min="4" max="4" width="46" customWidth="1"/>
    <col min="5" max="5" width="68" customWidth="1"/>
    <col min="6" max="6" width="52" customWidth="1"/>
    <col min="7" max="7" width="15" customWidth="1"/>
    <col min="8" max="8" width="30" customWidth="1"/>
    <col min="9" max="9" width="22" customWidth="1"/>
    <col min="10" max="10" width="30" customWidth="1"/>
    <col min="11" max="12" width="46" customWidth="1"/>
    <col min="13" max="13" width="13" customWidth="1"/>
    <col min="14" max="14" width="36" customWidth="1"/>
    <col min="15" max="15" width="16" customWidth="1"/>
    <col min="16" max="16" width="68" customWidth="1"/>
    <col min="17" max="17" width="12" customWidth="1"/>
    <col min="18" max="18" width="20" customWidth="1"/>
    <col min="19" max="19" width="40" customWidth="1"/>
    <col min="20" max="20" width="48" customWidth="1"/>
    <col min="21" max="21" width="14" customWidth="1"/>
  </cols>
  <sheetData>
    <row r="1" ht="34" customHeight="1" spans="1:21" x14ac:dyDescent="0.25">
      <c r="A1" s="1" t="s">
        <v>144</v>
      </c>
      <c r="B1" s="1" t="s">
        <v>145</v>
      </c>
      <c r="C1" s="1" t="s">
        <v>146</v>
      </c>
      <c r="D1" s="1" t="s">
        <v>147</v>
      </c>
      <c r="E1" s="1" t="s">
        <v>148</v>
      </c>
      <c r="F1" s="1" t="s">
        <v>149</v>
      </c>
      <c r="G1" s="1" t="s">
        <v>150</v>
      </c>
      <c r="H1" s="1" t="s">
        <v>151</v>
      </c>
      <c r="I1" s="1" t="s">
        <v>152</v>
      </c>
      <c r="J1" s="1" t="s">
        <v>153</v>
      </c>
      <c r="K1" s="1" t="s">
        <v>154</v>
      </c>
      <c r="L1" s="1" t="s">
        <v>155</v>
      </c>
      <c r="M1" s="1" t="s">
        <v>156</v>
      </c>
      <c r="N1" s="1" t="s">
        <v>157</v>
      </c>
      <c r="O1" s="1" t="s">
        <v>16</v>
      </c>
      <c r="P1" s="1" t="s">
        <v>158</v>
      </c>
      <c r="Q1" s="1" t="s">
        <v>159</v>
      </c>
      <c r="R1" s="1" t="s">
        <v>160</v>
      </c>
      <c r="S1" s="1" t="s">
        <v>161</v>
      </c>
      <c r="T1" s="1" t="s">
        <v>162</v>
      </c>
      <c r="U1" s="1" t="s">
        <v>163</v>
      </c>
    </row>
    <row r="2" spans="1:21" s="10" customFormat="1" x14ac:dyDescent="0.25">
      <c r="A2" s="10" t="s">
        <v>164</v>
      </c>
      <c r="B2" s="10" t="s">
        <v>165</v>
      </c>
      <c r="C2" s="10" t="s">
        <v>166</v>
      </c>
      <c r="D2" s="10" t="s">
        <v>167</v>
      </c>
      <c r="E2" s="8" t="s">
        <v>168</v>
      </c>
      <c r="F2" s="8" t="s">
        <v>169</v>
      </c>
      <c r="G2" s="10" t="s">
        <v>170</v>
      </c>
      <c r="H2" s="8" t="s">
        <v>171</v>
      </c>
      <c r="I2" s="10" t="s">
        <v>29</v>
      </c>
      <c r="J2" s="8" t="s">
        <v>172</v>
      </c>
      <c r="K2" s="8" t="s">
        <v>29</v>
      </c>
      <c r="L2" s="8" t="s">
        <v>29</v>
      </c>
      <c r="M2" s="10" t="s">
        <v>29</v>
      </c>
      <c r="N2" s="8" t="s">
        <v>29</v>
      </c>
      <c r="O2" s="10" t="s">
        <v>18</v>
      </c>
      <c r="P2" s="8" t="s">
        <v>173</v>
      </c>
      <c r="Q2" s="10" t="s">
        <v>174</v>
      </c>
      <c r="R2" s="10" t="s">
        <v>175</v>
      </c>
      <c r="S2" s="8" t="s">
        <v>171</v>
      </c>
      <c r="T2" s="10" t="s">
        <v>176</v>
      </c>
      <c r="U2" s="10" t="s">
        <v>29</v>
      </c>
    </row>
    <row r="3" spans="1:21" s="10" customFormat="1" x14ac:dyDescent="0.25">
      <c r="A3" s="10" t="s">
        <v>177</v>
      </c>
      <c r="B3" s="10" t="s">
        <v>165</v>
      </c>
      <c r="C3" s="10" t="s">
        <v>166</v>
      </c>
      <c r="D3" s="10" t="s">
        <v>178</v>
      </c>
      <c r="E3" s="8" t="s">
        <v>179</v>
      </c>
      <c r="F3" s="8" t="s">
        <v>180</v>
      </c>
      <c r="G3" s="10" t="s">
        <v>170</v>
      </c>
      <c r="H3" s="8" t="s">
        <v>181</v>
      </c>
      <c r="I3" s="10" t="s">
        <v>29</v>
      </c>
      <c r="J3" s="8" t="s">
        <v>171</v>
      </c>
      <c r="K3" s="8" t="s">
        <v>29</v>
      </c>
      <c r="L3" s="8" t="s">
        <v>29</v>
      </c>
      <c r="M3" s="10" t="s">
        <v>29</v>
      </c>
      <c r="N3" s="8" t="s">
        <v>29</v>
      </c>
      <c r="O3" s="10" t="s">
        <v>18</v>
      </c>
      <c r="P3" s="8" t="s">
        <v>182</v>
      </c>
      <c r="Q3" s="10" t="s">
        <v>174</v>
      </c>
      <c r="R3" s="10" t="s">
        <v>175</v>
      </c>
      <c r="S3" s="8" t="s">
        <v>183</v>
      </c>
      <c r="T3" s="10" t="s">
        <v>176</v>
      </c>
      <c r="U3" s="10" t="s">
        <v>29</v>
      </c>
    </row>
    <row r="4" spans="1:21" s="10" customFormat="1" x14ac:dyDescent="0.25">
      <c r="A4" s="10" t="s">
        <v>184</v>
      </c>
      <c r="B4" s="10" t="s">
        <v>165</v>
      </c>
      <c r="C4" s="10" t="s">
        <v>166</v>
      </c>
      <c r="D4" s="10" t="s">
        <v>185</v>
      </c>
      <c r="E4" s="8" t="s">
        <v>186</v>
      </c>
      <c r="F4" s="8" t="s">
        <v>187</v>
      </c>
      <c r="G4" s="10" t="s">
        <v>170</v>
      </c>
      <c r="H4" s="8" t="s">
        <v>188</v>
      </c>
      <c r="I4" s="10" t="s">
        <v>29</v>
      </c>
      <c r="J4" s="8" t="s">
        <v>171</v>
      </c>
      <c r="K4" s="8" t="s">
        <v>29</v>
      </c>
      <c r="L4" s="8" t="s">
        <v>29</v>
      </c>
      <c r="M4" s="10" t="s">
        <v>29</v>
      </c>
      <c r="N4" s="8" t="s">
        <v>29</v>
      </c>
      <c r="O4" s="10" t="s">
        <v>18</v>
      </c>
      <c r="P4" s="8" t="s">
        <v>189</v>
      </c>
      <c r="Q4" s="10" t="s">
        <v>190</v>
      </c>
      <c r="R4" s="10" t="s">
        <v>175</v>
      </c>
      <c r="S4" s="8" t="s">
        <v>171</v>
      </c>
      <c r="T4" s="10" t="s">
        <v>176</v>
      </c>
      <c r="U4" s="10" t="s">
        <v>29</v>
      </c>
    </row>
    <row r="5" spans="1:21" s="10" customFormat="1" x14ac:dyDescent="0.25">
      <c r="A5" s="10" t="s">
        <v>191</v>
      </c>
      <c r="B5" s="10" t="s">
        <v>165</v>
      </c>
      <c r="C5" s="10" t="s">
        <v>166</v>
      </c>
      <c r="D5" s="10" t="s">
        <v>192</v>
      </c>
      <c r="E5" s="8" t="s">
        <v>193</v>
      </c>
      <c r="F5" s="8" t="s">
        <v>194</v>
      </c>
      <c r="G5" s="10" t="s">
        <v>170</v>
      </c>
      <c r="H5" s="8" t="s">
        <v>195</v>
      </c>
      <c r="I5" s="10" t="s">
        <v>29</v>
      </c>
      <c r="J5" s="8" t="s">
        <v>171</v>
      </c>
      <c r="K5" s="8" t="s">
        <v>29</v>
      </c>
      <c r="L5" s="8" t="s">
        <v>29</v>
      </c>
      <c r="M5" s="10" t="s">
        <v>29</v>
      </c>
      <c r="N5" s="8" t="s">
        <v>29</v>
      </c>
      <c r="O5" s="10" t="s">
        <v>18</v>
      </c>
      <c r="P5" s="8" t="s">
        <v>196</v>
      </c>
      <c r="Q5" s="10" t="s">
        <v>197</v>
      </c>
      <c r="R5" s="10" t="s">
        <v>175</v>
      </c>
      <c r="S5" s="8" t="s">
        <v>171</v>
      </c>
      <c r="T5" s="10" t="s">
        <v>176</v>
      </c>
      <c r="U5" s="10" t="s">
        <v>29</v>
      </c>
    </row>
    <row r="6" spans="1:21" s="10" customFormat="1" x14ac:dyDescent="0.25">
      <c r="A6" s="10" t="s">
        <v>198</v>
      </c>
      <c r="B6" s="10" t="s">
        <v>165</v>
      </c>
      <c r="C6" s="10" t="s">
        <v>166</v>
      </c>
      <c r="D6" s="10" t="s">
        <v>199</v>
      </c>
      <c r="E6" s="8" t="s">
        <v>200</v>
      </c>
      <c r="F6" s="8" t="s">
        <v>201</v>
      </c>
      <c r="G6" s="10" t="s">
        <v>170</v>
      </c>
      <c r="H6" s="8" t="s">
        <v>202</v>
      </c>
      <c r="I6" s="10" t="s">
        <v>29</v>
      </c>
      <c r="J6" s="8" t="s">
        <v>171</v>
      </c>
      <c r="K6" s="8" t="s">
        <v>29</v>
      </c>
      <c r="L6" s="8" t="s">
        <v>29</v>
      </c>
      <c r="M6" s="10" t="s">
        <v>29</v>
      </c>
      <c r="N6" s="8" t="s">
        <v>29</v>
      </c>
      <c r="O6" s="10" t="s">
        <v>18</v>
      </c>
      <c r="P6" s="8" t="s">
        <v>203</v>
      </c>
      <c r="Q6" s="10" t="s">
        <v>190</v>
      </c>
      <c r="R6" s="10" t="s">
        <v>175</v>
      </c>
      <c r="S6" s="8" t="s">
        <v>171</v>
      </c>
      <c r="T6" s="10" t="s">
        <v>204</v>
      </c>
      <c r="U6" s="10" t="s">
        <v>29</v>
      </c>
    </row>
    <row r="7" spans="1:21" s="10" customFormat="1" x14ac:dyDescent="0.25">
      <c r="A7" s="10" t="s">
        <v>205</v>
      </c>
      <c r="B7" s="10" t="s">
        <v>165</v>
      </c>
      <c r="C7" s="10" t="s">
        <v>166</v>
      </c>
      <c r="D7" s="10" t="s">
        <v>206</v>
      </c>
      <c r="E7" s="8" t="s">
        <v>207</v>
      </c>
      <c r="F7" s="8" t="s">
        <v>208</v>
      </c>
      <c r="G7" s="10" t="s">
        <v>170</v>
      </c>
      <c r="H7" s="8" t="s">
        <v>195</v>
      </c>
      <c r="I7" s="10" t="s">
        <v>29</v>
      </c>
      <c r="J7" s="8" t="s">
        <v>209</v>
      </c>
      <c r="K7" s="8" t="s">
        <v>29</v>
      </c>
      <c r="L7" s="8" t="s">
        <v>29</v>
      </c>
      <c r="M7" s="10" t="s">
        <v>29</v>
      </c>
      <c r="N7" s="8" t="s">
        <v>210</v>
      </c>
      <c r="O7" s="10" t="s">
        <v>18</v>
      </c>
      <c r="P7" s="8" t="s">
        <v>211</v>
      </c>
      <c r="Q7" s="10" t="s">
        <v>174</v>
      </c>
      <c r="R7" s="10" t="s">
        <v>175</v>
      </c>
      <c r="S7" s="8" t="s">
        <v>212</v>
      </c>
      <c r="T7" s="10" t="s">
        <v>204</v>
      </c>
      <c r="U7" s="10" t="s">
        <v>29</v>
      </c>
    </row>
    <row r="8" spans="1:21" s="10" customFormat="1" x14ac:dyDescent="0.25">
      <c r="A8" s="10" t="s">
        <v>213</v>
      </c>
      <c r="B8" s="10" t="s">
        <v>165</v>
      </c>
      <c r="C8" s="10" t="s">
        <v>166</v>
      </c>
      <c r="D8" s="10" t="s">
        <v>214</v>
      </c>
      <c r="E8" s="8" t="s">
        <v>215</v>
      </c>
      <c r="F8" s="8" t="s">
        <v>216</v>
      </c>
      <c r="G8" s="10" t="s">
        <v>170</v>
      </c>
      <c r="H8" s="8" t="s">
        <v>217</v>
      </c>
      <c r="I8" s="10" t="s">
        <v>29</v>
      </c>
      <c r="J8" s="8" t="s">
        <v>218</v>
      </c>
      <c r="K8" s="8" t="s">
        <v>29</v>
      </c>
      <c r="L8" s="8" t="s">
        <v>29</v>
      </c>
      <c r="M8" s="10" t="s">
        <v>29</v>
      </c>
      <c r="N8" s="8" t="s">
        <v>29</v>
      </c>
      <c r="O8" s="10" t="s">
        <v>18</v>
      </c>
      <c r="P8" s="8" t="s">
        <v>219</v>
      </c>
      <c r="Q8" s="10" t="s">
        <v>190</v>
      </c>
      <c r="R8" s="10" t="s">
        <v>175</v>
      </c>
      <c r="S8" s="8" t="s">
        <v>212</v>
      </c>
      <c r="T8" s="10" t="s">
        <v>204</v>
      </c>
      <c r="U8" s="10" t="s">
        <v>29</v>
      </c>
    </row>
    <row r="9" spans="1:21" s="10" customFormat="1" x14ac:dyDescent="0.25">
      <c r="A9" s="10" t="s">
        <v>220</v>
      </c>
      <c r="B9" s="10" t="s">
        <v>165</v>
      </c>
      <c r="C9" s="10" t="s">
        <v>166</v>
      </c>
      <c r="D9" s="10" t="s">
        <v>221</v>
      </c>
      <c r="E9" s="8" t="s">
        <v>222</v>
      </c>
      <c r="F9" s="8" t="s">
        <v>223</v>
      </c>
      <c r="G9" s="10" t="s">
        <v>170</v>
      </c>
      <c r="H9" s="8" t="s">
        <v>224</v>
      </c>
      <c r="I9" s="10" t="s">
        <v>29</v>
      </c>
      <c r="J9" s="8" t="s">
        <v>218</v>
      </c>
      <c r="K9" s="8" t="s">
        <v>29</v>
      </c>
      <c r="L9" s="8" t="s">
        <v>29</v>
      </c>
      <c r="M9" s="10" t="s">
        <v>29</v>
      </c>
      <c r="N9" s="8" t="s">
        <v>29</v>
      </c>
      <c r="O9" s="10" t="s">
        <v>18</v>
      </c>
      <c r="P9" s="8" t="s">
        <v>225</v>
      </c>
      <c r="Q9" s="10" t="s">
        <v>190</v>
      </c>
      <c r="R9" s="10" t="s">
        <v>175</v>
      </c>
      <c r="S9" s="8" t="s">
        <v>212</v>
      </c>
      <c r="T9" s="10" t="s">
        <v>204</v>
      </c>
      <c r="U9" s="10" t="s">
        <v>29</v>
      </c>
    </row>
    <row r="10" spans="1:21" s="10" customFormat="1" x14ac:dyDescent="0.25">
      <c r="A10" s="10" t="s">
        <v>226</v>
      </c>
      <c r="B10" s="10" t="s">
        <v>165</v>
      </c>
      <c r="C10" s="10" t="s">
        <v>166</v>
      </c>
      <c r="D10" s="10" t="s">
        <v>227</v>
      </c>
      <c r="E10" s="8" t="s">
        <v>228</v>
      </c>
      <c r="F10" s="8" t="s">
        <v>229</v>
      </c>
      <c r="G10" s="10" t="s">
        <v>170</v>
      </c>
      <c r="H10" s="8" t="s">
        <v>230</v>
      </c>
      <c r="I10" s="10" t="s">
        <v>29</v>
      </c>
      <c r="J10" s="8" t="s">
        <v>171</v>
      </c>
      <c r="K10" s="8" t="s">
        <v>29</v>
      </c>
      <c r="L10" s="8" t="s">
        <v>29</v>
      </c>
      <c r="M10" s="10" t="s">
        <v>29</v>
      </c>
      <c r="N10" s="8" t="s">
        <v>29</v>
      </c>
      <c r="O10" s="10" t="s">
        <v>18</v>
      </c>
      <c r="P10" s="8" t="s">
        <v>231</v>
      </c>
      <c r="Q10" s="10" t="s">
        <v>174</v>
      </c>
      <c r="R10" s="10" t="s">
        <v>175</v>
      </c>
      <c r="S10" s="8" t="s">
        <v>232</v>
      </c>
      <c r="T10" s="10" t="s">
        <v>176</v>
      </c>
      <c r="U10" s="10" t="s">
        <v>29</v>
      </c>
    </row>
    <row r="11" spans="1:21" s="10" customFormat="1" x14ac:dyDescent="0.25">
      <c r="A11" s="10" t="s">
        <v>233</v>
      </c>
      <c r="B11" s="10" t="s">
        <v>165</v>
      </c>
      <c r="C11" s="10" t="s">
        <v>166</v>
      </c>
      <c r="D11" s="10" t="s">
        <v>234</v>
      </c>
      <c r="E11" s="8" t="s">
        <v>235</v>
      </c>
      <c r="F11" s="8" t="s">
        <v>236</v>
      </c>
      <c r="G11" s="10" t="s">
        <v>170</v>
      </c>
      <c r="H11" s="8" t="s">
        <v>237</v>
      </c>
      <c r="I11" s="10" t="s">
        <v>29</v>
      </c>
      <c r="J11" s="8" t="s">
        <v>171</v>
      </c>
      <c r="K11" s="8" t="s">
        <v>29</v>
      </c>
      <c r="L11" s="8" t="s">
        <v>29</v>
      </c>
      <c r="M11" s="10" t="s">
        <v>29</v>
      </c>
      <c r="N11" s="8" t="s">
        <v>29</v>
      </c>
      <c r="O11" s="10" t="s">
        <v>18</v>
      </c>
      <c r="P11" s="8" t="s">
        <v>238</v>
      </c>
      <c r="Q11" s="10" t="s">
        <v>190</v>
      </c>
      <c r="R11" s="10" t="s">
        <v>175</v>
      </c>
      <c r="S11" s="8" t="s">
        <v>171</v>
      </c>
      <c r="T11" s="10" t="s">
        <v>176</v>
      </c>
      <c r="U11" s="10" t="s">
        <v>29</v>
      </c>
    </row>
    <row r="12" spans="1:21" s="10" customFormat="1" x14ac:dyDescent="0.25">
      <c r="A12" s="10" t="s">
        <v>239</v>
      </c>
      <c r="B12" s="10" t="s">
        <v>165</v>
      </c>
      <c r="C12" s="10" t="s">
        <v>166</v>
      </c>
      <c r="D12" s="10" t="s">
        <v>240</v>
      </c>
      <c r="E12" s="8" t="s">
        <v>241</v>
      </c>
      <c r="F12" s="8" t="s">
        <v>242</v>
      </c>
      <c r="G12" s="10" t="s">
        <v>170</v>
      </c>
      <c r="H12" s="8" t="s">
        <v>243</v>
      </c>
      <c r="I12" s="10" t="s">
        <v>29</v>
      </c>
      <c r="J12" s="8" t="s">
        <v>171</v>
      </c>
      <c r="K12" s="8" t="s">
        <v>29</v>
      </c>
      <c r="L12" s="8" t="s">
        <v>29</v>
      </c>
      <c r="M12" s="10" t="s">
        <v>29</v>
      </c>
      <c r="N12" s="8" t="s">
        <v>29</v>
      </c>
      <c r="O12" s="10" t="s">
        <v>18</v>
      </c>
      <c r="P12" s="8" t="s">
        <v>244</v>
      </c>
      <c r="Q12" s="10" t="s">
        <v>190</v>
      </c>
      <c r="R12" s="10" t="s">
        <v>175</v>
      </c>
      <c r="S12" s="8" t="s">
        <v>171</v>
      </c>
      <c r="T12" s="10" t="s">
        <v>176</v>
      </c>
      <c r="U12" s="10" t="s">
        <v>29</v>
      </c>
    </row>
    <row r="13" spans="1:21" s="10" customFormat="1" x14ac:dyDescent="0.25">
      <c r="A13" s="10" t="s">
        <v>245</v>
      </c>
      <c r="B13" s="10" t="s">
        <v>165</v>
      </c>
      <c r="C13" s="10" t="s">
        <v>166</v>
      </c>
      <c r="D13" s="10" t="s">
        <v>246</v>
      </c>
      <c r="E13" s="8" t="s">
        <v>247</v>
      </c>
      <c r="F13" s="8" t="s">
        <v>248</v>
      </c>
      <c r="G13" s="10" t="s">
        <v>170</v>
      </c>
      <c r="H13" s="8" t="s">
        <v>249</v>
      </c>
      <c r="I13" s="10" t="s">
        <v>29</v>
      </c>
      <c r="J13" s="8" t="s">
        <v>171</v>
      </c>
      <c r="K13" s="8" t="s">
        <v>29</v>
      </c>
      <c r="L13" s="8" t="s">
        <v>29</v>
      </c>
      <c r="M13" s="10" t="s">
        <v>29</v>
      </c>
      <c r="N13" s="8" t="s">
        <v>29</v>
      </c>
      <c r="O13" s="10" t="s">
        <v>18</v>
      </c>
      <c r="P13" s="8" t="s">
        <v>250</v>
      </c>
      <c r="Q13" s="10" t="s">
        <v>190</v>
      </c>
      <c r="R13" s="10" t="s">
        <v>175</v>
      </c>
      <c r="S13" s="8" t="s">
        <v>171</v>
      </c>
      <c r="T13" s="10" t="s">
        <v>176</v>
      </c>
      <c r="U13" s="10" t="s">
        <v>29</v>
      </c>
    </row>
    <row r="14" spans="1:21" s="10" customFormat="1" x14ac:dyDescent="0.25">
      <c r="A14" s="10" t="s">
        <v>251</v>
      </c>
      <c r="B14" s="10" t="s">
        <v>165</v>
      </c>
      <c r="C14" s="10" t="s">
        <v>166</v>
      </c>
      <c r="D14" s="10" t="s">
        <v>252</v>
      </c>
      <c r="E14" s="8" t="s">
        <v>253</v>
      </c>
      <c r="F14" s="8" t="s">
        <v>254</v>
      </c>
      <c r="G14" s="10" t="s">
        <v>170</v>
      </c>
      <c r="H14" s="8" t="s">
        <v>255</v>
      </c>
      <c r="I14" s="10" t="s">
        <v>29</v>
      </c>
      <c r="J14" s="8" t="s">
        <v>171</v>
      </c>
      <c r="K14" s="8" t="s">
        <v>29</v>
      </c>
      <c r="L14" s="8" t="s">
        <v>29</v>
      </c>
      <c r="M14" s="10" t="s">
        <v>29</v>
      </c>
      <c r="N14" s="8" t="s">
        <v>29</v>
      </c>
      <c r="O14" s="10" t="s">
        <v>18</v>
      </c>
      <c r="P14" s="8" t="s">
        <v>256</v>
      </c>
      <c r="Q14" s="10" t="s">
        <v>174</v>
      </c>
      <c r="R14" s="10" t="s">
        <v>175</v>
      </c>
      <c r="S14" s="8" t="s">
        <v>257</v>
      </c>
      <c r="T14" s="10" t="s">
        <v>176</v>
      </c>
      <c r="U14" s="10" t="s">
        <v>29</v>
      </c>
    </row>
    <row r="15" spans="1:21" s="10" customFormat="1" x14ac:dyDescent="0.25">
      <c r="A15" s="10" t="s">
        <v>258</v>
      </c>
      <c r="B15" s="10" t="s">
        <v>165</v>
      </c>
      <c r="C15" s="10" t="s">
        <v>166</v>
      </c>
      <c r="D15" s="10" t="s">
        <v>259</v>
      </c>
      <c r="E15" s="8" t="s">
        <v>260</v>
      </c>
      <c r="F15" s="8" t="s">
        <v>261</v>
      </c>
      <c r="G15" s="10" t="s">
        <v>170</v>
      </c>
      <c r="H15" s="8" t="s">
        <v>262</v>
      </c>
      <c r="I15" s="10" t="s">
        <v>29</v>
      </c>
      <c r="J15" s="8" t="s">
        <v>171</v>
      </c>
      <c r="K15" s="8" t="s">
        <v>29</v>
      </c>
      <c r="L15" s="8" t="s">
        <v>29</v>
      </c>
      <c r="M15" s="10" t="s">
        <v>29</v>
      </c>
      <c r="N15" s="8" t="s">
        <v>29</v>
      </c>
      <c r="O15" s="10" t="s">
        <v>18</v>
      </c>
      <c r="P15" s="8" t="s">
        <v>263</v>
      </c>
      <c r="Q15" s="10" t="s">
        <v>197</v>
      </c>
      <c r="R15" s="10" t="s">
        <v>175</v>
      </c>
      <c r="S15" s="8" t="s">
        <v>171</v>
      </c>
      <c r="T15" s="10" t="s">
        <v>176</v>
      </c>
      <c r="U15" s="10" t="s">
        <v>29</v>
      </c>
    </row>
    <row r="16" spans="1:21" s="10" customFormat="1" x14ac:dyDescent="0.25">
      <c r="A16" s="10" t="s">
        <v>264</v>
      </c>
      <c r="B16" s="10" t="s">
        <v>165</v>
      </c>
      <c r="C16" s="10" t="s">
        <v>166</v>
      </c>
      <c r="D16" s="10" t="s">
        <v>265</v>
      </c>
      <c r="E16" s="8" t="s">
        <v>266</v>
      </c>
      <c r="F16" s="8" t="s">
        <v>267</v>
      </c>
      <c r="G16" s="10" t="s">
        <v>170</v>
      </c>
      <c r="H16" s="8" t="s">
        <v>268</v>
      </c>
      <c r="I16" s="10" t="s">
        <v>269</v>
      </c>
      <c r="J16" s="8" t="s">
        <v>171</v>
      </c>
      <c r="K16" s="8" t="s">
        <v>29</v>
      </c>
      <c r="L16" s="8" t="s">
        <v>29</v>
      </c>
      <c r="M16" s="10" t="s">
        <v>29</v>
      </c>
      <c r="N16" s="8" t="s">
        <v>270</v>
      </c>
      <c r="O16" s="10" t="s">
        <v>18</v>
      </c>
      <c r="P16" s="8" t="s">
        <v>271</v>
      </c>
      <c r="Q16" s="10" t="s">
        <v>190</v>
      </c>
      <c r="R16" s="10" t="s">
        <v>175</v>
      </c>
      <c r="S16" s="8" t="s">
        <v>272</v>
      </c>
      <c r="T16" s="10" t="s">
        <v>176</v>
      </c>
      <c r="U16" s="10" t="s">
        <v>29</v>
      </c>
    </row>
    <row r="17" spans="1:21" s="10" customFormat="1" x14ac:dyDescent="0.25">
      <c r="A17" s="10" t="s">
        <v>273</v>
      </c>
      <c r="B17" s="10" t="s">
        <v>165</v>
      </c>
      <c r="C17" s="10" t="s">
        <v>166</v>
      </c>
      <c r="D17" s="10" t="s">
        <v>274</v>
      </c>
      <c r="E17" s="8" t="s">
        <v>275</v>
      </c>
      <c r="F17" s="8" t="s">
        <v>276</v>
      </c>
      <c r="G17" s="10" t="s">
        <v>170</v>
      </c>
      <c r="H17" s="8" t="s">
        <v>277</v>
      </c>
      <c r="I17" s="10" t="s">
        <v>278</v>
      </c>
      <c r="J17" s="8" t="s">
        <v>171</v>
      </c>
      <c r="K17" s="8" t="s">
        <v>29</v>
      </c>
      <c r="L17" s="8" t="s">
        <v>29</v>
      </c>
      <c r="M17" s="10" t="s">
        <v>29</v>
      </c>
      <c r="N17" s="8" t="s">
        <v>279</v>
      </c>
      <c r="O17" s="10" t="s">
        <v>18</v>
      </c>
      <c r="P17" s="8" t="s">
        <v>280</v>
      </c>
      <c r="Q17" s="10" t="s">
        <v>174</v>
      </c>
      <c r="R17" s="10" t="s">
        <v>175</v>
      </c>
      <c r="S17" s="8" t="s">
        <v>281</v>
      </c>
      <c r="T17" s="10" t="s">
        <v>204</v>
      </c>
      <c r="U17" s="10" t="s">
        <v>29</v>
      </c>
    </row>
    <row r="18" spans="1:21" s="10" customFormat="1" x14ac:dyDescent="0.25">
      <c r="A18" s="10" t="s">
        <v>282</v>
      </c>
      <c r="B18" s="10" t="s">
        <v>165</v>
      </c>
      <c r="C18" s="10" t="s">
        <v>166</v>
      </c>
      <c r="D18" s="10" t="s">
        <v>283</v>
      </c>
      <c r="E18" s="8" t="s">
        <v>284</v>
      </c>
      <c r="F18" s="8" t="s">
        <v>285</v>
      </c>
      <c r="G18" s="10" t="s">
        <v>170</v>
      </c>
      <c r="H18" s="8" t="s">
        <v>286</v>
      </c>
      <c r="I18" s="10" t="s">
        <v>287</v>
      </c>
      <c r="J18" s="8" t="s">
        <v>171</v>
      </c>
      <c r="K18" s="8" t="s">
        <v>29</v>
      </c>
      <c r="L18" s="8" t="s">
        <v>29</v>
      </c>
      <c r="M18" s="10" t="s">
        <v>29</v>
      </c>
      <c r="N18" s="8" t="s">
        <v>29</v>
      </c>
      <c r="O18" s="10" t="s">
        <v>18</v>
      </c>
      <c r="P18" s="8" t="s">
        <v>288</v>
      </c>
      <c r="Q18" s="10" t="s">
        <v>174</v>
      </c>
      <c r="R18" s="10" t="s">
        <v>175</v>
      </c>
      <c r="S18" s="8" t="s">
        <v>289</v>
      </c>
      <c r="T18" s="10" t="s">
        <v>176</v>
      </c>
      <c r="U18" s="10" t="s">
        <v>29</v>
      </c>
    </row>
    <row r="19" spans="1:21" s="10" customFormat="1" x14ac:dyDescent="0.25">
      <c r="A19" s="10" t="s">
        <v>290</v>
      </c>
      <c r="B19" s="10" t="s">
        <v>165</v>
      </c>
      <c r="C19" s="10" t="s">
        <v>166</v>
      </c>
      <c r="D19" s="10" t="s">
        <v>291</v>
      </c>
      <c r="E19" s="8" t="s">
        <v>292</v>
      </c>
      <c r="F19" s="8" t="s">
        <v>293</v>
      </c>
      <c r="G19" s="10" t="s">
        <v>170</v>
      </c>
      <c r="H19" s="8" t="s">
        <v>294</v>
      </c>
      <c r="I19" s="10" t="s">
        <v>29</v>
      </c>
      <c r="J19" s="8" t="s">
        <v>171</v>
      </c>
      <c r="K19" s="8" t="s">
        <v>29</v>
      </c>
      <c r="L19" s="8" t="s">
        <v>29</v>
      </c>
      <c r="M19" s="10" t="s">
        <v>29</v>
      </c>
      <c r="N19" s="8" t="s">
        <v>29</v>
      </c>
      <c r="O19" s="10" t="s">
        <v>18</v>
      </c>
      <c r="P19" s="8" t="s">
        <v>295</v>
      </c>
      <c r="Q19" s="10" t="s">
        <v>190</v>
      </c>
      <c r="R19" s="10" t="s">
        <v>175</v>
      </c>
      <c r="S19" s="8" t="s">
        <v>171</v>
      </c>
      <c r="T19" s="10" t="s">
        <v>176</v>
      </c>
      <c r="U19" s="10" t="s">
        <v>29</v>
      </c>
    </row>
    <row r="20" spans="1:21" s="10" customFormat="1" x14ac:dyDescent="0.25">
      <c r="A20" s="10" t="s">
        <v>296</v>
      </c>
      <c r="B20" s="10" t="s">
        <v>165</v>
      </c>
      <c r="C20" s="11" t="s">
        <v>297</v>
      </c>
      <c r="D20" s="10" t="s">
        <v>298</v>
      </c>
      <c r="E20" s="8" t="s">
        <v>299</v>
      </c>
      <c r="F20" s="8" t="s">
        <v>293</v>
      </c>
      <c r="G20" s="10" t="s">
        <v>170</v>
      </c>
      <c r="H20" s="8" t="s">
        <v>300</v>
      </c>
      <c r="I20" s="10" t="s">
        <v>29</v>
      </c>
      <c r="J20" s="8" t="s">
        <v>171</v>
      </c>
      <c r="K20" s="8" t="s">
        <v>29</v>
      </c>
      <c r="L20" s="8" t="s">
        <v>29</v>
      </c>
      <c r="M20" s="10" t="s">
        <v>29</v>
      </c>
      <c r="N20" s="8" t="s">
        <v>29</v>
      </c>
      <c r="O20" s="10" t="s">
        <v>18</v>
      </c>
      <c r="P20" s="8" t="s">
        <v>301</v>
      </c>
      <c r="Q20" s="10" t="s">
        <v>190</v>
      </c>
      <c r="R20" s="10" t="s">
        <v>175</v>
      </c>
      <c r="S20" s="8" t="s">
        <v>302</v>
      </c>
      <c r="T20" s="10" t="s">
        <v>176</v>
      </c>
      <c r="U20" s="10" t="s">
        <v>29</v>
      </c>
    </row>
    <row r="21" spans="1:21" s="10" customFormat="1" x14ac:dyDescent="0.25">
      <c r="A21" s="10" t="s">
        <v>303</v>
      </c>
      <c r="B21" s="10" t="s">
        <v>165</v>
      </c>
      <c r="C21" s="11" t="s">
        <v>297</v>
      </c>
      <c r="D21" s="10" t="s">
        <v>304</v>
      </c>
      <c r="E21" s="8" t="s">
        <v>305</v>
      </c>
      <c r="F21" s="8" t="s">
        <v>306</v>
      </c>
      <c r="G21" s="10" t="s">
        <v>170</v>
      </c>
      <c r="H21" s="8" t="s">
        <v>307</v>
      </c>
      <c r="I21" s="10" t="s">
        <v>308</v>
      </c>
      <c r="J21" s="8" t="s">
        <v>171</v>
      </c>
      <c r="K21" s="8" t="s">
        <v>29</v>
      </c>
      <c r="L21" s="8" t="s">
        <v>29</v>
      </c>
      <c r="M21" s="10" t="s">
        <v>29</v>
      </c>
      <c r="N21" s="8" t="s">
        <v>29</v>
      </c>
      <c r="O21" s="10" t="s">
        <v>18</v>
      </c>
      <c r="P21" s="8" t="s">
        <v>309</v>
      </c>
      <c r="Q21" s="10" t="s">
        <v>174</v>
      </c>
      <c r="R21" s="10" t="s">
        <v>175</v>
      </c>
      <c r="S21" s="8" t="s">
        <v>310</v>
      </c>
      <c r="T21" s="10" t="s">
        <v>176</v>
      </c>
      <c r="U21" s="10" t="s">
        <v>29</v>
      </c>
    </row>
    <row r="22" spans="1:21" s="10" customFormat="1" x14ac:dyDescent="0.25">
      <c r="A22" s="10" t="s">
        <v>311</v>
      </c>
      <c r="B22" s="10" t="s">
        <v>165</v>
      </c>
      <c r="C22" s="10" t="s">
        <v>166</v>
      </c>
      <c r="D22" s="10" t="s">
        <v>312</v>
      </c>
      <c r="E22" s="8" t="s">
        <v>313</v>
      </c>
      <c r="F22" s="8" t="s">
        <v>314</v>
      </c>
      <c r="G22" s="10" t="s">
        <v>170</v>
      </c>
      <c r="H22" s="8" t="s">
        <v>315</v>
      </c>
      <c r="I22" s="10" t="s">
        <v>316</v>
      </c>
      <c r="J22" s="8" t="s">
        <v>171</v>
      </c>
      <c r="K22" s="8" t="s">
        <v>29</v>
      </c>
      <c r="L22" s="8" t="s">
        <v>29</v>
      </c>
      <c r="M22" s="10" t="s">
        <v>29</v>
      </c>
      <c r="N22" s="8" t="s">
        <v>317</v>
      </c>
      <c r="O22" s="10" t="s">
        <v>18</v>
      </c>
      <c r="P22" s="8" t="s">
        <v>318</v>
      </c>
      <c r="Q22" s="10" t="s">
        <v>174</v>
      </c>
      <c r="R22" s="10" t="s">
        <v>175</v>
      </c>
      <c r="S22" s="8" t="s">
        <v>289</v>
      </c>
      <c r="T22" s="10" t="s">
        <v>176</v>
      </c>
      <c r="U22" s="10" t="s">
        <v>29</v>
      </c>
    </row>
    <row r="23" spans="1:21" s="10" customFormat="1" x14ac:dyDescent="0.25">
      <c r="A23" s="10" t="s">
        <v>319</v>
      </c>
      <c r="B23" s="10" t="s">
        <v>165</v>
      </c>
      <c r="C23" s="11" t="s">
        <v>297</v>
      </c>
      <c r="D23" s="10" t="s">
        <v>320</v>
      </c>
      <c r="E23" s="8" t="s">
        <v>321</v>
      </c>
      <c r="F23" s="8" t="s">
        <v>322</v>
      </c>
      <c r="G23" s="10" t="s">
        <v>170</v>
      </c>
      <c r="H23" s="8" t="s">
        <v>315</v>
      </c>
      <c r="I23" s="10" t="s">
        <v>323</v>
      </c>
      <c r="J23" s="8" t="s">
        <v>171</v>
      </c>
      <c r="K23" s="8" t="s">
        <v>29</v>
      </c>
      <c r="L23" s="8" t="s">
        <v>29</v>
      </c>
      <c r="M23" s="10" t="s">
        <v>29</v>
      </c>
      <c r="N23" s="8" t="s">
        <v>324</v>
      </c>
      <c r="O23" s="10" t="s">
        <v>18</v>
      </c>
      <c r="P23" s="8" t="s">
        <v>325</v>
      </c>
      <c r="Q23" s="10" t="s">
        <v>174</v>
      </c>
      <c r="R23" s="10" t="s">
        <v>175</v>
      </c>
      <c r="S23" s="8" t="s">
        <v>326</v>
      </c>
      <c r="T23" s="10" t="s">
        <v>176</v>
      </c>
      <c r="U23" s="10" t="s">
        <v>29</v>
      </c>
    </row>
    <row r="24" spans="1:21" s="10" customFormat="1" x14ac:dyDescent="0.25">
      <c r="A24" s="10" t="s">
        <v>327</v>
      </c>
      <c r="B24" s="10" t="s">
        <v>165</v>
      </c>
      <c r="C24" s="10" t="s">
        <v>166</v>
      </c>
      <c r="D24" s="10" t="s">
        <v>328</v>
      </c>
      <c r="E24" s="8" t="s">
        <v>329</v>
      </c>
      <c r="F24" s="8" t="s">
        <v>330</v>
      </c>
      <c r="G24" s="10" t="s">
        <v>170</v>
      </c>
      <c r="H24" s="8" t="s">
        <v>331</v>
      </c>
      <c r="I24" s="10" t="s">
        <v>29</v>
      </c>
      <c r="J24" s="8" t="s">
        <v>171</v>
      </c>
      <c r="K24" s="8" t="s">
        <v>29</v>
      </c>
      <c r="L24" s="8" t="s">
        <v>29</v>
      </c>
      <c r="M24" s="10" t="s">
        <v>29</v>
      </c>
      <c r="N24" s="8" t="s">
        <v>29</v>
      </c>
      <c r="O24" s="10" t="s">
        <v>18</v>
      </c>
      <c r="P24" s="8" t="s">
        <v>332</v>
      </c>
      <c r="Q24" s="10" t="s">
        <v>190</v>
      </c>
      <c r="R24" s="10" t="s">
        <v>175</v>
      </c>
      <c r="S24" s="8" t="s">
        <v>333</v>
      </c>
      <c r="T24" s="10" t="s">
        <v>176</v>
      </c>
      <c r="U24" s="10" t="s">
        <v>29</v>
      </c>
    </row>
    <row r="25" spans="1:21" s="10" customFormat="1" x14ac:dyDescent="0.25">
      <c r="A25" s="10" t="s">
        <v>334</v>
      </c>
      <c r="B25" s="10" t="s">
        <v>165</v>
      </c>
      <c r="C25" s="10" t="s">
        <v>335</v>
      </c>
      <c r="D25" s="10" t="s">
        <v>336</v>
      </c>
      <c r="E25" s="8" t="s">
        <v>337</v>
      </c>
      <c r="F25" s="8" t="s">
        <v>338</v>
      </c>
      <c r="G25" s="10" t="s">
        <v>170</v>
      </c>
      <c r="H25" s="8" t="s">
        <v>315</v>
      </c>
      <c r="I25" s="10" t="s">
        <v>29</v>
      </c>
      <c r="J25" s="8" t="s">
        <v>171</v>
      </c>
      <c r="K25" s="8" t="s">
        <v>29</v>
      </c>
      <c r="L25" s="8" t="s">
        <v>29</v>
      </c>
      <c r="M25" s="10" t="s">
        <v>29</v>
      </c>
      <c r="N25" s="8" t="s">
        <v>29</v>
      </c>
      <c r="O25" s="10" t="s">
        <v>18</v>
      </c>
      <c r="P25" s="8" t="s">
        <v>339</v>
      </c>
      <c r="Q25" s="10" t="s">
        <v>174</v>
      </c>
      <c r="R25" s="10" t="s">
        <v>175</v>
      </c>
      <c r="S25" s="8" t="s">
        <v>171</v>
      </c>
      <c r="T25" s="10" t="s">
        <v>204</v>
      </c>
      <c r="U25" s="10" t="s">
        <v>29</v>
      </c>
    </row>
    <row r="26" spans="1:21" s="10" customFormat="1" x14ac:dyDescent="0.25">
      <c r="A26" s="10" t="s">
        <v>340</v>
      </c>
      <c r="B26" s="10" t="s">
        <v>165</v>
      </c>
      <c r="C26" s="10" t="s">
        <v>166</v>
      </c>
      <c r="D26" s="10" t="s">
        <v>341</v>
      </c>
      <c r="E26" s="8" t="s">
        <v>342</v>
      </c>
      <c r="F26" s="8" t="s">
        <v>343</v>
      </c>
      <c r="G26" s="10" t="s">
        <v>170</v>
      </c>
      <c r="H26" s="8" t="s">
        <v>344</v>
      </c>
      <c r="I26" s="10" t="s">
        <v>345</v>
      </c>
      <c r="J26" s="8" t="s">
        <v>171</v>
      </c>
      <c r="K26" s="8" t="s">
        <v>29</v>
      </c>
      <c r="L26" s="8" t="s">
        <v>29</v>
      </c>
      <c r="M26" s="10" t="s">
        <v>29</v>
      </c>
      <c r="N26" s="8" t="s">
        <v>346</v>
      </c>
      <c r="O26" s="10" t="s">
        <v>18</v>
      </c>
      <c r="P26" s="8" t="s">
        <v>347</v>
      </c>
      <c r="Q26" s="10" t="s">
        <v>174</v>
      </c>
      <c r="R26" s="10" t="s">
        <v>175</v>
      </c>
      <c r="S26" s="8" t="s">
        <v>348</v>
      </c>
      <c r="T26" s="10" t="s">
        <v>176</v>
      </c>
      <c r="U26" s="10" t="s">
        <v>29</v>
      </c>
    </row>
    <row r="27" spans="1:21" s="10" customFormat="1" x14ac:dyDescent="0.25">
      <c r="A27" s="10" t="s">
        <v>349</v>
      </c>
      <c r="B27" s="10" t="s">
        <v>350</v>
      </c>
      <c r="C27" s="10" t="s">
        <v>166</v>
      </c>
      <c r="D27" s="10" t="s">
        <v>351</v>
      </c>
      <c r="E27" s="8" t="s">
        <v>352</v>
      </c>
      <c r="F27" s="8" t="s">
        <v>353</v>
      </c>
      <c r="G27" s="10" t="s">
        <v>170</v>
      </c>
      <c r="H27" s="8" t="s">
        <v>354</v>
      </c>
      <c r="I27" s="10" t="s">
        <v>29</v>
      </c>
      <c r="J27" s="8" t="s">
        <v>355</v>
      </c>
      <c r="K27" s="8" t="s">
        <v>29</v>
      </c>
      <c r="L27" s="8" t="s">
        <v>29</v>
      </c>
      <c r="M27" s="10" t="s">
        <v>29</v>
      </c>
      <c r="N27" s="8" t="s">
        <v>29</v>
      </c>
      <c r="O27" s="10" t="s">
        <v>18</v>
      </c>
      <c r="P27" s="8" t="s">
        <v>356</v>
      </c>
      <c r="Q27" s="10" t="s">
        <v>174</v>
      </c>
      <c r="R27" s="10" t="s">
        <v>357</v>
      </c>
      <c r="S27" s="8" t="s">
        <v>257</v>
      </c>
      <c r="T27" s="10" t="s">
        <v>358</v>
      </c>
      <c r="U27" s="10" t="s">
        <v>29</v>
      </c>
    </row>
    <row r="28" spans="1:21" s="10" customFormat="1" x14ac:dyDescent="0.25">
      <c r="A28" s="10" t="s">
        <v>359</v>
      </c>
      <c r="B28" s="10" t="s">
        <v>350</v>
      </c>
      <c r="C28" s="10" t="s">
        <v>166</v>
      </c>
      <c r="D28" s="10" t="s">
        <v>360</v>
      </c>
      <c r="E28" s="8" t="s">
        <v>361</v>
      </c>
      <c r="F28" s="8" t="s">
        <v>362</v>
      </c>
      <c r="G28" s="10" t="s">
        <v>170</v>
      </c>
      <c r="H28" s="8" t="s">
        <v>171</v>
      </c>
      <c r="I28" s="10" t="s">
        <v>29</v>
      </c>
      <c r="J28" s="8" t="s">
        <v>355</v>
      </c>
      <c r="K28" s="8" t="s">
        <v>29</v>
      </c>
      <c r="L28" s="8" t="s">
        <v>29</v>
      </c>
      <c r="M28" s="10" t="s">
        <v>29</v>
      </c>
      <c r="N28" s="8" t="s">
        <v>29</v>
      </c>
      <c r="O28" s="10" t="s">
        <v>18</v>
      </c>
      <c r="P28" s="8" t="s">
        <v>363</v>
      </c>
      <c r="Q28" s="10" t="s">
        <v>174</v>
      </c>
      <c r="R28" s="10" t="s">
        <v>357</v>
      </c>
      <c r="S28" s="8" t="s">
        <v>171</v>
      </c>
      <c r="T28" s="10" t="s">
        <v>358</v>
      </c>
      <c r="U28" s="10" t="s">
        <v>29</v>
      </c>
    </row>
    <row r="29" spans="1:21" s="10" customFormat="1" x14ac:dyDescent="0.25">
      <c r="A29" s="10" t="s">
        <v>364</v>
      </c>
      <c r="B29" s="10" t="s">
        <v>350</v>
      </c>
      <c r="C29" s="10" t="s">
        <v>166</v>
      </c>
      <c r="D29" s="10" t="s">
        <v>365</v>
      </c>
      <c r="E29" s="8" t="s">
        <v>366</v>
      </c>
      <c r="F29" s="8" t="s">
        <v>367</v>
      </c>
      <c r="G29" s="10" t="s">
        <v>170</v>
      </c>
      <c r="H29" s="8" t="s">
        <v>368</v>
      </c>
      <c r="I29" s="10" t="s">
        <v>369</v>
      </c>
      <c r="J29" s="8" t="s">
        <v>355</v>
      </c>
      <c r="K29" s="8" t="s">
        <v>29</v>
      </c>
      <c r="L29" s="8" t="s">
        <v>29</v>
      </c>
      <c r="M29" s="10" t="s">
        <v>29</v>
      </c>
      <c r="N29" s="8" t="s">
        <v>370</v>
      </c>
      <c r="O29" s="10" t="s">
        <v>18</v>
      </c>
      <c r="P29" s="8" t="s">
        <v>371</v>
      </c>
      <c r="Q29" s="10" t="s">
        <v>174</v>
      </c>
      <c r="R29" s="10" t="s">
        <v>357</v>
      </c>
      <c r="S29" s="8" t="s">
        <v>372</v>
      </c>
      <c r="T29" s="10" t="s">
        <v>204</v>
      </c>
      <c r="U29" s="10" t="s">
        <v>29</v>
      </c>
    </row>
    <row r="30" spans="1:21" s="10" customFormat="1" x14ac:dyDescent="0.25">
      <c r="A30" s="10" t="s">
        <v>373</v>
      </c>
      <c r="B30" s="10" t="s">
        <v>350</v>
      </c>
      <c r="C30" s="10" t="s">
        <v>335</v>
      </c>
      <c r="D30" s="10" t="s">
        <v>374</v>
      </c>
      <c r="E30" s="8" t="s">
        <v>375</v>
      </c>
      <c r="F30" s="8" t="s">
        <v>376</v>
      </c>
      <c r="G30" s="10" t="s">
        <v>170</v>
      </c>
      <c r="H30" s="8" t="s">
        <v>171</v>
      </c>
      <c r="I30" s="10" t="s">
        <v>29</v>
      </c>
      <c r="J30" s="8" t="s">
        <v>355</v>
      </c>
      <c r="K30" s="8" t="s">
        <v>29</v>
      </c>
      <c r="L30" s="8" t="s">
        <v>29</v>
      </c>
      <c r="M30" s="10" t="s">
        <v>29</v>
      </c>
      <c r="N30" s="8" t="s">
        <v>29</v>
      </c>
      <c r="O30" s="10" t="s">
        <v>18</v>
      </c>
      <c r="P30" s="8" t="s">
        <v>377</v>
      </c>
      <c r="Q30" s="10" t="s">
        <v>174</v>
      </c>
      <c r="R30" s="10" t="s">
        <v>357</v>
      </c>
      <c r="S30" s="8" t="s">
        <v>171</v>
      </c>
      <c r="T30" s="10" t="s">
        <v>204</v>
      </c>
      <c r="U30" s="10" t="s">
        <v>29</v>
      </c>
    </row>
    <row r="31" spans="1:21" s="10" customFormat="1" x14ac:dyDescent="0.25">
      <c r="A31" s="10" t="s">
        <v>378</v>
      </c>
      <c r="B31" s="10" t="s">
        <v>350</v>
      </c>
      <c r="C31" s="10" t="s">
        <v>166</v>
      </c>
      <c r="D31" s="10" t="s">
        <v>379</v>
      </c>
      <c r="E31" s="8" t="s">
        <v>380</v>
      </c>
      <c r="F31" s="8" t="s">
        <v>381</v>
      </c>
      <c r="G31" s="10" t="s">
        <v>29</v>
      </c>
      <c r="H31" s="8" t="s">
        <v>382</v>
      </c>
      <c r="I31" s="10" t="s">
        <v>383</v>
      </c>
      <c r="J31" s="8" t="s">
        <v>355</v>
      </c>
      <c r="K31" s="8" t="s">
        <v>29</v>
      </c>
      <c r="L31" s="8" t="s">
        <v>29</v>
      </c>
      <c r="M31" s="10" t="s">
        <v>29</v>
      </c>
      <c r="N31" s="8" t="s">
        <v>384</v>
      </c>
      <c r="O31" s="10" t="s">
        <v>18</v>
      </c>
      <c r="P31" s="8" t="s">
        <v>385</v>
      </c>
      <c r="Q31" s="10" t="s">
        <v>174</v>
      </c>
      <c r="R31" s="10" t="s">
        <v>357</v>
      </c>
      <c r="S31" s="8" t="s">
        <v>386</v>
      </c>
      <c r="T31" s="10" t="s">
        <v>358</v>
      </c>
      <c r="U31" s="10" t="s">
        <v>29</v>
      </c>
    </row>
    <row r="32" spans="1:21" s="10" customFormat="1" x14ac:dyDescent="0.25">
      <c r="A32" s="10" t="s">
        <v>387</v>
      </c>
      <c r="B32" s="10" t="s">
        <v>350</v>
      </c>
      <c r="C32" s="10" t="s">
        <v>166</v>
      </c>
      <c r="D32" s="10" t="s">
        <v>388</v>
      </c>
      <c r="E32" s="8" t="s">
        <v>389</v>
      </c>
      <c r="F32" s="8" t="s">
        <v>390</v>
      </c>
      <c r="G32" s="10" t="s">
        <v>29</v>
      </c>
      <c r="H32" s="8" t="s">
        <v>171</v>
      </c>
      <c r="I32" s="10" t="s">
        <v>29</v>
      </c>
      <c r="J32" s="8" t="s">
        <v>355</v>
      </c>
      <c r="K32" s="8" t="s">
        <v>29</v>
      </c>
      <c r="L32" s="8" t="s">
        <v>29</v>
      </c>
      <c r="M32" s="10" t="s">
        <v>29</v>
      </c>
      <c r="N32" s="8" t="s">
        <v>29</v>
      </c>
      <c r="O32" s="10" t="s">
        <v>18</v>
      </c>
      <c r="P32" s="8" t="s">
        <v>391</v>
      </c>
      <c r="Q32" s="10" t="s">
        <v>190</v>
      </c>
      <c r="R32" s="10" t="s">
        <v>357</v>
      </c>
      <c r="S32" s="8" t="s">
        <v>171</v>
      </c>
      <c r="T32" s="10" t="s">
        <v>358</v>
      </c>
      <c r="U32" s="10" t="s">
        <v>29</v>
      </c>
    </row>
    <row r="33" spans="1:21" s="10" customFormat="1" x14ac:dyDescent="0.25">
      <c r="A33" s="10" t="s">
        <v>392</v>
      </c>
      <c r="B33" s="10" t="s">
        <v>350</v>
      </c>
      <c r="C33" s="10" t="s">
        <v>166</v>
      </c>
      <c r="D33" s="10" t="s">
        <v>393</v>
      </c>
      <c r="E33" s="8" t="s">
        <v>394</v>
      </c>
      <c r="F33" s="8" t="s">
        <v>395</v>
      </c>
      <c r="G33" s="10" t="s">
        <v>29</v>
      </c>
      <c r="H33" s="8" t="s">
        <v>396</v>
      </c>
      <c r="I33" s="10" t="s">
        <v>29</v>
      </c>
      <c r="J33" s="8" t="s">
        <v>355</v>
      </c>
      <c r="K33" s="8" t="s">
        <v>29</v>
      </c>
      <c r="L33" s="8" t="s">
        <v>29</v>
      </c>
      <c r="M33" s="10" t="s">
        <v>29</v>
      </c>
      <c r="N33" s="8" t="s">
        <v>29</v>
      </c>
      <c r="O33" s="10" t="s">
        <v>18</v>
      </c>
      <c r="P33" s="8" t="s">
        <v>397</v>
      </c>
      <c r="Q33" s="10" t="s">
        <v>190</v>
      </c>
      <c r="R33" s="10" t="s">
        <v>357</v>
      </c>
      <c r="S33" s="8" t="s">
        <v>398</v>
      </c>
      <c r="T33" s="10" t="s">
        <v>204</v>
      </c>
      <c r="U33" s="10" t="s">
        <v>29</v>
      </c>
    </row>
    <row r="34" spans="1:21" s="10" customFormat="1" x14ac:dyDescent="0.25">
      <c r="A34" s="10" t="s">
        <v>399</v>
      </c>
      <c r="B34" s="10" t="s">
        <v>350</v>
      </c>
      <c r="C34" s="11" t="s">
        <v>297</v>
      </c>
      <c r="D34" s="10" t="s">
        <v>400</v>
      </c>
      <c r="E34" s="8" t="s">
        <v>401</v>
      </c>
      <c r="F34" s="8" t="s">
        <v>402</v>
      </c>
      <c r="G34" s="10" t="s">
        <v>29</v>
      </c>
      <c r="H34" s="8" t="s">
        <v>403</v>
      </c>
      <c r="I34" s="10" t="s">
        <v>404</v>
      </c>
      <c r="J34" s="8" t="s">
        <v>355</v>
      </c>
      <c r="K34" s="8" t="s">
        <v>29</v>
      </c>
      <c r="L34" s="8" t="s">
        <v>29</v>
      </c>
      <c r="M34" s="10" t="s">
        <v>29</v>
      </c>
      <c r="N34" s="8" t="s">
        <v>405</v>
      </c>
      <c r="O34" s="10" t="s">
        <v>18</v>
      </c>
      <c r="P34" s="8" t="s">
        <v>406</v>
      </c>
      <c r="Q34" s="10" t="s">
        <v>174</v>
      </c>
      <c r="R34" s="10" t="s">
        <v>357</v>
      </c>
      <c r="S34" s="8" t="s">
        <v>407</v>
      </c>
      <c r="T34" s="10" t="s">
        <v>358</v>
      </c>
      <c r="U34" s="10" t="s">
        <v>29</v>
      </c>
    </row>
    <row r="35" spans="1:21" s="10" customFormat="1" x14ac:dyDescent="0.25">
      <c r="A35" s="10" t="s">
        <v>408</v>
      </c>
      <c r="B35" s="10" t="s">
        <v>350</v>
      </c>
      <c r="C35" s="11" t="s">
        <v>297</v>
      </c>
      <c r="D35" s="10" t="s">
        <v>409</v>
      </c>
      <c r="E35" s="8" t="s">
        <v>410</v>
      </c>
      <c r="F35" s="8" t="s">
        <v>411</v>
      </c>
      <c r="G35" s="10" t="s">
        <v>29</v>
      </c>
      <c r="H35" s="8" t="s">
        <v>412</v>
      </c>
      <c r="I35" s="10" t="s">
        <v>413</v>
      </c>
      <c r="J35" s="8" t="s">
        <v>355</v>
      </c>
      <c r="K35" s="8" t="s">
        <v>29</v>
      </c>
      <c r="L35" s="8" t="s">
        <v>29</v>
      </c>
      <c r="M35" s="10" t="s">
        <v>29</v>
      </c>
      <c r="N35" s="8" t="s">
        <v>29</v>
      </c>
      <c r="O35" s="10" t="s">
        <v>18</v>
      </c>
      <c r="P35" s="8" t="s">
        <v>414</v>
      </c>
      <c r="Q35" s="10" t="s">
        <v>190</v>
      </c>
      <c r="R35" s="10" t="s">
        <v>357</v>
      </c>
      <c r="S35" s="8" t="s">
        <v>415</v>
      </c>
      <c r="T35" s="10" t="s">
        <v>358</v>
      </c>
      <c r="U35" s="10" t="s">
        <v>29</v>
      </c>
    </row>
    <row r="36" spans="1:21" s="10" customFormat="1" x14ac:dyDescent="0.25">
      <c r="A36" s="10" t="s">
        <v>416</v>
      </c>
      <c r="B36" s="10" t="s">
        <v>350</v>
      </c>
      <c r="C36" s="10" t="s">
        <v>166</v>
      </c>
      <c r="D36" s="10" t="s">
        <v>417</v>
      </c>
      <c r="E36" s="8" t="s">
        <v>418</v>
      </c>
      <c r="F36" s="8" t="s">
        <v>419</v>
      </c>
      <c r="G36" s="10" t="s">
        <v>29</v>
      </c>
      <c r="H36" s="8" t="s">
        <v>420</v>
      </c>
      <c r="I36" s="10" t="s">
        <v>421</v>
      </c>
      <c r="J36" s="8" t="s">
        <v>422</v>
      </c>
      <c r="K36" s="8" t="s">
        <v>29</v>
      </c>
      <c r="L36" s="8" t="s">
        <v>29</v>
      </c>
      <c r="M36" s="10" t="s">
        <v>29</v>
      </c>
      <c r="N36" s="8" t="s">
        <v>29</v>
      </c>
      <c r="O36" s="10" t="s">
        <v>18</v>
      </c>
      <c r="P36" s="8" t="s">
        <v>423</v>
      </c>
      <c r="Q36" s="10" t="s">
        <v>174</v>
      </c>
      <c r="R36" s="10" t="s">
        <v>357</v>
      </c>
      <c r="S36" s="8" t="s">
        <v>424</v>
      </c>
      <c r="T36" s="10" t="s">
        <v>358</v>
      </c>
      <c r="U36" s="10" t="s">
        <v>29</v>
      </c>
    </row>
    <row r="37" spans="1:21" s="10" customFormat="1" x14ac:dyDescent="0.25">
      <c r="A37" s="10" t="s">
        <v>425</v>
      </c>
      <c r="B37" s="10" t="s">
        <v>350</v>
      </c>
      <c r="C37" s="10" t="s">
        <v>166</v>
      </c>
      <c r="D37" s="10" t="s">
        <v>426</v>
      </c>
      <c r="E37" s="8" t="s">
        <v>427</v>
      </c>
      <c r="F37" s="8" t="s">
        <v>428</v>
      </c>
      <c r="G37" s="10" t="s">
        <v>29</v>
      </c>
      <c r="H37" s="8" t="s">
        <v>429</v>
      </c>
      <c r="I37" s="10" t="s">
        <v>430</v>
      </c>
      <c r="J37" s="8" t="s">
        <v>431</v>
      </c>
      <c r="K37" s="8" t="s">
        <v>29</v>
      </c>
      <c r="L37" s="8" t="s">
        <v>29</v>
      </c>
      <c r="M37" s="10" t="s">
        <v>29</v>
      </c>
      <c r="N37" s="8" t="s">
        <v>29</v>
      </c>
      <c r="O37" s="10" t="s">
        <v>18</v>
      </c>
      <c r="P37" s="8" t="s">
        <v>432</v>
      </c>
      <c r="Q37" s="10" t="s">
        <v>190</v>
      </c>
      <c r="R37" s="10" t="s">
        <v>357</v>
      </c>
      <c r="S37" s="8" t="s">
        <v>433</v>
      </c>
      <c r="T37" s="10" t="s">
        <v>204</v>
      </c>
      <c r="U37" s="10" t="s">
        <v>29</v>
      </c>
    </row>
    <row r="38" spans="1:21" s="10" customFormat="1" x14ac:dyDescent="0.25">
      <c r="A38" s="10" t="s">
        <v>434</v>
      </c>
      <c r="B38" s="10" t="s">
        <v>350</v>
      </c>
      <c r="C38" s="10" t="s">
        <v>166</v>
      </c>
      <c r="D38" s="10" t="s">
        <v>435</v>
      </c>
      <c r="E38" s="8" t="s">
        <v>436</v>
      </c>
      <c r="F38" s="8" t="s">
        <v>437</v>
      </c>
      <c r="G38" s="10" t="s">
        <v>29</v>
      </c>
      <c r="H38" s="8" t="s">
        <v>438</v>
      </c>
      <c r="I38" s="10" t="s">
        <v>439</v>
      </c>
      <c r="J38" s="8" t="s">
        <v>355</v>
      </c>
      <c r="K38" s="8" t="s">
        <v>29</v>
      </c>
      <c r="L38" s="8" t="s">
        <v>29</v>
      </c>
      <c r="M38" s="10" t="s">
        <v>29</v>
      </c>
      <c r="N38" s="8" t="s">
        <v>29</v>
      </c>
      <c r="O38" s="10" t="s">
        <v>18</v>
      </c>
      <c r="P38" s="8" t="s">
        <v>440</v>
      </c>
      <c r="Q38" s="10" t="s">
        <v>174</v>
      </c>
      <c r="R38" s="10" t="s">
        <v>357</v>
      </c>
      <c r="S38" s="8" t="s">
        <v>441</v>
      </c>
      <c r="T38" s="10" t="s">
        <v>358</v>
      </c>
      <c r="U38" s="10" t="s">
        <v>29</v>
      </c>
    </row>
    <row r="39" spans="1:21" s="10" customFormat="1" x14ac:dyDescent="0.25">
      <c r="A39" s="10" t="s">
        <v>442</v>
      </c>
      <c r="B39" s="10" t="s">
        <v>350</v>
      </c>
      <c r="C39" s="11" t="s">
        <v>297</v>
      </c>
      <c r="D39" s="10" t="s">
        <v>443</v>
      </c>
      <c r="E39" s="8" t="s">
        <v>444</v>
      </c>
      <c r="F39" s="8" t="s">
        <v>445</v>
      </c>
      <c r="G39" s="10" t="s">
        <v>29</v>
      </c>
      <c r="H39" s="8" t="s">
        <v>446</v>
      </c>
      <c r="I39" s="10" t="s">
        <v>447</v>
      </c>
      <c r="J39" s="8" t="s">
        <v>448</v>
      </c>
      <c r="K39" s="8" t="s">
        <v>29</v>
      </c>
      <c r="L39" s="8" t="s">
        <v>29</v>
      </c>
      <c r="M39" s="10" t="s">
        <v>29</v>
      </c>
      <c r="N39" s="8" t="s">
        <v>449</v>
      </c>
      <c r="O39" s="10" t="s">
        <v>18</v>
      </c>
      <c r="P39" s="8" t="s">
        <v>450</v>
      </c>
      <c r="Q39" s="10" t="s">
        <v>174</v>
      </c>
      <c r="R39" s="10" t="s">
        <v>357</v>
      </c>
      <c r="S39" s="8" t="s">
        <v>451</v>
      </c>
      <c r="T39" s="10" t="s">
        <v>358</v>
      </c>
      <c r="U39" s="10" t="s">
        <v>29</v>
      </c>
    </row>
    <row r="40" spans="1:21" s="10" customFormat="1" x14ac:dyDescent="0.25">
      <c r="A40" s="10" t="s">
        <v>452</v>
      </c>
      <c r="B40" s="10" t="s">
        <v>350</v>
      </c>
      <c r="C40" s="11" t="s">
        <v>297</v>
      </c>
      <c r="D40" s="10" t="s">
        <v>453</v>
      </c>
      <c r="E40" s="8" t="s">
        <v>454</v>
      </c>
      <c r="F40" s="8" t="s">
        <v>455</v>
      </c>
      <c r="G40" s="10" t="s">
        <v>29</v>
      </c>
      <c r="H40" s="8" t="s">
        <v>456</v>
      </c>
      <c r="I40" s="10" t="s">
        <v>457</v>
      </c>
      <c r="J40" s="8" t="s">
        <v>448</v>
      </c>
      <c r="K40" s="8" t="s">
        <v>29</v>
      </c>
      <c r="L40" s="8" t="s">
        <v>29</v>
      </c>
      <c r="M40" s="10" t="s">
        <v>29</v>
      </c>
      <c r="N40" s="8" t="s">
        <v>458</v>
      </c>
      <c r="O40" s="10" t="s">
        <v>18</v>
      </c>
      <c r="P40" s="8" t="s">
        <v>459</v>
      </c>
      <c r="Q40" s="10" t="s">
        <v>174</v>
      </c>
      <c r="R40" s="10" t="s">
        <v>357</v>
      </c>
      <c r="S40" s="8" t="s">
        <v>460</v>
      </c>
      <c r="T40" s="10" t="s">
        <v>358</v>
      </c>
      <c r="U40" s="10" t="s">
        <v>29</v>
      </c>
    </row>
    <row r="41" spans="1:21" s="10" customFormat="1" x14ac:dyDescent="0.25">
      <c r="A41" s="10" t="s">
        <v>461</v>
      </c>
      <c r="B41" s="10" t="s">
        <v>350</v>
      </c>
      <c r="C41" s="10" t="s">
        <v>166</v>
      </c>
      <c r="D41" s="10" t="s">
        <v>462</v>
      </c>
      <c r="E41" s="8" t="s">
        <v>463</v>
      </c>
      <c r="F41" s="8" t="s">
        <v>464</v>
      </c>
      <c r="G41" s="10" t="s">
        <v>29</v>
      </c>
      <c r="H41" s="8" t="s">
        <v>465</v>
      </c>
      <c r="I41" s="10" t="s">
        <v>308</v>
      </c>
      <c r="J41" s="8" t="s">
        <v>448</v>
      </c>
      <c r="K41" s="8" t="s">
        <v>29</v>
      </c>
      <c r="L41" s="8" t="s">
        <v>29</v>
      </c>
      <c r="M41" s="10" t="s">
        <v>29</v>
      </c>
      <c r="N41" s="8" t="s">
        <v>29</v>
      </c>
      <c r="O41" s="10" t="s">
        <v>18</v>
      </c>
      <c r="P41" s="8" t="s">
        <v>466</v>
      </c>
      <c r="Q41" s="10" t="s">
        <v>174</v>
      </c>
      <c r="R41" s="10" t="s">
        <v>357</v>
      </c>
      <c r="S41" s="8" t="s">
        <v>467</v>
      </c>
      <c r="T41" s="10" t="s">
        <v>358</v>
      </c>
      <c r="U41" s="10" t="s">
        <v>29</v>
      </c>
    </row>
    <row r="42" spans="1:21" s="10" customFormat="1" x14ac:dyDescent="0.25">
      <c r="A42" s="10" t="s">
        <v>468</v>
      </c>
      <c r="B42" s="10" t="s">
        <v>350</v>
      </c>
      <c r="C42" s="10" t="s">
        <v>166</v>
      </c>
      <c r="D42" s="10" t="s">
        <v>469</v>
      </c>
      <c r="E42" s="8" t="s">
        <v>470</v>
      </c>
      <c r="F42" s="8" t="s">
        <v>471</v>
      </c>
      <c r="G42" s="10" t="s">
        <v>29</v>
      </c>
      <c r="H42" s="8" t="s">
        <v>472</v>
      </c>
      <c r="I42" s="10" t="s">
        <v>473</v>
      </c>
      <c r="J42" s="8" t="s">
        <v>474</v>
      </c>
      <c r="K42" s="8" t="s">
        <v>29</v>
      </c>
      <c r="L42" s="8" t="s">
        <v>29</v>
      </c>
      <c r="M42" s="10" t="s">
        <v>29</v>
      </c>
      <c r="N42" s="8" t="s">
        <v>29</v>
      </c>
      <c r="O42" s="10" t="s">
        <v>18</v>
      </c>
      <c r="P42" s="8" t="s">
        <v>475</v>
      </c>
      <c r="Q42" s="10" t="s">
        <v>174</v>
      </c>
      <c r="R42" s="10" t="s">
        <v>357</v>
      </c>
      <c r="S42" s="8" t="s">
        <v>476</v>
      </c>
      <c r="T42" s="10" t="s">
        <v>358</v>
      </c>
      <c r="U42" s="10" t="s">
        <v>29</v>
      </c>
    </row>
    <row r="43" spans="1:21" s="10" customFormat="1" x14ac:dyDescent="0.25">
      <c r="A43" s="10" t="s">
        <v>477</v>
      </c>
      <c r="B43" s="10" t="s">
        <v>350</v>
      </c>
      <c r="C43" s="11" t="s">
        <v>297</v>
      </c>
      <c r="D43" s="10" t="s">
        <v>478</v>
      </c>
      <c r="E43" s="8" t="s">
        <v>479</v>
      </c>
      <c r="F43" s="8" t="s">
        <v>480</v>
      </c>
      <c r="G43" s="10" t="s">
        <v>29</v>
      </c>
      <c r="H43" s="8" t="s">
        <v>481</v>
      </c>
      <c r="I43" s="10" t="s">
        <v>482</v>
      </c>
      <c r="J43" s="8" t="s">
        <v>355</v>
      </c>
      <c r="K43" s="8" t="s">
        <v>29</v>
      </c>
      <c r="L43" s="8" t="s">
        <v>29</v>
      </c>
      <c r="M43" s="10" t="s">
        <v>29</v>
      </c>
      <c r="N43" s="8" t="s">
        <v>483</v>
      </c>
      <c r="O43" s="10" t="s">
        <v>18</v>
      </c>
      <c r="P43" s="8" t="s">
        <v>484</v>
      </c>
      <c r="Q43" s="10" t="s">
        <v>174</v>
      </c>
      <c r="R43" s="10" t="s">
        <v>357</v>
      </c>
      <c r="S43" s="8" t="s">
        <v>485</v>
      </c>
      <c r="T43" s="10" t="s">
        <v>358</v>
      </c>
      <c r="U43" s="10" t="s">
        <v>29</v>
      </c>
    </row>
    <row r="44" spans="1:21" s="10" customFormat="1" x14ac:dyDescent="0.25">
      <c r="A44" s="10" t="s">
        <v>486</v>
      </c>
      <c r="B44" s="10" t="s">
        <v>350</v>
      </c>
      <c r="C44" s="11" t="s">
        <v>297</v>
      </c>
      <c r="D44" s="10" t="s">
        <v>487</v>
      </c>
      <c r="E44" s="8" t="s">
        <v>488</v>
      </c>
      <c r="F44" s="8" t="s">
        <v>489</v>
      </c>
      <c r="G44" s="10" t="s">
        <v>29</v>
      </c>
      <c r="H44" s="8" t="s">
        <v>171</v>
      </c>
      <c r="I44" s="10" t="s">
        <v>490</v>
      </c>
      <c r="J44" s="8" t="s">
        <v>355</v>
      </c>
      <c r="K44" s="8" t="s">
        <v>29</v>
      </c>
      <c r="L44" s="8" t="s">
        <v>29</v>
      </c>
      <c r="M44" s="10" t="s">
        <v>29</v>
      </c>
      <c r="N44" s="8" t="s">
        <v>29</v>
      </c>
      <c r="O44" s="10" t="s">
        <v>18</v>
      </c>
      <c r="P44" s="8" t="s">
        <v>491</v>
      </c>
      <c r="Q44" s="10" t="s">
        <v>190</v>
      </c>
      <c r="R44" s="10" t="s">
        <v>357</v>
      </c>
      <c r="S44" s="8" t="s">
        <v>171</v>
      </c>
      <c r="T44" s="10" t="s">
        <v>358</v>
      </c>
      <c r="U44" s="10" t="s">
        <v>29</v>
      </c>
    </row>
    <row r="45" spans="1:21" s="10" customFormat="1" x14ac:dyDescent="0.25">
      <c r="A45" s="10" t="s">
        <v>492</v>
      </c>
      <c r="B45" s="10" t="s">
        <v>350</v>
      </c>
      <c r="C45" s="10" t="s">
        <v>166</v>
      </c>
      <c r="D45" s="10" t="s">
        <v>493</v>
      </c>
      <c r="E45" s="8" t="s">
        <v>494</v>
      </c>
      <c r="F45" s="8" t="s">
        <v>495</v>
      </c>
      <c r="G45" s="10" t="s">
        <v>29</v>
      </c>
      <c r="H45" s="8" t="s">
        <v>496</v>
      </c>
      <c r="I45" s="10" t="s">
        <v>497</v>
      </c>
      <c r="J45" s="8" t="s">
        <v>355</v>
      </c>
      <c r="K45" s="8" t="s">
        <v>29</v>
      </c>
      <c r="L45" s="8" t="s">
        <v>29</v>
      </c>
      <c r="M45" s="10" t="s">
        <v>29</v>
      </c>
      <c r="N45" s="8" t="s">
        <v>29</v>
      </c>
      <c r="O45" s="10" t="s">
        <v>18</v>
      </c>
      <c r="P45" s="8" t="s">
        <v>498</v>
      </c>
      <c r="Q45" s="10" t="s">
        <v>174</v>
      </c>
      <c r="R45" s="10" t="s">
        <v>357</v>
      </c>
      <c r="S45" s="8" t="s">
        <v>499</v>
      </c>
      <c r="T45" s="10" t="s">
        <v>358</v>
      </c>
      <c r="U45" s="10" t="s">
        <v>29</v>
      </c>
    </row>
    <row r="46" spans="1:21" s="10" customFormat="1" x14ac:dyDescent="0.25">
      <c r="A46" s="10" t="s">
        <v>500</v>
      </c>
      <c r="B46" s="10" t="s">
        <v>350</v>
      </c>
      <c r="C46" s="10" t="s">
        <v>166</v>
      </c>
      <c r="D46" s="10" t="s">
        <v>501</v>
      </c>
      <c r="E46" s="8" t="s">
        <v>502</v>
      </c>
      <c r="F46" s="8" t="s">
        <v>503</v>
      </c>
      <c r="G46" s="10" t="s">
        <v>29</v>
      </c>
      <c r="H46" s="8" t="s">
        <v>504</v>
      </c>
      <c r="I46" s="10" t="s">
        <v>505</v>
      </c>
      <c r="J46" s="8" t="s">
        <v>355</v>
      </c>
      <c r="K46" s="8" t="s">
        <v>29</v>
      </c>
      <c r="L46" s="8" t="s">
        <v>29</v>
      </c>
      <c r="M46" s="10" t="s">
        <v>29</v>
      </c>
      <c r="N46" s="8" t="s">
        <v>506</v>
      </c>
      <c r="O46" s="10" t="s">
        <v>18</v>
      </c>
      <c r="P46" s="8" t="s">
        <v>507</v>
      </c>
      <c r="Q46" s="10" t="s">
        <v>174</v>
      </c>
      <c r="R46" s="10" t="s">
        <v>357</v>
      </c>
      <c r="S46" s="8" t="s">
        <v>508</v>
      </c>
      <c r="T46" s="10" t="s">
        <v>358</v>
      </c>
      <c r="U46" s="10" t="s">
        <v>29</v>
      </c>
    </row>
    <row r="47" spans="1:21" s="10" customFormat="1" x14ac:dyDescent="0.25">
      <c r="A47" s="10" t="s">
        <v>509</v>
      </c>
      <c r="B47" s="10" t="s">
        <v>350</v>
      </c>
      <c r="C47" s="10" t="s">
        <v>166</v>
      </c>
      <c r="D47" s="10" t="s">
        <v>510</v>
      </c>
      <c r="E47" s="8" t="s">
        <v>511</v>
      </c>
      <c r="F47" s="8" t="s">
        <v>512</v>
      </c>
      <c r="G47" s="10" t="s">
        <v>29</v>
      </c>
      <c r="H47" s="8" t="s">
        <v>513</v>
      </c>
      <c r="I47" s="10" t="s">
        <v>514</v>
      </c>
      <c r="J47" s="8" t="s">
        <v>355</v>
      </c>
      <c r="K47" s="8" t="s">
        <v>29</v>
      </c>
      <c r="L47" s="8" t="s">
        <v>29</v>
      </c>
      <c r="M47" s="10" t="s">
        <v>29</v>
      </c>
      <c r="N47" s="8" t="s">
        <v>515</v>
      </c>
      <c r="O47" s="10" t="s">
        <v>18</v>
      </c>
      <c r="P47" s="8" t="s">
        <v>516</v>
      </c>
      <c r="Q47" s="10" t="s">
        <v>174</v>
      </c>
      <c r="R47" s="10" t="s">
        <v>357</v>
      </c>
      <c r="S47" s="8" t="s">
        <v>517</v>
      </c>
      <c r="T47" s="10" t="s">
        <v>358</v>
      </c>
      <c r="U47" s="10" t="s">
        <v>29</v>
      </c>
    </row>
    <row r="48" spans="1:21" s="10" customFormat="1" x14ac:dyDescent="0.25">
      <c r="A48" s="10" t="s">
        <v>518</v>
      </c>
      <c r="B48" s="10" t="s">
        <v>350</v>
      </c>
      <c r="C48" s="10" t="s">
        <v>166</v>
      </c>
      <c r="D48" s="10" t="s">
        <v>519</v>
      </c>
      <c r="E48" s="8" t="s">
        <v>520</v>
      </c>
      <c r="F48" s="8" t="s">
        <v>521</v>
      </c>
      <c r="G48" s="10" t="s">
        <v>29</v>
      </c>
      <c r="H48" s="8" t="s">
        <v>522</v>
      </c>
      <c r="I48" s="10" t="s">
        <v>523</v>
      </c>
      <c r="J48" s="8" t="s">
        <v>355</v>
      </c>
      <c r="K48" s="8" t="s">
        <v>29</v>
      </c>
      <c r="L48" s="8" t="s">
        <v>29</v>
      </c>
      <c r="M48" s="10" t="s">
        <v>29</v>
      </c>
      <c r="N48" s="8" t="s">
        <v>29</v>
      </c>
      <c r="O48" s="10" t="s">
        <v>18</v>
      </c>
      <c r="P48" s="8" t="s">
        <v>524</v>
      </c>
      <c r="Q48" s="10" t="s">
        <v>174</v>
      </c>
      <c r="R48" s="10" t="s">
        <v>357</v>
      </c>
      <c r="S48" s="8" t="s">
        <v>525</v>
      </c>
      <c r="T48" s="10" t="s">
        <v>204</v>
      </c>
      <c r="U48" s="10" t="s">
        <v>29</v>
      </c>
    </row>
    <row r="49" spans="1:21" s="10" customFormat="1" x14ac:dyDescent="0.25">
      <c r="A49" s="10" t="s">
        <v>526</v>
      </c>
      <c r="B49" s="10" t="s">
        <v>350</v>
      </c>
      <c r="C49" s="10" t="s">
        <v>335</v>
      </c>
      <c r="D49" s="10" t="s">
        <v>527</v>
      </c>
      <c r="E49" s="8" t="s">
        <v>528</v>
      </c>
      <c r="F49" s="8" t="s">
        <v>529</v>
      </c>
      <c r="G49" s="10" t="s">
        <v>29</v>
      </c>
      <c r="H49" s="8" t="s">
        <v>171</v>
      </c>
      <c r="I49" s="10" t="s">
        <v>530</v>
      </c>
      <c r="J49" s="8" t="s">
        <v>355</v>
      </c>
      <c r="K49" s="8" t="s">
        <v>29</v>
      </c>
      <c r="L49" s="8" t="s">
        <v>29</v>
      </c>
      <c r="M49" s="10" t="s">
        <v>29</v>
      </c>
      <c r="N49" s="8" t="s">
        <v>531</v>
      </c>
      <c r="O49" s="10" t="s">
        <v>18</v>
      </c>
      <c r="P49" s="8" t="s">
        <v>532</v>
      </c>
      <c r="Q49" s="10" t="s">
        <v>174</v>
      </c>
      <c r="R49" s="10" t="s">
        <v>357</v>
      </c>
      <c r="S49" s="8" t="s">
        <v>171</v>
      </c>
      <c r="T49" s="10" t="s">
        <v>204</v>
      </c>
      <c r="U49" s="10" t="s">
        <v>29</v>
      </c>
    </row>
    <row r="50" spans="1:21" s="10" customFormat="1" x14ac:dyDescent="0.25">
      <c r="A50" s="10" t="s">
        <v>533</v>
      </c>
      <c r="B50" s="10" t="s">
        <v>350</v>
      </c>
      <c r="C50" s="10" t="s">
        <v>166</v>
      </c>
      <c r="D50" s="10" t="s">
        <v>534</v>
      </c>
      <c r="E50" s="8" t="s">
        <v>535</v>
      </c>
      <c r="F50" s="8" t="s">
        <v>536</v>
      </c>
      <c r="G50" s="10" t="s">
        <v>29</v>
      </c>
      <c r="H50" s="8" t="s">
        <v>537</v>
      </c>
      <c r="I50" s="10" t="s">
        <v>308</v>
      </c>
      <c r="J50" s="8" t="s">
        <v>538</v>
      </c>
      <c r="K50" s="8" t="s">
        <v>29</v>
      </c>
      <c r="L50" s="8" t="s">
        <v>29</v>
      </c>
      <c r="M50" s="10" t="s">
        <v>29</v>
      </c>
      <c r="N50" s="8" t="s">
        <v>29</v>
      </c>
      <c r="O50" s="10" t="s">
        <v>18</v>
      </c>
      <c r="P50" s="8" t="s">
        <v>539</v>
      </c>
      <c r="Q50" s="10" t="s">
        <v>174</v>
      </c>
      <c r="R50" s="10" t="s">
        <v>357</v>
      </c>
      <c r="S50" s="8" t="s">
        <v>540</v>
      </c>
      <c r="T50" s="10" t="s">
        <v>358</v>
      </c>
      <c r="U50" s="10" t="s">
        <v>29</v>
      </c>
    </row>
    <row r="51" spans="1:21" s="10" customFormat="1" x14ac:dyDescent="0.25">
      <c r="A51" s="10" t="s">
        <v>541</v>
      </c>
      <c r="B51" s="10" t="s">
        <v>350</v>
      </c>
      <c r="C51" s="10" t="s">
        <v>166</v>
      </c>
      <c r="D51" s="10" t="s">
        <v>542</v>
      </c>
      <c r="E51" s="8" t="s">
        <v>543</v>
      </c>
      <c r="F51" s="8" t="s">
        <v>544</v>
      </c>
      <c r="G51" s="10" t="s">
        <v>29</v>
      </c>
      <c r="H51" s="8" t="s">
        <v>171</v>
      </c>
      <c r="I51" s="10" t="s">
        <v>545</v>
      </c>
      <c r="J51" s="8" t="s">
        <v>546</v>
      </c>
      <c r="K51" s="8" t="s">
        <v>29</v>
      </c>
      <c r="L51" s="8" t="s">
        <v>29</v>
      </c>
      <c r="M51" s="10" t="s">
        <v>29</v>
      </c>
      <c r="N51" s="8" t="s">
        <v>29</v>
      </c>
      <c r="O51" s="10" t="s">
        <v>18</v>
      </c>
      <c r="P51" s="8" t="s">
        <v>547</v>
      </c>
      <c r="Q51" s="10" t="s">
        <v>174</v>
      </c>
      <c r="R51" s="10" t="s">
        <v>357</v>
      </c>
      <c r="S51" s="8" t="s">
        <v>548</v>
      </c>
      <c r="T51" s="10" t="s">
        <v>358</v>
      </c>
      <c r="U51" s="10" t="s">
        <v>29</v>
      </c>
    </row>
    <row r="52" spans="1:21" s="10" customFormat="1" x14ac:dyDescent="0.25">
      <c r="A52" s="10" t="s">
        <v>549</v>
      </c>
      <c r="B52" s="10" t="s">
        <v>350</v>
      </c>
      <c r="C52" s="10" t="s">
        <v>166</v>
      </c>
      <c r="D52" s="10" t="s">
        <v>550</v>
      </c>
      <c r="E52" s="8" t="s">
        <v>551</v>
      </c>
      <c r="F52" s="8" t="s">
        <v>552</v>
      </c>
      <c r="G52" s="10" t="s">
        <v>29</v>
      </c>
      <c r="H52" s="8" t="s">
        <v>553</v>
      </c>
      <c r="I52" s="10" t="s">
        <v>29</v>
      </c>
      <c r="J52" s="8" t="s">
        <v>355</v>
      </c>
      <c r="K52" s="8" t="s">
        <v>29</v>
      </c>
      <c r="L52" s="8" t="s">
        <v>29</v>
      </c>
      <c r="M52" s="10" t="s">
        <v>29</v>
      </c>
      <c r="N52" s="8" t="s">
        <v>29</v>
      </c>
      <c r="O52" s="10" t="s">
        <v>18</v>
      </c>
      <c r="P52" s="8" t="s">
        <v>554</v>
      </c>
      <c r="Q52" s="10" t="s">
        <v>174</v>
      </c>
      <c r="R52" s="10" t="s">
        <v>357</v>
      </c>
      <c r="S52" s="8" t="s">
        <v>257</v>
      </c>
      <c r="T52" s="10" t="s">
        <v>358</v>
      </c>
      <c r="U52" s="10" t="s">
        <v>29</v>
      </c>
    </row>
    <row r="53" spans="1:21" s="10" customFormat="1" x14ac:dyDescent="0.25">
      <c r="A53" s="10" t="s">
        <v>555</v>
      </c>
      <c r="B53" s="10" t="s">
        <v>350</v>
      </c>
      <c r="C53" s="10" t="s">
        <v>166</v>
      </c>
      <c r="D53" s="10" t="s">
        <v>556</v>
      </c>
      <c r="E53" s="8" t="s">
        <v>557</v>
      </c>
      <c r="F53" s="8" t="s">
        <v>558</v>
      </c>
      <c r="G53" s="10" t="s">
        <v>29</v>
      </c>
      <c r="H53" s="8" t="s">
        <v>559</v>
      </c>
      <c r="I53" s="10" t="s">
        <v>560</v>
      </c>
      <c r="J53" s="8" t="s">
        <v>561</v>
      </c>
      <c r="K53" s="8" t="s">
        <v>29</v>
      </c>
      <c r="L53" s="8" t="s">
        <v>29</v>
      </c>
      <c r="M53" s="10" t="s">
        <v>29</v>
      </c>
      <c r="N53" s="8" t="s">
        <v>562</v>
      </c>
      <c r="O53" s="10" t="s">
        <v>18</v>
      </c>
      <c r="P53" s="8" t="s">
        <v>563</v>
      </c>
      <c r="Q53" s="10" t="s">
        <v>174</v>
      </c>
      <c r="R53" s="10" t="s">
        <v>564</v>
      </c>
      <c r="S53" s="8" t="s">
        <v>565</v>
      </c>
      <c r="T53" s="10" t="s">
        <v>358</v>
      </c>
      <c r="U53" s="10" t="s">
        <v>29</v>
      </c>
    </row>
    <row r="54" spans="1:21" s="10" customFormat="1" x14ac:dyDescent="0.25">
      <c r="A54" s="10" t="s">
        <v>566</v>
      </c>
      <c r="B54" s="10" t="s">
        <v>567</v>
      </c>
      <c r="C54" s="10" t="s">
        <v>166</v>
      </c>
      <c r="D54" s="10" t="s">
        <v>568</v>
      </c>
      <c r="E54" s="8" t="s">
        <v>569</v>
      </c>
      <c r="F54" s="8" t="s">
        <v>570</v>
      </c>
      <c r="G54" s="10" t="s">
        <v>29</v>
      </c>
      <c r="H54" s="8" t="s">
        <v>354</v>
      </c>
      <c r="I54" s="10" t="s">
        <v>545</v>
      </c>
      <c r="J54" s="8" t="s">
        <v>571</v>
      </c>
      <c r="K54" s="8" t="s">
        <v>29</v>
      </c>
      <c r="L54" s="8" t="s">
        <v>29</v>
      </c>
      <c r="M54" s="10" t="s">
        <v>29</v>
      </c>
      <c r="N54" s="8" t="s">
        <v>29</v>
      </c>
      <c r="O54" s="10" t="s">
        <v>18</v>
      </c>
      <c r="P54" s="8" t="s">
        <v>572</v>
      </c>
      <c r="Q54" s="10" t="s">
        <v>174</v>
      </c>
      <c r="R54" s="10" t="s">
        <v>357</v>
      </c>
      <c r="S54" s="8" t="s">
        <v>573</v>
      </c>
      <c r="T54" s="10" t="s">
        <v>574</v>
      </c>
      <c r="U54" s="10" t="s">
        <v>29</v>
      </c>
    </row>
    <row r="55" spans="1:21" s="10" customFormat="1" x14ac:dyDescent="0.25">
      <c r="A55" s="10" t="s">
        <v>575</v>
      </c>
      <c r="B55" s="10" t="s">
        <v>567</v>
      </c>
      <c r="C55" s="10" t="s">
        <v>166</v>
      </c>
      <c r="D55" s="10" t="s">
        <v>576</v>
      </c>
      <c r="E55" s="8" t="s">
        <v>577</v>
      </c>
      <c r="F55" s="8" t="s">
        <v>578</v>
      </c>
      <c r="G55" s="10" t="s">
        <v>29</v>
      </c>
      <c r="H55" s="8" t="s">
        <v>579</v>
      </c>
      <c r="I55" s="10" t="s">
        <v>29</v>
      </c>
      <c r="J55" s="8" t="s">
        <v>355</v>
      </c>
      <c r="K55" s="8" t="s">
        <v>29</v>
      </c>
      <c r="L55" s="8" t="s">
        <v>29</v>
      </c>
      <c r="M55" s="10" t="s">
        <v>29</v>
      </c>
      <c r="N55" s="8" t="s">
        <v>29</v>
      </c>
      <c r="O55" s="10" t="s">
        <v>18</v>
      </c>
      <c r="P55" s="8" t="s">
        <v>580</v>
      </c>
      <c r="Q55" s="10" t="s">
        <v>190</v>
      </c>
      <c r="R55" s="10" t="s">
        <v>175</v>
      </c>
      <c r="S55" s="8" t="s">
        <v>581</v>
      </c>
      <c r="T55" s="10" t="s">
        <v>574</v>
      </c>
      <c r="U55" s="10" t="s">
        <v>29</v>
      </c>
    </row>
    <row r="56" spans="1:21" s="10" customFormat="1" x14ac:dyDescent="0.25">
      <c r="A56" s="10" t="s">
        <v>582</v>
      </c>
      <c r="B56" s="10" t="s">
        <v>567</v>
      </c>
      <c r="C56" s="10" t="s">
        <v>166</v>
      </c>
      <c r="D56" s="10" t="s">
        <v>583</v>
      </c>
      <c r="E56" s="8" t="s">
        <v>584</v>
      </c>
      <c r="F56" s="8" t="s">
        <v>585</v>
      </c>
      <c r="G56" s="10" t="s">
        <v>29</v>
      </c>
      <c r="H56" s="8" t="s">
        <v>586</v>
      </c>
      <c r="I56" s="10" t="s">
        <v>29</v>
      </c>
      <c r="J56" s="8" t="s">
        <v>171</v>
      </c>
      <c r="K56" s="8" t="s">
        <v>29</v>
      </c>
      <c r="L56" s="8" t="s">
        <v>29</v>
      </c>
      <c r="M56" s="10" t="s">
        <v>29</v>
      </c>
      <c r="N56" s="8" t="s">
        <v>29</v>
      </c>
      <c r="O56" s="10" t="s">
        <v>18</v>
      </c>
      <c r="P56" s="8" t="s">
        <v>587</v>
      </c>
      <c r="Q56" s="10" t="s">
        <v>190</v>
      </c>
      <c r="R56" s="10" t="s">
        <v>175</v>
      </c>
      <c r="S56" s="8" t="s">
        <v>171</v>
      </c>
      <c r="T56" s="10" t="s">
        <v>574</v>
      </c>
      <c r="U56" s="10" t="s">
        <v>29</v>
      </c>
    </row>
    <row r="57" spans="1:21" s="10" customFormat="1" x14ac:dyDescent="0.25">
      <c r="A57" s="10" t="s">
        <v>588</v>
      </c>
      <c r="B57" s="10" t="s">
        <v>567</v>
      </c>
      <c r="C57" s="10" t="s">
        <v>166</v>
      </c>
      <c r="D57" s="10" t="s">
        <v>589</v>
      </c>
      <c r="E57" s="8" t="s">
        <v>590</v>
      </c>
      <c r="F57" s="8" t="s">
        <v>591</v>
      </c>
      <c r="G57" s="10" t="s">
        <v>29</v>
      </c>
      <c r="H57" s="8" t="s">
        <v>592</v>
      </c>
      <c r="I57" s="10" t="s">
        <v>29</v>
      </c>
      <c r="J57" s="8" t="s">
        <v>171</v>
      </c>
      <c r="K57" s="8" t="s">
        <v>29</v>
      </c>
      <c r="L57" s="8" t="s">
        <v>29</v>
      </c>
      <c r="M57" s="10" t="s">
        <v>29</v>
      </c>
      <c r="N57" s="8" t="s">
        <v>29</v>
      </c>
      <c r="O57" s="10" t="s">
        <v>18</v>
      </c>
      <c r="P57" s="8" t="s">
        <v>593</v>
      </c>
      <c r="Q57" s="10" t="s">
        <v>190</v>
      </c>
      <c r="R57" s="10" t="s">
        <v>175</v>
      </c>
      <c r="S57" s="8" t="s">
        <v>171</v>
      </c>
      <c r="T57" s="10" t="s">
        <v>574</v>
      </c>
      <c r="U57" s="10" t="s">
        <v>29</v>
      </c>
    </row>
    <row r="58" spans="1:21" s="10" customFormat="1" x14ac:dyDescent="0.25">
      <c r="A58" s="10" t="s">
        <v>594</v>
      </c>
      <c r="B58" s="10" t="s">
        <v>567</v>
      </c>
      <c r="C58" s="11" t="s">
        <v>297</v>
      </c>
      <c r="D58" s="10" t="s">
        <v>595</v>
      </c>
      <c r="E58" s="8" t="s">
        <v>596</v>
      </c>
      <c r="F58" s="8" t="s">
        <v>597</v>
      </c>
      <c r="G58" s="10" t="s">
        <v>29</v>
      </c>
      <c r="H58" s="8" t="s">
        <v>598</v>
      </c>
      <c r="I58" s="10" t="s">
        <v>29</v>
      </c>
      <c r="J58" s="8" t="s">
        <v>171</v>
      </c>
      <c r="K58" s="8" t="s">
        <v>29</v>
      </c>
      <c r="L58" s="8" t="s">
        <v>29</v>
      </c>
      <c r="M58" s="10" t="s">
        <v>29</v>
      </c>
      <c r="N58" s="8" t="s">
        <v>29</v>
      </c>
      <c r="O58" s="10" t="s">
        <v>18</v>
      </c>
      <c r="P58" s="8" t="s">
        <v>599</v>
      </c>
      <c r="Q58" s="10" t="s">
        <v>190</v>
      </c>
      <c r="R58" s="10" t="s">
        <v>175</v>
      </c>
      <c r="S58" s="8" t="s">
        <v>600</v>
      </c>
      <c r="T58" s="10" t="s">
        <v>204</v>
      </c>
      <c r="U58" s="10" t="s">
        <v>29</v>
      </c>
    </row>
    <row r="59" spans="1:21" s="10" customFormat="1" x14ac:dyDescent="0.25">
      <c r="A59" s="10" t="s">
        <v>601</v>
      </c>
      <c r="B59" s="10" t="s">
        <v>567</v>
      </c>
      <c r="C59" s="11" t="s">
        <v>297</v>
      </c>
      <c r="D59" s="10" t="s">
        <v>602</v>
      </c>
      <c r="E59" s="8" t="s">
        <v>603</v>
      </c>
      <c r="F59" s="8" t="s">
        <v>604</v>
      </c>
      <c r="G59" s="10" t="s">
        <v>29</v>
      </c>
      <c r="H59" s="8" t="s">
        <v>605</v>
      </c>
      <c r="I59" s="10" t="s">
        <v>545</v>
      </c>
      <c r="J59" s="8" t="s">
        <v>606</v>
      </c>
      <c r="K59" s="8" t="s">
        <v>29</v>
      </c>
      <c r="L59" s="8" t="s">
        <v>29</v>
      </c>
      <c r="M59" s="10" t="s">
        <v>29</v>
      </c>
      <c r="N59" s="8" t="s">
        <v>29</v>
      </c>
      <c r="O59" s="10" t="s">
        <v>18</v>
      </c>
      <c r="P59" s="8" t="s">
        <v>607</v>
      </c>
      <c r="Q59" s="10" t="s">
        <v>190</v>
      </c>
      <c r="R59" s="10" t="s">
        <v>608</v>
      </c>
      <c r="S59" s="8" t="s">
        <v>609</v>
      </c>
      <c r="T59" s="10" t="s">
        <v>574</v>
      </c>
      <c r="U59" s="10" t="s">
        <v>29</v>
      </c>
    </row>
    <row r="60" spans="1:21" s="10" customFormat="1" x14ac:dyDescent="0.25">
      <c r="A60" s="10" t="s">
        <v>610</v>
      </c>
      <c r="B60" s="10" t="s">
        <v>567</v>
      </c>
      <c r="C60" s="11" t="s">
        <v>297</v>
      </c>
      <c r="D60" s="10" t="s">
        <v>611</v>
      </c>
      <c r="E60" s="8" t="s">
        <v>612</v>
      </c>
      <c r="F60" s="8" t="s">
        <v>613</v>
      </c>
      <c r="G60" s="10" t="s">
        <v>29</v>
      </c>
      <c r="H60" s="8" t="s">
        <v>605</v>
      </c>
      <c r="I60" s="10" t="s">
        <v>29</v>
      </c>
      <c r="J60" s="8" t="s">
        <v>606</v>
      </c>
      <c r="K60" s="8" t="s">
        <v>29</v>
      </c>
      <c r="L60" s="8" t="s">
        <v>29</v>
      </c>
      <c r="M60" s="10" t="s">
        <v>29</v>
      </c>
      <c r="N60" s="8" t="s">
        <v>29</v>
      </c>
      <c r="O60" s="10" t="s">
        <v>18</v>
      </c>
      <c r="P60" s="8" t="s">
        <v>614</v>
      </c>
      <c r="Q60" s="10" t="s">
        <v>190</v>
      </c>
      <c r="R60" s="10" t="s">
        <v>175</v>
      </c>
      <c r="S60" s="8" t="s">
        <v>615</v>
      </c>
      <c r="T60" s="10" t="s">
        <v>574</v>
      </c>
      <c r="U60" s="10" t="s">
        <v>29</v>
      </c>
    </row>
    <row r="61" spans="1:21" s="10" customFormat="1" x14ac:dyDescent="0.25">
      <c r="A61" s="10" t="s">
        <v>616</v>
      </c>
      <c r="B61" s="10" t="s">
        <v>567</v>
      </c>
      <c r="C61" s="10" t="s">
        <v>166</v>
      </c>
      <c r="D61" s="10" t="s">
        <v>617</v>
      </c>
      <c r="E61" s="8" t="s">
        <v>618</v>
      </c>
      <c r="F61" s="8" t="s">
        <v>619</v>
      </c>
      <c r="G61" s="10" t="s">
        <v>29</v>
      </c>
      <c r="H61" s="8" t="s">
        <v>605</v>
      </c>
      <c r="I61" s="10" t="s">
        <v>29</v>
      </c>
      <c r="J61" s="8" t="s">
        <v>606</v>
      </c>
      <c r="K61" s="8" t="s">
        <v>29</v>
      </c>
      <c r="L61" s="8" t="s">
        <v>29</v>
      </c>
      <c r="M61" s="10" t="s">
        <v>29</v>
      </c>
      <c r="N61" s="8" t="s">
        <v>29</v>
      </c>
      <c r="O61" s="10" t="s">
        <v>18</v>
      </c>
      <c r="P61" s="8" t="s">
        <v>620</v>
      </c>
      <c r="Q61" s="10" t="s">
        <v>174</v>
      </c>
      <c r="R61" s="10" t="s">
        <v>175</v>
      </c>
      <c r="S61" s="8" t="s">
        <v>171</v>
      </c>
      <c r="T61" s="10" t="s">
        <v>204</v>
      </c>
      <c r="U61" s="10" t="s">
        <v>29</v>
      </c>
    </row>
    <row r="62" spans="1:21" s="10" customFormat="1" x14ac:dyDescent="0.25">
      <c r="A62" s="10" t="s">
        <v>621</v>
      </c>
      <c r="B62" s="10" t="s">
        <v>567</v>
      </c>
      <c r="C62" s="10" t="s">
        <v>166</v>
      </c>
      <c r="D62" s="10" t="s">
        <v>622</v>
      </c>
      <c r="E62" s="8" t="s">
        <v>623</v>
      </c>
      <c r="F62" s="8" t="s">
        <v>624</v>
      </c>
      <c r="G62" s="10" t="s">
        <v>29</v>
      </c>
      <c r="H62" s="8" t="s">
        <v>625</v>
      </c>
      <c r="I62" s="10" t="s">
        <v>29</v>
      </c>
      <c r="J62" s="8" t="s">
        <v>606</v>
      </c>
      <c r="K62" s="8" t="s">
        <v>29</v>
      </c>
      <c r="L62" s="8" t="s">
        <v>29</v>
      </c>
      <c r="M62" s="10" t="s">
        <v>29</v>
      </c>
      <c r="N62" s="8" t="s">
        <v>626</v>
      </c>
      <c r="O62" s="10" t="s">
        <v>18</v>
      </c>
      <c r="P62" s="8" t="s">
        <v>627</v>
      </c>
      <c r="Q62" s="10" t="s">
        <v>174</v>
      </c>
      <c r="R62" s="10" t="s">
        <v>175</v>
      </c>
      <c r="S62" s="8" t="s">
        <v>171</v>
      </c>
      <c r="T62" s="10" t="s">
        <v>204</v>
      </c>
      <c r="U62" s="10" t="s">
        <v>29</v>
      </c>
    </row>
    <row r="63" spans="1:21" s="10" customFormat="1" x14ac:dyDescent="0.25">
      <c r="A63" s="10" t="s">
        <v>628</v>
      </c>
      <c r="B63" s="10" t="s">
        <v>567</v>
      </c>
      <c r="C63" s="10" t="s">
        <v>166</v>
      </c>
      <c r="D63" s="10" t="s">
        <v>629</v>
      </c>
      <c r="E63" s="8" t="s">
        <v>630</v>
      </c>
      <c r="F63" s="8" t="s">
        <v>631</v>
      </c>
      <c r="G63" s="10" t="s">
        <v>29</v>
      </c>
      <c r="H63" s="8" t="s">
        <v>632</v>
      </c>
      <c r="I63" s="10" t="s">
        <v>29</v>
      </c>
      <c r="J63" s="8" t="s">
        <v>606</v>
      </c>
      <c r="K63" s="8" t="s">
        <v>29</v>
      </c>
      <c r="L63" s="8" t="s">
        <v>29</v>
      </c>
      <c r="M63" s="10" t="s">
        <v>29</v>
      </c>
      <c r="N63" s="8" t="s">
        <v>29</v>
      </c>
      <c r="O63" s="10" t="s">
        <v>18</v>
      </c>
      <c r="P63" s="8" t="s">
        <v>633</v>
      </c>
      <c r="Q63" s="10" t="s">
        <v>190</v>
      </c>
      <c r="R63" s="10" t="s">
        <v>175</v>
      </c>
      <c r="S63" s="8" t="s">
        <v>171</v>
      </c>
      <c r="T63" s="10" t="s">
        <v>204</v>
      </c>
      <c r="U63" s="10" t="s">
        <v>29</v>
      </c>
    </row>
    <row r="64" spans="1:21" s="10" customFormat="1" x14ac:dyDescent="0.25">
      <c r="A64" s="10" t="s">
        <v>634</v>
      </c>
      <c r="B64" s="10" t="s">
        <v>567</v>
      </c>
      <c r="C64" s="10" t="s">
        <v>166</v>
      </c>
      <c r="D64" s="10" t="s">
        <v>635</v>
      </c>
      <c r="E64" s="8" t="s">
        <v>636</v>
      </c>
      <c r="F64" s="8" t="s">
        <v>637</v>
      </c>
      <c r="G64" s="10" t="s">
        <v>29</v>
      </c>
      <c r="H64" s="8" t="s">
        <v>638</v>
      </c>
      <c r="I64" s="10" t="s">
        <v>29</v>
      </c>
      <c r="J64" s="8" t="s">
        <v>606</v>
      </c>
      <c r="K64" s="8" t="s">
        <v>29</v>
      </c>
      <c r="L64" s="8" t="s">
        <v>29</v>
      </c>
      <c r="M64" s="10" t="s">
        <v>29</v>
      </c>
      <c r="N64" s="8" t="s">
        <v>29</v>
      </c>
      <c r="O64" s="10" t="s">
        <v>18</v>
      </c>
      <c r="P64" s="8" t="s">
        <v>639</v>
      </c>
      <c r="Q64" s="10" t="s">
        <v>174</v>
      </c>
      <c r="R64" s="10" t="s">
        <v>640</v>
      </c>
      <c r="S64" s="8" t="s">
        <v>171</v>
      </c>
      <c r="T64" s="10" t="s">
        <v>574</v>
      </c>
      <c r="U64" s="10" t="s">
        <v>29</v>
      </c>
    </row>
    <row r="65" spans="1:21" s="10" customFormat="1" x14ac:dyDescent="0.25">
      <c r="A65" s="10" t="s">
        <v>641</v>
      </c>
      <c r="B65" s="10" t="s">
        <v>567</v>
      </c>
      <c r="C65" s="10" t="s">
        <v>166</v>
      </c>
      <c r="D65" s="10" t="s">
        <v>642</v>
      </c>
      <c r="E65" s="8" t="s">
        <v>643</v>
      </c>
      <c r="F65" s="8" t="s">
        <v>644</v>
      </c>
      <c r="G65" s="10" t="s">
        <v>29</v>
      </c>
      <c r="H65" s="8" t="s">
        <v>638</v>
      </c>
      <c r="I65" s="10" t="s">
        <v>29</v>
      </c>
      <c r="J65" s="8" t="s">
        <v>606</v>
      </c>
      <c r="K65" s="8" t="s">
        <v>29</v>
      </c>
      <c r="L65" s="8" t="s">
        <v>29</v>
      </c>
      <c r="M65" s="10" t="s">
        <v>29</v>
      </c>
      <c r="N65" s="8" t="s">
        <v>29</v>
      </c>
      <c r="O65" s="10" t="s">
        <v>18</v>
      </c>
      <c r="P65" s="8" t="s">
        <v>645</v>
      </c>
      <c r="Q65" s="10" t="s">
        <v>174</v>
      </c>
      <c r="R65" s="10" t="s">
        <v>640</v>
      </c>
      <c r="S65" s="8" t="s">
        <v>171</v>
      </c>
      <c r="T65" s="10" t="s">
        <v>204</v>
      </c>
      <c r="U65" s="10" t="s">
        <v>29</v>
      </c>
    </row>
    <row r="66" spans="1:21" s="10" customFormat="1" x14ac:dyDescent="0.25">
      <c r="A66" s="10" t="s">
        <v>646</v>
      </c>
      <c r="B66" s="10" t="s">
        <v>567</v>
      </c>
      <c r="C66" s="11" t="s">
        <v>297</v>
      </c>
      <c r="D66" s="10" t="s">
        <v>647</v>
      </c>
      <c r="E66" s="8" t="s">
        <v>648</v>
      </c>
      <c r="F66" s="8" t="s">
        <v>649</v>
      </c>
      <c r="G66" s="10" t="s">
        <v>29</v>
      </c>
      <c r="H66" s="8" t="s">
        <v>638</v>
      </c>
      <c r="I66" s="10" t="s">
        <v>29</v>
      </c>
      <c r="J66" s="8" t="s">
        <v>606</v>
      </c>
      <c r="K66" s="8" t="s">
        <v>29</v>
      </c>
      <c r="L66" s="8" t="s">
        <v>29</v>
      </c>
      <c r="M66" s="10" t="s">
        <v>29</v>
      </c>
      <c r="N66" s="8" t="s">
        <v>650</v>
      </c>
      <c r="O66" s="10" t="s">
        <v>18</v>
      </c>
      <c r="P66" s="8" t="s">
        <v>651</v>
      </c>
      <c r="Q66" s="10" t="s">
        <v>174</v>
      </c>
      <c r="R66" s="10" t="s">
        <v>652</v>
      </c>
      <c r="S66" s="8" t="s">
        <v>171</v>
      </c>
      <c r="T66" s="10" t="s">
        <v>574</v>
      </c>
      <c r="U66" s="10" t="s">
        <v>29</v>
      </c>
    </row>
    <row r="67" spans="1:21" s="10" customFormat="1" x14ac:dyDescent="0.25">
      <c r="A67" s="10" t="s">
        <v>653</v>
      </c>
      <c r="B67" s="10" t="s">
        <v>567</v>
      </c>
      <c r="C67" s="11" t="s">
        <v>297</v>
      </c>
      <c r="D67" s="10" t="s">
        <v>654</v>
      </c>
      <c r="E67" s="8" t="s">
        <v>655</v>
      </c>
      <c r="F67" s="8" t="s">
        <v>656</v>
      </c>
      <c r="G67" s="10" t="s">
        <v>29</v>
      </c>
      <c r="H67" s="8" t="s">
        <v>171</v>
      </c>
      <c r="I67" s="10" t="s">
        <v>657</v>
      </c>
      <c r="J67" s="8" t="s">
        <v>171</v>
      </c>
      <c r="K67" s="8" t="s">
        <v>29</v>
      </c>
      <c r="L67" s="8" t="s">
        <v>29</v>
      </c>
      <c r="M67" s="10" t="s">
        <v>29</v>
      </c>
      <c r="N67" s="8" t="s">
        <v>29</v>
      </c>
      <c r="O67" s="10" t="s">
        <v>18</v>
      </c>
      <c r="P67" s="8" t="s">
        <v>658</v>
      </c>
      <c r="Q67" s="10" t="s">
        <v>190</v>
      </c>
      <c r="R67" s="10" t="s">
        <v>175</v>
      </c>
      <c r="S67" s="8" t="s">
        <v>171</v>
      </c>
      <c r="T67" s="10" t="s">
        <v>574</v>
      </c>
      <c r="U67" s="10" t="s">
        <v>29</v>
      </c>
    </row>
    <row r="68" spans="1:21" s="10" customFormat="1" x14ac:dyDescent="0.25">
      <c r="A68" s="10" t="s">
        <v>659</v>
      </c>
      <c r="B68" s="10" t="s">
        <v>567</v>
      </c>
      <c r="C68" s="11" t="s">
        <v>297</v>
      </c>
      <c r="D68" s="10" t="s">
        <v>660</v>
      </c>
      <c r="E68" s="8" t="s">
        <v>661</v>
      </c>
      <c r="F68" s="8" t="s">
        <v>662</v>
      </c>
      <c r="G68" s="10" t="s">
        <v>29</v>
      </c>
      <c r="H68" s="8" t="s">
        <v>171</v>
      </c>
      <c r="I68" s="10" t="s">
        <v>545</v>
      </c>
      <c r="J68" s="8" t="s">
        <v>171</v>
      </c>
      <c r="K68" s="8" t="s">
        <v>29</v>
      </c>
      <c r="L68" s="8" t="s">
        <v>29</v>
      </c>
      <c r="M68" s="10" t="s">
        <v>29</v>
      </c>
      <c r="N68" s="8" t="s">
        <v>29</v>
      </c>
      <c r="O68" s="10" t="s">
        <v>18</v>
      </c>
      <c r="P68" s="8" t="s">
        <v>663</v>
      </c>
      <c r="Q68" s="10" t="s">
        <v>190</v>
      </c>
      <c r="R68" s="10" t="s">
        <v>175</v>
      </c>
      <c r="S68" s="8" t="s">
        <v>171</v>
      </c>
      <c r="T68" s="10" t="s">
        <v>574</v>
      </c>
      <c r="U68" s="10" t="s">
        <v>29</v>
      </c>
    </row>
    <row r="69" spans="1:21" s="10" customFormat="1" x14ac:dyDescent="0.25">
      <c r="A69" s="10" t="s">
        <v>664</v>
      </c>
      <c r="B69" s="10" t="s">
        <v>567</v>
      </c>
      <c r="C69" s="10" t="s">
        <v>166</v>
      </c>
      <c r="D69" s="10" t="s">
        <v>665</v>
      </c>
      <c r="E69" s="8" t="s">
        <v>666</v>
      </c>
      <c r="F69" s="8" t="s">
        <v>667</v>
      </c>
      <c r="G69" s="10" t="s">
        <v>29</v>
      </c>
      <c r="H69" s="8" t="s">
        <v>605</v>
      </c>
      <c r="I69" s="10" t="s">
        <v>668</v>
      </c>
      <c r="J69" s="8" t="s">
        <v>606</v>
      </c>
      <c r="K69" s="8" t="s">
        <v>29</v>
      </c>
      <c r="L69" s="8" t="s">
        <v>29</v>
      </c>
      <c r="M69" s="10" t="s">
        <v>29</v>
      </c>
      <c r="N69" s="8" t="s">
        <v>29</v>
      </c>
      <c r="O69" s="10" t="s">
        <v>18</v>
      </c>
      <c r="P69" s="8" t="s">
        <v>669</v>
      </c>
      <c r="Q69" s="10" t="s">
        <v>174</v>
      </c>
      <c r="R69" s="10" t="s">
        <v>640</v>
      </c>
      <c r="S69" s="8" t="s">
        <v>573</v>
      </c>
      <c r="T69" s="10" t="s">
        <v>574</v>
      </c>
      <c r="U69" s="10" t="s">
        <v>29</v>
      </c>
    </row>
    <row r="70" spans="1:21" s="10" customFormat="1" x14ac:dyDescent="0.25">
      <c r="A70" s="10" t="s">
        <v>670</v>
      </c>
      <c r="B70" s="10" t="s">
        <v>567</v>
      </c>
      <c r="C70" s="10" t="s">
        <v>166</v>
      </c>
      <c r="D70" s="10" t="s">
        <v>671</v>
      </c>
      <c r="E70" s="8" t="s">
        <v>672</v>
      </c>
      <c r="F70" s="8" t="s">
        <v>673</v>
      </c>
      <c r="G70" s="10" t="s">
        <v>29</v>
      </c>
      <c r="H70" s="8" t="s">
        <v>674</v>
      </c>
      <c r="I70" s="10" t="s">
        <v>545</v>
      </c>
      <c r="J70" s="8" t="s">
        <v>606</v>
      </c>
      <c r="K70" s="8" t="s">
        <v>29</v>
      </c>
      <c r="L70" s="8" t="s">
        <v>29</v>
      </c>
      <c r="M70" s="10" t="s">
        <v>29</v>
      </c>
      <c r="N70" s="8" t="s">
        <v>675</v>
      </c>
      <c r="O70" s="10" t="s">
        <v>18</v>
      </c>
      <c r="P70" s="8" t="s">
        <v>676</v>
      </c>
      <c r="Q70" s="10" t="s">
        <v>174</v>
      </c>
      <c r="R70" s="10" t="s">
        <v>677</v>
      </c>
      <c r="S70" s="8" t="s">
        <v>171</v>
      </c>
      <c r="T70" s="10" t="s">
        <v>574</v>
      </c>
      <c r="U70" s="10" t="s">
        <v>29</v>
      </c>
    </row>
    <row r="71" spans="1:21" s="10" customFormat="1" x14ac:dyDescent="0.25">
      <c r="A71" s="10" t="s">
        <v>678</v>
      </c>
      <c r="B71" s="10" t="s">
        <v>567</v>
      </c>
      <c r="C71" s="10" t="s">
        <v>335</v>
      </c>
      <c r="D71" s="10" t="s">
        <v>679</v>
      </c>
      <c r="E71" s="8" t="s">
        <v>680</v>
      </c>
      <c r="F71" s="8" t="s">
        <v>681</v>
      </c>
      <c r="G71" s="10" t="s">
        <v>29</v>
      </c>
      <c r="H71" s="8" t="s">
        <v>171</v>
      </c>
      <c r="I71" s="10" t="s">
        <v>29</v>
      </c>
      <c r="J71" s="8" t="s">
        <v>171</v>
      </c>
      <c r="K71" s="8" t="s">
        <v>29</v>
      </c>
      <c r="L71" s="8" t="s">
        <v>29</v>
      </c>
      <c r="M71" s="10" t="s">
        <v>29</v>
      </c>
      <c r="N71" s="8" t="s">
        <v>682</v>
      </c>
      <c r="O71" s="10" t="s">
        <v>18</v>
      </c>
      <c r="P71" s="8" t="s">
        <v>683</v>
      </c>
      <c r="Q71" s="10" t="s">
        <v>174</v>
      </c>
      <c r="R71" s="10" t="s">
        <v>175</v>
      </c>
      <c r="S71" s="8" t="s">
        <v>171</v>
      </c>
      <c r="T71" s="10" t="s">
        <v>204</v>
      </c>
      <c r="U71" s="10" t="s">
        <v>29</v>
      </c>
    </row>
    <row r="72" spans="1:21" s="10" customFormat="1" x14ac:dyDescent="0.25">
      <c r="A72" s="10" t="s">
        <v>684</v>
      </c>
      <c r="B72" s="10" t="s">
        <v>685</v>
      </c>
      <c r="C72" s="10" t="s">
        <v>166</v>
      </c>
      <c r="D72" s="10" t="s">
        <v>686</v>
      </c>
      <c r="E72" s="8" t="s">
        <v>687</v>
      </c>
      <c r="F72" s="8" t="s">
        <v>688</v>
      </c>
      <c r="G72" s="10" t="s">
        <v>29</v>
      </c>
      <c r="H72" s="8" t="s">
        <v>605</v>
      </c>
      <c r="I72" s="10" t="s">
        <v>545</v>
      </c>
      <c r="J72" s="8" t="s">
        <v>606</v>
      </c>
      <c r="K72" s="8" t="s">
        <v>29</v>
      </c>
      <c r="L72" s="8" t="s">
        <v>29</v>
      </c>
      <c r="M72" s="10" t="s">
        <v>29</v>
      </c>
      <c r="N72" s="8" t="s">
        <v>689</v>
      </c>
      <c r="O72" s="10" t="s">
        <v>18</v>
      </c>
      <c r="P72" s="8" t="s">
        <v>690</v>
      </c>
      <c r="Q72" s="10" t="s">
        <v>174</v>
      </c>
      <c r="R72" s="10" t="s">
        <v>357</v>
      </c>
      <c r="S72" s="8" t="s">
        <v>691</v>
      </c>
      <c r="T72" s="10" t="s">
        <v>692</v>
      </c>
      <c r="U72" s="10" t="s">
        <v>29</v>
      </c>
    </row>
    <row r="73" spans="1:21" s="10" customFormat="1" x14ac:dyDescent="0.25">
      <c r="A73" s="10" t="s">
        <v>693</v>
      </c>
      <c r="B73" s="10" t="s">
        <v>685</v>
      </c>
      <c r="C73" s="11" t="s">
        <v>297</v>
      </c>
      <c r="D73" s="10" t="s">
        <v>694</v>
      </c>
      <c r="E73" s="8" t="s">
        <v>695</v>
      </c>
      <c r="F73" s="8" t="s">
        <v>696</v>
      </c>
      <c r="G73" s="10" t="s">
        <v>29</v>
      </c>
      <c r="H73" s="8" t="s">
        <v>605</v>
      </c>
      <c r="I73" s="10" t="s">
        <v>697</v>
      </c>
      <c r="J73" s="8" t="s">
        <v>606</v>
      </c>
      <c r="K73" s="8" t="s">
        <v>29</v>
      </c>
      <c r="L73" s="8" t="s">
        <v>29</v>
      </c>
      <c r="M73" s="10" t="s">
        <v>29</v>
      </c>
      <c r="N73" s="8" t="s">
        <v>698</v>
      </c>
      <c r="O73" s="10" t="s">
        <v>18</v>
      </c>
      <c r="P73" s="8" t="s">
        <v>699</v>
      </c>
      <c r="Q73" s="10" t="s">
        <v>174</v>
      </c>
      <c r="R73" s="10" t="s">
        <v>357</v>
      </c>
      <c r="S73" s="8" t="s">
        <v>700</v>
      </c>
      <c r="T73" s="10" t="s">
        <v>692</v>
      </c>
      <c r="U73" s="10" t="s">
        <v>29</v>
      </c>
    </row>
    <row r="74" spans="1:21" s="10" customFormat="1" x14ac:dyDescent="0.25">
      <c r="A74" s="10" t="s">
        <v>701</v>
      </c>
      <c r="B74" s="10" t="s">
        <v>685</v>
      </c>
      <c r="C74" s="10" t="s">
        <v>166</v>
      </c>
      <c r="D74" s="10" t="s">
        <v>702</v>
      </c>
      <c r="E74" s="8" t="s">
        <v>703</v>
      </c>
      <c r="F74" s="8" t="s">
        <v>704</v>
      </c>
      <c r="G74" s="10" t="s">
        <v>29</v>
      </c>
      <c r="H74" s="8" t="s">
        <v>705</v>
      </c>
      <c r="I74" s="10" t="s">
        <v>545</v>
      </c>
      <c r="J74" s="8" t="s">
        <v>606</v>
      </c>
      <c r="K74" s="8" t="s">
        <v>29</v>
      </c>
      <c r="L74" s="8" t="s">
        <v>29</v>
      </c>
      <c r="M74" s="10" t="s">
        <v>29</v>
      </c>
      <c r="N74" s="8" t="s">
        <v>706</v>
      </c>
      <c r="O74" s="10" t="s">
        <v>18</v>
      </c>
      <c r="P74" s="8" t="s">
        <v>707</v>
      </c>
      <c r="Q74" s="10" t="s">
        <v>174</v>
      </c>
      <c r="R74" s="10" t="s">
        <v>357</v>
      </c>
      <c r="S74" s="8" t="s">
        <v>708</v>
      </c>
      <c r="T74" s="10" t="s">
        <v>692</v>
      </c>
      <c r="U74" s="10" t="s">
        <v>29</v>
      </c>
    </row>
    <row r="75" spans="1:21" s="10" customFormat="1" x14ac:dyDescent="0.25">
      <c r="A75" s="10" t="s">
        <v>709</v>
      </c>
      <c r="B75" s="10" t="s">
        <v>685</v>
      </c>
      <c r="C75" s="10" t="s">
        <v>166</v>
      </c>
      <c r="D75" s="10" t="s">
        <v>710</v>
      </c>
      <c r="E75" s="8" t="s">
        <v>711</v>
      </c>
      <c r="F75" s="8" t="s">
        <v>712</v>
      </c>
      <c r="G75" s="10" t="s">
        <v>29</v>
      </c>
      <c r="H75" s="8" t="s">
        <v>713</v>
      </c>
      <c r="I75" s="10" t="s">
        <v>714</v>
      </c>
      <c r="J75" s="8" t="s">
        <v>715</v>
      </c>
      <c r="K75" s="8" t="s">
        <v>29</v>
      </c>
      <c r="L75" s="8" t="s">
        <v>29</v>
      </c>
      <c r="M75" s="10" t="s">
        <v>29</v>
      </c>
      <c r="N75" s="8" t="s">
        <v>29</v>
      </c>
      <c r="O75" s="10" t="s">
        <v>18</v>
      </c>
      <c r="P75" s="8" t="s">
        <v>716</v>
      </c>
      <c r="Q75" s="10" t="s">
        <v>174</v>
      </c>
      <c r="R75" s="10" t="s">
        <v>564</v>
      </c>
      <c r="S75" s="8" t="s">
        <v>717</v>
      </c>
      <c r="T75" s="10" t="s">
        <v>692</v>
      </c>
      <c r="U75" s="10" t="s">
        <v>29</v>
      </c>
    </row>
    <row r="76" spans="1:21" s="10" customFormat="1" x14ac:dyDescent="0.25">
      <c r="A76" s="10" t="s">
        <v>718</v>
      </c>
      <c r="B76" s="10" t="s">
        <v>685</v>
      </c>
      <c r="C76" s="10" t="s">
        <v>166</v>
      </c>
      <c r="D76" s="10" t="s">
        <v>719</v>
      </c>
      <c r="E76" s="8" t="s">
        <v>720</v>
      </c>
      <c r="F76" s="8" t="s">
        <v>721</v>
      </c>
      <c r="G76" s="10" t="s">
        <v>29</v>
      </c>
      <c r="H76" s="8" t="s">
        <v>605</v>
      </c>
      <c r="I76" s="10" t="s">
        <v>29</v>
      </c>
      <c r="J76" s="8" t="s">
        <v>606</v>
      </c>
      <c r="K76" s="8" t="s">
        <v>29</v>
      </c>
      <c r="L76" s="8" t="s">
        <v>29</v>
      </c>
      <c r="M76" s="10" t="s">
        <v>29</v>
      </c>
      <c r="N76" s="8" t="s">
        <v>29</v>
      </c>
      <c r="O76" s="10" t="s">
        <v>18</v>
      </c>
      <c r="P76" s="8" t="s">
        <v>722</v>
      </c>
      <c r="Q76" s="10" t="s">
        <v>190</v>
      </c>
      <c r="R76" s="10" t="s">
        <v>357</v>
      </c>
      <c r="S76" s="8" t="s">
        <v>723</v>
      </c>
      <c r="T76" s="10" t="s">
        <v>692</v>
      </c>
      <c r="U76" s="10" t="s">
        <v>29</v>
      </c>
    </row>
    <row r="77" spans="1:21" s="10" customFormat="1" x14ac:dyDescent="0.25">
      <c r="A77" s="10" t="s">
        <v>724</v>
      </c>
      <c r="B77" s="10" t="s">
        <v>685</v>
      </c>
      <c r="C77" s="10" t="s">
        <v>166</v>
      </c>
      <c r="D77" s="10" t="s">
        <v>725</v>
      </c>
      <c r="E77" s="8" t="s">
        <v>726</v>
      </c>
      <c r="F77" s="8" t="s">
        <v>727</v>
      </c>
      <c r="G77" s="10" t="s">
        <v>29</v>
      </c>
      <c r="H77" s="8" t="s">
        <v>605</v>
      </c>
      <c r="I77" s="10" t="s">
        <v>545</v>
      </c>
      <c r="J77" s="8" t="s">
        <v>606</v>
      </c>
      <c r="K77" s="8" t="s">
        <v>29</v>
      </c>
      <c r="L77" s="8" t="s">
        <v>29</v>
      </c>
      <c r="M77" s="10" t="s">
        <v>29</v>
      </c>
      <c r="N77" s="8" t="s">
        <v>728</v>
      </c>
      <c r="O77" s="10" t="s">
        <v>18</v>
      </c>
      <c r="P77" s="8" t="s">
        <v>729</v>
      </c>
      <c r="Q77" s="10" t="s">
        <v>174</v>
      </c>
      <c r="R77" s="10" t="s">
        <v>357</v>
      </c>
      <c r="S77" s="8" t="s">
        <v>730</v>
      </c>
      <c r="T77" s="10" t="s">
        <v>204</v>
      </c>
      <c r="U77" s="10" t="s">
        <v>29</v>
      </c>
    </row>
    <row r="78" spans="1:21" s="10" customFormat="1" x14ac:dyDescent="0.25">
      <c r="A78" s="10" t="s">
        <v>731</v>
      </c>
      <c r="B78" s="10" t="s">
        <v>685</v>
      </c>
      <c r="C78" s="10" t="s">
        <v>166</v>
      </c>
      <c r="D78" s="10" t="s">
        <v>732</v>
      </c>
      <c r="E78" s="8" t="s">
        <v>733</v>
      </c>
      <c r="F78" s="8" t="s">
        <v>734</v>
      </c>
      <c r="G78" s="10" t="s">
        <v>29</v>
      </c>
      <c r="H78" s="8" t="s">
        <v>605</v>
      </c>
      <c r="I78" s="10" t="s">
        <v>545</v>
      </c>
      <c r="J78" s="8" t="s">
        <v>606</v>
      </c>
      <c r="K78" s="8" t="s">
        <v>29</v>
      </c>
      <c r="L78" s="8" t="s">
        <v>29</v>
      </c>
      <c r="M78" s="10" t="s">
        <v>29</v>
      </c>
      <c r="N78" s="8" t="s">
        <v>29</v>
      </c>
      <c r="O78" s="10" t="s">
        <v>18</v>
      </c>
      <c r="P78" s="8" t="s">
        <v>735</v>
      </c>
      <c r="Q78" s="10" t="s">
        <v>174</v>
      </c>
      <c r="R78" s="10" t="s">
        <v>357</v>
      </c>
      <c r="S78" s="8" t="s">
        <v>609</v>
      </c>
      <c r="T78" s="10" t="s">
        <v>692</v>
      </c>
      <c r="U78" s="10" t="s">
        <v>29</v>
      </c>
    </row>
    <row r="79" spans="1:21" s="10" customFormat="1" x14ac:dyDescent="0.25">
      <c r="A79" s="10" t="s">
        <v>736</v>
      </c>
      <c r="B79" s="10" t="s">
        <v>685</v>
      </c>
      <c r="C79" s="10" t="s">
        <v>166</v>
      </c>
      <c r="D79" s="10" t="s">
        <v>737</v>
      </c>
      <c r="E79" s="8" t="s">
        <v>738</v>
      </c>
      <c r="F79" s="8" t="s">
        <v>739</v>
      </c>
      <c r="G79" s="10" t="s">
        <v>29</v>
      </c>
      <c r="H79" s="8" t="s">
        <v>605</v>
      </c>
      <c r="I79" s="10" t="s">
        <v>29</v>
      </c>
      <c r="J79" s="8" t="s">
        <v>606</v>
      </c>
      <c r="K79" s="8" t="s">
        <v>29</v>
      </c>
      <c r="L79" s="8" t="s">
        <v>29</v>
      </c>
      <c r="M79" s="10" t="s">
        <v>29</v>
      </c>
      <c r="N79" s="8" t="s">
        <v>29</v>
      </c>
      <c r="O79" s="10" t="s">
        <v>18</v>
      </c>
      <c r="P79" s="8" t="s">
        <v>740</v>
      </c>
      <c r="Q79" s="10" t="s">
        <v>174</v>
      </c>
      <c r="R79" s="10" t="s">
        <v>357</v>
      </c>
      <c r="S79" s="8" t="s">
        <v>609</v>
      </c>
      <c r="T79" s="10" t="s">
        <v>204</v>
      </c>
      <c r="U79" s="10" t="s">
        <v>29</v>
      </c>
    </row>
    <row r="80" spans="1:21" s="10" customFormat="1" x14ac:dyDescent="0.25">
      <c r="A80" s="10" t="s">
        <v>741</v>
      </c>
      <c r="B80" s="10" t="s">
        <v>685</v>
      </c>
      <c r="C80" s="11" t="s">
        <v>297</v>
      </c>
      <c r="D80" s="10" t="s">
        <v>742</v>
      </c>
      <c r="E80" s="8" t="s">
        <v>743</v>
      </c>
      <c r="F80" s="8" t="s">
        <v>744</v>
      </c>
      <c r="G80" s="10" t="s">
        <v>29</v>
      </c>
      <c r="H80" s="8" t="s">
        <v>745</v>
      </c>
      <c r="I80" s="10" t="s">
        <v>714</v>
      </c>
      <c r="J80" s="8" t="s">
        <v>746</v>
      </c>
      <c r="K80" s="8" t="s">
        <v>29</v>
      </c>
      <c r="L80" s="8" t="s">
        <v>29</v>
      </c>
      <c r="M80" s="10" t="s">
        <v>29</v>
      </c>
      <c r="N80" s="8" t="s">
        <v>29</v>
      </c>
      <c r="O80" s="10" t="s">
        <v>18</v>
      </c>
      <c r="P80" s="8" t="s">
        <v>747</v>
      </c>
      <c r="Q80" s="10" t="s">
        <v>190</v>
      </c>
      <c r="R80" s="10" t="s">
        <v>357</v>
      </c>
      <c r="S80" s="8" t="s">
        <v>748</v>
      </c>
      <c r="T80" s="10" t="s">
        <v>692</v>
      </c>
      <c r="U80" s="10" t="s">
        <v>29</v>
      </c>
    </row>
    <row r="81" spans="1:21" s="10" customFormat="1" x14ac:dyDescent="0.25">
      <c r="A81" s="10" t="s">
        <v>749</v>
      </c>
      <c r="B81" s="10" t="s">
        <v>685</v>
      </c>
      <c r="C81" s="10" t="s">
        <v>166</v>
      </c>
      <c r="D81" s="10" t="s">
        <v>750</v>
      </c>
      <c r="E81" s="8" t="s">
        <v>751</v>
      </c>
      <c r="F81" s="8" t="s">
        <v>752</v>
      </c>
      <c r="G81" s="10" t="s">
        <v>29</v>
      </c>
      <c r="H81" s="8" t="s">
        <v>753</v>
      </c>
      <c r="I81" s="10" t="s">
        <v>754</v>
      </c>
      <c r="J81" s="8" t="s">
        <v>606</v>
      </c>
      <c r="K81" s="8" t="s">
        <v>29</v>
      </c>
      <c r="L81" s="8" t="s">
        <v>29</v>
      </c>
      <c r="M81" s="10" t="s">
        <v>29</v>
      </c>
      <c r="N81" s="8" t="s">
        <v>29</v>
      </c>
      <c r="O81" s="10" t="s">
        <v>18</v>
      </c>
      <c r="P81" s="8" t="s">
        <v>755</v>
      </c>
      <c r="Q81" s="10" t="s">
        <v>174</v>
      </c>
      <c r="R81" s="10" t="s">
        <v>357</v>
      </c>
      <c r="S81" s="8" t="s">
        <v>756</v>
      </c>
      <c r="T81" s="10" t="s">
        <v>204</v>
      </c>
      <c r="U81" s="10" t="s">
        <v>29</v>
      </c>
    </row>
    <row r="82" spans="1:21" s="10" customFormat="1" x14ac:dyDescent="0.25">
      <c r="A82" s="10" t="s">
        <v>757</v>
      </c>
      <c r="B82" s="10" t="s">
        <v>685</v>
      </c>
      <c r="C82" s="11" t="s">
        <v>297</v>
      </c>
      <c r="D82" s="10" t="s">
        <v>758</v>
      </c>
      <c r="E82" s="8" t="s">
        <v>759</v>
      </c>
      <c r="F82" s="8" t="s">
        <v>760</v>
      </c>
      <c r="G82" s="10" t="s">
        <v>29</v>
      </c>
      <c r="H82" s="8" t="s">
        <v>761</v>
      </c>
      <c r="I82" s="10" t="s">
        <v>762</v>
      </c>
      <c r="J82" s="8" t="s">
        <v>763</v>
      </c>
      <c r="K82" s="8" t="s">
        <v>29</v>
      </c>
      <c r="L82" s="8" t="s">
        <v>29</v>
      </c>
      <c r="M82" s="10" t="s">
        <v>29</v>
      </c>
      <c r="N82" s="8" t="s">
        <v>29</v>
      </c>
      <c r="O82" s="10" t="s">
        <v>18</v>
      </c>
      <c r="P82" s="8" t="s">
        <v>764</v>
      </c>
      <c r="Q82" s="10" t="s">
        <v>174</v>
      </c>
      <c r="R82" s="10" t="s">
        <v>357</v>
      </c>
      <c r="S82" s="8" t="s">
        <v>765</v>
      </c>
      <c r="T82" s="10" t="s">
        <v>692</v>
      </c>
      <c r="U82" s="10" t="s">
        <v>29</v>
      </c>
    </row>
    <row r="83" spans="1:21" s="10" customFormat="1" x14ac:dyDescent="0.25">
      <c r="A83" s="10" t="s">
        <v>766</v>
      </c>
      <c r="B83" s="10" t="s">
        <v>685</v>
      </c>
      <c r="C83" s="10" t="s">
        <v>166</v>
      </c>
      <c r="D83" s="10" t="s">
        <v>767</v>
      </c>
      <c r="E83" s="8" t="s">
        <v>768</v>
      </c>
      <c r="F83" s="8" t="s">
        <v>769</v>
      </c>
      <c r="G83" s="10" t="s">
        <v>29</v>
      </c>
      <c r="H83" s="8" t="s">
        <v>605</v>
      </c>
      <c r="I83" s="10" t="s">
        <v>29</v>
      </c>
      <c r="J83" s="8" t="s">
        <v>606</v>
      </c>
      <c r="K83" s="8" t="s">
        <v>29</v>
      </c>
      <c r="L83" s="8" t="s">
        <v>29</v>
      </c>
      <c r="M83" s="10" t="s">
        <v>29</v>
      </c>
      <c r="N83" s="8" t="s">
        <v>29</v>
      </c>
      <c r="O83" s="10" t="s">
        <v>18</v>
      </c>
      <c r="P83" s="8" t="s">
        <v>770</v>
      </c>
      <c r="Q83" s="10" t="s">
        <v>174</v>
      </c>
      <c r="R83" s="10" t="s">
        <v>357</v>
      </c>
      <c r="S83" s="8" t="s">
        <v>171</v>
      </c>
      <c r="T83" s="10" t="s">
        <v>204</v>
      </c>
      <c r="U83" s="10" t="s">
        <v>29</v>
      </c>
    </row>
    <row r="84" spans="1:21" s="10" customFormat="1" x14ac:dyDescent="0.25">
      <c r="A84" s="10" t="s">
        <v>771</v>
      </c>
      <c r="B84" s="10" t="s">
        <v>685</v>
      </c>
      <c r="C84" s="11" t="s">
        <v>297</v>
      </c>
      <c r="D84" s="10" t="s">
        <v>772</v>
      </c>
      <c r="E84" s="8" t="s">
        <v>773</v>
      </c>
      <c r="F84" s="8" t="s">
        <v>774</v>
      </c>
      <c r="G84" s="10" t="s">
        <v>29</v>
      </c>
      <c r="H84" s="8" t="s">
        <v>605</v>
      </c>
      <c r="I84" s="10" t="s">
        <v>29</v>
      </c>
      <c r="J84" s="8" t="s">
        <v>606</v>
      </c>
      <c r="K84" s="8" t="s">
        <v>29</v>
      </c>
      <c r="L84" s="8" t="s">
        <v>29</v>
      </c>
      <c r="M84" s="10" t="s">
        <v>29</v>
      </c>
      <c r="N84" s="8" t="s">
        <v>29</v>
      </c>
      <c r="O84" s="10" t="s">
        <v>18</v>
      </c>
      <c r="P84" s="8" t="s">
        <v>775</v>
      </c>
      <c r="Q84" s="10" t="s">
        <v>776</v>
      </c>
      <c r="R84" s="10" t="s">
        <v>608</v>
      </c>
      <c r="S84" s="8" t="s">
        <v>171</v>
      </c>
      <c r="T84" s="10" t="s">
        <v>692</v>
      </c>
      <c r="U84" s="10" t="s">
        <v>29</v>
      </c>
    </row>
    <row r="85" spans="1:21" s="10" customFormat="1" x14ac:dyDescent="0.25">
      <c r="A85" s="10" t="s">
        <v>777</v>
      </c>
      <c r="B85" s="10" t="s">
        <v>685</v>
      </c>
      <c r="C85" s="10" t="s">
        <v>166</v>
      </c>
      <c r="D85" s="10" t="s">
        <v>778</v>
      </c>
      <c r="E85" s="8" t="s">
        <v>779</v>
      </c>
      <c r="F85" s="8" t="s">
        <v>780</v>
      </c>
      <c r="G85" s="10" t="s">
        <v>29</v>
      </c>
      <c r="H85" s="8" t="s">
        <v>781</v>
      </c>
      <c r="I85" s="10" t="s">
        <v>316</v>
      </c>
      <c r="J85" s="8" t="s">
        <v>782</v>
      </c>
      <c r="K85" s="8" t="s">
        <v>29</v>
      </c>
      <c r="L85" s="8" t="s">
        <v>29</v>
      </c>
      <c r="M85" s="10" t="s">
        <v>29</v>
      </c>
      <c r="N85" s="8" t="s">
        <v>29</v>
      </c>
      <c r="O85" s="10" t="s">
        <v>18</v>
      </c>
      <c r="P85" s="8" t="s">
        <v>783</v>
      </c>
      <c r="Q85" s="10" t="s">
        <v>197</v>
      </c>
      <c r="R85" s="10" t="s">
        <v>357</v>
      </c>
      <c r="S85" s="8" t="s">
        <v>289</v>
      </c>
      <c r="T85" s="10" t="s">
        <v>204</v>
      </c>
      <c r="U85" s="10" t="s">
        <v>29</v>
      </c>
    </row>
    <row r="86" spans="1:21" s="10" customFormat="1" x14ac:dyDescent="0.25">
      <c r="A86" s="10" t="s">
        <v>784</v>
      </c>
      <c r="B86" s="10" t="s">
        <v>685</v>
      </c>
      <c r="C86" s="10" t="s">
        <v>166</v>
      </c>
      <c r="D86" s="10" t="s">
        <v>785</v>
      </c>
      <c r="E86" s="8" t="s">
        <v>786</v>
      </c>
      <c r="F86" s="8" t="s">
        <v>787</v>
      </c>
      <c r="G86" s="10" t="s">
        <v>29</v>
      </c>
      <c r="H86" s="8" t="s">
        <v>788</v>
      </c>
      <c r="I86" s="10" t="s">
        <v>545</v>
      </c>
      <c r="J86" s="8" t="s">
        <v>789</v>
      </c>
      <c r="K86" s="8" t="s">
        <v>29</v>
      </c>
      <c r="L86" s="8" t="s">
        <v>29</v>
      </c>
      <c r="M86" s="10" t="s">
        <v>29</v>
      </c>
      <c r="N86" s="8" t="s">
        <v>790</v>
      </c>
      <c r="O86" s="10" t="s">
        <v>18</v>
      </c>
      <c r="P86" s="8" t="s">
        <v>791</v>
      </c>
      <c r="Q86" s="10" t="s">
        <v>190</v>
      </c>
      <c r="R86" s="10" t="s">
        <v>357</v>
      </c>
      <c r="S86" s="8" t="s">
        <v>792</v>
      </c>
      <c r="T86" s="10" t="s">
        <v>692</v>
      </c>
      <c r="U86" s="10" t="s">
        <v>29</v>
      </c>
    </row>
    <row r="87" spans="1:21" s="10" customFormat="1" x14ac:dyDescent="0.25">
      <c r="A87" s="10" t="s">
        <v>793</v>
      </c>
      <c r="B87" s="10" t="s">
        <v>685</v>
      </c>
      <c r="C87" s="11" t="s">
        <v>297</v>
      </c>
      <c r="D87" s="10" t="s">
        <v>794</v>
      </c>
      <c r="E87" s="8" t="s">
        <v>795</v>
      </c>
      <c r="F87" s="8" t="s">
        <v>796</v>
      </c>
      <c r="G87" s="10" t="s">
        <v>29</v>
      </c>
      <c r="H87" s="8" t="s">
        <v>797</v>
      </c>
      <c r="I87" s="10" t="s">
        <v>545</v>
      </c>
      <c r="J87" s="8" t="s">
        <v>789</v>
      </c>
      <c r="K87" s="8" t="s">
        <v>29</v>
      </c>
      <c r="L87" s="8" t="s">
        <v>29</v>
      </c>
      <c r="M87" s="10" t="s">
        <v>29</v>
      </c>
      <c r="N87" s="8" t="s">
        <v>798</v>
      </c>
      <c r="O87" s="10" t="s">
        <v>18</v>
      </c>
      <c r="P87" s="8" t="s">
        <v>799</v>
      </c>
      <c r="Q87" s="10" t="s">
        <v>190</v>
      </c>
      <c r="R87" s="10" t="s">
        <v>357</v>
      </c>
      <c r="S87" s="8" t="s">
        <v>730</v>
      </c>
      <c r="T87" s="10" t="s">
        <v>204</v>
      </c>
      <c r="U87" s="10" t="s">
        <v>29</v>
      </c>
    </row>
    <row r="88" spans="1:21" s="10" customFormat="1" x14ac:dyDescent="0.25">
      <c r="A88" s="10" t="s">
        <v>800</v>
      </c>
      <c r="B88" s="10" t="s">
        <v>801</v>
      </c>
      <c r="C88" s="10" t="s">
        <v>166</v>
      </c>
      <c r="D88" s="10" t="s">
        <v>802</v>
      </c>
      <c r="E88" s="8" t="s">
        <v>803</v>
      </c>
      <c r="F88" s="8" t="s">
        <v>804</v>
      </c>
      <c r="G88" s="10" t="s">
        <v>29</v>
      </c>
      <c r="H88" s="8" t="s">
        <v>605</v>
      </c>
      <c r="I88" s="10" t="s">
        <v>545</v>
      </c>
      <c r="J88" s="8" t="s">
        <v>805</v>
      </c>
      <c r="K88" s="8" t="s">
        <v>29</v>
      </c>
      <c r="L88" s="8" t="s">
        <v>29</v>
      </c>
      <c r="M88" s="10" t="s">
        <v>29</v>
      </c>
      <c r="N88" s="8" t="s">
        <v>806</v>
      </c>
      <c r="O88" s="10" t="s">
        <v>18</v>
      </c>
      <c r="P88" s="8" t="s">
        <v>807</v>
      </c>
      <c r="Q88" s="10" t="s">
        <v>174</v>
      </c>
      <c r="R88" s="10" t="s">
        <v>357</v>
      </c>
      <c r="S88" s="8" t="s">
        <v>171</v>
      </c>
      <c r="T88" s="10" t="s">
        <v>808</v>
      </c>
      <c r="U88" s="10" t="s">
        <v>29</v>
      </c>
    </row>
    <row r="89" spans="1:21" s="10" customFormat="1" x14ac:dyDescent="0.25">
      <c r="A89" s="10" t="s">
        <v>809</v>
      </c>
      <c r="B89" s="10" t="s">
        <v>801</v>
      </c>
      <c r="C89" s="10" t="s">
        <v>166</v>
      </c>
      <c r="D89" s="10" t="s">
        <v>810</v>
      </c>
      <c r="E89" s="8" t="s">
        <v>811</v>
      </c>
      <c r="F89" s="8" t="s">
        <v>812</v>
      </c>
      <c r="G89" s="10" t="s">
        <v>29</v>
      </c>
      <c r="H89" s="8" t="s">
        <v>605</v>
      </c>
      <c r="I89" s="10" t="s">
        <v>813</v>
      </c>
      <c r="J89" s="8" t="s">
        <v>805</v>
      </c>
      <c r="K89" s="8" t="s">
        <v>29</v>
      </c>
      <c r="L89" s="8" t="s">
        <v>29</v>
      </c>
      <c r="M89" s="10" t="s">
        <v>29</v>
      </c>
      <c r="N89" s="8" t="s">
        <v>29</v>
      </c>
      <c r="O89" s="10" t="s">
        <v>18</v>
      </c>
      <c r="P89" s="8" t="s">
        <v>814</v>
      </c>
      <c r="Q89" s="10" t="s">
        <v>174</v>
      </c>
      <c r="R89" s="10" t="s">
        <v>640</v>
      </c>
      <c r="S89" s="8" t="s">
        <v>171</v>
      </c>
      <c r="T89" s="10" t="s">
        <v>808</v>
      </c>
      <c r="U89" s="10" t="s">
        <v>29</v>
      </c>
    </row>
    <row r="90" spans="1:21" s="10" customFormat="1" x14ac:dyDescent="0.25">
      <c r="A90" s="10" t="s">
        <v>815</v>
      </c>
      <c r="B90" s="10" t="s">
        <v>801</v>
      </c>
      <c r="C90" s="11" t="s">
        <v>297</v>
      </c>
      <c r="D90" s="10" t="s">
        <v>816</v>
      </c>
      <c r="E90" s="8" t="s">
        <v>817</v>
      </c>
      <c r="F90" s="8" t="s">
        <v>818</v>
      </c>
      <c r="G90" s="10" t="s">
        <v>29</v>
      </c>
      <c r="H90" s="8" t="s">
        <v>605</v>
      </c>
      <c r="I90" s="10" t="s">
        <v>819</v>
      </c>
      <c r="J90" s="8" t="s">
        <v>805</v>
      </c>
      <c r="K90" s="8" t="s">
        <v>29</v>
      </c>
      <c r="L90" s="8" t="s">
        <v>29</v>
      </c>
      <c r="M90" s="10" t="s">
        <v>29</v>
      </c>
      <c r="N90" s="8" t="s">
        <v>29</v>
      </c>
      <c r="O90" s="10" t="s">
        <v>18</v>
      </c>
      <c r="P90" s="8" t="s">
        <v>820</v>
      </c>
      <c r="Q90" s="10" t="s">
        <v>776</v>
      </c>
      <c r="R90" s="10" t="s">
        <v>640</v>
      </c>
      <c r="S90" s="8" t="s">
        <v>171</v>
      </c>
      <c r="T90" s="10" t="s">
        <v>808</v>
      </c>
      <c r="U90" s="10" t="s">
        <v>29</v>
      </c>
    </row>
    <row r="91" spans="1:21" s="10" customFormat="1" x14ac:dyDescent="0.25">
      <c r="A91" s="10" t="s">
        <v>821</v>
      </c>
      <c r="B91" s="10" t="s">
        <v>801</v>
      </c>
      <c r="C91" s="11" t="s">
        <v>297</v>
      </c>
      <c r="D91" s="10" t="s">
        <v>822</v>
      </c>
      <c r="E91" s="8" t="s">
        <v>823</v>
      </c>
      <c r="F91" s="8" t="s">
        <v>774</v>
      </c>
      <c r="G91" s="10" t="s">
        <v>29</v>
      </c>
      <c r="H91" s="8" t="s">
        <v>605</v>
      </c>
      <c r="I91" s="10" t="s">
        <v>824</v>
      </c>
      <c r="J91" s="8" t="s">
        <v>805</v>
      </c>
      <c r="K91" s="8" t="s">
        <v>29</v>
      </c>
      <c r="L91" s="8" t="s">
        <v>29</v>
      </c>
      <c r="M91" s="10" t="s">
        <v>29</v>
      </c>
      <c r="N91" s="8" t="s">
        <v>29</v>
      </c>
      <c r="O91" s="10" t="s">
        <v>18</v>
      </c>
      <c r="P91" s="8" t="s">
        <v>825</v>
      </c>
      <c r="Q91" s="10" t="s">
        <v>776</v>
      </c>
      <c r="R91" s="10" t="s">
        <v>640</v>
      </c>
      <c r="S91" s="8" t="s">
        <v>171</v>
      </c>
      <c r="T91" s="10" t="s">
        <v>808</v>
      </c>
      <c r="U91" s="10" t="s">
        <v>29</v>
      </c>
    </row>
    <row r="92" spans="1:21" s="10" customFormat="1" x14ac:dyDescent="0.25">
      <c r="A92" s="10" t="s">
        <v>826</v>
      </c>
      <c r="B92" s="10" t="s">
        <v>801</v>
      </c>
      <c r="C92" s="11" t="s">
        <v>297</v>
      </c>
      <c r="D92" s="10" t="s">
        <v>827</v>
      </c>
      <c r="E92" s="8" t="s">
        <v>828</v>
      </c>
      <c r="F92" s="8" t="s">
        <v>829</v>
      </c>
      <c r="G92" s="10" t="s">
        <v>29</v>
      </c>
      <c r="H92" s="8" t="s">
        <v>605</v>
      </c>
      <c r="I92" s="10" t="s">
        <v>830</v>
      </c>
      <c r="J92" s="8" t="s">
        <v>805</v>
      </c>
      <c r="K92" s="8" t="s">
        <v>29</v>
      </c>
      <c r="L92" s="8" t="s">
        <v>29</v>
      </c>
      <c r="M92" s="10" t="s">
        <v>29</v>
      </c>
      <c r="N92" s="8" t="s">
        <v>831</v>
      </c>
      <c r="O92" s="10" t="s">
        <v>18</v>
      </c>
      <c r="P92" s="8" t="s">
        <v>832</v>
      </c>
      <c r="Q92" s="10" t="s">
        <v>776</v>
      </c>
      <c r="R92" s="10" t="s">
        <v>640</v>
      </c>
      <c r="S92" s="8" t="s">
        <v>171</v>
      </c>
      <c r="T92" s="10" t="s">
        <v>808</v>
      </c>
      <c r="U92" s="10" t="s">
        <v>29</v>
      </c>
    </row>
    <row r="93" spans="1:21" s="10" customFormat="1" x14ac:dyDescent="0.25">
      <c r="A93" s="10" t="s">
        <v>833</v>
      </c>
      <c r="B93" s="10" t="s">
        <v>801</v>
      </c>
      <c r="C93" s="10" t="s">
        <v>166</v>
      </c>
      <c r="D93" s="10" t="s">
        <v>834</v>
      </c>
      <c r="E93" s="8" t="s">
        <v>835</v>
      </c>
      <c r="F93" s="8" t="s">
        <v>812</v>
      </c>
      <c r="G93" s="10" t="s">
        <v>29</v>
      </c>
      <c r="H93" s="8" t="s">
        <v>605</v>
      </c>
      <c r="I93" s="10" t="s">
        <v>813</v>
      </c>
      <c r="J93" s="8" t="s">
        <v>805</v>
      </c>
      <c r="K93" s="8" t="s">
        <v>29</v>
      </c>
      <c r="L93" s="8" t="s">
        <v>29</v>
      </c>
      <c r="M93" s="10" t="s">
        <v>29</v>
      </c>
      <c r="N93" s="8" t="s">
        <v>29</v>
      </c>
      <c r="O93" s="10" t="s">
        <v>18</v>
      </c>
      <c r="P93" s="8" t="s">
        <v>836</v>
      </c>
      <c r="Q93" s="10" t="s">
        <v>174</v>
      </c>
      <c r="R93" s="10" t="s">
        <v>608</v>
      </c>
      <c r="S93" s="8" t="s">
        <v>171</v>
      </c>
      <c r="T93" s="10" t="s">
        <v>808</v>
      </c>
      <c r="U93" s="10" t="s">
        <v>29</v>
      </c>
    </row>
    <row r="94" spans="1:21" s="10" customFormat="1" x14ac:dyDescent="0.25">
      <c r="A94" s="10" t="s">
        <v>837</v>
      </c>
      <c r="B94" s="10" t="s">
        <v>801</v>
      </c>
      <c r="C94" s="11" t="s">
        <v>297</v>
      </c>
      <c r="D94" s="10" t="s">
        <v>838</v>
      </c>
      <c r="E94" s="8" t="s">
        <v>839</v>
      </c>
      <c r="F94" s="8" t="s">
        <v>840</v>
      </c>
      <c r="G94" s="10" t="s">
        <v>29</v>
      </c>
      <c r="H94" s="8" t="s">
        <v>605</v>
      </c>
      <c r="I94" s="10" t="s">
        <v>841</v>
      </c>
      <c r="J94" s="8" t="s">
        <v>805</v>
      </c>
      <c r="K94" s="8" t="s">
        <v>29</v>
      </c>
      <c r="L94" s="8" t="s">
        <v>29</v>
      </c>
      <c r="M94" s="10" t="s">
        <v>29</v>
      </c>
      <c r="N94" s="8" t="s">
        <v>29</v>
      </c>
      <c r="O94" s="10" t="s">
        <v>18</v>
      </c>
      <c r="P94" s="8" t="s">
        <v>842</v>
      </c>
      <c r="Q94" s="10" t="s">
        <v>776</v>
      </c>
      <c r="R94" s="10" t="s">
        <v>608</v>
      </c>
      <c r="S94" s="8" t="s">
        <v>171</v>
      </c>
      <c r="T94" s="10" t="s">
        <v>808</v>
      </c>
      <c r="U94" s="10" t="s">
        <v>29</v>
      </c>
    </row>
    <row r="95" spans="1:21" s="10" customFormat="1" x14ac:dyDescent="0.25">
      <c r="A95" s="10" t="s">
        <v>843</v>
      </c>
      <c r="B95" s="10" t="s">
        <v>801</v>
      </c>
      <c r="C95" s="10" t="s">
        <v>166</v>
      </c>
      <c r="D95" s="10" t="s">
        <v>844</v>
      </c>
      <c r="E95" s="8" t="s">
        <v>845</v>
      </c>
      <c r="F95" s="8" t="s">
        <v>812</v>
      </c>
      <c r="G95" s="10" t="s">
        <v>29</v>
      </c>
      <c r="H95" s="8" t="s">
        <v>605</v>
      </c>
      <c r="I95" s="10" t="s">
        <v>846</v>
      </c>
      <c r="J95" s="8" t="s">
        <v>805</v>
      </c>
      <c r="K95" s="8" t="s">
        <v>29</v>
      </c>
      <c r="L95" s="8" t="s">
        <v>29</v>
      </c>
      <c r="M95" s="10" t="s">
        <v>29</v>
      </c>
      <c r="N95" s="8" t="s">
        <v>29</v>
      </c>
      <c r="O95" s="10" t="s">
        <v>18</v>
      </c>
      <c r="P95" s="8" t="s">
        <v>847</v>
      </c>
      <c r="Q95" s="10" t="s">
        <v>174</v>
      </c>
      <c r="R95" s="10" t="s">
        <v>848</v>
      </c>
      <c r="S95" s="8" t="s">
        <v>171</v>
      </c>
      <c r="T95" s="10" t="s">
        <v>808</v>
      </c>
      <c r="U95" s="10" t="s">
        <v>29</v>
      </c>
    </row>
    <row r="96" spans="1:21" s="10" customFormat="1" x14ac:dyDescent="0.25">
      <c r="A96" s="10" t="s">
        <v>849</v>
      </c>
      <c r="B96" s="10" t="s">
        <v>801</v>
      </c>
      <c r="C96" s="11" t="s">
        <v>297</v>
      </c>
      <c r="D96" s="10" t="s">
        <v>850</v>
      </c>
      <c r="E96" s="8" t="s">
        <v>851</v>
      </c>
      <c r="F96" s="8" t="s">
        <v>840</v>
      </c>
      <c r="G96" s="10" t="s">
        <v>29</v>
      </c>
      <c r="H96" s="8" t="s">
        <v>605</v>
      </c>
      <c r="I96" s="10" t="s">
        <v>852</v>
      </c>
      <c r="J96" s="8" t="s">
        <v>805</v>
      </c>
      <c r="K96" s="8" t="s">
        <v>29</v>
      </c>
      <c r="L96" s="8" t="s">
        <v>29</v>
      </c>
      <c r="M96" s="10" t="s">
        <v>29</v>
      </c>
      <c r="N96" s="8" t="s">
        <v>29</v>
      </c>
      <c r="O96" s="10" t="s">
        <v>18</v>
      </c>
      <c r="P96" s="8" t="s">
        <v>853</v>
      </c>
      <c r="Q96" s="10" t="s">
        <v>776</v>
      </c>
      <c r="R96" s="10" t="s">
        <v>848</v>
      </c>
      <c r="S96" s="8" t="s">
        <v>171</v>
      </c>
      <c r="T96" s="10" t="s">
        <v>808</v>
      </c>
      <c r="U96" s="10" t="s">
        <v>29</v>
      </c>
    </row>
    <row r="97" spans="1:21" s="10" customFormat="1" x14ac:dyDescent="0.25">
      <c r="A97" s="10" t="s">
        <v>854</v>
      </c>
      <c r="B97" s="10" t="s">
        <v>801</v>
      </c>
      <c r="C97" s="10" t="s">
        <v>166</v>
      </c>
      <c r="D97" s="10" t="s">
        <v>855</v>
      </c>
      <c r="E97" s="8" t="s">
        <v>856</v>
      </c>
      <c r="F97" s="8" t="s">
        <v>857</v>
      </c>
      <c r="G97" s="10" t="s">
        <v>29</v>
      </c>
      <c r="H97" s="8" t="s">
        <v>605</v>
      </c>
      <c r="I97" s="10" t="s">
        <v>858</v>
      </c>
      <c r="J97" s="8" t="s">
        <v>805</v>
      </c>
      <c r="K97" s="8" t="s">
        <v>29</v>
      </c>
      <c r="L97" s="8" t="s">
        <v>29</v>
      </c>
      <c r="M97" s="10" t="s">
        <v>29</v>
      </c>
      <c r="N97" s="8" t="s">
        <v>29</v>
      </c>
      <c r="O97" s="10" t="s">
        <v>18</v>
      </c>
      <c r="P97" s="8" t="s">
        <v>859</v>
      </c>
      <c r="Q97" s="10" t="s">
        <v>174</v>
      </c>
      <c r="R97" s="10" t="s">
        <v>860</v>
      </c>
      <c r="S97" s="8" t="s">
        <v>171</v>
      </c>
      <c r="T97" s="10" t="s">
        <v>808</v>
      </c>
      <c r="U97" s="10" t="s">
        <v>29</v>
      </c>
    </row>
    <row r="98" spans="1:21" s="10" customFormat="1" x14ac:dyDescent="0.25">
      <c r="A98" s="10" t="s">
        <v>861</v>
      </c>
      <c r="B98" s="10" t="s">
        <v>801</v>
      </c>
      <c r="C98" s="11" t="s">
        <v>297</v>
      </c>
      <c r="D98" s="10" t="s">
        <v>862</v>
      </c>
      <c r="E98" s="8" t="s">
        <v>863</v>
      </c>
      <c r="F98" s="8" t="s">
        <v>840</v>
      </c>
      <c r="G98" s="10" t="s">
        <v>29</v>
      </c>
      <c r="H98" s="8" t="s">
        <v>605</v>
      </c>
      <c r="I98" s="10" t="s">
        <v>864</v>
      </c>
      <c r="J98" s="8" t="s">
        <v>805</v>
      </c>
      <c r="K98" s="8" t="s">
        <v>29</v>
      </c>
      <c r="L98" s="8" t="s">
        <v>29</v>
      </c>
      <c r="M98" s="10" t="s">
        <v>29</v>
      </c>
      <c r="N98" s="8" t="s">
        <v>29</v>
      </c>
      <c r="O98" s="10" t="s">
        <v>18</v>
      </c>
      <c r="P98" s="8" t="s">
        <v>865</v>
      </c>
      <c r="Q98" s="10" t="s">
        <v>776</v>
      </c>
      <c r="R98" s="10" t="s">
        <v>860</v>
      </c>
      <c r="S98" s="8" t="s">
        <v>171</v>
      </c>
      <c r="T98" s="10" t="s">
        <v>808</v>
      </c>
      <c r="U98" s="10" t="s">
        <v>29</v>
      </c>
    </row>
    <row r="99" spans="1:21" s="10" customFormat="1" x14ac:dyDescent="0.25">
      <c r="A99" s="10" t="s">
        <v>866</v>
      </c>
      <c r="B99" s="10" t="s">
        <v>801</v>
      </c>
      <c r="C99" s="10" t="s">
        <v>166</v>
      </c>
      <c r="D99" s="10" t="s">
        <v>867</v>
      </c>
      <c r="E99" s="8" t="s">
        <v>868</v>
      </c>
      <c r="F99" s="8" t="s">
        <v>869</v>
      </c>
      <c r="G99" s="10" t="s">
        <v>29</v>
      </c>
      <c r="H99" s="8" t="s">
        <v>605</v>
      </c>
      <c r="I99" s="10" t="s">
        <v>870</v>
      </c>
      <c r="J99" s="8" t="s">
        <v>805</v>
      </c>
      <c r="K99" s="8" t="s">
        <v>29</v>
      </c>
      <c r="L99" s="8" t="s">
        <v>29</v>
      </c>
      <c r="M99" s="10" t="s">
        <v>29</v>
      </c>
      <c r="N99" s="8" t="s">
        <v>29</v>
      </c>
      <c r="O99" s="10" t="s">
        <v>18</v>
      </c>
      <c r="P99" s="8" t="s">
        <v>871</v>
      </c>
      <c r="Q99" s="10" t="s">
        <v>174</v>
      </c>
      <c r="R99" s="10" t="s">
        <v>872</v>
      </c>
      <c r="S99" s="8" t="s">
        <v>171</v>
      </c>
      <c r="T99" s="10" t="s">
        <v>808</v>
      </c>
      <c r="U99" s="10" t="s">
        <v>29</v>
      </c>
    </row>
    <row r="100" spans="1:21" s="10" customFormat="1" x14ac:dyDescent="0.25">
      <c r="A100" s="10" t="s">
        <v>873</v>
      </c>
      <c r="B100" s="10" t="s">
        <v>801</v>
      </c>
      <c r="C100" s="10" t="s">
        <v>166</v>
      </c>
      <c r="D100" s="10" t="s">
        <v>874</v>
      </c>
      <c r="E100" s="8" t="s">
        <v>875</v>
      </c>
      <c r="F100" s="8" t="s">
        <v>876</v>
      </c>
      <c r="G100" s="10" t="s">
        <v>29</v>
      </c>
      <c r="H100" s="8" t="s">
        <v>605</v>
      </c>
      <c r="I100" s="10" t="s">
        <v>870</v>
      </c>
      <c r="J100" s="8" t="s">
        <v>805</v>
      </c>
      <c r="K100" s="8" t="s">
        <v>29</v>
      </c>
      <c r="L100" s="8" t="s">
        <v>29</v>
      </c>
      <c r="M100" s="10" t="s">
        <v>29</v>
      </c>
      <c r="N100" s="8" t="s">
        <v>877</v>
      </c>
      <c r="O100" s="10" t="s">
        <v>18</v>
      </c>
      <c r="P100" s="8" t="s">
        <v>878</v>
      </c>
      <c r="Q100" s="10" t="s">
        <v>174</v>
      </c>
      <c r="R100" s="10" t="s">
        <v>879</v>
      </c>
      <c r="S100" s="8" t="s">
        <v>171</v>
      </c>
      <c r="T100" s="10" t="s">
        <v>808</v>
      </c>
      <c r="U100" s="10" t="s">
        <v>29</v>
      </c>
    </row>
    <row r="101" spans="1:21" s="10" customFormat="1" x14ac:dyDescent="0.25">
      <c r="A101" s="10" t="s">
        <v>880</v>
      </c>
      <c r="B101" s="10" t="s">
        <v>801</v>
      </c>
      <c r="C101" s="11" t="s">
        <v>297</v>
      </c>
      <c r="D101" s="10" t="s">
        <v>881</v>
      </c>
      <c r="E101" s="8" t="s">
        <v>882</v>
      </c>
      <c r="F101" s="8" t="s">
        <v>883</v>
      </c>
      <c r="G101" s="10" t="s">
        <v>29</v>
      </c>
      <c r="H101" s="8" t="s">
        <v>605</v>
      </c>
      <c r="I101" s="10" t="s">
        <v>884</v>
      </c>
      <c r="J101" s="8" t="s">
        <v>805</v>
      </c>
      <c r="K101" s="8" t="s">
        <v>29</v>
      </c>
      <c r="L101" s="8" t="s">
        <v>29</v>
      </c>
      <c r="M101" s="10" t="s">
        <v>29</v>
      </c>
      <c r="N101" s="8" t="s">
        <v>29</v>
      </c>
      <c r="O101" s="10" t="s">
        <v>18</v>
      </c>
      <c r="P101" s="8" t="s">
        <v>885</v>
      </c>
      <c r="Q101" s="10" t="s">
        <v>776</v>
      </c>
      <c r="R101" s="10" t="s">
        <v>872</v>
      </c>
      <c r="S101" s="8" t="s">
        <v>171</v>
      </c>
      <c r="T101" s="10" t="s">
        <v>808</v>
      </c>
      <c r="U101" s="10" t="s">
        <v>29</v>
      </c>
    </row>
    <row r="102" spans="1:21" s="10" customFormat="1" x14ac:dyDescent="0.25">
      <c r="A102" s="10" t="s">
        <v>886</v>
      </c>
      <c r="B102" s="10" t="s">
        <v>801</v>
      </c>
      <c r="C102" s="10" t="s">
        <v>166</v>
      </c>
      <c r="D102" s="10" t="s">
        <v>887</v>
      </c>
      <c r="E102" s="8" t="s">
        <v>888</v>
      </c>
      <c r="F102" s="8" t="s">
        <v>869</v>
      </c>
      <c r="G102" s="10" t="s">
        <v>29</v>
      </c>
      <c r="H102" s="8" t="s">
        <v>605</v>
      </c>
      <c r="I102" s="10" t="s">
        <v>889</v>
      </c>
      <c r="J102" s="8" t="s">
        <v>805</v>
      </c>
      <c r="K102" s="8" t="s">
        <v>29</v>
      </c>
      <c r="L102" s="8" t="s">
        <v>29</v>
      </c>
      <c r="M102" s="10" t="s">
        <v>29</v>
      </c>
      <c r="N102" s="8" t="s">
        <v>29</v>
      </c>
      <c r="O102" s="10" t="s">
        <v>18</v>
      </c>
      <c r="P102" s="8" t="s">
        <v>890</v>
      </c>
      <c r="Q102" s="10" t="s">
        <v>174</v>
      </c>
      <c r="R102" s="10" t="s">
        <v>891</v>
      </c>
      <c r="S102" s="8" t="s">
        <v>171</v>
      </c>
      <c r="T102" s="10" t="s">
        <v>808</v>
      </c>
      <c r="U102" s="10" t="s">
        <v>29</v>
      </c>
    </row>
    <row r="103" spans="1:21" s="10" customFormat="1" x14ac:dyDescent="0.25">
      <c r="A103" s="10" t="s">
        <v>892</v>
      </c>
      <c r="B103" s="10" t="s">
        <v>801</v>
      </c>
      <c r="C103" s="11" t="s">
        <v>297</v>
      </c>
      <c r="D103" s="10" t="s">
        <v>893</v>
      </c>
      <c r="E103" s="8" t="s">
        <v>894</v>
      </c>
      <c r="F103" s="8" t="s">
        <v>883</v>
      </c>
      <c r="G103" s="10" t="s">
        <v>29</v>
      </c>
      <c r="H103" s="8" t="s">
        <v>605</v>
      </c>
      <c r="I103" s="10" t="s">
        <v>895</v>
      </c>
      <c r="J103" s="8" t="s">
        <v>805</v>
      </c>
      <c r="K103" s="8" t="s">
        <v>29</v>
      </c>
      <c r="L103" s="8" t="s">
        <v>29</v>
      </c>
      <c r="M103" s="10" t="s">
        <v>29</v>
      </c>
      <c r="N103" s="8" t="s">
        <v>29</v>
      </c>
      <c r="O103" s="10" t="s">
        <v>18</v>
      </c>
      <c r="P103" s="8" t="s">
        <v>896</v>
      </c>
      <c r="Q103" s="10" t="s">
        <v>776</v>
      </c>
      <c r="R103" s="10" t="s">
        <v>891</v>
      </c>
      <c r="S103" s="8" t="s">
        <v>171</v>
      </c>
      <c r="T103" s="10" t="s">
        <v>808</v>
      </c>
      <c r="U103" s="10" t="s">
        <v>29</v>
      </c>
    </row>
    <row r="104" spans="1:21" s="10" customFormat="1" x14ac:dyDescent="0.25">
      <c r="A104" s="10" t="s">
        <v>897</v>
      </c>
      <c r="B104" s="10" t="s">
        <v>801</v>
      </c>
      <c r="C104" s="10" t="s">
        <v>166</v>
      </c>
      <c r="D104" s="10" t="s">
        <v>898</v>
      </c>
      <c r="E104" s="8" t="s">
        <v>899</v>
      </c>
      <c r="F104" s="8" t="s">
        <v>812</v>
      </c>
      <c r="G104" s="10" t="s">
        <v>29</v>
      </c>
      <c r="H104" s="8" t="s">
        <v>605</v>
      </c>
      <c r="I104" s="10" t="s">
        <v>900</v>
      </c>
      <c r="J104" s="8" t="s">
        <v>805</v>
      </c>
      <c r="K104" s="8" t="s">
        <v>29</v>
      </c>
      <c r="L104" s="8" t="s">
        <v>29</v>
      </c>
      <c r="M104" s="10" t="s">
        <v>29</v>
      </c>
      <c r="N104" s="8" t="s">
        <v>29</v>
      </c>
      <c r="O104" s="10" t="s">
        <v>18</v>
      </c>
      <c r="P104" s="8" t="s">
        <v>901</v>
      </c>
      <c r="Q104" s="10" t="s">
        <v>174</v>
      </c>
      <c r="R104" s="10" t="s">
        <v>902</v>
      </c>
      <c r="S104" s="8" t="s">
        <v>171</v>
      </c>
      <c r="T104" s="10" t="s">
        <v>808</v>
      </c>
      <c r="U104" s="10" t="s">
        <v>29</v>
      </c>
    </row>
    <row r="105" spans="1:21" s="10" customFormat="1" x14ac:dyDescent="0.25">
      <c r="A105" s="10" t="s">
        <v>903</v>
      </c>
      <c r="B105" s="10" t="s">
        <v>801</v>
      </c>
      <c r="C105" s="11" t="s">
        <v>297</v>
      </c>
      <c r="D105" s="10" t="s">
        <v>904</v>
      </c>
      <c r="E105" s="8" t="s">
        <v>905</v>
      </c>
      <c r="F105" s="8" t="s">
        <v>883</v>
      </c>
      <c r="G105" s="10" t="s">
        <v>29</v>
      </c>
      <c r="H105" s="8" t="s">
        <v>605</v>
      </c>
      <c r="I105" s="10" t="s">
        <v>906</v>
      </c>
      <c r="J105" s="8" t="s">
        <v>805</v>
      </c>
      <c r="K105" s="8" t="s">
        <v>29</v>
      </c>
      <c r="L105" s="8" t="s">
        <v>29</v>
      </c>
      <c r="M105" s="10" t="s">
        <v>29</v>
      </c>
      <c r="N105" s="8" t="s">
        <v>29</v>
      </c>
      <c r="O105" s="10" t="s">
        <v>18</v>
      </c>
      <c r="P105" s="8" t="s">
        <v>907</v>
      </c>
      <c r="Q105" s="10" t="s">
        <v>776</v>
      </c>
      <c r="R105" s="10" t="s">
        <v>902</v>
      </c>
      <c r="S105" s="8" t="s">
        <v>171</v>
      </c>
      <c r="T105" s="10" t="s">
        <v>808</v>
      </c>
      <c r="U105" s="10" t="s">
        <v>29</v>
      </c>
    </row>
    <row r="106" spans="1:21" s="10" customFormat="1" x14ac:dyDescent="0.25">
      <c r="A106" s="10" t="s">
        <v>908</v>
      </c>
      <c r="B106" s="10" t="s">
        <v>801</v>
      </c>
      <c r="C106" s="11" t="s">
        <v>297</v>
      </c>
      <c r="D106" s="10" t="s">
        <v>909</v>
      </c>
      <c r="E106" s="8" t="s">
        <v>910</v>
      </c>
      <c r="F106" s="8" t="s">
        <v>911</v>
      </c>
      <c r="G106" s="10" t="s">
        <v>29</v>
      </c>
      <c r="H106" s="8" t="s">
        <v>605</v>
      </c>
      <c r="I106" s="10" t="s">
        <v>900</v>
      </c>
      <c r="J106" s="8" t="s">
        <v>805</v>
      </c>
      <c r="K106" s="8" t="s">
        <v>29</v>
      </c>
      <c r="L106" s="8" t="s">
        <v>29</v>
      </c>
      <c r="M106" s="10" t="s">
        <v>29</v>
      </c>
      <c r="N106" s="8" t="s">
        <v>912</v>
      </c>
      <c r="O106" s="10" t="s">
        <v>18</v>
      </c>
      <c r="P106" s="8" t="s">
        <v>913</v>
      </c>
      <c r="Q106" s="10" t="s">
        <v>776</v>
      </c>
      <c r="R106" s="10" t="s">
        <v>914</v>
      </c>
      <c r="S106" s="8" t="s">
        <v>171</v>
      </c>
      <c r="T106" s="10" t="s">
        <v>808</v>
      </c>
      <c r="U106" s="10" t="s">
        <v>29</v>
      </c>
    </row>
    <row r="107" spans="1:21" s="10" customFormat="1" x14ac:dyDescent="0.25">
      <c r="A107" s="10" t="s">
        <v>915</v>
      </c>
      <c r="B107" s="10" t="s">
        <v>801</v>
      </c>
      <c r="C107" s="10" t="s">
        <v>166</v>
      </c>
      <c r="D107" s="10" t="s">
        <v>916</v>
      </c>
      <c r="E107" s="8" t="s">
        <v>917</v>
      </c>
      <c r="F107" s="8" t="s">
        <v>812</v>
      </c>
      <c r="G107" s="10" t="s">
        <v>29</v>
      </c>
      <c r="H107" s="8" t="s">
        <v>605</v>
      </c>
      <c r="I107" s="10" t="s">
        <v>824</v>
      </c>
      <c r="J107" s="8" t="s">
        <v>805</v>
      </c>
      <c r="K107" s="8" t="s">
        <v>29</v>
      </c>
      <c r="L107" s="8" t="s">
        <v>29</v>
      </c>
      <c r="M107" s="10" t="s">
        <v>29</v>
      </c>
      <c r="N107" s="8" t="s">
        <v>29</v>
      </c>
      <c r="O107" s="10" t="s">
        <v>18</v>
      </c>
      <c r="P107" s="8" t="s">
        <v>918</v>
      </c>
      <c r="Q107" s="10" t="s">
        <v>174</v>
      </c>
      <c r="R107" s="10" t="s">
        <v>919</v>
      </c>
      <c r="S107" s="8" t="s">
        <v>171</v>
      </c>
      <c r="T107" s="10" t="s">
        <v>808</v>
      </c>
      <c r="U107" s="10" t="s">
        <v>29</v>
      </c>
    </row>
    <row r="108" spans="1:21" s="10" customFormat="1" x14ac:dyDescent="0.25">
      <c r="A108" s="10" t="s">
        <v>920</v>
      </c>
      <c r="B108" s="10" t="s">
        <v>801</v>
      </c>
      <c r="C108" s="11" t="s">
        <v>297</v>
      </c>
      <c r="D108" s="10" t="s">
        <v>921</v>
      </c>
      <c r="E108" s="8" t="s">
        <v>922</v>
      </c>
      <c r="F108" s="8" t="s">
        <v>840</v>
      </c>
      <c r="G108" s="10" t="s">
        <v>29</v>
      </c>
      <c r="H108" s="8" t="s">
        <v>605</v>
      </c>
      <c r="I108" s="10" t="s">
        <v>813</v>
      </c>
      <c r="J108" s="8" t="s">
        <v>805</v>
      </c>
      <c r="K108" s="8" t="s">
        <v>29</v>
      </c>
      <c r="L108" s="8" t="s">
        <v>29</v>
      </c>
      <c r="M108" s="10" t="s">
        <v>29</v>
      </c>
      <c r="N108" s="8" t="s">
        <v>29</v>
      </c>
      <c r="O108" s="10" t="s">
        <v>18</v>
      </c>
      <c r="P108" s="8" t="s">
        <v>923</v>
      </c>
      <c r="Q108" s="10" t="s">
        <v>776</v>
      </c>
      <c r="R108" s="10" t="s">
        <v>919</v>
      </c>
      <c r="S108" s="8" t="s">
        <v>171</v>
      </c>
      <c r="T108" s="10" t="s">
        <v>808</v>
      </c>
      <c r="U108" s="10" t="s">
        <v>29</v>
      </c>
    </row>
    <row r="109" spans="1:21" s="10" customFormat="1" x14ac:dyDescent="0.25">
      <c r="A109" s="10" t="s">
        <v>924</v>
      </c>
      <c r="B109" s="10" t="s">
        <v>801</v>
      </c>
      <c r="C109" s="10" t="s">
        <v>166</v>
      </c>
      <c r="D109" s="10" t="s">
        <v>925</v>
      </c>
      <c r="E109" s="8" t="s">
        <v>926</v>
      </c>
      <c r="F109" s="8" t="s">
        <v>812</v>
      </c>
      <c r="G109" s="10" t="s">
        <v>29</v>
      </c>
      <c r="H109" s="8" t="s">
        <v>605</v>
      </c>
      <c r="I109" s="10" t="s">
        <v>927</v>
      </c>
      <c r="J109" s="8" t="s">
        <v>805</v>
      </c>
      <c r="K109" s="8" t="s">
        <v>29</v>
      </c>
      <c r="L109" s="8" t="s">
        <v>29</v>
      </c>
      <c r="M109" s="10" t="s">
        <v>29</v>
      </c>
      <c r="N109" s="8" t="s">
        <v>29</v>
      </c>
      <c r="O109" s="10" t="s">
        <v>18</v>
      </c>
      <c r="P109" s="8" t="s">
        <v>928</v>
      </c>
      <c r="Q109" s="10" t="s">
        <v>174</v>
      </c>
      <c r="R109" s="10" t="s">
        <v>929</v>
      </c>
      <c r="S109" s="8" t="s">
        <v>171</v>
      </c>
      <c r="T109" s="10" t="s">
        <v>808</v>
      </c>
      <c r="U109" s="10" t="s">
        <v>29</v>
      </c>
    </row>
    <row r="110" spans="1:21" s="10" customFormat="1" x14ac:dyDescent="0.25">
      <c r="A110" s="10" t="s">
        <v>930</v>
      </c>
      <c r="B110" s="10" t="s">
        <v>801</v>
      </c>
      <c r="C110" s="11" t="s">
        <v>297</v>
      </c>
      <c r="D110" s="10" t="s">
        <v>931</v>
      </c>
      <c r="E110" s="8" t="s">
        <v>932</v>
      </c>
      <c r="F110" s="8" t="s">
        <v>883</v>
      </c>
      <c r="G110" s="10" t="s">
        <v>29</v>
      </c>
      <c r="H110" s="8" t="s">
        <v>605</v>
      </c>
      <c r="I110" s="10" t="s">
        <v>813</v>
      </c>
      <c r="J110" s="8" t="s">
        <v>805</v>
      </c>
      <c r="K110" s="8" t="s">
        <v>29</v>
      </c>
      <c r="L110" s="8" t="s">
        <v>29</v>
      </c>
      <c r="M110" s="10" t="s">
        <v>29</v>
      </c>
      <c r="N110" s="8" t="s">
        <v>29</v>
      </c>
      <c r="O110" s="10" t="s">
        <v>18</v>
      </c>
      <c r="P110" s="8" t="s">
        <v>933</v>
      </c>
      <c r="Q110" s="10" t="s">
        <v>776</v>
      </c>
      <c r="R110" s="10" t="s">
        <v>929</v>
      </c>
      <c r="S110" s="8" t="s">
        <v>171</v>
      </c>
      <c r="T110" s="10" t="s">
        <v>808</v>
      </c>
      <c r="U110" s="10" t="s">
        <v>29</v>
      </c>
    </row>
    <row r="111" spans="1:21" s="10" customFormat="1" x14ac:dyDescent="0.25">
      <c r="A111" s="10" t="s">
        <v>934</v>
      </c>
      <c r="B111" s="10" t="s">
        <v>801</v>
      </c>
      <c r="C111" s="11" t="s">
        <v>297</v>
      </c>
      <c r="D111" s="10" t="s">
        <v>935</v>
      </c>
      <c r="E111" s="8" t="s">
        <v>936</v>
      </c>
      <c r="F111" s="8" t="s">
        <v>937</v>
      </c>
      <c r="G111" s="10" t="s">
        <v>29</v>
      </c>
      <c r="H111" s="8" t="s">
        <v>605</v>
      </c>
      <c r="I111" s="10" t="s">
        <v>819</v>
      </c>
      <c r="J111" s="8" t="s">
        <v>805</v>
      </c>
      <c r="K111" s="8" t="s">
        <v>29</v>
      </c>
      <c r="L111" s="8" t="s">
        <v>29</v>
      </c>
      <c r="M111" s="10" t="s">
        <v>29</v>
      </c>
      <c r="N111" s="8" t="s">
        <v>29</v>
      </c>
      <c r="O111" s="10" t="s">
        <v>18</v>
      </c>
      <c r="P111" s="8" t="s">
        <v>938</v>
      </c>
      <c r="Q111" s="10" t="s">
        <v>776</v>
      </c>
      <c r="R111" s="10" t="s">
        <v>939</v>
      </c>
      <c r="S111" s="8" t="s">
        <v>171</v>
      </c>
      <c r="T111" s="10" t="s">
        <v>808</v>
      </c>
      <c r="U111" s="10" t="s">
        <v>29</v>
      </c>
    </row>
    <row r="112" spans="1:21" s="10" customFormat="1" x14ac:dyDescent="0.25">
      <c r="A112" s="10" t="s">
        <v>940</v>
      </c>
      <c r="B112" s="10" t="s">
        <v>801</v>
      </c>
      <c r="C112" s="11" t="s">
        <v>297</v>
      </c>
      <c r="D112" s="10" t="s">
        <v>941</v>
      </c>
      <c r="E112" s="8" t="s">
        <v>942</v>
      </c>
      <c r="F112" s="8" t="s">
        <v>943</v>
      </c>
      <c r="G112" s="10" t="s">
        <v>29</v>
      </c>
      <c r="H112" s="8" t="s">
        <v>605</v>
      </c>
      <c r="I112" s="10" t="s">
        <v>944</v>
      </c>
      <c r="J112" s="8" t="s">
        <v>805</v>
      </c>
      <c r="K112" s="8" t="s">
        <v>29</v>
      </c>
      <c r="L112" s="8" t="s">
        <v>29</v>
      </c>
      <c r="M112" s="10" t="s">
        <v>29</v>
      </c>
      <c r="N112" s="8" t="s">
        <v>29</v>
      </c>
      <c r="O112" s="10" t="s">
        <v>18</v>
      </c>
      <c r="P112" s="8" t="s">
        <v>945</v>
      </c>
      <c r="Q112" s="10" t="s">
        <v>776</v>
      </c>
      <c r="R112" s="10" t="s">
        <v>946</v>
      </c>
      <c r="S112" s="8" t="s">
        <v>171</v>
      </c>
      <c r="T112" s="10" t="s">
        <v>808</v>
      </c>
      <c r="U112" s="10" t="s">
        <v>29</v>
      </c>
    </row>
    <row r="113" spans="1:21" s="10" customFormat="1" x14ac:dyDescent="0.25">
      <c r="A113" s="10" t="s">
        <v>947</v>
      </c>
      <c r="B113" s="10" t="s">
        <v>801</v>
      </c>
      <c r="C113" s="11" t="s">
        <v>297</v>
      </c>
      <c r="D113" s="10" t="s">
        <v>948</v>
      </c>
      <c r="E113" s="8" t="s">
        <v>949</v>
      </c>
      <c r="F113" s="8" t="s">
        <v>950</v>
      </c>
      <c r="G113" s="10" t="s">
        <v>29</v>
      </c>
      <c r="H113" s="8" t="s">
        <v>605</v>
      </c>
      <c r="I113" s="10" t="s">
        <v>951</v>
      </c>
      <c r="J113" s="8" t="s">
        <v>805</v>
      </c>
      <c r="K113" s="8" t="s">
        <v>29</v>
      </c>
      <c r="L113" s="8" t="s">
        <v>29</v>
      </c>
      <c r="M113" s="10" t="s">
        <v>29</v>
      </c>
      <c r="N113" s="8" t="s">
        <v>29</v>
      </c>
      <c r="O113" s="10" t="s">
        <v>18</v>
      </c>
      <c r="P113" s="8" t="s">
        <v>952</v>
      </c>
      <c r="Q113" s="10" t="s">
        <v>776</v>
      </c>
      <c r="R113" s="10" t="s">
        <v>953</v>
      </c>
      <c r="S113" s="8" t="s">
        <v>171</v>
      </c>
      <c r="T113" s="10" t="s">
        <v>808</v>
      </c>
      <c r="U113" s="10" t="s">
        <v>29</v>
      </c>
    </row>
    <row r="114" spans="1:21" s="10" customFormat="1" x14ac:dyDescent="0.25">
      <c r="A114" s="10" t="s">
        <v>954</v>
      </c>
      <c r="B114" s="10" t="s">
        <v>801</v>
      </c>
      <c r="C114" s="10" t="s">
        <v>166</v>
      </c>
      <c r="D114" s="10" t="s">
        <v>955</v>
      </c>
      <c r="E114" s="8" t="s">
        <v>956</v>
      </c>
      <c r="F114" s="8" t="s">
        <v>957</v>
      </c>
      <c r="G114" s="10" t="s">
        <v>29</v>
      </c>
      <c r="H114" s="8" t="s">
        <v>674</v>
      </c>
      <c r="I114" s="10" t="s">
        <v>545</v>
      </c>
      <c r="J114" s="8" t="s">
        <v>805</v>
      </c>
      <c r="K114" s="8" t="s">
        <v>29</v>
      </c>
      <c r="L114" s="8" t="s">
        <v>29</v>
      </c>
      <c r="M114" s="10" t="s">
        <v>29</v>
      </c>
      <c r="N114" s="8" t="s">
        <v>958</v>
      </c>
      <c r="O114" s="10" t="s">
        <v>18</v>
      </c>
      <c r="P114" s="8" t="s">
        <v>959</v>
      </c>
      <c r="Q114" s="10" t="s">
        <v>174</v>
      </c>
      <c r="R114" s="10" t="s">
        <v>677</v>
      </c>
      <c r="S114" s="8" t="s">
        <v>171</v>
      </c>
      <c r="T114" s="10" t="s">
        <v>808</v>
      </c>
      <c r="U114" s="10" t="s">
        <v>29</v>
      </c>
    </row>
    <row r="115" spans="1:21" s="10" customFormat="1" x14ac:dyDescent="0.25">
      <c r="A115" s="10" t="s">
        <v>960</v>
      </c>
      <c r="B115" s="10" t="s">
        <v>801</v>
      </c>
      <c r="C115" s="11" t="s">
        <v>297</v>
      </c>
      <c r="D115" s="10" t="s">
        <v>961</v>
      </c>
      <c r="E115" s="8" t="s">
        <v>962</v>
      </c>
      <c r="F115" s="8" t="s">
        <v>963</v>
      </c>
      <c r="G115" s="10" t="s">
        <v>29</v>
      </c>
      <c r="H115" s="8" t="s">
        <v>605</v>
      </c>
      <c r="I115" s="10" t="s">
        <v>964</v>
      </c>
      <c r="J115" s="8" t="s">
        <v>805</v>
      </c>
      <c r="K115" s="8" t="s">
        <v>29</v>
      </c>
      <c r="L115" s="8" t="s">
        <v>29</v>
      </c>
      <c r="M115" s="10" t="s">
        <v>29</v>
      </c>
      <c r="N115" s="8" t="s">
        <v>29</v>
      </c>
      <c r="O115" s="10" t="s">
        <v>18</v>
      </c>
      <c r="P115" s="8" t="s">
        <v>965</v>
      </c>
      <c r="Q115" s="10" t="s">
        <v>776</v>
      </c>
      <c r="R115" s="10" t="s">
        <v>357</v>
      </c>
      <c r="S115" s="8" t="s">
        <v>171</v>
      </c>
      <c r="T115" s="10" t="s">
        <v>808</v>
      </c>
      <c r="U115" s="10" t="s">
        <v>29</v>
      </c>
    </row>
    <row r="116" spans="1:21" s="10" customFormat="1" x14ac:dyDescent="0.25">
      <c r="A116" s="10" t="s">
        <v>966</v>
      </c>
      <c r="B116" s="10" t="s">
        <v>801</v>
      </c>
      <c r="C116" s="11" t="s">
        <v>297</v>
      </c>
      <c r="D116" s="10" t="s">
        <v>967</v>
      </c>
      <c r="E116" s="8" t="s">
        <v>968</v>
      </c>
      <c r="F116" s="8" t="s">
        <v>840</v>
      </c>
      <c r="G116" s="10" t="s">
        <v>29</v>
      </c>
      <c r="H116" s="8" t="s">
        <v>674</v>
      </c>
      <c r="I116" s="10" t="s">
        <v>964</v>
      </c>
      <c r="J116" s="8" t="s">
        <v>805</v>
      </c>
      <c r="K116" s="8" t="s">
        <v>29</v>
      </c>
      <c r="L116" s="8" t="s">
        <v>29</v>
      </c>
      <c r="M116" s="10" t="s">
        <v>29</v>
      </c>
      <c r="N116" s="8" t="s">
        <v>29</v>
      </c>
      <c r="O116" s="10" t="s">
        <v>18</v>
      </c>
      <c r="P116" s="8" t="s">
        <v>969</v>
      </c>
      <c r="Q116" s="10" t="s">
        <v>776</v>
      </c>
      <c r="R116" s="10" t="s">
        <v>677</v>
      </c>
      <c r="S116" s="8" t="s">
        <v>171</v>
      </c>
      <c r="T116" s="10" t="s">
        <v>808</v>
      </c>
      <c r="U116" s="10" t="s">
        <v>29</v>
      </c>
    </row>
    <row r="117" spans="1:21" s="10" customFormat="1" x14ac:dyDescent="0.25">
      <c r="A117" s="10" t="s">
        <v>970</v>
      </c>
      <c r="B117" s="10" t="s">
        <v>801</v>
      </c>
      <c r="C117" s="10" t="s">
        <v>166</v>
      </c>
      <c r="D117" s="10" t="s">
        <v>971</v>
      </c>
      <c r="E117" s="8" t="s">
        <v>972</v>
      </c>
      <c r="F117" s="8" t="s">
        <v>812</v>
      </c>
      <c r="G117" s="10" t="s">
        <v>29</v>
      </c>
      <c r="H117" s="8" t="s">
        <v>605</v>
      </c>
      <c r="I117" s="10" t="s">
        <v>964</v>
      </c>
      <c r="J117" s="8" t="s">
        <v>973</v>
      </c>
      <c r="K117" s="8" t="s">
        <v>29</v>
      </c>
      <c r="L117" s="8" t="s">
        <v>29</v>
      </c>
      <c r="M117" s="10" t="s">
        <v>29</v>
      </c>
      <c r="N117" s="8" t="s">
        <v>29</v>
      </c>
      <c r="O117" s="10" t="s">
        <v>18</v>
      </c>
      <c r="P117" s="8" t="s">
        <v>974</v>
      </c>
      <c r="Q117" s="10" t="s">
        <v>174</v>
      </c>
      <c r="R117" s="10" t="s">
        <v>975</v>
      </c>
      <c r="S117" s="8" t="s">
        <v>171</v>
      </c>
      <c r="T117" s="10" t="s">
        <v>808</v>
      </c>
      <c r="U117" s="10" t="s">
        <v>29</v>
      </c>
    </row>
    <row r="118" spans="1:21" s="10" customFormat="1" x14ac:dyDescent="0.25">
      <c r="A118" s="10" t="s">
        <v>976</v>
      </c>
      <c r="B118" s="10" t="s">
        <v>801</v>
      </c>
      <c r="C118" s="11" t="s">
        <v>297</v>
      </c>
      <c r="D118" s="10" t="s">
        <v>977</v>
      </c>
      <c r="E118" s="8" t="s">
        <v>978</v>
      </c>
      <c r="F118" s="8" t="s">
        <v>979</v>
      </c>
      <c r="G118" s="10" t="s">
        <v>29</v>
      </c>
      <c r="H118" s="8" t="s">
        <v>605</v>
      </c>
      <c r="I118" s="10" t="s">
        <v>824</v>
      </c>
      <c r="J118" s="8" t="s">
        <v>805</v>
      </c>
      <c r="K118" s="8" t="s">
        <v>29</v>
      </c>
      <c r="L118" s="8" t="s">
        <v>29</v>
      </c>
      <c r="M118" s="10" t="s">
        <v>29</v>
      </c>
      <c r="N118" s="8" t="s">
        <v>980</v>
      </c>
      <c r="O118" s="10" t="s">
        <v>18</v>
      </c>
      <c r="P118" s="8" t="s">
        <v>981</v>
      </c>
      <c r="Q118" s="10" t="s">
        <v>190</v>
      </c>
      <c r="R118" s="10" t="s">
        <v>608</v>
      </c>
      <c r="S118" s="8" t="s">
        <v>171</v>
      </c>
      <c r="T118" s="10" t="s">
        <v>808</v>
      </c>
      <c r="U118" s="10" t="s">
        <v>29</v>
      </c>
    </row>
    <row r="119" spans="1:21" s="10" customFormat="1" x14ac:dyDescent="0.25">
      <c r="A119" s="10" t="s">
        <v>982</v>
      </c>
      <c r="B119" s="10" t="s">
        <v>801</v>
      </c>
      <c r="C119" s="10" t="s">
        <v>166</v>
      </c>
      <c r="D119" s="10" t="s">
        <v>983</v>
      </c>
      <c r="E119" s="8" t="s">
        <v>984</v>
      </c>
      <c r="F119" s="8" t="s">
        <v>985</v>
      </c>
      <c r="G119" s="10" t="s">
        <v>29</v>
      </c>
      <c r="H119" s="8" t="s">
        <v>605</v>
      </c>
      <c r="I119" s="10" t="s">
        <v>545</v>
      </c>
      <c r="J119" s="8" t="s">
        <v>805</v>
      </c>
      <c r="K119" s="8" t="s">
        <v>29</v>
      </c>
      <c r="L119" s="8" t="s">
        <v>29</v>
      </c>
      <c r="M119" s="10" t="s">
        <v>29</v>
      </c>
      <c r="N119" s="8" t="s">
        <v>728</v>
      </c>
      <c r="O119" s="10" t="s">
        <v>18</v>
      </c>
      <c r="P119" s="8" t="s">
        <v>986</v>
      </c>
      <c r="Q119" s="10" t="s">
        <v>174</v>
      </c>
      <c r="R119" s="10" t="s">
        <v>357</v>
      </c>
      <c r="S119" s="8" t="s">
        <v>730</v>
      </c>
      <c r="T119" s="10" t="s">
        <v>808</v>
      </c>
      <c r="U119" s="10" t="s">
        <v>29</v>
      </c>
    </row>
    <row r="120" spans="1:21" s="10" customFormat="1" x14ac:dyDescent="0.25">
      <c r="A120" s="10" t="s">
        <v>987</v>
      </c>
      <c r="B120" s="10" t="s">
        <v>801</v>
      </c>
      <c r="C120" s="10" t="s">
        <v>166</v>
      </c>
      <c r="D120" s="10" t="s">
        <v>988</v>
      </c>
      <c r="E120" s="8" t="s">
        <v>989</v>
      </c>
      <c r="F120" s="8" t="s">
        <v>990</v>
      </c>
      <c r="G120" s="10" t="s">
        <v>29</v>
      </c>
      <c r="H120" s="8" t="s">
        <v>991</v>
      </c>
      <c r="I120" s="10" t="s">
        <v>490</v>
      </c>
      <c r="J120" s="8" t="s">
        <v>992</v>
      </c>
      <c r="K120" s="8" t="s">
        <v>29</v>
      </c>
      <c r="L120" s="8" t="s">
        <v>29</v>
      </c>
      <c r="M120" s="10" t="s">
        <v>29</v>
      </c>
      <c r="N120" s="8" t="s">
        <v>993</v>
      </c>
      <c r="O120" s="10" t="s">
        <v>18</v>
      </c>
      <c r="P120" s="8" t="s">
        <v>994</v>
      </c>
      <c r="Q120" s="10" t="s">
        <v>174</v>
      </c>
      <c r="R120" s="10" t="s">
        <v>357</v>
      </c>
      <c r="S120" s="8" t="s">
        <v>995</v>
      </c>
      <c r="T120" s="10" t="s">
        <v>808</v>
      </c>
      <c r="U120" s="10" t="s">
        <v>29</v>
      </c>
    </row>
    <row r="121" spans="1:21" s="10" customFormat="1" x14ac:dyDescent="0.25">
      <c r="A121" s="10" t="s">
        <v>996</v>
      </c>
      <c r="B121" s="10" t="s">
        <v>801</v>
      </c>
      <c r="C121" s="11" t="s">
        <v>297</v>
      </c>
      <c r="D121" s="10" t="s">
        <v>997</v>
      </c>
      <c r="E121" s="8" t="s">
        <v>998</v>
      </c>
      <c r="F121" s="8" t="s">
        <v>999</v>
      </c>
      <c r="G121" s="10" t="s">
        <v>29</v>
      </c>
      <c r="H121" s="8" t="s">
        <v>1000</v>
      </c>
      <c r="I121" s="10" t="s">
        <v>545</v>
      </c>
      <c r="J121" s="8" t="s">
        <v>992</v>
      </c>
      <c r="K121" s="8" t="s">
        <v>29</v>
      </c>
      <c r="L121" s="8" t="s">
        <v>29</v>
      </c>
      <c r="M121" s="10" t="s">
        <v>29</v>
      </c>
      <c r="N121" s="8" t="s">
        <v>1001</v>
      </c>
      <c r="O121" s="10" t="s">
        <v>18</v>
      </c>
      <c r="P121" s="8" t="s">
        <v>1002</v>
      </c>
      <c r="Q121" s="10" t="s">
        <v>190</v>
      </c>
      <c r="R121" s="10" t="s">
        <v>608</v>
      </c>
      <c r="S121" s="8" t="s">
        <v>995</v>
      </c>
      <c r="T121" s="10" t="s">
        <v>808</v>
      </c>
      <c r="U121" s="10" t="s">
        <v>29</v>
      </c>
    </row>
    <row r="122" spans="1:21" s="10" customFormat="1" x14ac:dyDescent="0.25">
      <c r="A122" s="10" t="s">
        <v>1003</v>
      </c>
      <c r="B122" s="10" t="s">
        <v>801</v>
      </c>
      <c r="C122" s="11" t="s">
        <v>297</v>
      </c>
      <c r="D122" s="10" t="s">
        <v>1004</v>
      </c>
      <c r="E122" s="8" t="s">
        <v>1005</v>
      </c>
      <c r="F122" s="8" t="s">
        <v>1006</v>
      </c>
      <c r="G122" s="10" t="s">
        <v>29</v>
      </c>
      <c r="H122" s="8" t="s">
        <v>1007</v>
      </c>
      <c r="I122" s="10" t="s">
        <v>490</v>
      </c>
      <c r="J122" s="8" t="s">
        <v>992</v>
      </c>
      <c r="K122" s="8" t="s">
        <v>29</v>
      </c>
      <c r="L122" s="8" t="s">
        <v>29</v>
      </c>
      <c r="M122" s="10" t="s">
        <v>29</v>
      </c>
      <c r="N122" s="8" t="s">
        <v>29</v>
      </c>
      <c r="O122" s="10" t="s">
        <v>18</v>
      </c>
      <c r="P122" s="8" t="s">
        <v>1008</v>
      </c>
      <c r="Q122" s="10" t="s">
        <v>190</v>
      </c>
      <c r="R122" s="10" t="s">
        <v>608</v>
      </c>
      <c r="S122" s="8" t="s">
        <v>995</v>
      </c>
      <c r="T122" s="10" t="s">
        <v>808</v>
      </c>
      <c r="U122" s="10" t="s">
        <v>29</v>
      </c>
    </row>
    <row r="123" spans="1:21" s="10" customFormat="1" x14ac:dyDescent="0.25">
      <c r="A123" s="10" t="s">
        <v>1009</v>
      </c>
      <c r="B123" s="10" t="s">
        <v>801</v>
      </c>
      <c r="C123" s="11" t="s">
        <v>297</v>
      </c>
      <c r="D123" s="10" t="s">
        <v>1010</v>
      </c>
      <c r="E123" s="8" t="s">
        <v>1011</v>
      </c>
      <c r="F123" s="8" t="s">
        <v>1012</v>
      </c>
      <c r="G123" s="10" t="s">
        <v>29</v>
      </c>
      <c r="H123" s="8" t="s">
        <v>605</v>
      </c>
      <c r="I123" s="10" t="s">
        <v>545</v>
      </c>
      <c r="J123" s="8" t="s">
        <v>992</v>
      </c>
      <c r="K123" s="8" t="s">
        <v>29</v>
      </c>
      <c r="L123" s="8" t="s">
        <v>29</v>
      </c>
      <c r="M123" s="10" t="s">
        <v>29</v>
      </c>
      <c r="N123" s="8" t="s">
        <v>29</v>
      </c>
      <c r="O123" s="10" t="s">
        <v>18</v>
      </c>
      <c r="P123" s="8" t="s">
        <v>1013</v>
      </c>
      <c r="Q123" s="10" t="s">
        <v>174</v>
      </c>
      <c r="R123" s="10" t="s">
        <v>640</v>
      </c>
      <c r="S123" s="8" t="s">
        <v>1014</v>
      </c>
      <c r="T123" s="10" t="s">
        <v>808</v>
      </c>
      <c r="U123" s="10" t="s">
        <v>29</v>
      </c>
    </row>
    <row r="124" spans="1:21" s="10" customFormat="1" x14ac:dyDescent="0.25">
      <c r="A124" s="10" t="s">
        <v>1015</v>
      </c>
      <c r="B124" s="10" t="s">
        <v>801</v>
      </c>
      <c r="C124" s="10" t="s">
        <v>166</v>
      </c>
      <c r="D124" s="10" t="s">
        <v>1016</v>
      </c>
      <c r="E124" s="8" t="s">
        <v>1017</v>
      </c>
      <c r="F124" s="8" t="s">
        <v>1018</v>
      </c>
      <c r="G124" s="10" t="s">
        <v>29</v>
      </c>
      <c r="H124" s="8" t="s">
        <v>605</v>
      </c>
      <c r="I124" s="10" t="s">
        <v>824</v>
      </c>
      <c r="J124" s="8" t="s">
        <v>805</v>
      </c>
      <c r="K124" s="8" t="s">
        <v>29</v>
      </c>
      <c r="L124" s="8" t="s">
        <v>29</v>
      </c>
      <c r="M124" s="10" t="s">
        <v>29</v>
      </c>
      <c r="N124" s="8" t="s">
        <v>1019</v>
      </c>
      <c r="O124" s="10" t="s">
        <v>18</v>
      </c>
      <c r="P124" s="8" t="s">
        <v>1020</v>
      </c>
      <c r="Q124" s="10" t="s">
        <v>190</v>
      </c>
      <c r="R124" s="10" t="s">
        <v>608</v>
      </c>
      <c r="S124" s="8" t="s">
        <v>171</v>
      </c>
      <c r="T124" s="10" t="s">
        <v>808</v>
      </c>
      <c r="U124" s="10" t="s">
        <v>29</v>
      </c>
    </row>
    <row r="125" spans="1:21" s="10" customFormat="1" x14ac:dyDescent="0.25">
      <c r="A125" s="10" t="s">
        <v>1021</v>
      </c>
      <c r="B125" s="10" t="s">
        <v>801</v>
      </c>
      <c r="C125" s="10" t="s">
        <v>166</v>
      </c>
      <c r="D125" s="10" t="s">
        <v>1022</v>
      </c>
      <c r="E125" s="8" t="s">
        <v>1023</v>
      </c>
      <c r="F125" s="8" t="s">
        <v>1024</v>
      </c>
      <c r="G125" s="10" t="s">
        <v>29</v>
      </c>
      <c r="H125" s="8" t="s">
        <v>605</v>
      </c>
      <c r="I125" s="10" t="s">
        <v>824</v>
      </c>
      <c r="J125" s="8" t="s">
        <v>805</v>
      </c>
      <c r="K125" s="8" t="s">
        <v>29</v>
      </c>
      <c r="L125" s="8" t="s">
        <v>29</v>
      </c>
      <c r="M125" s="10" t="s">
        <v>29</v>
      </c>
      <c r="N125" s="8" t="s">
        <v>29</v>
      </c>
      <c r="O125" s="10" t="s">
        <v>18</v>
      </c>
      <c r="P125" s="8" t="s">
        <v>1025</v>
      </c>
      <c r="Q125" s="10" t="s">
        <v>190</v>
      </c>
      <c r="R125" s="10" t="s">
        <v>608</v>
      </c>
      <c r="S125" s="8" t="s">
        <v>171</v>
      </c>
      <c r="T125" s="10" t="s">
        <v>808</v>
      </c>
      <c r="U125" s="10" t="s">
        <v>29</v>
      </c>
    </row>
    <row r="126" spans="1:21" s="10" customFormat="1" x14ac:dyDescent="0.25">
      <c r="A126" s="10" t="s">
        <v>1026</v>
      </c>
      <c r="B126" s="10" t="s">
        <v>801</v>
      </c>
      <c r="C126" s="10" t="s">
        <v>166</v>
      </c>
      <c r="D126" s="10" t="s">
        <v>1027</v>
      </c>
      <c r="E126" s="8" t="s">
        <v>1028</v>
      </c>
      <c r="F126" s="8" t="s">
        <v>1029</v>
      </c>
      <c r="G126" s="10" t="s">
        <v>29</v>
      </c>
      <c r="H126" s="8" t="s">
        <v>171</v>
      </c>
      <c r="I126" s="10" t="s">
        <v>29</v>
      </c>
      <c r="J126" s="8" t="s">
        <v>171</v>
      </c>
      <c r="K126" s="8" t="s">
        <v>29</v>
      </c>
      <c r="L126" s="8" t="s">
        <v>29</v>
      </c>
      <c r="M126" s="10" t="s">
        <v>29</v>
      </c>
      <c r="N126" s="8" t="s">
        <v>29</v>
      </c>
      <c r="O126" s="10" t="s">
        <v>18</v>
      </c>
      <c r="P126" s="8" t="s">
        <v>1030</v>
      </c>
      <c r="Q126" s="10" t="s">
        <v>190</v>
      </c>
      <c r="R126" s="10" t="s">
        <v>640</v>
      </c>
      <c r="S126" s="8" t="s">
        <v>171</v>
      </c>
      <c r="T126" s="10" t="s">
        <v>808</v>
      </c>
      <c r="U126" s="10" t="s">
        <v>29</v>
      </c>
    </row>
    <row r="127" spans="1:21" s="10" customFormat="1" x14ac:dyDescent="0.25">
      <c r="A127" s="10" t="s">
        <v>1031</v>
      </c>
      <c r="B127" s="10" t="s">
        <v>801</v>
      </c>
      <c r="C127" s="10" t="s">
        <v>166</v>
      </c>
      <c r="D127" s="10" t="s">
        <v>1032</v>
      </c>
      <c r="E127" s="8" t="s">
        <v>1033</v>
      </c>
      <c r="F127" s="8" t="s">
        <v>1034</v>
      </c>
      <c r="G127" s="10" t="s">
        <v>29</v>
      </c>
      <c r="H127" s="8" t="s">
        <v>674</v>
      </c>
      <c r="I127" s="10" t="s">
        <v>545</v>
      </c>
      <c r="J127" s="8" t="s">
        <v>805</v>
      </c>
      <c r="K127" s="8" t="s">
        <v>29</v>
      </c>
      <c r="L127" s="8" t="s">
        <v>29</v>
      </c>
      <c r="M127" s="10" t="s">
        <v>29</v>
      </c>
      <c r="N127" s="8" t="s">
        <v>29</v>
      </c>
      <c r="O127" s="10" t="s">
        <v>18</v>
      </c>
      <c r="P127" s="8" t="s">
        <v>1035</v>
      </c>
      <c r="Q127" s="10" t="s">
        <v>174</v>
      </c>
      <c r="R127" s="10" t="s">
        <v>677</v>
      </c>
      <c r="S127" s="8" t="s">
        <v>171</v>
      </c>
      <c r="T127" s="10" t="s">
        <v>808</v>
      </c>
      <c r="U127" s="10" t="s">
        <v>29</v>
      </c>
    </row>
    <row r="128" spans="1:21" s="10" customFormat="1" x14ac:dyDescent="0.25">
      <c r="A128" s="10" t="s">
        <v>1036</v>
      </c>
      <c r="B128" s="10" t="s">
        <v>801</v>
      </c>
      <c r="C128" s="10" t="s">
        <v>166</v>
      </c>
      <c r="D128" s="10" t="s">
        <v>1037</v>
      </c>
      <c r="E128" s="8" t="s">
        <v>1038</v>
      </c>
      <c r="F128" s="8" t="s">
        <v>1039</v>
      </c>
      <c r="G128" s="10" t="s">
        <v>29</v>
      </c>
      <c r="H128" s="8" t="s">
        <v>605</v>
      </c>
      <c r="I128" s="10" t="s">
        <v>545</v>
      </c>
      <c r="J128" s="8" t="s">
        <v>805</v>
      </c>
      <c r="K128" s="8" t="s">
        <v>29</v>
      </c>
      <c r="L128" s="8" t="s">
        <v>29</v>
      </c>
      <c r="M128" s="10" t="s">
        <v>29</v>
      </c>
      <c r="N128" s="8" t="s">
        <v>29</v>
      </c>
      <c r="O128" s="10" t="s">
        <v>18</v>
      </c>
      <c r="P128" s="8" t="s">
        <v>1040</v>
      </c>
      <c r="Q128" s="10" t="s">
        <v>174</v>
      </c>
      <c r="R128" s="10" t="s">
        <v>608</v>
      </c>
      <c r="S128" s="8" t="s">
        <v>171</v>
      </c>
      <c r="T128" s="10" t="s">
        <v>808</v>
      </c>
      <c r="U128" s="10" t="s">
        <v>29</v>
      </c>
    </row>
    <row r="129" spans="1:21" s="10" customFormat="1" x14ac:dyDescent="0.25">
      <c r="A129" s="10" t="s">
        <v>1041</v>
      </c>
      <c r="B129" s="10" t="s">
        <v>801</v>
      </c>
      <c r="C129" s="11" t="s">
        <v>297</v>
      </c>
      <c r="D129" s="10" t="s">
        <v>1042</v>
      </c>
      <c r="E129" s="8" t="s">
        <v>1043</v>
      </c>
      <c r="F129" s="8" t="s">
        <v>1044</v>
      </c>
      <c r="G129" s="10" t="s">
        <v>29</v>
      </c>
      <c r="H129" s="8" t="s">
        <v>1045</v>
      </c>
      <c r="I129" s="10" t="s">
        <v>1046</v>
      </c>
      <c r="J129" s="8" t="s">
        <v>805</v>
      </c>
      <c r="K129" s="8" t="s">
        <v>29</v>
      </c>
      <c r="L129" s="8" t="s">
        <v>29</v>
      </c>
      <c r="M129" s="10" t="s">
        <v>29</v>
      </c>
      <c r="N129" s="8" t="s">
        <v>1047</v>
      </c>
      <c r="O129" s="10" t="s">
        <v>18</v>
      </c>
      <c r="P129" s="8" t="s">
        <v>1048</v>
      </c>
      <c r="Q129" s="10" t="s">
        <v>190</v>
      </c>
      <c r="R129" s="10" t="s">
        <v>357</v>
      </c>
      <c r="S129" s="8" t="s">
        <v>1049</v>
      </c>
      <c r="T129" s="10" t="s">
        <v>808</v>
      </c>
      <c r="U129" s="10" t="s">
        <v>29</v>
      </c>
    </row>
    <row r="130" spans="1:21" s="10" customFormat="1" x14ac:dyDescent="0.25">
      <c r="A130" s="10" t="s">
        <v>1050</v>
      </c>
      <c r="B130" s="10" t="s">
        <v>801</v>
      </c>
      <c r="C130" s="11" t="s">
        <v>297</v>
      </c>
      <c r="D130" s="10" t="s">
        <v>1051</v>
      </c>
      <c r="E130" s="8" t="s">
        <v>1052</v>
      </c>
      <c r="F130" s="8" t="s">
        <v>1053</v>
      </c>
      <c r="G130" s="10" t="s">
        <v>29</v>
      </c>
      <c r="H130" s="8" t="s">
        <v>1054</v>
      </c>
      <c r="I130" s="10" t="s">
        <v>1055</v>
      </c>
      <c r="J130" s="8" t="s">
        <v>805</v>
      </c>
      <c r="K130" s="8" t="s">
        <v>29</v>
      </c>
      <c r="L130" s="8" t="s">
        <v>29</v>
      </c>
      <c r="M130" s="10" t="s">
        <v>29</v>
      </c>
      <c r="N130" s="8" t="s">
        <v>29</v>
      </c>
      <c r="O130" s="10" t="s">
        <v>18</v>
      </c>
      <c r="P130" s="8" t="s">
        <v>1056</v>
      </c>
      <c r="Q130" s="10" t="s">
        <v>190</v>
      </c>
      <c r="R130" s="10" t="s">
        <v>357</v>
      </c>
      <c r="S130" s="8" t="s">
        <v>1049</v>
      </c>
      <c r="T130" s="10" t="s">
        <v>808</v>
      </c>
      <c r="U130" s="10" t="s">
        <v>29</v>
      </c>
    </row>
    <row r="131" spans="1:21" s="10" customFormat="1" x14ac:dyDescent="0.25">
      <c r="A131" s="10" t="s">
        <v>1057</v>
      </c>
      <c r="B131" s="10" t="s">
        <v>801</v>
      </c>
      <c r="C131" s="11" t="s">
        <v>297</v>
      </c>
      <c r="D131" s="10" t="s">
        <v>1058</v>
      </c>
      <c r="E131" s="8" t="s">
        <v>1059</v>
      </c>
      <c r="F131" s="8" t="s">
        <v>1060</v>
      </c>
      <c r="G131" s="10" t="s">
        <v>29</v>
      </c>
      <c r="H131" s="8" t="s">
        <v>1061</v>
      </c>
      <c r="I131" s="10" t="s">
        <v>545</v>
      </c>
      <c r="J131" s="8" t="s">
        <v>805</v>
      </c>
      <c r="K131" s="8" t="s">
        <v>29</v>
      </c>
      <c r="L131" s="8" t="s">
        <v>29</v>
      </c>
      <c r="M131" s="10" t="s">
        <v>29</v>
      </c>
      <c r="N131" s="8" t="s">
        <v>29</v>
      </c>
      <c r="O131" s="10" t="s">
        <v>18</v>
      </c>
      <c r="P131" s="8" t="s">
        <v>1062</v>
      </c>
      <c r="Q131" s="10" t="s">
        <v>190</v>
      </c>
      <c r="R131" s="10" t="s">
        <v>1061</v>
      </c>
      <c r="S131" s="8" t="s">
        <v>171</v>
      </c>
      <c r="T131" s="10" t="s">
        <v>808</v>
      </c>
      <c r="U131" s="10" t="s">
        <v>29</v>
      </c>
    </row>
    <row r="132" spans="1:21" s="10" customFormat="1" x14ac:dyDescent="0.25">
      <c r="A132" s="10" t="s">
        <v>1063</v>
      </c>
      <c r="B132" s="10" t="s">
        <v>801</v>
      </c>
      <c r="C132" s="11" t="s">
        <v>297</v>
      </c>
      <c r="D132" s="10" t="s">
        <v>1064</v>
      </c>
      <c r="E132" s="8" t="s">
        <v>1065</v>
      </c>
      <c r="F132" s="8" t="s">
        <v>1066</v>
      </c>
      <c r="G132" s="10" t="s">
        <v>29</v>
      </c>
      <c r="H132" s="8" t="s">
        <v>605</v>
      </c>
      <c r="I132" s="10" t="s">
        <v>824</v>
      </c>
      <c r="J132" s="8" t="s">
        <v>805</v>
      </c>
      <c r="K132" s="8" t="s">
        <v>29</v>
      </c>
      <c r="L132" s="8" t="s">
        <v>29</v>
      </c>
      <c r="M132" s="10" t="s">
        <v>29</v>
      </c>
      <c r="N132" s="8" t="s">
        <v>29</v>
      </c>
      <c r="O132" s="10" t="s">
        <v>18</v>
      </c>
      <c r="P132" s="8" t="s">
        <v>1067</v>
      </c>
      <c r="Q132" s="10" t="s">
        <v>190</v>
      </c>
      <c r="R132" s="10" t="s">
        <v>608</v>
      </c>
      <c r="S132" s="8" t="s">
        <v>171</v>
      </c>
      <c r="T132" s="10" t="s">
        <v>808</v>
      </c>
      <c r="U132" s="10" t="s">
        <v>29</v>
      </c>
    </row>
    <row r="133" spans="1:21" s="10" customFormat="1" x14ac:dyDescent="0.25">
      <c r="A133" s="10" t="s">
        <v>1068</v>
      </c>
      <c r="B133" s="10" t="s">
        <v>1069</v>
      </c>
      <c r="C133" s="11" t="s">
        <v>297</v>
      </c>
      <c r="D133" s="10" t="s">
        <v>1070</v>
      </c>
      <c r="E133" s="8" t="s">
        <v>1071</v>
      </c>
      <c r="F133" s="8" t="s">
        <v>1072</v>
      </c>
      <c r="G133" s="10" t="s">
        <v>29</v>
      </c>
      <c r="H133" s="8" t="s">
        <v>605</v>
      </c>
      <c r="I133" s="10" t="s">
        <v>1073</v>
      </c>
      <c r="J133" s="8" t="s">
        <v>1074</v>
      </c>
      <c r="K133" s="8" t="s">
        <v>29</v>
      </c>
      <c r="L133" s="8" t="s">
        <v>29</v>
      </c>
      <c r="M133" s="10" t="s">
        <v>29</v>
      </c>
      <c r="N133" s="8" t="s">
        <v>1075</v>
      </c>
      <c r="O133" s="10" t="s">
        <v>18</v>
      </c>
      <c r="P133" s="8" t="s">
        <v>1076</v>
      </c>
      <c r="Q133" s="10" t="s">
        <v>776</v>
      </c>
      <c r="R133" s="10" t="s">
        <v>848</v>
      </c>
      <c r="S133" s="8" t="s">
        <v>995</v>
      </c>
      <c r="T133" s="10" t="s">
        <v>1077</v>
      </c>
      <c r="U133" s="10" t="s">
        <v>29</v>
      </c>
    </row>
    <row r="134" spans="1:21" s="10" customFormat="1" x14ac:dyDescent="0.25">
      <c r="A134" s="10" t="s">
        <v>1078</v>
      </c>
      <c r="B134" s="10" t="s">
        <v>1069</v>
      </c>
      <c r="C134" s="11" t="s">
        <v>297</v>
      </c>
      <c r="D134" s="10" t="s">
        <v>1079</v>
      </c>
      <c r="E134" s="8" t="s">
        <v>1080</v>
      </c>
      <c r="F134" s="8" t="s">
        <v>1081</v>
      </c>
      <c r="G134" s="10" t="s">
        <v>29</v>
      </c>
      <c r="H134" s="8" t="s">
        <v>605</v>
      </c>
      <c r="I134" s="10" t="s">
        <v>1082</v>
      </c>
      <c r="J134" s="8" t="s">
        <v>1074</v>
      </c>
      <c r="K134" s="8" t="s">
        <v>29</v>
      </c>
      <c r="L134" s="8" t="s">
        <v>29</v>
      </c>
      <c r="M134" s="10" t="s">
        <v>29</v>
      </c>
      <c r="N134" s="8" t="s">
        <v>1083</v>
      </c>
      <c r="O134" s="10" t="s">
        <v>18</v>
      </c>
      <c r="P134" s="8" t="s">
        <v>1084</v>
      </c>
      <c r="Q134" s="10" t="s">
        <v>776</v>
      </c>
      <c r="R134" s="10" t="s">
        <v>848</v>
      </c>
      <c r="S134" s="8" t="s">
        <v>995</v>
      </c>
      <c r="T134" s="10" t="s">
        <v>1077</v>
      </c>
      <c r="U134" s="10" t="s">
        <v>29</v>
      </c>
    </row>
    <row r="135" spans="1:21" s="10" customFormat="1" x14ac:dyDescent="0.25">
      <c r="A135" s="10" t="s">
        <v>1085</v>
      </c>
      <c r="B135" s="10" t="s">
        <v>1069</v>
      </c>
      <c r="C135" s="10" t="s">
        <v>166</v>
      </c>
      <c r="D135" s="10" t="s">
        <v>1086</v>
      </c>
      <c r="E135" s="8" t="s">
        <v>1087</v>
      </c>
      <c r="F135" s="8" t="s">
        <v>1088</v>
      </c>
      <c r="G135" s="10" t="s">
        <v>29</v>
      </c>
      <c r="H135" s="8" t="s">
        <v>605</v>
      </c>
      <c r="I135" s="10" t="s">
        <v>1089</v>
      </c>
      <c r="J135" s="8" t="s">
        <v>1074</v>
      </c>
      <c r="K135" s="8" t="s">
        <v>29</v>
      </c>
      <c r="L135" s="8" t="s">
        <v>29</v>
      </c>
      <c r="M135" s="10" t="s">
        <v>29</v>
      </c>
      <c r="N135" s="8" t="s">
        <v>29</v>
      </c>
      <c r="O135" s="10" t="s">
        <v>18</v>
      </c>
      <c r="P135" s="8" t="s">
        <v>1090</v>
      </c>
      <c r="Q135" s="10" t="s">
        <v>174</v>
      </c>
      <c r="R135" s="10" t="s">
        <v>640</v>
      </c>
      <c r="S135" s="8" t="s">
        <v>995</v>
      </c>
      <c r="T135" s="10" t="s">
        <v>1077</v>
      </c>
      <c r="U135" s="10" t="s">
        <v>29</v>
      </c>
    </row>
    <row r="136" spans="1:21" s="10" customFormat="1" x14ac:dyDescent="0.25">
      <c r="A136" s="10" t="s">
        <v>1091</v>
      </c>
      <c r="B136" s="10" t="s">
        <v>1069</v>
      </c>
      <c r="C136" s="11" t="s">
        <v>297</v>
      </c>
      <c r="D136" s="10" t="s">
        <v>1092</v>
      </c>
      <c r="E136" s="8" t="s">
        <v>1093</v>
      </c>
      <c r="F136" s="8" t="s">
        <v>1094</v>
      </c>
      <c r="G136" s="10" t="s">
        <v>29</v>
      </c>
      <c r="H136" s="8" t="s">
        <v>605</v>
      </c>
      <c r="I136" s="10" t="s">
        <v>490</v>
      </c>
      <c r="J136" s="8" t="s">
        <v>1095</v>
      </c>
      <c r="K136" s="8" t="s">
        <v>29</v>
      </c>
      <c r="L136" s="8" t="s">
        <v>29</v>
      </c>
      <c r="M136" s="10" t="s">
        <v>29</v>
      </c>
      <c r="N136" s="8" t="s">
        <v>29</v>
      </c>
      <c r="O136" s="10" t="s">
        <v>18</v>
      </c>
      <c r="P136" s="8" t="s">
        <v>1096</v>
      </c>
      <c r="Q136" s="10" t="s">
        <v>776</v>
      </c>
      <c r="R136" s="10" t="s">
        <v>608</v>
      </c>
      <c r="S136" s="8" t="s">
        <v>995</v>
      </c>
      <c r="T136" s="10" t="s">
        <v>1077</v>
      </c>
      <c r="U136" s="10" t="s">
        <v>29</v>
      </c>
    </row>
    <row r="137" spans="1:21" s="10" customFormat="1" x14ac:dyDescent="0.25">
      <c r="A137" s="10" t="s">
        <v>1097</v>
      </c>
      <c r="B137" s="10" t="s">
        <v>1069</v>
      </c>
      <c r="C137" s="11" t="s">
        <v>297</v>
      </c>
      <c r="D137" s="10" t="s">
        <v>1098</v>
      </c>
      <c r="E137" s="8" t="s">
        <v>1099</v>
      </c>
      <c r="F137" s="8" t="s">
        <v>1100</v>
      </c>
      <c r="G137" s="10" t="s">
        <v>29</v>
      </c>
      <c r="H137" s="8" t="s">
        <v>1101</v>
      </c>
      <c r="I137" s="10" t="s">
        <v>1102</v>
      </c>
      <c r="J137" s="8" t="s">
        <v>1074</v>
      </c>
      <c r="K137" s="8" t="s">
        <v>29</v>
      </c>
      <c r="L137" s="8" t="s">
        <v>29</v>
      </c>
      <c r="M137" s="10" t="s">
        <v>29</v>
      </c>
      <c r="N137" s="8" t="s">
        <v>1103</v>
      </c>
      <c r="O137" s="10" t="s">
        <v>18</v>
      </c>
      <c r="P137" s="8" t="s">
        <v>1104</v>
      </c>
      <c r="Q137" s="10" t="s">
        <v>776</v>
      </c>
      <c r="R137" s="10" t="s">
        <v>1105</v>
      </c>
      <c r="S137" s="8" t="s">
        <v>995</v>
      </c>
      <c r="T137" s="10" t="s">
        <v>1077</v>
      </c>
      <c r="U137" s="10" t="s">
        <v>29</v>
      </c>
    </row>
    <row r="138" spans="1:21" s="10" customFormat="1" x14ac:dyDescent="0.25">
      <c r="A138" s="10" t="s">
        <v>1106</v>
      </c>
      <c r="B138" s="10" t="s">
        <v>1069</v>
      </c>
      <c r="C138" s="11" t="s">
        <v>297</v>
      </c>
      <c r="D138" s="10" t="s">
        <v>1107</v>
      </c>
      <c r="E138" s="8" t="s">
        <v>1108</v>
      </c>
      <c r="F138" s="8" t="s">
        <v>1109</v>
      </c>
      <c r="G138" s="10" t="s">
        <v>29</v>
      </c>
      <c r="H138" s="8" t="s">
        <v>605</v>
      </c>
      <c r="I138" s="10" t="s">
        <v>545</v>
      </c>
      <c r="J138" s="8" t="s">
        <v>1110</v>
      </c>
      <c r="K138" s="8" t="s">
        <v>29</v>
      </c>
      <c r="L138" s="8" t="s">
        <v>29</v>
      </c>
      <c r="M138" s="10" t="s">
        <v>29</v>
      </c>
      <c r="N138" s="8" t="s">
        <v>1111</v>
      </c>
      <c r="O138" s="10" t="s">
        <v>18</v>
      </c>
      <c r="P138" s="8" t="s">
        <v>1112</v>
      </c>
      <c r="Q138" s="10" t="s">
        <v>190</v>
      </c>
      <c r="R138" s="10" t="s">
        <v>975</v>
      </c>
      <c r="S138" s="8" t="s">
        <v>540</v>
      </c>
      <c r="T138" s="10" t="s">
        <v>1077</v>
      </c>
      <c r="U138" s="10" t="s">
        <v>29</v>
      </c>
    </row>
    <row r="139" spans="1:21" s="10" customFormat="1" x14ac:dyDescent="0.25">
      <c r="A139" s="10" t="s">
        <v>1113</v>
      </c>
      <c r="B139" s="10" t="s">
        <v>1069</v>
      </c>
      <c r="C139" s="11" t="s">
        <v>297</v>
      </c>
      <c r="D139" s="10" t="s">
        <v>1114</v>
      </c>
      <c r="E139" s="8" t="s">
        <v>1115</v>
      </c>
      <c r="F139" s="8" t="s">
        <v>1116</v>
      </c>
      <c r="G139" s="10" t="s">
        <v>29</v>
      </c>
      <c r="H139" s="8" t="s">
        <v>605</v>
      </c>
      <c r="I139" s="10" t="s">
        <v>1073</v>
      </c>
      <c r="J139" s="8" t="s">
        <v>1074</v>
      </c>
      <c r="K139" s="8" t="s">
        <v>29</v>
      </c>
      <c r="L139" s="8" t="s">
        <v>29</v>
      </c>
      <c r="M139" s="10" t="s">
        <v>29</v>
      </c>
      <c r="N139" s="8" t="s">
        <v>1117</v>
      </c>
      <c r="O139" s="10" t="s">
        <v>18</v>
      </c>
      <c r="P139" s="8" t="s">
        <v>1118</v>
      </c>
      <c r="Q139" s="10" t="s">
        <v>190</v>
      </c>
      <c r="R139" s="10" t="s">
        <v>848</v>
      </c>
      <c r="S139" s="8" t="s">
        <v>1119</v>
      </c>
      <c r="T139" s="10" t="s">
        <v>1077</v>
      </c>
      <c r="U139" s="10" t="s">
        <v>29</v>
      </c>
    </row>
    <row r="140" spans="1:21" s="10" customFormat="1" x14ac:dyDescent="0.25">
      <c r="A140" s="10" t="s">
        <v>1120</v>
      </c>
      <c r="B140" s="10" t="s">
        <v>1069</v>
      </c>
      <c r="C140" s="11" t="s">
        <v>297</v>
      </c>
      <c r="D140" s="10" t="s">
        <v>1121</v>
      </c>
      <c r="E140" s="8" t="s">
        <v>1122</v>
      </c>
      <c r="F140" s="8" t="s">
        <v>1123</v>
      </c>
      <c r="G140" s="10" t="s">
        <v>29</v>
      </c>
      <c r="H140" s="8" t="s">
        <v>1124</v>
      </c>
      <c r="I140" s="10" t="s">
        <v>545</v>
      </c>
      <c r="J140" s="8" t="s">
        <v>1074</v>
      </c>
      <c r="K140" s="8" t="s">
        <v>29</v>
      </c>
      <c r="L140" s="8" t="s">
        <v>29</v>
      </c>
      <c r="M140" s="10" t="s">
        <v>29</v>
      </c>
      <c r="N140" s="8" t="s">
        <v>29</v>
      </c>
      <c r="O140" s="10" t="s">
        <v>18</v>
      </c>
      <c r="P140" s="8" t="s">
        <v>1125</v>
      </c>
      <c r="Q140" s="10" t="s">
        <v>776</v>
      </c>
      <c r="R140" s="10" t="s">
        <v>1126</v>
      </c>
      <c r="S140" s="8" t="s">
        <v>995</v>
      </c>
      <c r="T140" s="10" t="s">
        <v>204</v>
      </c>
      <c r="U140" s="10" t="s">
        <v>29</v>
      </c>
    </row>
    <row r="141" spans="1:21" s="10" customFormat="1" x14ac:dyDescent="0.25">
      <c r="A141" s="10" t="s">
        <v>1127</v>
      </c>
      <c r="B141" s="10" t="s">
        <v>1069</v>
      </c>
      <c r="C141" s="11" t="s">
        <v>297</v>
      </c>
      <c r="D141" s="10" t="s">
        <v>1128</v>
      </c>
      <c r="E141" s="8" t="s">
        <v>1129</v>
      </c>
      <c r="F141" s="8" t="s">
        <v>1130</v>
      </c>
      <c r="G141" s="10" t="s">
        <v>29</v>
      </c>
      <c r="H141" s="8" t="s">
        <v>1131</v>
      </c>
      <c r="I141" s="10" t="s">
        <v>830</v>
      </c>
      <c r="J141" s="8" t="s">
        <v>1074</v>
      </c>
      <c r="K141" s="8" t="s">
        <v>29</v>
      </c>
      <c r="L141" s="8" t="s">
        <v>29</v>
      </c>
      <c r="M141" s="10" t="s">
        <v>29</v>
      </c>
      <c r="N141" s="8" t="s">
        <v>29</v>
      </c>
      <c r="O141" s="10" t="s">
        <v>18</v>
      </c>
      <c r="P141" s="8" t="s">
        <v>1132</v>
      </c>
      <c r="Q141" s="10" t="s">
        <v>776</v>
      </c>
      <c r="R141" s="10" t="s">
        <v>1126</v>
      </c>
      <c r="S141" s="8" t="s">
        <v>995</v>
      </c>
      <c r="T141" s="10" t="s">
        <v>204</v>
      </c>
      <c r="U141" s="10" t="s">
        <v>29</v>
      </c>
    </row>
    <row r="142" spans="1:21" s="10" customFormat="1" x14ac:dyDescent="0.25">
      <c r="A142" s="10" t="s">
        <v>1133</v>
      </c>
      <c r="B142" s="10" t="s">
        <v>1069</v>
      </c>
      <c r="C142" s="10" t="s">
        <v>166</v>
      </c>
      <c r="D142" s="10" t="s">
        <v>1134</v>
      </c>
      <c r="E142" s="8" t="s">
        <v>1135</v>
      </c>
      <c r="F142" s="8" t="s">
        <v>1136</v>
      </c>
      <c r="G142" s="10" t="s">
        <v>29</v>
      </c>
      <c r="H142" s="8" t="s">
        <v>1137</v>
      </c>
      <c r="I142" s="10" t="s">
        <v>545</v>
      </c>
      <c r="J142" s="8" t="s">
        <v>992</v>
      </c>
      <c r="K142" s="8" t="s">
        <v>29</v>
      </c>
      <c r="L142" s="8" t="s">
        <v>29</v>
      </c>
      <c r="M142" s="10" t="s">
        <v>29</v>
      </c>
      <c r="N142" s="8" t="s">
        <v>29</v>
      </c>
      <c r="O142" s="10" t="s">
        <v>18</v>
      </c>
      <c r="P142" s="8" t="s">
        <v>1138</v>
      </c>
      <c r="Q142" s="10" t="s">
        <v>174</v>
      </c>
      <c r="R142" s="10" t="s">
        <v>1139</v>
      </c>
      <c r="S142" s="8" t="s">
        <v>995</v>
      </c>
      <c r="T142" s="10" t="s">
        <v>1077</v>
      </c>
      <c r="U142" s="10" t="s">
        <v>29</v>
      </c>
    </row>
    <row r="143" spans="1:21" s="10" customFormat="1" x14ac:dyDescent="0.25">
      <c r="A143" s="10" t="s">
        <v>1140</v>
      </c>
      <c r="B143" s="10" t="s">
        <v>1069</v>
      </c>
      <c r="C143" s="10" t="s">
        <v>166</v>
      </c>
      <c r="D143" s="10" t="s">
        <v>1141</v>
      </c>
      <c r="E143" s="8" t="s">
        <v>1142</v>
      </c>
      <c r="F143" s="8" t="s">
        <v>1143</v>
      </c>
      <c r="G143" s="10" t="s">
        <v>29</v>
      </c>
      <c r="H143" s="8" t="s">
        <v>1144</v>
      </c>
      <c r="I143" s="10" t="s">
        <v>545</v>
      </c>
      <c r="J143" s="8" t="s">
        <v>992</v>
      </c>
      <c r="K143" s="8" t="s">
        <v>29</v>
      </c>
      <c r="L143" s="8" t="s">
        <v>29</v>
      </c>
      <c r="M143" s="10" t="s">
        <v>29</v>
      </c>
      <c r="N143" s="8" t="s">
        <v>1145</v>
      </c>
      <c r="O143" s="10" t="s">
        <v>18</v>
      </c>
      <c r="P143" s="8" t="s">
        <v>1146</v>
      </c>
      <c r="Q143" s="10" t="s">
        <v>174</v>
      </c>
      <c r="R143" s="10" t="s">
        <v>1139</v>
      </c>
      <c r="S143" s="8" t="s">
        <v>995</v>
      </c>
      <c r="T143" s="10" t="s">
        <v>1077</v>
      </c>
      <c r="U143" s="10" t="s">
        <v>29</v>
      </c>
    </row>
    <row r="144" spans="1:21" s="10" customFormat="1" x14ac:dyDescent="0.25">
      <c r="A144" s="10" t="s">
        <v>1147</v>
      </c>
      <c r="B144" s="10" t="s">
        <v>1069</v>
      </c>
      <c r="C144" s="10" t="s">
        <v>166</v>
      </c>
      <c r="D144" s="10" t="s">
        <v>1148</v>
      </c>
      <c r="E144" s="8" t="s">
        <v>1149</v>
      </c>
      <c r="F144" s="8" t="s">
        <v>1150</v>
      </c>
      <c r="G144" s="10" t="s">
        <v>29</v>
      </c>
      <c r="H144" s="8" t="s">
        <v>1144</v>
      </c>
      <c r="I144" s="10" t="s">
        <v>1151</v>
      </c>
      <c r="J144" s="8" t="s">
        <v>992</v>
      </c>
      <c r="K144" s="8" t="s">
        <v>29</v>
      </c>
      <c r="L144" s="8" t="s">
        <v>29</v>
      </c>
      <c r="M144" s="10" t="s">
        <v>29</v>
      </c>
      <c r="N144" s="8" t="s">
        <v>29</v>
      </c>
      <c r="O144" s="10" t="s">
        <v>18</v>
      </c>
      <c r="P144" s="8" t="s">
        <v>1152</v>
      </c>
      <c r="Q144" s="10" t="s">
        <v>174</v>
      </c>
      <c r="R144" s="10" t="s">
        <v>1139</v>
      </c>
      <c r="S144" s="8" t="s">
        <v>995</v>
      </c>
      <c r="T144" s="10" t="s">
        <v>204</v>
      </c>
      <c r="U144" s="10" t="s">
        <v>29</v>
      </c>
    </row>
    <row r="145" spans="1:21" s="10" customFormat="1" x14ac:dyDescent="0.25">
      <c r="A145" s="10" t="s">
        <v>1153</v>
      </c>
      <c r="B145" s="10" t="s">
        <v>1154</v>
      </c>
      <c r="C145" s="10" t="s">
        <v>166</v>
      </c>
      <c r="D145" s="10" t="s">
        <v>1155</v>
      </c>
      <c r="E145" s="8" t="s">
        <v>1156</v>
      </c>
      <c r="F145" s="8" t="s">
        <v>812</v>
      </c>
      <c r="G145" s="10" t="s">
        <v>29</v>
      </c>
      <c r="H145" s="8" t="s">
        <v>315</v>
      </c>
      <c r="I145" s="10" t="s">
        <v>545</v>
      </c>
      <c r="J145" s="8" t="s">
        <v>782</v>
      </c>
      <c r="K145" s="8" t="s">
        <v>29</v>
      </c>
      <c r="L145" s="8" t="s">
        <v>29</v>
      </c>
      <c r="M145" s="10" t="s">
        <v>29</v>
      </c>
      <c r="N145" s="8" t="s">
        <v>29</v>
      </c>
      <c r="O145" s="10" t="s">
        <v>18</v>
      </c>
      <c r="P145" s="8" t="s">
        <v>1157</v>
      </c>
      <c r="Q145" s="10" t="s">
        <v>174</v>
      </c>
      <c r="R145" s="10" t="s">
        <v>357</v>
      </c>
      <c r="S145" s="8" t="s">
        <v>540</v>
      </c>
      <c r="T145" s="10" t="s">
        <v>1158</v>
      </c>
      <c r="U145" s="10" t="s">
        <v>29</v>
      </c>
    </row>
    <row r="146" spans="1:21" s="10" customFormat="1" x14ac:dyDescent="0.25">
      <c r="A146" s="10" t="s">
        <v>1159</v>
      </c>
      <c r="B146" s="10" t="s">
        <v>1154</v>
      </c>
      <c r="C146" s="11" t="s">
        <v>297</v>
      </c>
      <c r="D146" s="10" t="s">
        <v>1160</v>
      </c>
      <c r="E146" s="8" t="s">
        <v>1161</v>
      </c>
      <c r="F146" s="8" t="s">
        <v>1162</v>
      </c>
      <c r="G146" s="10" t="s">
        <v>29</v>
      </c>
      <c r="H146" s="8" t="s">
        <v>1163</v>
      </c>
      <c r="I146" s="10" t="s">
        <v>545</v>
      </c>
      <c r="J146" s="8" t="s">
        <v>782</v>
      </c>
      <c r="K146" s="8" t="s">
        <v>29</v>
      </c>
      <c r="L146" s="8" t="s">
        <v>29</v>
      </c>
      <c r="M146" s="10" t="s">
        <v>29</v>
      </c>
      <c r="N146" s="8" t="s">
        <v>29</v>
      </c>
      <c r="O146" s="10" t="s">
        <v>18</v>
      </c>
      <c r="P146" s="8" t="s">
        <v>1164</v>
      </c>
      <c r="Q146" s="10" t="s">
        <v>190</v>
      </c>
      <c r="R146" s="10" t="s">
        <v>564</v>
      </c>
      <c r="S146" s="8" t="s">
        <v>540</v>
      </c>
      <c r="T146" s="10" t="s">
        <v>1158</v>
      </c>
      <c r="U146" s="10" t="s">
        <v>29</v>
      </c>
    </row>
    <row r="147" spans="1:21" s="10" customFormat="1" x14ac:dyDescent="0.25">
      <c r="A147" s="10" t="s">
        <v>1165</v>
      </c>
      <c r="B147" s="10" t="s">
        <v>1154</v>
      </c>
      <c r="C147" s="11" t="s">
        <v>297</v>
      </c>
      <c r="D147" s="10" t="s">
        <v>1166</v>
      </c>
      <c r="E147" s="8" t="s">
        <v>1167</v>
      </c>
      <c r="F147" s="8" t="s">
        <v>1168</v>
      </c>
      <c r="G147" s="10" t="s">
        <v>29</v>
      </c>
      <c r="H147" s="8" t="s">
        <v>1163</v>
      </c>
      <c r="I147" s="10" t="s">
        <v>545</v>
      </c>
      <c r="J147" s="8" t="s">
        <v>782</v>
      </c>
      <c r="K147" s="8" t="s">
        <v>29</v>
      </c>
      <c r="L147" s="8" t="s">
        <v>29</v>
      </c>
      <c r="M147" s="10" t="s">
        <v>29</v>
      </c>
      <c r="N147" s="8" t="s">
        <v>1169</v>
      </c>
      <c r="O147" s="10" t="s">
        <v>18</v>
      </c>
      <c r="P147" s="8" t="s">
        <v>1170</v>
      </c>
      <c r="Q147" s="10" t="s">
        <v>190</v>
      </c>
      <c r="R147" s="10" t="s">
        <v>564</v>
      </c>
      <c r="S147" s="8" t="s">
        <v>171</v>
      </c>
      <c r="T147" s="10" t="s">
        <v>1158</v>
      </c>
      <c r="U147" s="10" t="s">
        <v>29</v>
      </c>
    </row>
    <row r="148" spans="1:21" s="10" customFormat="1" x14ac:dyDescent="0.25">
      <c r="A148" s="10" t="s">
        <v>1171</v>
      </c>
      <c r="B148" s="10" t="s">
        <v>1154</v>
      </c>
      <c r="C148" s="10" t="s">
        <v>166</v>
      </c>
      <c r="D148" s="10" t="s">
        <v>1172</v>
      </c>
      <c r="E148" s="8" t="s">
        <v>1173</v>
      </c>
      <c r="F148" s="8" t="s">
        <v>1174</v>
      </c>
      <c r="G148" s="10" t="s">
        <v>29</v>
      </c>
      <c r="H148" s="8" t="s">
        <v>1175</v>
      </c>
      <c r="I148" s="10" t="s">
        <v>545</v>
      </c>
      <c r="J148" s="8" t="s">
        <v>1176</v>
      </c>
      <c r="K148" s="8" t="s">
        <v>29</v>
      </c>
      <c r="L148" s="8" t="s">
        <v>29</v>
      </c>
      <c r="M148" s="10" t="s">
        <v>29</v>
      </c>
      <c r="N148" s="8" t="s">
        <v>1177</v>
      </c>
      <c r="O148" s="10" t="s">
        <v>18</v>
      </c>
      <c r="P148" s="8" t="s">
        <v>1178</v>
      </c>
      <c r="Q148" s="10" t="s">
        <v>174</v>
      </c>
      <c r="R148" s="10" t="s">
        <v>1179</v>
      </c>
      <c r="S148" s="8" t="s">
        <v>289</v>
      </c>
      <c r="T148" s="10" t="s">
        <v>1158</v>
      </c>
      <c r="U148" s="10" t="s">
        <v>29</v>
      </c>
    </row>
    <row r="149" spans="1:21" s="10" customFormat="1" x14ac:dyDescent="0.25">
      <c r="A149" s="10" t="s">
        <v>1180</v>
      </c>
      <c r="B149" s="10" t="s">
        <v>1154</v>
      </c>
      <c r="C149" s="11" t="s">
        <v>297</v>
      </c>
      <c r="D149" s="10" t="s">
        <v>1181</v>
      </c>
      <c r="E149" s="8" t="s">
        <v>1182</v>
      </c>
      <c r="F149" s="8" t="s">
        <v>1183</v>
      </c>
      <c r="G149" s="10" t="s">
        <v>29</v>
      </c>
      <c r="H149" s="8" t="s">
        <v>1184</v>
      </c>
      <c r="I149" s="10" t="s">
        <v>545</v>
      </c>
      <c r="J149" s="8" t="s">
        <v>1176</v>
      </c>
      <c r="K149" s="8" t="s">
        <v>29</v>
      </c>
      <c r="L149" s="8" t="s">
        <v>29</v>
      </c>
      <c r="M149" s="10" t="s">
        <v>29</v>
      </c>
      <c r="N149" s="8" t="s">
        <v>1185</v>
      </c>
      <c r="O149" s="10" t="s">
        <v>18</v>
      </c>
      <c r="P149" s="8" t="s">
        <v>1186</v>
      </c>
      <c r="Q149" s="10" t="s">
        <v>190</v>
      </c>
      <c r="R149" s="10" t="s">
        <v>1179</v>
      </c>
      <c r="S149" s="8" t="s">
        <v>289</v>
      </c>
      <c r="T149" s="10" t="s">
        <v>1158</v>
      </c>
      <c r="U149" s="10" t="s">
        <v>29</v>
      </c>
    </row>
    <row r="150" spans="1:21" s="10" customFormat="1" x14ac:dyDescent="0.25">
      <c r="A150" s="10" t="s">
        <v>1187</v>
      </c>
      <c r="B150" s="10" t="s">
        <v>1154</v>
      </c>
      <c r="C150" s="11" t="s">
        <v>297</v>
      </c>
      <c r="D150" s="10" t="s">
        <v>1188</v>
      </c>
      <c r="E150" s="8" t="s">
        <v>1189</v>
      </c>
      <c r="F150" s="8" t="s">
        <v>1190</v>
      </c>
      <c r="G150" s="10" t="s">
        <v>29</v>
      </c>
      <c r="H150" s="8" t="s">
        <v>1191</v>
      </c>
      <c r="I150" s="10" t="s">
        <v>1192</v>
      </c>
      <c r="J150" s="8" t="s">
        <v>1193</v>
      </c>
      <c r="K150" s="8" t="s">
        <v>29</v>
      </c>
      <c r="L150" s="8" t="s">
        <v>29</v>
      </c>
      <c r="M150" s="10" t="s">
        <v>29</v>
      </c>
      <c r="N150" s="8" t="s">
        <v>1194</v>
      </c>
      <c r="O150" s="10" t="s">
        <v>18</v>
      </c>
      <c r="P150" s="8" t="s">
        <v>1195</v>
      </c>
      <c r="Q150" s="10" t="s">
        <v>190</v>
      </c>
      <c r="R150" s="10" t="s">
        <v>357</v>
      </c>
      <c r="S150" s="8" t="s">
        <v>1196</v>
      </c>
      <c r="T150" s="10" t="s">
        <v>1158</v>
      </c>
      <c r="U150" s="10" t="s">
        <v>29</v>
      </c>
    </row>
    <row r="151" spans="1:21" s="10" customFormat="1" x14ac:dyDescent="0.25">
      <c r="A151" s="10" t="s">
        <v>1197</v>
      </c>
      <c r="B151" s="10" t="s">
        <v>1154</v>
      </c>
      <c r="C151" s="11" t="s">
        <v>297</v>
      </c>
      <c r="D151" s="10" t="s">
        <v>1198</v>
      </c>
      <c r="E151" s="8" t="s">
        <v>1199</v>
      </c>
      <c r="F151" s="8" t="s">
        <v>1200</v>
      </c>
      <c r="G151" s="10" t="s">
        <v>29</v>
      </c>
      <c r="H151" s="8" t="s">
        <v>1201</v>
      </c>
      <c r="I151" s="10" t="s">
        <v>1192</v>
      </c>
      <c r="J151" s="8" t="s">
        <v>1202</v>
      </c>
      <c r="K151" s="8" t="s">
        <v>29</v>
      </c>
      <c r="L151" s="8" t="s">
        <v>29</v>
      </c>
      <c r="M151" s="10" t="s">
        <v>29</v>
      </c>
      <c r="N151" s="8" t="s">
        <v>29</v>
      </c>
      <c r="O151" s="10" t="s">
        <v>18</v>
      </c>
      <c r="P151" s="8" t="s">
        <v>1203</v>
      </c>
      <c r="Q151" s="10" t="s">
        <v>190</v>
      </c>
      <c r="R151" s="10" t="s">
        <v>357</v>
      </c>
      <c r="S151" s="8" t="s">
        <v>1204</v>
      </c>
      <c r="T151" s="10" t="s">
        <v>1158</v>
      </c>
      <c r="U151" s="10" t="s">
        <v>29</v>
      </c>
    </row>
    <row r="152" spans="1:21" s="10" customFormat="1" x14ac:dyDescent="0.25">
      <c r="A152" s="10" t="s">
        <v>1205</v>
      </c>
      <c r="B152" s="10" t="s">
        <v>1154</v>
      </c>
      <c r="C152" s="11" t="s">
        <v>297</v>
      </c>
      <c r="D152" s="10" t="s">
        <v>1206</v>
      </c>
      <c r="E152" s="8" t="s">
        <v>1207</v>
      </c>
      <c r="F152" s="8" t="s">
        <v>1208</v>
      </c>
      <c r="G152" s="10" t="s">
        <v>29</v>
      </c>
      <c r="H152" s="8" t="s">
        <v>1209</v>
      </c>
      <c r="I152" s="10" t="s">
        <v>545</v>
      </c>
      <c r="J152" s="8" t="s">
        <v>1176</v>
      </c>
      <c r="K152" s="8" t="s">
        <v>29</v>
      </c>
      <c r="L152" s="8" t="s">
        <v>29</v>
      </c>
      <c r="M152" s="10" t="s">
        <v>29</v>
      </c>
      <c r="N152" s="8" t="s">
        <v>1210</v>
      </c>
      <c r="O152" s="10" t="s">
        <v>18</v>
      </c>
      <c r="P152" s="8" t="s">
        <v>1211</v>
      </c>
      <c r="Q152" s="10" t="s">
        <v>190</v>
      </c>
      <c r="R152" s="10" t="s">
        <v>564</v>
      </c>
      <c r="S152" s="8" t="s">
        <v>289</v>
      </c>
      <c r="T152" s="10" t="s">
        <v>1158</v>
      </c>
      <c r="U152" s="10" t="s">
        <v>29</v>
      </c>
    </row>
    <row r="153" spans="1:21" s="10" customFormat="1" x14ac:dyDescent="0.25">
      <c r="A153" s="10" t="s">
        <v>1212</v>
      </c>
      <c r="B153" s="10" t="s">
        <v>1154</v>
      </c>
      <c r="C153" s="10" t="s">
        <v>166</v>
      </c>
      <c r="D153" s="10" t="s">
        <v>1213</v>
      </c>
      <c r="E153" s="8" t="s">
        <v>1214</v>
      </c>
      <c r="F153" s="8" t="s">
        <v>1215</v>
      </c>
      <c r="G153" s="10" t="s">
        <v>29</v>
      </c>
      <c r="H153" s="8" t="s">
        <v>1209</v>
      </c>
      <c r="I153" s="10" t="s">
        <v>545</v>
      </c>
      <c r="J153" s="8" t="s">
        <v>1176</v>
      </c>
      <c r="K153" s="8" t="s">
        <v>29</v>
      </c>
      <c r="L153" s="8" t="s">
        <v>29</v>
      </c>
      <c r="M153" s="10" t="s">
        <v>29</v>
      </c>
      <c r="N153" s="8" t="s">
        <v>29</v>
      </c>
      <c r="O153" s="10" t="s">
        <v>18</v>
      </c>
      <c r="P153" s="8" t="s">
        <v>1216</v>
      </c>
      <c r="Q153" s="10" t="s">
        <v>174</v>
      </c>
      <c r="R153" s="10" t="s">
        <v>564</v>
      </c>
      <c r="S153" s="8" t="s">
        <v>171</v>
      </c>
      <c r="T153" s="10" t="s">
        <v>1158</v>
      </c>
      <c r="U153" s="10" t="s">
        <v>29</v>
      </c>
    </row>
    <row r="154" spans="1:21" s="10" customFormat="1" x14ac:dyDescent="0.25">
      <c r="A154" s="10" t="s">
        <v>1217</v>
      </c>
      <c r="B154" s="10" t="s">
        <v>1154</v>
      </c>
      <c r="C154" s="10" t="s">
        <v>166</v>
      </c>
      <c r="D154" s="10" t="s">
        <v>1218</v>
      </c>
      <c r="E154" s="8" t="s">
        <v>1219</v>
      </c>
      <c r="F154" s="8" t="s">
        <v>1220</v>
      </c>
      <c r="G154" s="10" t="s">
        <v>29</v>
      </c>
      <c r="H154" s="8" t="s">
        <v>1221</v>
      </c>
      <c r="I154" s="10" t="s">
        <v>545</v>
      </c>
      <c r="J154" s="8" t="s">
        <v>1176</v>
      </c>
      <c r="K154" s="8" t="s">
        <v>29</v>
      </c>
      <c r="L154" s="8" t="s">
        <v>29</v>
      </c>
      <c r="M154" s="10" t="s">
        <v>29</v>
      </c>
      <c r="N154" s="8" t="s">
        <v>29</v>
      </c>
      <c r="O154" s="10" t="s">
        <v>18</v>
      </c>
      <c r="P154" s="8" t="s">
        <v>1222</v>
      </c>
      <c r="Q154" s="10" t="s">
        <v>190</v>
      </c>
      <c r="R154" s="10" t="s">
        <v>564</v>
      </c>
      <c r="S154" s="8" t="s">
        <v>289</v>
      </c>
      <c r="T154" s="10" t="s">
        <v>204</v>
      </c>
      <c r="U154" s="10" t="s">
        <v>29</v>
      </c>
    </row>
    <row r="155" spans="1:21" s="10" customFormat="1" x14ac:dyDescent="0.25">
      <c r="A155" s="10" t="s">
        <v>1223</v>
      </c>
      <c r="B155" s="10" t="s">
        <v>1154</v>
      </c>
      <c r="C155" s="10" t="s">
        <v>166</v>
      </c>
      <c r="D155" s="10" t="s">
        <v>1224</v>
      </c>
      <c r="E155" s="8" t="s">
        <v>1225</v>
      </c>
      <c r="F155" s="8" t="s">
        <v>1226</v>
      </c>
      <c r="G155" s="10" t="s">
        <v>29</v>
      </c>
      <c r="H155" s="8" t="s">
        <v>1163</v>
      </c>
      <c r="I155" s="10" t="s">
        <v>545</v>
      </c>
      <c r="J155" s="8" t="s">
        <v>782</v>
      </c>
      <c r="K155" s="8" t="s">
        <v>29</v>
      </c>
      <c r="L155" s="8" t="s">
        <v>29</v>
      </c>
      <c r="M155" s="10" t="s">
        <v>29</v>
      </c>
      <c r="N155" s="8" t="s">
        <v>29</v>
      </c>
      <c r="O155" s="10" t="s">
        <v>18</v>
      </c>
      <c r="P155" s="8" t="s">
        <v>1227</v>
      </c>
      <c r="Q155" s="10" t="s">
        <v>174</v>
      </c>
      <c r="R155" s="10" t="s">
        <v>564</v>
      </c>
      <c r="S155" s="8" t="s">
        <v>171</v>
      </c>
      <c r="T155" s="10" t="s">
        <v>204</v>
      </c>
      <c r="U155" s="10" t="s">
        <v>29</v>
      </c>
    </row>
    <row r="156" spans="1:21" s="10" customFormat="1" x14ac:dyDescent="0.25">
      <c r="A156" s="10" t="s">
        <v>1228</v>
      </c>
      <c r="B156" s="10" t="s">
        <v>1154</v>
      </c>
      <c r="C156" s="11" t="s">
        <v>297</v>
      </c>
      <c r="D156" s="10" t="s">
        <v>1229</v>
      </c>
      <c r="E156" s="8" t="s">
        <v>1230</v>
      </c>
      <c r="F156" s="8" t="s">
        <v>1231</v>
      </c>
      <c r="G156" s="10" t="s">
        <v>29</v>
      </c>
      <c r="H156" s="8" t="s">
        <v>171</v>
      </c>
      <c r="I156" s="10" t="s">
        <v>545</v>
      </c>
      <c r="J156" s="8" t="s">
        <v>782</v>
      </c>
      <c r="K156" s="8" t="s">
        <v>29</v>
      </c>
      <c r="L156" s="8" t="s">
        <v>29</v>
      </c>
      <c r="M156" s="10" t="s">
        <v>29</v>
      </c>
      <c r="N156" s="8" t="s">
        <v>1232</v>
      </c>
      <c r="O156" s="10" t="s">
        <v>18</v>
      </c>
      <c r="P156" s="8" t="s">
        <v>1233</v>
      </c>
      <c r="Q156" s="10" t="s">
        <v>190</v>
      </c>
      <c r="R156" s="10" t="s">
        <v>357</v>
      </c>
      <c r="S156" s="8" t="s">
        <v>1234</v>
      </c>
      <c r="T156" s="10" t="s">
        <v>204</v>
      </c>
      <c r="U156" s="10" t="s">
        <v>29</v>
      </c>
    </row>
    <row r="157" spans="1:21" s="10" customFormat="1" x14ac:dyDescent="0.25">
      <c r="A157" s="10" t="s">
        <v>1235</v>
      </c>
      <c r="B157" s="10" t="s">
        <v>1236</v>
      </c>
      <c r="C157" s="11" t="s">
        <v>297</v>
      </c>
      <c r="D157" s="10" t="s">
        <v>1237</v>
      </c>
      <c r="E157" s="8" t="s">
        <v>1238</v>
      </c>
      <c r="F157" s="8" t="s">
        <v>1239</v>
      </c>
      <c r="G157" s="10" t="s">
        <v>29</v>
      </c>
      <c r="H157" s="8" t="s">
        <v>1240</v>
      </c>
      <c r="I157" s="10" t="s">
        <v>657</v>
      </c>
      <c r="J157" s="8" t="s">
        <v>1241</v>
      </c>
      <c r="K157" s="8" t="s">
        <v>29</v>
      </c>
      <c r="L157" s="8" t="s">
        <v>29</v>
      </c>
      <c r="M157" s="10" t="s">
        <v>29</v>
      </c>
      <c r="N157" s="8" t="s">
        <v>29</v>
      </c>
      <c r="O157" s="10" t="s">
        <v>18</v>
      </c>
      <c r="P157" s="8" t="s">
        <v>1242</v>
      </c>
      <c r="Q157" s="10" t="s">
        <v>190</v>
      </c>
      <c r="R157" s="10" t="s">
        <v>640</v>
      </c>
      <c r="S157" s="8" t="s">
        <v>1243</v>
      </c>
      <c r="T157" s="10" t="s">
        <v>1244</v>
      </c>
      <c r="U157" s="10" t="s">
        <v>29</v>
      </c>
    </row>
    <row r="158" spans="1:21" s="10" customFormat="1" x14ac:dyDescent="0.25">
      <c r="A158" s="10" t="s">
        <v>1245</v>
      </c>
      <c r="B158" s="10" t="s">
        <v>1236</v>
      </c>
      <c r="C158" s="11" t="s">
        <v>297</v>
      </c>
      <c r="D158" s="10" t="s">
        <v>1246</v>
      </c>
      <c r="E158" s="8" t="s">
        <v>1247</v>
      </c>
      <c r="F158" s="8" t="s">
        <v>1248</v>
      </c>
      <c r="G158" s="10" t="s">
        <v>29</v>
      </c>
      <c r="H158" s="8" t="s">
        <v>1249</v>
      </c>
      <c r="I158" s="10" t="s">
        <v>657</v>
      </c>
      <c r="J158" s="8" t="s">
        <v>1241</v>
      </c>
      <c r="K158" s="8" t="s">
        <v>29</v>
      </c>
      <c r="L158" s="8" t="s">
        <v>29</v>
      </c>
      <c r="M158" s="10" t="s">
        <v>29</v>
      </c>
      <c r="N158" s="8" t="s">
        <v>1250</v>
      </c>
      <c r="O158" s="10" t="s">
        <v>18</v>
      </c>
      <c r="P158" s="8" t="s">
        <v>1251</v>
      </c>
      <c r="Q158" s="10" t="s">
        <v>190</v>
      </c>
      <c r="R158" s="10" t="s">
        <v>640</v>
      </c>
      <c r="S158" s="8" t="s">
        <v>171</v>
      </c>
      <c r="T158" s="10" t="s">
        <v>1244</v>
      </c>
      <c r="U158" s="10" t="s">
        <v>29</v>
      </c>
    </row>
    <row r="159" spans="1:21" s="10" customFormat="1" x14ac:dyDescent="0.25">
      <c r="A159" s="10" t="s">
        <v>1252</v>
      </c>
      <c r="B159" s="10" t="s">
        <v>1236</v>
      </c>
      <c r="C159" s="11" t="s">
        <v>297</v>
      </c>
      <c r="D159" s="10" t="s">
        <v>120</v>
      </c>
      <c r="E159" s="8" t="s">
        <v>1253</v>
      </c>
      <c r="F159" s="8" t="s">
        <v>1254</v>
      </c>
      <c r="G159" s="10" t="s">
        <v>29</v>
      </c>
      <c r="H159" s="8" t="s">
        <v>171</v>
      </c>
      <c r="I159" s="10" t="s">
        <v>545</v>
      </c>
      <c r="J159" s="8" t="s">
        <v>1241</v>
      </c>
      <c r="K159" s="8" t="s">
        <v>29</v>
      </c>
      <c r="L159" s="8" t="s">
        <v>29</v>
      </c>
      <c r="M159" s="10" t="s">
        <v>29</v>
      </c>
      <c r="N159" s="8" t="s">
        <v>1255</v>
      </c>
      <c r="O159" s="10" t="s">
        <v>18</v>
      </c>
      <c r="P159" s="8" t="s">
        <v>1256</v>
      </c>
      <c r="Q159" s="10" t="s">
        <v>190</v>
      </c>
      <c r="R159" s="10" t="s">
        <v>640</v>
      </c>
      <c r="S159" s="8" t="s">
        <v>1257</v>
      </c>
      <c r="T159" s="10" t="s">
        <v>1244</v>
      </c>
      <c r="U159" s="10" t="s">
        <v>29</v>
      </c>
    </row>
    <row r="160" spans="1:21" s="10" customFormat="1" x14ac:dyDescent="0.25">
      <c r="A160" s="10" t="s">
        <v>1258</v>
      </c>
      <c r="B160" s="10" t="s">
        <v>1236</v>
      </c>
      <c r="C160" s="11" t="s">
        <v>297</v>
      </c>
      <c r="D160" s="10" t="s">
        <v>1259</v>
      </c>
      <c r="E160" s="8" t="s">
        <v>1260</v>
      </c>
      <c r="F160" s="8" t="s">
        <v>1261</v>
      </c>
      <c r="G160" s="10" t="s">
        <v>29</v>
      </c>
      <c r="H160" s="8" t="s">
        <v>171</v>
      </c>
      <c r="I160" s="10" t="s">
        <v>490</v>
      </c>
      <c r="J160" s="8" t="s">
        <v>1241</v>
      </c>
      <c r="K160" s="8" t="s">
        <v>29</v>
      </c>
      <c r="L160" s="8" t="s">
        <v>29</v>
      </c>
      <c r="M160" s="10" t="s">
        <v>29</v>
      </c>
      <c r="N160" s="8" t="s">
        <v>29</v>
      </c>
      <c r="O160" s="10" t="s">
        <v>18</v>
      </c>
      <c r="P160" s="8" t="s">
        <v>1262</v>
      </c>
      <c r="Q160" s="10" t="s">
        <v>190</v>
      </c>
      <c r="R160" s="10" t="s">
        <v>902</v>
      </c>
      <c r="S160" s="8" t="s">
        <v>1263</v>
      </c>
      <c r="T160" s="10" t="s">
        <v>1244</v>
      </c>
      <c r="U160" s="10" t="s">
        <v>29</v>
      </c>
    </row>
    <row r="161" spans="1:21" s="10" customFormat="1" x14ac:dyDescent="0.25">
      <c r="A161" s="10" t="s">
        <v>1264</v>
      </c>
      <c r="B161" s="10" t="s">
        <v>1236</v>
      </c>
      <c r="C161" s="11" t="s">
        <v>297</v>
      </c>
      <c r="D161" s="10" t="s">
        <v>1265</v>
      </c>
      <c r="E161" s="8" t="s">
        <v>1266</v>
      </c>
      <c r="F161" s="8" t="s">
        <v>1267</v>
      </c>
      <c r="G161" s="10" t="s">
        <v>29</v>
      </c>
      <c r="H161" s="8" t="s">
        <v>171</v>
      </c>
      <c r="I161" s="10" t="s">
        <v>944</v>
      </c>
      <c r="J161" s="8" t="s">
        <v>1241</v>
      </c>
      <c r="K161" s="8" t="s">
        <v>29</v>
      </c>
      <c r="L161" s="8" t="s">
        <v>29</v>
      </c>
      <c r="M161" s="10" t="s">
        <v>29</v>
      </c>
      <c r="N161" s="8" t="s">
        <v>1268</v>
      </c>
      <c r="O161" s="10" t="s">
        <v>18</v>
      </c>
      <c r="P161" s="8" t="s">
        <v>1269</v>
      </c>
      <c r="Q161" s="10" t="s">
        <v>190</v>
      </c>
      <c r="R161" s="10" t="s">
        <v>946</v>
      </c>
      <c r="S161" s="8" t="s">
        <v>1270</v>
      </c>
      <c r="T161" s="10" t="s">
        <v>1244</v>
      </c>
      <c r="U161" s="10" t="s">
        <v>29</v>
      </c>
    </row>
    <row r="162" spans="1:21" s="10" customFormat="1" x14ac:dyDescent="0.25">
      <c r="A162" s="10" t="s">
        <v>1271</v>
      </c>
      <c r="B162" s="10" t="s">
        <v>1236</v>
      </c>
      <c r="C162" s="11" t="s">
        <v>297</v>
      </c>
      <c r="D162" s="10" t="s">
        <v>1272</v>
      </c>
      <c r="E162" s="8" t="s">
        <v>1273</v>
      </c>
      <c r="F162" s="8" t="s">
        <v>1274</v>
      </c>
      <c r="G162" s="10" t="s">
        <v>29</v>
      </c>
      <c r="H162" s="8" t="s">
        <v>171</v>
      </c>
      <c r="I162" s="10" t="s">
        <v>944</v>
      </c>
      <c r="J162" s="8" t="s">
        <v>1241</v>
      </c>
      <c r="K162" s="8" t="s">
        <v>29</v>
      </c>
      <c r="L162" s="8" t="s">
        <v>29</v>
      </c>
      <c r="M162" s="10" t="s">
        <v>29</v>
      </c>
      <c r="N162" s="8" t="s">
        <v>1275</v>
      </c>
      <c r="O162" s="10" t="s">
        <v>18</v>
      </c>
      <c r="P162" s="8" t="s">
        <v>1276</v>
      </c>
      <c r="Q162" s="10" t="s">
        <v>190</v>
      </c>
      <c r="R162" s="10" t="s">
        <v>946</v>
      </c>
      <c r="S162" s="8" t="s">
        <v>1277</v>
      </c>
      <c r="T162" s="10" t="s">
        <v>1244</v>
      </c>
      <c r="U162" s="10" t="s">
        <v>29</v>
      </c>
    </row>
    <row r="163" spans="1:21" s="10" customFormat="1" x14ac:dyDescent="0.25">
      <c r="A163" s="10" t="s">
        <v>1278</v>
      </c>
      <c r="B163" s="10" t="s">
        <v>1236</v>
      </c>
      <c r="C163" s="11" t="s">
        <v>297</v>
      </c>
      <c r="D163" s="10" t="s">
        <v>1279</v>
      </c>
      <c r="E163" s="8" t="s">
        <v>1280</v>
      </c>
      <c r="F163" s="8" t="s">
        <v>1274</v>
      </c>
      <c r="G163" s="10" t="s">
        <v>29</v>
      </c>
      <c r="H163" s="8" t="s">
        <v>171</v>
      </c>
      <c r="I163" s="10" t="s">
        <v>430</v>
      </c>
      <c r="J163" s="8" t="s">
        <v>1241</v>
      </c>
      <c r="K163" s="8" t="s">
        <v>29</v>
      </c>
      <c r="L163" s="8" t="s">
        <v>29</v>
      </c>
      <c r="M163" s="10" t="s">
        <v>29</v>
      </c>
      <c r="N163" s="8" t="s">
        <v>29</v>
      </c>
      <c r="O163" s="10" t="s">
        <v>18</v>
      </c>
      <c r="P163" s="8" t="s">
        <v>1281</v>
      </c>
      <c r="Q163" s="10" t="s">
        <v>190</v>
      </c>
      <c r="R163" s="10" t="s">
        <v>640</v>
      </c>
      <c r="S163" s="8" t="s">
        <v>1282</v>
      </c>
      <c r="T163" s="10" t="s">
        <v>1244</v>
      </c>
      <c r="U163" s="10" t="s">
        <v>29</v>
      </c>
    </row>
    <row r="164" spans="1:21" s="10" customFormat="1" x14ac:dyDescent="0.25">
      <c r="A164" s="10" t="s">
        <v>1283</v>
      </c>
      <c r="B164" s="10" t="s">
        <v>1236</v>
      </c>
      <c r="C164" s="11" t="s">
        <v>297</v>
      </c>
      <c r="D164" s="10" t="s">
        <v>1284</v>
      </c>
      <c r="E164" s="8" t="s">
        <v>1285</v>
      </c>
      <c r="F164" s="8" t="s">
        <v>1274</v>
      </c>
      <c r="G164" s="10" t="s">
        <v>29</v>
      </c>
      <c r="H164" s="8" t="s">
        <v>171</v>
      </c>
      <c r="I164" s="10" t="s">
        <v>1286</v>
      </c>
      <c r="J164" s="8" t="s">
        <v>1241</v>
      </c>
      <c r="K164" s="8" t="s">
        <v>29</v>
      </c>
      <c r="L164" s="8" t="s">
        <v>29</v>
      </c>
      <c r="M164" s="10" t="s">
        <v>29</v>
      </c>
      <c r="N164" s="8" t="s">
        <v>29</v>
      </c>
      <c r="O164" s="10" t="s">
        <v>18</v>
      </c>
      <c r="P164" s="8" t="s">
        <v>1287</v>
      </c>
      <c r="Q164" s="10" t="s">
        <v>190</v>
      </c>
      <c r="R164" s="10" t="s">
        <v>640</v>
      </c>
      <c r="S164" s="8" t="s">
        <v>1288</v>
      </c>
      <c r="T164" s="10" t="s">
        <v>1244</v>
      </c>
      <c r="U164" s="10" t="s">
        <v>29</v>
      </c>
    </row>
    <row r="165" spans="1:21" s="10" customFormat="1" x14ac:dyDescent="0.25">
      <c r="A165" s="10" t="s">
        <v>1289</v>
      </c>
      <c r="B165" s="10" t="s">
        <v>1236</v>
      </c>
      <c r="C165" s="11" t="s">
        <v>297</v>
      </c>
      <c r="D165" s="10" t="s">
        <v>1290</v>
      </c>
      <c r="E165" s="8" t="s">
        <v>1291</v>
      </c>
      <c r="F165" s="8" t="s">
        <v>1292</v>
      </c>
      <c r="G165" s="10" t="s">
        <v>29</v>
      </c>
      <c r="H165" s="8" t="s">
        <v>171</v>
      </c>
      <c r="I165" s="10" t="s">
        <v>906</v>
      </c>
      <c r="J165" s="8" t="s">
        <v>1241</v>
      </c>
      <c r="K165" s="8" t="s">
        <v>29</v>
      </c>
      <c r="L165" s="8" t="s">
        <v>29</v>
      </c>
      <c r="M165" s="10" t="s">
        <v>29</v>
      </c>
      <c r="N165" s="8" t="s">
        <v>29</v>
      </c>
      <c r="O165" s="10" t="s">
        <v>18</v>
      </c>
      <c r="P165" s="8" t="s">
        <v>1293</v>
      </c>
      <c r="Q165" s="10" t="s">
        <v>190</v>
      </c>
      <c r="R165" s="10" t="s">
        <v>357</v>
      </c>
      <c r="S165" s="8" t="s">
        <v>723</v>
      </c>
      <c r="T165" s="10" t="s">
        <v>1244</v>
      </c>
      <c r="U165" s="10" t="s">
        <v>29</v>
      </c>
    </row>
    <row r="166" spans="1:21" s="10" customFormat="1" x14ac:dyDescent="0.25">
      <c r="A166" s="10" t="s">
        <v>1294</v>
      </c>
      <c r="B166" s="10" t="s">
        <v>1236</v>
      </c>
      <c r="C166" s="11" t="s">
        <v>297</v>
      </c>
      <c r="D166" s="10" t="s">
        <v>1295</v>
      </c>
      <c r="E166" s="8" t="s">
        <v>1296</v>
      </c>
      <c r="F166" s="8" t="s">
        <v>1297</v>
      </c>
      <c r="G166" s="10" t="s">
        <v>29</v>
      </c>
      <c r="H166" s="8" t="s">
        <v>1298</v>
      </c>
      <c r="I166" s="10" t="s">
        <v>545</v>
      </c>
      <c r="J166" s="8" t="s">
        <v>1241</v>
      </c>
      <c r="K166" s="8" t="s">
        <v>29</v>
      </c>
      <c r="L166" s="8" t="s">
        <v>29</v>
      </c>
      <c r="M166" s="10" t="s">
        <v>29</v>
      </c>
      <c r="N166" s="8" t="s">
        <v>29</v>
      </c>
      <c r="O166" s="10" t="s">
        <v>18</v>
      </c>
      <c r="P166" s="8" t="s">
        <v>1299</v>
      </c>
      <c r="Q166" s="10" t="s">
        <v>190</v>
      </c>
      <c r="R166" s="10" t="s">
        <v>640</v>
      </c>
      <c r="S166" s="8" t="s">
        <v>1300</v>
      </c>
      <c r="T166" s="10" t="s">
        <v>1244</v>
      </c>
      <c r="U166" s="10" t="s">
        <v>29</v>
      </c>
    </row>
    <row r="167" spans="1:21" s="10" customFormat="1" x14ac:dyDescent="0.25">
      <c r="A167" s="10" t="s">
        <v>1301</v>
      </c>
      <c r="B167" s="10" t="s">
        <v>1236</v>
      </c>
      <c r="C167" s="11" t="s">
        <v>297</v>
      </c>
      <c r="D167" s="10" t="s">
        <v>1302</v>
      </c>
      <c r="E167" s="8" t="s">
        <v>1303</v>
      </c>
      <c r="F167" s="8" t="s">
        <v>1304</v>
      </c>
      <c r="G167" s="10" t="s">
        <v>29</v>
      </c>
      <c r="H167" s="8" t="s">
        <v>1249</v>
      </c>
      <c r="I167" s="10" t="s">
        <v>657</v>
      </c>
      <c r="J167" s="8" t="s">
        <v>1241</v>
      </c>
      <c r="K167" s="8" t="s">
        <v>29</v>
      </c>
      <c r="L167" s="8" t="s">
        <v>29</v>
      </c>
      <c r="M167" s="10" t="s">
        <v>29</v>
      </c>
      <c r="N167" s="8" t="s">
        <v>29</v>
      </c>
      <c r="O167" s="10" t="s">
        <v>18</v>
      </c>
      <c r="P167" s="8" t="s">
        <v>1305</v>
      </c>
      <c r="Q167" s="10" t="s">
        <v>190</v>
      </c>
      <c r="R167" s="10" t="s">
        <v>640</v>
      </c>
      <c r="S167" s="8" t="s">
        <v>1306</v>
      </c>
      <c r="T167" s="10" t="s">
        <v>1244</v>
      </c>
      <c r="U167" s="10" t="s">
        <v>29</v>
      </c>
    </row>
    <row r="168" spans="1:21" s="10" customFormat="1" x14ac:dyDescent="0.25">
      <c r="A168" s="10" t="s">
        <v>1307</v>
      </c>
      <c r="B168" s="10" t="s">
        <v>1236</v>
      </c>
      <c r="C168" s="11" t="s">
        <v>297</v>
      </c>
      <c r="D168" s="10" t="s">
        <v>1308</v>
      </c>
      <c r="E168" s="8" t="s">
        <v>1309</v>
      </c>
      <c r="F168" s="8" t="s">
        <v>1310</v>
      </c>
      <c r="G168" s="10" t="s">
        <v>29</v>
      </c>
      <c r="H168" s="8" t="s">
        <v>605</v>
      </c>
      <c r="I168" s="10" t="s">
        <v>545</v>
      </c>
      <c r="J168" s="8" t="s">
        <v>1241</v>
      </c>
      <c r="K168" s="8" t="s">
        <v>29</v>
      </c>
      <c r="L168" s="8" t="s">
        <v>29</v>
      </c>
      <c r="M168" s="10" t="s">
        <v>29</v>
      </c>
      <c r="N168" s="8" t="s">
        <v>1311</v>
      </c>
      <c r="O168" s="10" t="s">
        <v>18</v>
      </c>
      <c r="P168" s="8" t="s">
        <v>1312</v>
      </c>
      <c r="Q168" s="10" t="s">
        <v>190</v>
      </c>
      <c r="R168" s="10" t="s">
        <v>640</v>
      </c>
      <c r="S168" s="8" t="s">
        <v>700</v>
      </c>
      <c r="T168" s="10" t="s">
        <v>1244</v>
      </c>
      <c r="U168" s="10" t="s">
        <v>29</v>
      </c>
    </row>
    <row r="169" spans="1:21" s="10" customFormat="1" x14ac:dyDescent="0.25">
      <c r="A169" s="10" t="s">
        <v>1313</v>
      </c>
      <c r="B169" s="10" t="s">
        <v>1236</v>
      </c>
      <c r="C169" s="11" t="s">
        <v>297</v>
      </c>
      <c r="D169" s="10" t="s">
        <v>1314</v>
      </c>
      <c r="E169" s="8" t="s">
        <v>1315</v>
      </c>
      <c r="F169" s="8" t="s">
        <v>1316</v>
      </c>
      <c r="G169" s="10" t="s">
        <v>29</v>
      </c>
      <c r="H169" s="8" t="s">
        <v>171</v>
      </c>
      <c r="I169" s="10" t="s">
        <v>545</v>
      </c>
      <c r="J169" s="8" t="s">
        <v>1317</v>
      </c>
      <c r="K169" s="8" t="s">
        <v>29</v>
      </c>
      <c r="L169" s="8" t="s">
        <v>29</v>
      </c>
      <c r="M169" s="10" t="s">
        <v>29</v>
      </c>
      <c r="N169" s="8" t="s">
        <v>1318</v>
      </c>
      <c r="O169" s="10" t="s">
        <v>18</v>
      </c>
      <c r="P169" s="8" t="s">
        <v>1319</v>
      </c>
      <c r="Q169" s="10" t="s">
        <v>190</v>
      </c>
      <c r="R169" s="10" t="s">
        <v>171</v>
      </c>
      <c r="S169" s="8" t="s">
        <v>171</v>
      </c>
      <c r="T169" s="10" t="s">
        <v>1244</v>
      </c>
      <c r="U169" s="10" t="s">
        <v>29</v>
      </c>
    </row>
    <row r="170" spans="1:21" s="10" customFormat="1" x14ac:dyDescent="0.25">
      <c r="A170" s="10" t="s">
        <v>1320</v>
      </c>
      <c r="B170" s="10" t="s">
        <v>1236</v>
      </c>
      <c r="C170" s="11" t="s">
        <v>297</v>
      </c>
      <c r="D170" s="10" t="s">
        <v>1321</v>
      </c>
      <c r="E170" s="8" t="s">
        <v>1322</v>
      </c>
      <c r="F170" s="8" t="s">
        <v>1323</v>
      </c>
      <c r="G170" s="10" t="s">
        <v>29</v>
      </c>
      <c r="H170" s="8" t="s">
        <v>1324</v>
      </c>
      <c r="I170" s="10" t="s">
        <v>545</v>
      </c>
      <c r="J170" s="8" t="s">
        <v>1241</v>
      </c>
      <c r="K170" s="8" t="s">
        <v>29</v>
      </c>
      <c r="L170" s="8" t="s">
        <v>29</v>
      </c>
      <c r="M170" s="10" t="s">
        <v>29</v>
      </c>
      <c r="N170" s="8" t="s">
        <v>1325</v>
      </c>
      <c r="O170" s="10" t="s">
        <v>18</v>
      </c>
      <c r="P170" s="8" t="s">
        <v>1326</v>
      </c>
      <c r="Q170" s="10" t="s">
        <v>190</v>
      </c>
      <c r="R170" s="10" t="s">
        <v>640</v>
      </c>
      <c r="S170" s="8" t="s">
        <v>171</v>
      </c>
      <c r="T170" s="10" t="s">
        <v>204</v>
      </c>
      <c r="U170" s="10" t="s">
        <v>29</v>
      </c>
    </row>
    <row r="171" spans="1:21" s="10" customFormat="1" x14ac:dyDescent="0.25">
      <c r="A171" s="10" t="s">
        <v>1327</v>
      </c>
      <c r="B171" s="10" t="s">
        <v>1236</v>
      </c>
      <c r="C171" s="11" t="s">
        <v>297</v>
      </c>
      <c r="D171" s="10" t="s">
        <v>1328</v>
      </c>
      <c r="E171" s="8" t="s">
        <v>1329</v>
      </c>
      <c r="F171" s="8" t="s">
        <v>1330</v>
      </c>
      <c r="G171" s="10" t="s">
        <v>29</v>
      </c>
      <c r="H171" s="8" t="s">
        <v>171</v>
      </c>
      <c r="I171" s="10" t="s">
        <v>545</v>
      </c>
      <c r="J171" s="8" t="s">
        <v>1241</v>
      </c>
      <c r="K171" s="8" t="s">
        <v>29</v>
      </c>
      <c r="L171" s="8" t="s">
        <v>29</v>
      </c>
      <c r="M171" s="10" t="s">
        <v>29</v>
      </c>
      <c r="N171" s="8" t="s">
        <v>29</v>
      </c>
      <c r="O171" s="10" t="s">
        <v>18</v>
      </c>
      <c r="P171" s="8" t="s">
        <v>1331</v>
      </c>
      <c r="Q171" s="10" t="s">
        <v>190</v>
      </c>
      <c r="R171" s="10" t="s">
        <v>640</v>
      </c>
      <c r="S171" s="8" t="s">
        <v>171</v>
      </c>
      <c r="T171" s="10" t="s">
        <v>204</v>
      </c>
      <c r="U171" s="10" t="s">
        <v>29</v>
      </c>
    </row>
    <row r="172" spans="1:21" s="10" customFormat="1" x14ac:dyDescent="0.25">
      <c r="A172" s="10" t="s">
        <v>1332</v>
      </c>
      <c r="B172" s="10" t="s">
        <v>1236</v>
      </c>
      <c r="C172" s="11" t="s">
        <v>297</v>
      </c>
      <c r="D172" s="10" t="s">
        <v>1333</v>
      </c>
      <c r="E172" s="8" t="s">
        <v>1334</v>
      </c>
      <c r="F172" s="8" t="s">
        <v>1335</v>
      </c>
      <c r="G172" s="10" t="s">
        <v>29</v>
      </c>
      <c r="H172" s="8" t="s">
        <v>1336</v>
      </c>
      <c r="I172" s="10" t="s">
        <v>490</v>
      </c>
      <c r="J172" s="8" t="s">
        <v>1241</v>
      </c>
      <c r="K172" s="8" t="s">
        <v>29</v>
      </c>
      <c r="L172" s="8" t="s">
        <v>29</v>
      </c>
      <c r="M172" s="10" t="s">
        <v>29</v>
      </c>
      <c r="N172" s="8" t="s">
        <v>1337</v>
      </c>
      <c r="O172" s="10" t="s">
        <v>18</v>
      </c>
      <c r="P172" s="8" t="s">
        <v>1338</v>
      </c>
      <c r="Q172" s="10" t="s">
        <v>190</v>
      </c>
      <c r="R172" s="10" t="s">
        <v>1339</v>
      </c>
      <c r="S172" s="8" t="s">
        <v>1340</v>
      </c>
      <c r="T172" s="10" t="s">
        <v>1244</v>
      </c>
      <c r="U172" s="10" t="s">
        <v>29</v>
      </c>
    </row>
    <row r="173" spans="1:21" s="10" customFormat="1" x14ac:dyDescent="0.25">
      <c r="A173" s="10" t="s">
        <v>1341</v>
      </c>
      <c r="B173" s="10" t="s">
        <v>1342</v>
      </c>
      <c r="C173" s="10" t="s">
        <v>166</v>
      </c>
      <c r="D173" s="10" t="s">
        <v>1343</v>
      </c>
      <c r="E173" s="8" t="s">
        <v>1344</v>
      </c>
      <c r="F173" s="8" t="s">
        <v>1345</v>
      </c>
      <c r="G173" s="10" t="s">
        <v>29</v>
      </c>
      <c r="H173" s="8" t="s">
        <v>171</v>
      </c>
      <c r="I173" s="10" t="s">
        <v>545</v>
      </c>
      <c r="J173" s="8" t="s">
        <v>1346</v>
      </c>
      <c r="K173" s="8" t="s">
        <v>29</v>
      </c>
      <c r="L173" s="8" t="s">
        <v>29</v>
      </c>
      <c r="M173" s="10" t="s">
        <v>29</v>
      </c>
      <c r="N173" s="8" t="s">
        <v>29</v>
      </c>
      <c r="O173" s="10" t="s">
        <v>18</v>
      </c>
      <c r="P173" s="8" t="s">
        <v>1347</v>
      </c>
      <c r="Q173" s="10" t="s">
        <v>174</v>
      </c>
      <c r="R173" s="10" t="s">
        <v>357</v>
      </c>
      <c r="S173" s="8" t="s">
        <v>171</v>
      </c>
      <c r="T173" s="10" t="s">
        <v>1348</v>
      </c>
      <c r="U173" s="10" t="s">
        <v>29</v>
      </c>
    </row>
    <row r="174" spans="1:21" s="10" customFormat="1" x14ac:dyDescent="0.25">
      <c r="A174" s="10" t="s">
        <v>1349</v>
      </c>
      <c r="B174" s="10" t="s">
        <v>1342</v>
      </c>
      <c r="C174" s="10" t="s">
        <v>166</v>
      </c>
      <c r="D174" s="10" t="s">
        <v>1350</v>
      </c>
      <c r="E174" s="8" t="s">
        <v>1351</v>
      </c>
      <c r="F174" s="8" t="s">
        <v>1352</v>
      </c>
      <c r="G174" s="10" t="s">
        <v>29</v>
      </c>
      <c r="H174" s="8" t="s">
        <v>1353</v>
      </c>
      <c r="I174" s="10" t="s">
        <v>545</v>
      </c>
      <c r="J174" s="8" t="s">
        <v>1354</v>
      </c>
      <c r="K174" s="8" t="s">
        <v>29</v>
      </c>
      <c r="L174" s="8" t="s">
        <v>29</v>
      </c>
      <c r="M174" s="10" t="s">
        <v>29</v>
      </c>
      <c r="N174" s="8" t="s">
        <v>29</v>
      </c>
      <c r="O174" s="10" t="s">
        <v>18</v>
      </c>
      <c r="P174" s="8" t="s">
        <v>1355</v>
      </c>
      <c r="Q174" s="10" t="s">
        <v>174</v>
      </c>
      <c r="R174" s="10" t="s">
        <v>357</v>
      </c>
      <c r="S174" s="8" t="s">
        <v>1356</v>
      </c>
      <c r="T174" s="10" t="s">
        <v>1348</v>
      </c>
      <c r="U174" s="10" t="s">
        <v>29</v>
      </c>
    </row>
    <row r="175" spans="1:21" s="10" customFormat="1" x14ac:dyDescent="0.25">
      <c r="A175" s="10" t="s">
        <v>1357</v>
      </c>
      <c r="B175" s="10" t="s">
        <v>1342</v>
      </c>
      <c r="C175" s="10" t="s">
        <v>166</v>
      </c>
      <c r="D175" s="10" t="s">
        <v>1358</v>
      </c>
      <c r="E175" s="8" t="s">
        <v>1359</v>
      </c>
      <c r="F175" s="8" t="s">
        <v>1360</v>
      </c>
      <c r="G175" s="10" t="s">
        <v>29</v>
      </c>
      <c r="H175" s="8" t="s">
        <v>171</v>
      </c>
      <c r="I175" s="10" t="s">
        <v>830</v>
      </c>
      <c r="J175" s="8" t="s">
        <v>1346</v>
      </c>
      <c r="K175" s="8" t="s">
        <v>29</v>
      </c>
      <c r="L175" s="8" t="s">
        <v>29</v>
      </c>
      <c r="M175" s="10" t="s">
        <v>29</v>
      </c>
      <c r="N175" s="8" t="s">
        <v>29</v>
      </c>
      <c r="O175" s="10" t="s">
        <v>18</v>
      </c>
      <c r="P175" s="8" t="s">
        <v>1361</v>
      </c>
      <c r="Q175" s="10" t="s">
        <v>174</v>
      </c>
      <c r="R175" s="10" t="s">
        <v>357</v>
      </c>
      <c r="S175" s="8" t="s">
        <v>171</v>
      </c>
      <c r="T175" s="10" t="s">
        <v>204</v>
      </c>
      <c r="U175" s="10" t="s">
        <v>29</v>
      </c>
    </row>
    <row r="176" spans="1:21" s="10" customFormat="1" x14ac:dyDescent="0.25">
      <c r="A176" s="10" t="s">
        <v>1362</v>
      </c>
      <c r="B176" s="10" t="s">
        <v>1342</v>
      </c>
      <c r="C176" s="11" t="s">
        <v>297</v>
      </c>
      <c r="D176" s="10" t="s">
        <v>1363</v>
      </c>
      <c r="E176" s="8" t="s">
        <v>1364</v>
      </c>
      <c r="F176" s="8" t="s">
        <v>883</v>
      </c>
      <c r="G176" s="10" t="s">
        <v>29</v>
      </c>
      <c r="H176" s="8" t="s">
        <v>605</v>
      </c>
      <c r="I176" s="10" t="s">
        <v>29</v>
      </c>
      <c r="J176" s="8" t="s">
        <v>1346</v>
      </c>
      <c r="K176" s="8" t="s">
        <v>29</v>
      </c>
      <c r="L176" s="8" t="s">
        <v>29</v>
      </c>
      <c r="M176" s="10" t="s">
        <v>29</v>
      </c>
      <c r="N176" s="8" t="s">
        <v>29</v>
      </c>
      <c r="O176" s="10" t="s">
        <v>18</v>
      </c>
      <c r="P176" s="8" t="s">
        <v>1365</v>
      </c>
      <c r="Q176" s="10" t="s">
        <v>776</v>
      </c>
      <c r="R176" s="10" t="s">
        <v>640</v>
      </c>
      <c r="S176" s="8" t="s">
        <v>171</v>
      </c>
      <c r="T176" s="10" t="s">
        <v>1348</v>
      </c>
      <c r="U176" s="10" t="s">
        <v>29</v>
      </c>
    </row>
    <row r="177" spans="1:21" s="10" customFormat="1" x14ac:dyDescent="0.25">
      <c r="A177" s="10" t="s">
        <v>1366</v>
      </c>
      <c r="B177" s="10" t="s">
        <v>1342</v>
      </c>
      <c r="C177" s="11" t="s">
        <v>297</v>
      </c>
      <c r="D177" s="10" t="s">
        <v>1367</v>
      </c>
      <c r="E177" s="8" t="s">
        <v>1368</v>
      </c>
      <c r="F177" s="8" t="s">
        <v>1369</v>
      </c>
      <c r="G177" s="10" t="s">
        <v>29</v>
      </c>
      <c r="H177" s="8" t="s">
        <v>1370</v>
      </c>
      <c r="I177" s="10" t="s">
        <v>1371</v>
      </c>
      <c r="J177" s="8" t="s">
        <v>1346</v>
      </c>
      <c r="K177" s="8" t="s">
        <v>29</v>
      </c>
      <c r="L177" s="8" t="s">
        <v>29</v>
      </c>
      <c r="M177" s="10" t="s">
        <v>29</v>
      </c>
      <c r="N177" s="8" t="s">
        <v>1372</v>
      </c>
      <c r="O177" s="10" t="s">
        <v>18</v>
      </c>
      <c r="P177" s="8" t="s">
        <v>1373</v>
      </c>
      <c r="Q177" s="10" t="s">
        <v>190</v>
      </c>
      <c r="R177" s="10" t="s">
        <v>357</v>
      </c>
      <c r="S177" s="8" t="s">
        <v>1374</v>
      </c>
      <c r="T177" s="10" t="s">
        <v>1348</v>
      </c>
      <c r="U177" s="10" t="s">
        <v>29</v>
      </c>
    </row>
    <row r="178" spans="1:21" s="10" customFormat="1" x14ac:dyDescent="0.25">
      <c r="A178" s="10" t="s">
        <v>1375</v>
      </c>
      <c r="B178" s="10" t="s">
        <v>1342</v>
      </c>
      <c r="C178" s="10" t="s">
        <v>166</v>
      </c>
      <c r="D178" s="10" t="s">
        <v>1376</v>
      </c>
      <c r="E178" s="8" t="s">
        <v>1377</v>
      </c>
      <c r="F178" s="8" t="s">
        <v>869</v>
      </c>
      <c r="G178" s="10" t="s">
        <v>29</v>
      </c>
      <c r="H178" s="8" t="s">
        <v>171</v>
      </c>
      <c r="I178" s="10" t="s">
        <v>545</v>
      </c>
      <c r="J178" s="8" t="s">
        <v>1346</v>
      </c>
      <c r="K178" s="8" t="s">
        <v>29</v>
      </c>
      <c r="L178" s="8" t="s">
        <v>29</v>
      </c>
      <c r="M178" s="10" t="s">
        <v>29</v>
      </c>
      <c r="N178" s="8" t="s">
        <v>29</v>
      </c>
      <c r="O178" s="10" t="s">
        <v>18</v>
      </c>
      <c r="P178" s="8" t="s">
        <v>1378</v>
      </c>
      <c r="Q178" s="10" t="s">
        <v>174</v>
      </c>
      <c r="R178" s="10" t="s">
        <v>357</v>
      </c>
      <c r="S178" s="8" t="s">
        <v>171</v>
      </c>
      <c r="T178" s="10" t="s">
        <v>204</v>
      </c>
      <c r="U178" s="10" t="s">
        <v>29</v>
      </c>
    </row>
  </sheetData>
  <autoFilter ref="A1:U178"/>
  <conditionalFormatting sqref="G2:G178">
    <cfRule type="cellIs" dxfId="10" priority="1" operator="equal">
      <formula>"PASS"</formula>
    </cfRule>
    <cfRule type="cellIs" dxfId="11" priority="2" operator="equal">
      <formula>"FAIL"</formula>
    </cfRule>
    <cfRule type="cellIs" dxfId="12" priority="3" operator="equal">
      <formula>"BLOCKED"</formula>
    </cfRule>
  </conditionalFormatting>
  <conditionalFormatting sqref="A2:U178">
    <cfRule type="expression" dxfId="13" priority="10">
      <formula>$G2="FAIL"</formula>
    </cfRule>
  </conditionalFormatting>
  <dataValidations count="8">
    <dataValidation type="list" allowBlank="1" showErrorMessage="1" errorStyle="warning" errorTitle="Not a valid value" error="Choose one of: P1, P2, P3" sqref="C10:C178">
      <formula1>"P1,P2,P3"</formula1>
    </dataValidation>
    <dataValidation type="list" allowBlank="1" showErrorMessage="1" errorStyle="warning" errorTitle="Not a valid value" error="Choose one of: P1, P2, P3" sqref="C2:C178">
      <formula1>"P1,P2,P3"</formula1>
    </dataValidation>
    <dataValidation type="list" allowBlank="1" showErrorMessage="1" errorStyle="warning" errorTitle="Not a valid value" error="Choose one of: PASS, FAIL, BLOCKED, N/A" sqref="G10:G178">
      <formula1>"PASS,FAIL,BLOCKED,N/A"</formula1>
    </dataValidation>
    <dataValidation type="list" allowBlank="1" showErrorMessage="1" errorStyle="warning" errorTitle="Not a valid value" error="Choose one of: PASS, FAIL, BLOCKED, N/A" sqref="G2:G178">
      <formula1>"PASS,FAIL,BLOCKED,N/A"</formula1>
    </dataValidation>
    <dataValidation type="list" allowBlank="1" showErrorMessage="1" errorStyle="warning" errorTitle="Not a valid value" error="Choose one of: Y, N" sqref="M10:M178">
      <formula1>"Y,N"</formula1>
    </dataValidation>
    <dataValidation type="list" allowBlank="1" showErrorMessage="1" errorStyle="warning" errorTitle="Not a valid value" error="Choose one of: Y, N" sqref="M2:M178">
      <formula1>"Y,N"</formula1>
    </dataValidation>
    <dataValidation type="list" allowBlank="1" showErrorMessage="1" errorStyle="warning" errorTitle="Not a valid value" error="Choose one of: Positive, Negative, Boundary, RBAC, Cross-Module" sqref="Q10:Q178">
      <formula1>"Positive,Negative,Boundary,RBAC,Cross-Module"</formula1>
    </dataValidation>
    <dataValidation type="list" allowBlank="1" showErrorMessage="1" errorStyle="warning" errorTitle="Not a valid value" error="Choose one of: Positive, Negative, Boundary, RBAC, Cross-Module" sqref="Q2:Q178">
      <formula1>"Positive,Negative,Boundary,RBAC,Cross-Module"</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057"/>
  <sheetViews>
    <sheetView workbookViewId="0">
      <pane xSplit="1" ySplit="1" topLeftCell="B2" activePane="bottomRight" state="frozen"/>
      <selection pane="bottomRight"/>
    </sheetView>
  </sheetViews>
  <sheetFormatPr defaultRowHeight="18" outlineLevelRow="0" outlineLevelCol="0" x14ac:dyDescent="55" customHeight="1"/>
  <cols>
    <col min="1" max="1" width="16" customWidth="1"/>
    <col min="2" max="2" width="20" customWidth="1"/>
    <col min="4" max="4" width="46" customWidth="1"/>
    <col min="5" max="5" width="68" customWidth="1"/>
    <col min="6" max="6" width="52" customWidth="1"/>
    <col min="7" max="7" width="15" customWidth="1"/>
    <col min="8" max="8" width="30" customWidth="1"/>
    <col min="9" max="9" width="22" customWidth="1"/>
    <col min="10" max="10" width="30" customWidth="1"/>
    <col min="11" max="12" width="46" customWidth="1"/>
    <col min="13" max="13" width="13" customWidth="1"/>
    <col min="14" max="14" width="36" customWidth="1"/>
    <col min="15" max="15" width="16" customWidth="1"/>
    <col min="16" max="16" width="68" customWidth="1"/>
    <col min="17" max="17" width="12" customWidth="1"/>
    <col min="18" max="18" width="20" customWidth="1"/>
    <col min="19" max="19" width="40" customWidth="1"/>
    <col min="20" max="20" width="48" customWidth="1"/>
    <col min="21" max="21" width="14" customWidth="1"/>
  </cols>
  <sheetData>
    <row r="1" ht="34" customHeight="1" spans="1:21" x14ac:dyDescent="0.25">
      <c r="A1" s="1" t="s">
        <v>144</v>
      </c>
      <c r="B1" s="1" t="s">
        <v>145</v>
      </c>
      <c r="C1" s="1" t="s">
        <v>146</v>
      </c>
      <c r="D1" s="1" t="s">
        <v>147</v>
      </c>
      <c r="E1" s="1" t="s">
        <v>148</v>
      </c>
      <c r="F1" s="1" t="s">
        <v>149</v>
      </c>
      <c r="G1" s="1" t="s">
        <v>150</v>
      </c>
      <c r="H1" s="1" t="s">
        <v>151</v>
      </c>
      <c r="I1" s="1" t="s">
        <v>152</v>
      </c>
      <c r="J1" s="1" t="s">
        <v>153</v>
      </c>
      <c r="K1" s="1" t="s">
        <v>154</v>
      </c>
      <c r="L1" s="1" t="s">
        <v>155</v>
      </c>
      <c r="M1" s="1" t="s">
        <v>156</v>
      </c>
      <c r="N1" s="1" t="s">
        <v>157</v>
      </c>
      <c r="O1" s="1" t="s">
        <v>16</v>
      </c>
      <c r="P1" s="1" t="s">
        <v>158</v>
      </c>
      <c r="Q1" s="1" t="s">
        <v>159</v>
      </c>
      <c r="R1" s="1" t="s">
        <v>160</v>
      </c>
      <c r="S1" s="1" t="s">
        <v>161</v>
      </c>
      <c r="T1" s="1" t="s">
        <v>162</v>
      </c>
      <c r="U1" s="1" t="s">
        <v>163</v>
      </c>
    </row>
    <row r="2" spans="1:21" s="10" customFormat="1" x14ac:dyDescent="0.25">
      <c r="A2" s="10" t="s">
        <v>1379</v>
      </c>
      <c r="B2" s="10" t="s">
        <v>1380</v>
      </c>
      <c r="C2" s="10" t="s">
        <v>166</v>
      </c>
      <c r="D2" s="10" t="s">
        <v>1381</v>
      </c>
      <c r="E2" s="8" t="s">
        <v>1382</v>
      </c>
      <c r="F2" s="8" t="s">
        <v>1383</v>
      </c>
      <c r="G2" s="10" t="s">
        <v>29</v>
      </c>
      <c r="H2" s="8" t="s">
        <v>1384</v>
      </c>
      <c r="I2" s="10" t="s">
        <v>308</v>
      </c>
      <c r="J2" s="8" t="s">
        <v>1385</v>
      </c>
      <c r="K2" s="8" t="s">
        <v>29</v>
      </c>
      <c r="L2" s="8" t="s">
        <v>29</v>
      </c>
      <c r="M2" s="10" t="s">
        <v>29</v>
      </c>
      <c r="N2" s="8" t="s">
        <v>29</v>
      </c>
      <c r="O2" s="10" t="s">
        <v>19</v>
      </c>
      <c r="P2" s="8" t="s">
        <v>1386</v>
      </c>
      <c r="Q2" s="10" t="s">
        <v>174</v>
      </c>
      <c r="R2" s="10" t="s">
        <v>1387</v>
      </c>
      <c r="S2" s="8" t="s">
        <v>1388</v>
      </c>
      <c r="T2" s="10" t="s">
        <v>1389</v>
      </c>
      <c r="U2" s="10" t="s">
        <v>29</v>
      </c>
    </row>
    <row r="3" spans="1:21" s="10" customFormat="1" x14ac:dyDescent="0.25">
      <c r="A3" s="10" t="s">
        <v>1390</v>
      </c>
      <c r="B3" s="10" t="s">
        <v>1380</v>
      </c>
      <c r="C3" s="11" t="s">
        <v>297</v>
      </c>
      <c r="D3" s="10" t="s">
        <v>1391</v>
      </c>
      <c r="E3" s="8" t="s">
        <v>1392</v>
      </c>
      <c r="F3" s="8" t="s">
        <v>1393</v>
      </c>
      <c r="G3" s="10" t="s">
        <v>3</v>
      </c>
      <c r="H3" s="8" t="s">
        <v>1394</v>
      </c>
      <c r="I3" s="10" t="s">
        <v>308</v>
      </c>
      <c r="J3" s="8" t="s">
        <v>171</v>
      </c>
      <c r="K3" s="8" t="s">
        <v>1395</v>
      </c>
      <c r="L3" s="8" t="s">
        <v>1396</v>
      </c>
      <c r="M3" s="10" t="s">
        <v>1397</v>
      </c>
      <c r="N3" s="8" t="s">
        <v>29</v>
      </c>
      <c r="O3" s="10" t="s">
        <v>19</v>
      </c>
      <c r="P3" s="8" t="s">
        <v>1398</v>
      </c>
      <c r="Q3" s="10" t="s">
        <v>1399</v>
      </c>
      <c r="R3" s="10" t="s">
        <v>1387</v>
      </c>
      <c r="S3" s="8" t="s">
        <v>1400</v>
      </c>
      <c r="T3" s="10" t="s">
        <v>1389</v>
      </c>
      <c r="U3" s="10" t="s">
        <v>29</v>
      </c>
    </row>
    <row r="4" spans="1:21" s="10" customFormat="1" x14ac:dyDescent="0.25">
      <c r="A4" s="10" t="s">
        <v>1401</v>
      </c>
      <c r="B4" s="10" t="s">
        <v>1380</v>
      </c>
      <c r="C4" s="10" t="s">
        <v>335</v>
      </c>
      <c r="D4" s="10" t="s">
        <v>1402</v>
      </c>
      <c r="E4" s="8" t="s">
        <v>1403</v>
      </c>
      <c r="F4" s="8" t="s">
        <v>1404</v>
      </c>
      <c r="G4" s="10" t="s">
        <v>29</v>
      </c>
      <c r="H4" s="8" t="s">
        <v>1405</v>
      </c>
      <c r="I4" s="10" t="s">
        <v>1406</v>
      </c>
      <c r="J4" s="8" t="s">
        <v>171</v>
      </c>
      <c r="K4" s="8" t="s">
        <v>29</v>
      </c>
      <c r="L4" s="8" t="s">
        <v>29</v>
      </c>
      <c r="M4" s="10" t="s">
        <v>29</v>
      </c>
      <c r="N4" s="8" t="s">
        <v>29</v>
      </c>
      <c r="O4" s="10" t="s">
        <v>19</v>
      </c>
      <c r="P4" s="8" t="s">
        <v>1407</v>
      </c>
      <c r="Q4" s="10" t="s">
        <v>174</v>
      </c>
      <c r="R4" s="10" t="s">
        <v>1387</v>
      </c>
      <c r="S4" s="8" t="s">
        <v>1388</v>
      </c>
      <c r="T4" s="10" t="s">
        <v>1389</v>
      </c>
      <c r="U4" s="10" t="s">
        <v>29</v>
      </c>
    </row>
    <row r="5" spans="1:21" s="10" customFormat="1" x14ac:dyDescent="0.25">
      <c r="A5" s="10" t="s">
        <v>1408</v>
      </c>
      <c r="B5" s="10" t="s">
        <v>1380</v>
      </c>
      <c r="C5" s="10" t="s">
        <v>335</v>
      </c>
      <c r="D5" s="10" t="s">
        <v>1409</v>
      </c>
      <c r="E5" s="8" t="s">
        <v>1410</v>
      </c>
      <c r="F5" s="8" t="s">
        <v>1411</v>
      </c>
      <c r="G5" s="10" t="s">
        <v>29</v>
      </c>
      <c r="H5" s="8" t="s">
        <v>1412</v>
      </c>
      <c r="I5" s="10" t="s">
        <v>308</v>
      </c>
      <c r="J5" s="8" t="s">
        <v>171</v>
      </c>
      <c r="K5" s="8" t="s">
        <v>29</v>
      </c>
      <c r="L5" s="8" t="s">
        <v>29</v>
      </c>
      <c r="M5" s="10" t="s">
        <v>29</v>
      </c>
      <c r="N5" s="8" t="s">
        <v>29</v>
      </c>
      <c r="O5" s="10" t="s">
        <v>19</v>
      </c>
      <c r="P5" s="8" t="s">
        <v>1413</v>
      </c>
      <c r="Q5" s="10" t="s">
        <v>174</v>
      </c>
      <c r="R5" s="10" t="s">
        <v>1387</v>
      </c>
      <c r="S5" s="8" t="s">
        <v>1388</v>
      </c>
      <c r="T5" s="10" t="s">
        <v>1389</v>
      </c>
      <c r="U5" s="10" t="s">
        <v>29</v>
      </c>
    </row>
    <row r="6" spans="1:21" s="10" customFormat="1" x14ac:dyDescent="0.25">
      <c r="A6" s="10" t="s">
        <v>1414</v>
      </c>
      <c r="B6" s="10" t="s">
        <v>1380</v>
      </c>
      <c r="C6" s="10" t="s">
        <v>166</v>
      </c>
      <c r="D6" s="10" t="s">
        <v>1415</v>
      </c>
      <c r="E6" s="8" t="s">
        <v>1416</v>
      </c>
      <c r="F6" s="8" t="s">
        <v>1417</v>
      </c>
      <c r="G6" s="10" t="s">
        <v>29</v>
      </c>
      <c r="H6" s="8" t="s">
        <v>1418</v>
      </c>
      <c r="I6" s="10" t="s">
        <v>1419</v>
      </c>
      <c r="J6" s="8" t="s">
        <v>171</v>
      </c>
      <c r="K6" s="8" t="s">
        <v>29</v>
      </c>
      <c r="L6" s="8" t="s">
        <v>29</v>
      </c>
      <c r="M6" s="10" t="s">
        <v>29</v>
      </c>
      <c r="N6" s="8" t="s">
        <v>29</v>
      </c>
      <c r="O6" s="10" t="s">
        <v>19</v>
      </c>
      <c r="P6" s="8" t="s">
        <v>1420</v>
      </c>
      <c r="Q6" s="10" t="s">
        <v>174</v>
      </c>
      <c r="R6" s="10" t="s">
        <v>1387</v>
      </c>
      <c r="S6" s="8" t="s">
        <v>1421</v>
      </c>
      <c r="T6" s="10" t="s">
        <v>1389</v>
      </c>
      <c r="U6" s="10" t="s">
        <v>29</v>
      </c>
    </row>
    <row r="7" spans="1:21" s="10" customFormat="1" x14ac:dyDescent="0.25">
      <c r="A7" s="10" t="s">
        <v>1422</v>
      </c>
      <c r="B7" s="10" t="s">
        <v>1380</v>
      </c>
      <c r="C7" s="10" t="s">
        <v>166</v>
      </c>
      <c r="D7" s="10" t="s">
        <v>1423</v>
      </c>
      <c r="E7" s="8" t="s">
        <v>1424</v>
      </c>
      <c r="F7" s="8" t="s">
        <v>1425</v>
      </c>
      <c r="G7" s="10" t="s">
        <v>4</v>
      </c>
      <c r="H7" s="8" t="s">
        <v>1426</v>
      </c>
      <c r="I7" s="10" t="s">
        <v>858</v>
      </c>
      <c r="J7" s="8" t="s">
        <v>171</v>
      </c>
      <c r="K7" s="8" t="s">
        <v>1427</v>
      </c>
      <c r="L7" s="8" t="s">
        <v>29</v>
      </c>
      <c r="M7" s="10" t="s">
        <v>1428</v>
      </c>
      <c r="N7" s="8" t="s">
        <v>29</v>
      </c>
      <c r="O7" s="10" t="s">
        <v>19</v>
      </c>
      <c r="P7" s="8" t="s">
        <v>1429</v>
      </c>
      <c r="Q7" s="10" t="s">
        <v>174</v>
      </c>
      <c r="R7" s="10" t="s">
        <v>1387</v>
      </c>
      <c r="S7" s="8" t="s">
        <v>1430</v>
      </c>
      <c r="T7" s="10" t="s">
        <v>1389</v>
      </c>
      <c r="U7" s="10" t="s">
        <v>29</v>
      </c>
    </row>
    <row r="8" spans="1:21" s="10" customFormat="1" x14ac:dyDescent="0.25">
      <c r="A8" s="10" t="s">
        <v>1431</v>
      </c>
      <c r="B8" s="10" t="s">
        <v>1380</v>
      </c>
      <c r="C8" s="10" t="s">
        <v>166</v>
      </c>
      <c r="D8" s="10" t="s">
        <v>1432</v>
      </c>
      <c r="E8" s="8" t="s">
        <v>1433</v>
      </c>
      <c r="F8" s="8" t="s">
        <v>1434</v>
      </c>
      <c r="G8" s="10" t="s">
        <v>4</v>
      </c>
      <c r="H8" s="8" t="s">
        <v>1435</v>
      </c>
      <c r="I8" s="10" t="s">
        <v>870</v>
      </c>
      <c r="J8" s="8" t="s">
        <v>171</v>
      </c>
      <c r="K8" s="8" t="s">
        <v>1436</v>
      </c>
      <c r="L8" s="8" t="s">
        <v>29</v>
      </c>
      <c r="M8" s="10" t="s">
        <v>1428</v>
      </c>
      <c r="N8" s="8" t="s">
        <v>29</v>
      </c>
      <c r="O8" s="10" t="s">
        <v>19</v>
      </c>
      <c r="P8" s="8" t="s">
        <v>1437</v>
      </c>
      <c r="Q8" s="10" t="s">
        <v>174</v>
      </c>
      <c r="R8" s="10" t="s">
        <v>1387</v>
      </c>
      <c r="S8" s="8" t="s">
        <v>1430</v>
      </c>
      <c r="T8" s="10" t="s">
        <v>1389</v>
      </c>
      <c r="U8" s="10" t="s">
        <v>29</v>
      </c>
    </row>
    <row r="9" spans="1:21" s="10" customFormat="1" x14ac:dyDescent="0.25">
      <c r="A9" s="10" t="s">
        <v>1438</v>
      </c>
      <c r="B9" s="10" t="s">
        <v>1380</v>
      </c>
      <c r="C9" s="10" t="s">
        <v>166</v>
      </c>
      <c r="D9" s="10" t="s">
        <v>1439</v>
      </c>
      <c r="E9" s="8" t="s">
        <v>1440</v>
      </c>
      <c r="F9" s="8" t="s">
        <v>1441</v>
      </c>
      <c r="G9" s="10" t="s">
        <v>29</v>
      </c>
      <c r="H9" s="8" t="s">
        <v>1442</v>
      </c>
      <c r="I9" s="10" t="s">
        <v>1443</v>
      </c>
      <c r="J9" s="8" t="s">
        <v>171</v>
      </c>
      <c r="K9" s="8" t="s">
        <v>29</v>
      </c>
      <c r="L9" s="8" t="s">
        <v>29</v>
      </c>
      <c r="M9" s="10" t="s">
        <v>29</v>
      </c>
      <c r="N9" s="8" t="s">
        <v>29</v>
      </c>
      <c r="O9" s="10" t="s">
        <v>19</v>
      </c>
      <c r="P9" s="8" t="s">
        <v>1444</v>
      </c>
      <c r="Q9" s="10" t="s">
        <v>174</v>
      </c>
      <c r="R9" s="10" t="s">
        <v>1387</v>
      </c>
      <c r="S9" s="8" t="s">
        <v>1430</v>
      </c>
      <c r="T9" s="10" t="s">
        <v>1389</v>
      </c>
      <c r="U9" s="10" t="s">
        <v>29</v>
      </c>
    </row>
    <row r="10" spans="1:21" s="10" customFormat="1" x14ac:dyDescent="0.25">
      <c r="A10" s="10" t="s">
        <v>1445</v>
      </c>
      <c r="B10" s="10" t="s">
        <v>1380</v>
      </c>
      <c r="C10" s="10" t="s">
        <v>166</v>
      </c>
      <c r="D10" s="10" t="s">
        <v>1446</v>
      </c>
      <c r="E10" s="8" t="s">
        <v>1447</v>
      </c>
      <c r="F10" s="8" t="s">
        <v>1448</v>
      </c>
      <c r="G10" s="10" t="s">
        <v>29</v>
      </c>
      <c r="H10" s="8" t="s">
        <v>1449</v>
      </c>
      <c r="I10" s="10" t="s">
        <v>889</v>
      </c>
      <c r="J10" s="8" t="s">
        <v>171</v>
      </c>
      <c r="K10" s="8" t="s">
        <v>29</v>
      </c>
      <c r="L10" s="8" t="s">
        <v>29</v>
      </c>
      <c r="M10" s="10" t="s">
        <v>29</v>
      </c>
      <c r="N10" s="8" t="s">
        <v>29</v>
      </c>
      <c r="O10" s="10" t="s">
        <v>19</v>
      </c>
      <c r="P10" s="8" t="s">
        <v>1450</v>
      </c>
      <c r="Q10" s="10" t="s">
        <v>174</v>
      </c>
      <c r="R10" s="10" t="s">
        <v>1387</v>
      </c>
      <c r="S10" s="8" t="s">
        <v>1430</v>
      </c>
      <c r="T10" s="10" t="s">
        <v>1389</v>
      </c>
      <c r="U10" s="10" t="s">
        <v>29</v>
      </c>
    </row>
    <row r="11" spans="1:21" s="10" customFormat="1" x14ac:dyDescent="0.25">
      <c r="A11" s="10" t="s">
        <v>1451</v>
      </c>
      <c r="B11" s="10" t="s">
        <v>1380</v>
      </c>
      <c r="C11" s="10" t="s">
        <v>166</v>
      </c>
      <c r="D11" s="10" t="s">
        <v>1452</v>
      </c>
      <c r="E11" s="8" t="s">
        <v>1453</v>
      </c>
      <c r="F11" s="8" t="s">
        <v>1454</v>
      </c>
      <c r="G11" s="10" t="s">
        <v>29</v>
      </c>
      <c r="H11" s="8" t="s">
        <v>1455</v>
      </c>
      <c r="I11" s="10" t="s">
        <v>1456</v>
      </c>
      <c r="J11" s="8" t="s">
        <v>171</v>
      </c>
      <c r="K11" s="8" t="s">
        <v>29</v>
      </c>
      <c r="L11" s="8" t="s">
        <v>29</v>
      </c>
      <c r="M11" s="10" t="s">
        <v>29</v>
      </c>
      <c r="N11" s="8" t="s">
        <v>29</v>
      </c>
      <c r="O11" s="10" t="s">
        <v>19</v>
      </c>
      <c r="P11" s="8" t="s">
        <v>1457</v>
      </c>
      <c r="Q11" s="10" t="s">
        <v>174</v>
      </c>
      <c r="R11" s="10" t="s">
        <v>1387</v>
      </c>
      <c r="S11" s="8" t="s">
        <v>1430</v>
      </c>
      <c r="T11" s="10" t="s">
        <v>1389</v>
      </c>
      <c r="U11" s="10" t="s">
        <v>29</v>
      </c>
    </row>
    <row r="12" spans="1:21" s="10" customFormat="1" x14ac:dyDescent="0.25">
      <c r="A12" s="10" t="s">
        <v>1458</v>
      </c>
      <c r="B12" s="10" t="s">
        <v>1380</v>
      </c>
      <c r="C12" s="10" t="s">
        <v>166</v>
      </c>
      <c r="D12" s="10" t="s">
        <v>1459</v>
      </c>
      <c r="E12" s="8" t="s">
        <v>1460</v>
      </c>
      <c r="F12" s="8" t="s">
        <v>1461</v>
      </c>
      <c r="G12" s="10" t="s">
        <v>29</v>
      </c>
      <c r="H12" s="8" t="s">
        <v>1462</v>
      </c>
      <c r="I12" s="10" t="s">
        <v>1463</v>
      </c>
      <c r="J12" s="8" t="s">
        <v>171</v>
      </c>
      <c r="K12" s="8" t="s">
        <v>29</v>
      </c>
      <c r="L12" s="8" t="s">
        <v>29</v>
      </c>
      <c r="M12" s="10" t="s">
        <v>29</v>
      </c>
      <c r="N12" s="8" t="s">
        <v>29</v>
      </c>
      <c r="O12" s="10" t="s">
        <v>19</v>
      </c>
      <c r="P12" s="8" t="s">
        <v>1464</v>
      </c>
      <c r="Q12" s="10" t="s">
        <v>174</v>
      </c>
      <c r="R12" s="10" t="s">
        <v>1387</v>
      </c>
      <c r="S12" s="8" t="s">
        <v>1430</v>
      </c>
      <c r="T12" s="10" t="s">
        <v>1389</v>
      </c>
      <c r="U12" s="10" t="s">
        <v>29</v>
      </c>
    </row>
    <row r="13" spans="1:21" s="10" customFormat="1" x14ac:dyDescent="0.25">
      <c r="A13" s="10" t="s">
        <v>1465</v>
      </c>
      <c r="B13" s="10" t="s">
        <v>1380</v>
      </c>
      <c r="C13" s="10" t="s">
        <v>166</v>
      </c>
      <c r="D13" s="10" t="s">
        <v>1466</v>
      </c>
      <c r="E13" s="8" t="s">
        <v>1467</v>
      </c>
      <c r="F13" s="8" t="s">
        <v>1468</v>
      </c>
      <c r="G13" s="10" t="s">
        <v>29</v>
      </c>
      <c r="H13" s="8" t="s">
        <v>1469</v>
      </c>
      <c r="I13" s="10" t="s">
        <v>819</v>
      </c>
      <c r="J13" s="8" t="s">
        <v>171</v>
      </c>
      <c r="K13" s="8" t="s">
        <v>29</v>
      </c>
      <c r="L13" s="8" t="s">
        <v>29</v>
      </c>
      <c r="M13" s="10" t="s">
        <v>29</v>
      </c>
      <c r="N13" s="8" t="s">
        <v>29</v>
      </c>
      <c r="O13" s="10" t="s">
        <v>19</v>
      </c>
      <c r="P13" s="8" t="s">
        <v>1470</v>
      </c>
      <c r="Q13" s="10" t="s">
        <v>174</v>
      </c>
      <c r="R13" s="10" t="s">
        <v>1387</v>
      </c>
      <c r="S13" s="8" t="s">
        <v>1430</v>
      </c>
      <c r="T13" s="10" t="s">
        <v>1389</v>
      </c>
      <c r="U13" s="10" t="s">
        <v>29</v>
      </c>
    </row>
    <row r="14" spans="1:21" s="10" customFormat="1" x14ac:dyDescent="0.25">
      <c r="A14" s="10" t="s">
        <v>1471</v>
      </c>
      <c r="B14" s="10" t="s">
        <v>1380</v>
      </c>
      <c r="C14" s="10" t="s">
        <v>166</v>
      </c>
      <c r="D14" s="10" t="s">
        <v>1472</v>
      </c>
      <c r="E14" s="8" t="s">
        <v>1473</v>
      </c>
      <c r="F14" s="8" t="s">
        <v>1474</v>
      </c>
      <c r="G14" s="10" t="s">
        <v>29</v>
      </c>
      <c r="H14" s="8" t="s">
        <v>1475</v>
      </c>
      <c r="I14" s="10" t="s">
        <v>1476</v>
      </c>
      <c r="J14" s="8" t="s">
        <v>171</v>
      </c>
      <c r="K14" s="8" t="s">
        <v>29</v>
      </c>
      <c r="L14" s="8" t="s">
        <v>29</v>
      </c>
      <c r="M14" s="10" t="s">
        <v>29</v>
      </c>
      <c r="N14" s="8" t="s">
        <v>29</v>
      </c>
      <c r="O14" s="10" t="s">
        <v>19</v>
      </c>
      <c r="P14" s="8" t="s">
        <v>1477</v>
      </c>
      <c r="Q14" s="10" t="s">
        <v>174</v>
      </c>
      <c r="R14" s="10" t="s">
        <v>1387</v>
      </c>
      <c r="S14" s="8" t="s">
        <v>1430</v>
      </c>
      <c r="T14" s="10" t="s">
        <v>1389</v>
      </c>
      <c r="U14" s="10" t="s">
        <v>29</v>
      </c>
    </row>
    <row r="15" spans="1:21" s="10" customFormat="1" x14ac:dyDescent="0.25">
      <c r="A15" s="10" t="s">
        <v>1478</v>
      </c>
      <c r="B15" s="10" t="s">
        <v>1380</v>
      </c>
      <c r="C15" s="10" t="s">
        <v>335</v>
      </c>
      <c r="D15" s="10" t="s">
        <v>1479</v>
      </c>
      <c r="E15" s="8" t="s">
        <v>1480</v>
      </c>
      <c r="F15" s="8" t="s">
        <v>1481</v>
      </c>
      <c r="G15" s="10" t="s">
        <v>29</v>
      </c>
      <c r="H15" s="8" t="s">
        <v>1482</v>
      </c>
      <c r="I15" s="10" t="s">
        <v>430</v>
      </c>
      <c r="J15" s="8" t="s">
        <v>171</v>
      </c>
      <c r="K15" s="8" t="s">
        <v>29</v>
      </c>
      <c r="L15" s="8" t="s">
        <v>29</v>
      </c>
      <c r="M15" s="10" t="s">
        <v>29</v>
      </c>
      <c r="N15" s="8" t="s">
        <v>29</v>
      </c>
      <c r="O15" s="10" t="s">
        <v>19</v>
      </c>
      <c r="P15" s="8" t="s">
        <v>1483</v>
      </c>
      <c r="Q15" s="10" t="s">
        <v>174</v>
      </c>
      <c r="R15" s="10" t="s">
        <v>1387</v>
      </c>
      <c r="S15" s="8" t="s">
        <v>1430</v>
      </c>
      <c r="T15" s="10" t="s">
        <v>1389</v>
      </c>
      <c r="U15" s="10" t="s">
        <v>29</v>
      </c>
    </row>
    <row r="16" spans="1:21" s="10" customFormat="1" x14ac:dyDescent="0.25">
      <c r="A16" s="10" t="s">
        <v>1484</v>
      </c>
      <c r="B16" s="10" t="s">
        <v>1380</v>
      </c>
      <c r="C16" s="10" t="s">
        <v>335</v>
      </c>
      <c r="D16" s="10" t="s">
        <v>1485</v>
      </c>
      <c r="E16" s="8" t="s">
        <v>1486</v>
      </c>
      <c r="F16" s="8" t="s">
        <v>1487</v>
      </c>
      <c r="G16" s="10" t="s">
        <v>29</v>
      </c>
      <c r="H16" s="8" t="s">
        <v>1488</v>
      </c>
      <c r="I16" s="10" t="s">
        <v>1489</v>
      </c>
      <c r="J16" s="8" t="s">
        <v>171</v>
      </c>
      <c r="K16" s="8" t="s">
        <v>29</v>
      </c>
      <c r="L16" s="8" t="s">
        <v>29</v>
      </c>
      <c r="M16" s="10" t="s">
        <v>29</v>
      </c>
      <c r="N16" s="8" t="s">
        <v>29</v>
      </c>
      <c r="O16" s="10" t="s">
        <v>19</v>
      </c>
      <c r="P16" s="8" t="s">
        <v>1490</v>
      </c>
      <c r="Q16" s="10" t="s">
        <v>174</v>
      </c>
      <c r="R16" s="10" t="s">
        <v>1387</v>
      </c>
      <c r="S16" s="8" t="s">
        <v>1430</v>
      </c>
      <c r="T16" s="10" t="s">
        <v>1389</v>
      </c>
      <c r="U16" s="10" t="s">
        <v>29</v>
      </c>
    </row>
    <row r="17" spans="1:21" s="10" customFormat="1" x14ac:dyDescent="0.25">
      <c r="A17" s="10" t="s">
        <v>1491</v>
      </c>
      <c r="B17" s="10" t="s">
        <v>1380</v>
      </c>
      <c r="C17" s="10" t="s">
        <v>335</v>
      </c>
      <c r="D17" s="10" t="s">
        <v>1492</v>
      </c>
      <c r="E17" s="8" t="s">
        <v>1493</v>
      </c>
      <c r="F17" s="8" t="s">
        <v>1494</v>
      </c>
      <c r="G17" s="10" t="s">
        <v>29</v>
      </c>
      <c r="H17" s="8" t="s">
        <v>1495</v>
      </c>
      <c r="I17" s="10" t="s">
        <v>308</v>
      </c>
      <c r="J17" s="8" t="s">
        <v>171</v>
      </c>
      <c r="K17" s="8" t="s">
        <v>29</v>
      </c>
      <c r="L17" s="8" t="s">
        <v>29</v>
      </c>
      <c r="M17" s="10" t="s">
        <v>29</v>
      </c>
      <c r="N17" s="8" t="s">
        <v>29</v>
      </c>
      <c r="O17" s="10" t="s">
        <v>19</v>
      </c>
      <c r="P17" s="8" t="s">
        <v>1496</v>
      </c>
      <c r="Q17" s="10" t="s">
        <v>190</v>
      </c>
      <c r="R17" s="10" t="s">
        <v>1387</v>
      </c>
      <c r="S17" s="8" t="s">
        <v>1430</v>
      </c>
      <c r="T17" s="10" t="s">
        <v>1389</v>
      </c>
      <c r="U17" s="10" t="s">
        <v>29</v>
      </c>
    </row>
    <row r="18" spans="1:21" s="10" customFormat="1" x14ac:dyDescent="0.25">
      <c r="A18" s="10" t="s">
        <v>1497</v>
      </c>
      <c r="B18" s="10" t="s">
        <v>1380</v>
      </c>
      <c r="C18" s="10" t="s">
        <v>335</v>
      </c>
      <c r="D18" s="10" t="s">
        <v>1498</v>
      </c>
      <c r="E18" s="8" t="s">
        <v>1499</v>
      </c>
      <c r="F18" s="8" t="s">
        <v>1500</v>
      </c>
      <c r="G18" s="10" t="s">
        <v>29</v>
      </c>
      <c r="H18" s="8" t="s">
        <v>1501</v>
      </c>
      <c r="I18" s="10" t="s">
        <v>870</v>
      </c>
      <c r="J18" s="8" t="s">
        <v>171</v>
      </c>
      <c r="K18" s="8" t="s">
        <v>29</v>
      </c>
      <c r="L18" s="8" t="s">
        <v>29</v>
      </c>
      <c r="M18" s="10" t="s">
        <v>29</v>
      </c>
      <c r="N18" s="8" t="s">
        <v>29</v>
      </c>
      <c r="O18" s="10" t="s">
        <v>19</v>
      </c>
      <c r="P18" s="8" t="s">
        <v>1502</v>
      </c>
      <c r="Q18" s="10" t="s">
        <v>174</v>
      </c>
      <c r="R18" s="10" t="s">
        <v>1387</v>
      </c>
      <c r="S18" s="8" t="s">
        <v>1430</v>
      </c>
      <c r="T18" s="10" t="s">
        <v>1389</v>
      </c>
      <c r="U18" s="10" t="s">
        <v>29</v>
      </c>
    </row>
    <row r="19" spans="1:21" s="10" customFormat="1" x14ac:dyDescent="0.25">
      <c r="A19" s="10" t="s">
        <v>1503</v>
      </c>
      <c r="B19" s="10" t="s">
        <v>1380</v>
      </c>
      <c r="C19" s="10" t="s">
        <v>166</v>
      </c>
      <c r="D19" s="10" t="s">
        <v>1504</v>
      </c>
      <c r="E19" s="8" t="s">
        <v>1505</v>
      </c>
      <c r="F19" s="8" t="s">
        <v>1506</v>
      </c>
      <c r="G19" s="10" t="s">
        <v>29</v>
      </c>
      <c r="H19" s="8" t="s">
        <v>1507</v>
      </c>
      <c r="I19" s="10" t="s">
        <v>1508</v>
      </c>
      <c r="J19" s="8" t="s">
        <v>171</v>
      </c>
      <c r="K19" s="8" t="s">
        <v>29</v>
      </c>
      <c r="L19" s="8" t="s">
        <v>29</v>
      </c>
      <c r="M19" s="10" t="s">
        <v>29</v>
      </c>
      <c r="N19" s="8" t="s">
        <v>29</v>
      </c>
      <c r="O19" s="10" t="s">
        <v>19</v>
      </c>
      <c r="P19" s="8" t="s">
        <v>1509</v>
      </c>
      <c r="Q19" s="10" t="s">
        <v>1399</v>
      </c>
      <c r="R19" s="10" t="s">
        <v>1387</v>
      </c>
      <c r="S19" s="8" t="s">
        <v>1510</v>
      </c>
      <c r="T19" s="10" t="s">
        <v>1389</v>
      </c>
      <c r="U19" s="10" t="s">
        <v>29</v>
      </c>
    </row>
    <row r="20" spans="1:21" s="10" customFormat="1" x14ac:dyDescent="0.25">
      <c r="A20" s="10" t="s">
        <v>1511</v>
      </c>
      <c r="B20" s="10" t="s">
        <v>1380</v>
      </c>
      <c r="C20" s="10" t="s">
        <v>335</v>
      </c>
      <c r="D20" s="10" t="s">
        <v>1512</v>
      </c>
      <c r="E20" s="8" t="s">
        <v>1513</v>
      </c>
      <c r="F20" s="8" t="s">
        <v>1514</v>
      </c>
      <c r="G20" s="10" t="s">
        <v>29</v>
      </c>
      <c r="H20" s="8" t="s">
        <v>1426</v>
      </c>
      <c r="I20" s="10" t="s">
        <v>858</v>
      </c>
      <c r="J20" s="8" t="s">
        <v>171</v>
      </c>
      <c r="K20" s="8" t="s">
        <v>29</v>
      </c>
      <c r="L20" s="8" t="s">
        <v>29</v>
      </c>
      <c r="M20" s="10" t="s">
        <v>29</v>
      </c>
      <c r="N20" s="8" t="s">
        <v>29</v>
      </c>
      <c r="O20" s="10" t="s">
        <v>19</v>
      </c>
      <c r="P20" s="8" t="s">
        <v>1515</v>
      </c>
      <c r="Q20" s="10" t="s">
        <v>197</v>
      </c>
      <c r="R20" s="10" t="s">
        <v>1387</v>
      </c>
      <c r="S20" s="8" t="s">
        <v>1430</v>
      </c>
      <c r="T20" s="10" t="s">
        <v>1389</v>
      </c>
      <c r="U20" s="10" t="s">
        <v>29</v>
      </c>
    </row>
    <row r="21" spans="1:21" s="10" customFormat="1" x14ac:dyDescent="0.25">
      <c r="A21" s="10" t="s">
        <v>1516</v>
      </c>
      <c r="B21" s="10" t="s">
        <v>1380</v>
      </c>
      <c r="C21" s="10" t="s">
        <v>335</v>
      </c>
      <c r="D21" s="10" t="s">
        <v>1517</v>
      </c>
      <c r="E21" s="8" t="s">
        <v>1518</v>
      </c>
      <c r="F21" s="8" t="s">
        <v>1519</v>
      </c>
      <c r="G21" s="10" t="s">
        <v>29</v>
      </c>
      <c r="H21" s="8" t="s">
        <v>1520</v>
      </c>
      <c r="I21" s="10" t="s">
        <v>308</v>
      </c>
      <c r="J21" s="8" t="s">
        <v>171</v>
      </c>
      <c r="K21" s="8" t="s">
        <v>29</v>
      </c>
      <c r="L21" s="8" t="s">
        <v>29</v>
      </c>
      <c r="M21" s="10" t="s">
        <v>29</v>
      </c>
      <c r="N21" s="8" t="s">
        <v>29</v>
      </c>
      <c r="O21" s="10" t="s">
        <v>19</v>
      </c>
      <c r="P21" s="8" t="s">
        <v>1521</v>
      </c>
      <c r="Q21" s="10" t="s">
        <v>174</v>
      </c>
      <c r="R21" s="10" t="s">
        <v>1387</v>
      </c>
      <c r="S21" s="8" t="s">
        <v>1430</v>
      </c>
      <c r="T21" s="10" t="s">
        <v>1389</v>
      </c>
      <c r="U21" s="10" t="s">
        <v>29</v>
      </c>
    </row>
    <row r="22" spans="1:21" s="10" customFormat="1" x14ac:dyDescent="0.25">
      <c r="A22" s="10" t="s">
        <v>1522</v>
      </c>
      <c r="B22" s="10" t="s">
        <v>1523</v>
      </c>
      <c r="C22" s="10" t="s">
        <v>166</v>
      </c>
      <c r="D22" s="10" t="s">
        <v>1524</v>
      </c>
      <c r="E22" s="8" t="s">
        <v>1525</v>
      </c>
      <c r="F22" s="8" t="s">
        <v>1526</v>
      </c>
      <c r="G22" s="10" t="s">
        <v>29</v>
      </c>
      <c r="H22" s="8" t="s">
        <v>1527</v>
      </c>
      <c r="I22" s="10" t="s">
        <v>1528</v>
      </c>
      <c r="J22" s="8" t="s">
        <v>1529</v>
      </c>
      <c r="K22" s="8" t="s">
        <v>29</v>
      </c>
      <c r="L22" s="8" t="s">
        <v>29</v>
      </c>
      <c r="M22" s="10" t="s">
        <v>29</v>
      </c>
      <c r="N22" s="8" t="s">
        <v>29</v>
      </c>
      <c r="O22" s="10" t="s">
        <v>19</v>
      </c>
      <c r="P22" s="8" t="s">
        <v>1530</v>
      </c>
      <c r="Q22" s="10" t="s">
        <v>174</v>
      </c>
      <c r="R22" s="10" t="s">
        <v>1387</v>
      </c>
      <c r="S22" s="8" t="s">
        <v>1388</v>
      </c>
      <c r="T22" s="10" t="s">
        <v>1531</v>
      </c>
      <c r="U22" s="10" t="s">
        <v>29</v>
      </c>
    </row>
    <row r="23" spans="1:21" s="10" customFormat="1" x14ac:dyDescent="0.25">
      <c r="A23" s="10" t="s">
        <v>1532</v>
      </c>
      <c r="B23" s="10" t="s">
        <v>1523</v>
      </c>
      <c r="C23" s="11" t="s">
        <v>297</v>
      </c>
      <c r="D23" s="10" t="s">
        <v>1533</v>
      </c>
      <c r="E23" s="8" t="s">
        <v>1534</v>
      </c>
      <c r="F23" s="8" t="s">
        <v>1535</v>
      </c>
      <c r="G23" s="10" t="s">
        <v>29</v>
      </c>
      <c r="H23" s="8" t="s">
        <v>1536</v>
      </c>
      <c r="I23" s="10" t="s">
        <v>1528</v>
      </c>
      <c r="J23" s="8" t="s">
        <v>1529</v>
      </c>
      <c r="K23" s="8" t="s">
        <v>29</v>
      </c>
      <c r="L23" s="8" t="s">
        <v>29</v>
      </c>
      <c r="M23" s="10" t="s">
        <v>29</v>
      </c>
      <c r="N23" s="8" t="s">
        <v>29</v>
      </c>
      <c r="O23" s="10" t="s">
        <v>19</v>
      </c>
      <c r="P23" s="8" t="s">
        <v>1537</v>
      </c>
      <c r="Q23" s="10" t="s">
        <v>197</v>
      </c>
      <c r="R23" s="10" t="s">
        <v>1387</v>
      </c>
      <c r="S23" s="8" t="s">
        <v>1538</v>
      </c>
      <c r="T23" s="10" t="s">
        <v>1531</v>
      </c>
      <c r="U23" s="10" t="s">
        <v>29</v>
      </c>
    </row>
    <row r="24" spans="1:21" s="10" customFormat="1" x14ac:dyDescent="0.25">
      <c r="A24" s="10" t="s">
        <v>1539</v>
      </c>
      <c r="B24" s="10" t="s">
        <v>1523</v>
      </c>
      <c r="C24" s="10" t="s">
        <v>166</v>
      </c>
      <c r="D24" s="10" t="s">
        <v>1540</v>
      </c>
      <c r="E24" s="8" t="s">
        <v>1541</v>
      </c>
      <c r="F24" s="8" t="s">
        <v>1542</v>
      </c>
      <c r="G24" s="10" t="s">
        <v>29</v>
      </c>
      <c r="H24" s="8" t="s">
        <v>1543</v>
      </c>
      <c r="I24" s="10" t="s">
        <v>308</v>
      </c>
      <c r="J24" s="8" t="s">
        <v>1529</v>
      </c>
      <c r="K24" s="8" t="s">
        <v>29</v>
      </c>
      <c r="L24" s="8" t="s">
        <v>29</v>
      </c>
      <c r="M24" s="10" t="s">
        <v>29</v>
      </c>
      <c r="N24" s="8" t="s">
        <v>29</v>
      </c>
      <c r="O24" s="10" t="s">
        <v>19</v>
      </c>
      <c r="P24" s="8" t="s">
        <v>1544</v>
      </c>
      <c r="Q24" s="10" t="s">
        <v>197</v>
      </c>
      <c r="R24" s="10" t="s">
        <v>1387</v>
      </c>
      <c r="S24" s="8" t="s">
        <v>1545</v>
      </c>
      <c r="T24" s="10" t="s">
        <v>1531</v>
      </c>
      <c r="U24" s="10" t="s">
        <v>29</v>
      </c>
    </row>
    <row r="25" spans="1:21" s="10" customFormat="1" x14ac:dyDescent="0.25">
      <c r="A25" s="10" t="s">
        <v>1546</v>
      </c>
      <c r="B25" s="10" t="s">
        <v>1523</v>
      </c>
      <c r="C25" s="10" t="s">
        <v>166</v>
      </c>
      <c r="D25" s="10" t="s">
        <v>1547</v>
      </c>
      <c r="E25" s="8" t="s">
        <v>1548</v>
      </c>
      <c r="F25" s="8" t="s">
        <v>1549</v>
      </c>
      <c r="G25" s="10" t="s">
        <v>29</v>
      </c>
      <c r="H25" s="8" t="s">
        <v>1550</v>
      </c>
      <c r="I25" s="10" t="s">
        <v>1551</v>
      </c>
      <c r="J25" s="8" t="s">
        <v>1529</v>
      </c>
      <c r="K25" s="8" t="s">
        <v>29</v>
      </c>
      <c r="L25" s="8" t="s">
        <v>29</v>
      </c>
      <c r="M25" s="10" t="s">
        <v>29</v>
      </c>
      <c r="N25" s="8" t="s">
        <v>29</v>
      </c>
      <c r="O25" s="10" t="s">
        <v>19</v>
      </c>
      <c r="P25" s="8" t="s">
        <v>1552</v>
      </c>
      <c r="Q25" s="10" t="s">
        <v>197</v>
      </c>
      <c r="R25" s="10" t="s">
        <v>1387</v>
      </c>
      <c r="S25" s="8" t="s">
        <v>1545</v>
      </c>
      <c r="T25" s="10" t="s">
        <v>1531</v>
      </c>
      <c r="U25" s="10" t="s">
        <v>29</v>
      </c>
    </row>
    <row r="26" spans="1:21" s="10" customFormat="1" x14ac:dyDescent="0.25">
      <c r="A26" s="10" t="s">
        <v>1553</v>
      </c>
      <c r="B26" s="10" t="s">
        <v>1523</v>
      </c>
      <c r="C26" s="10" t="s">
        <v>166</v>
      </c>
      <c r="D26" s="10" t="s">
        <v>1554</v>
      </c>
      <c r="E26" s="8" t="s">
        <v>1555</v>
      </c>
      <c r="F26" s="8" t="s">
        <v>1556</v>
      </c>
      <c r="G26" s="10" t="s">
        <v>29</v>
      </c>
      <c r="H26" s="8" t="s">
        <v>1557</v>
      </c>
      <c r="I26" s="10" t="s">
        <v>1558</v>
      </c>
      <c r="J26" s="8" t="s">
        <v>1529</v>
      </c>
      <c r="K26" s="8" t="s">
        <v>29</v>
      </c>
      <c r="L26" s="8" t="s">
        <v>29</v>
      </c>
      <c r="M26" s="10" t="s">
        <v>29</v>
      </c>
      <c r="N26" s="8" t="s">
        <v>29</v>
      </c>
      <c r="O26" s="10" t="s">
        <v>19</v>
      </c>
      <c r="P26" s="8" t="s">
        <v>1559</v>
      </c>
      <c r="Q26" s="10" t="s">
        <v>197</v>
      </c>
      <c r="R26" s="10" t="s">
        <v>1387</v>
      </c>
      <c r="S26" s="8" t="s">
        <v>1545</v>
      </c>
      <c r="T26" s="10" t="s">
        <v>1531</v>
      </c>
      <c r="U26" s="10" t="s">
        <v>29</v>
      </c>
    </row>
    <row r="27" spans="1:21" s="10" customFormat="1" x14ac:dyDescent="0.25">
      <c r="A27" s="10" t="s">
        <v>1560</v>
      </c>
      <c r="B27" s="10" t="s">
        <v>1523</v>
      </c>
      <c r="C27" s="10" t="s">
        <v>166</v>
      </c>
      <c r="D27" s="10" t="s">
        <v>1561</v>
      </c>
      <c r="E27" s="8" t="s">
        <v>1562</v>
      </c>
      <c r="F27" s="8" t="s">
        <v>1563</v>
      </c>
      <c r="G27" s="10" t="s">
        <v>29</v>
      </c>
      <c r="H27" s="8" t="s">
        <v>1564</v>
      </c>
      <c r="I27" s="10" t="s">
        <v>1565</v>
      </c>
      <c r="J27" s="8" t="s">
        <v>1529</v>
      </c>
      <c r="K27" s="8" t="s">
        <v>29</v>
      </c>
      <c r="L27" s="8" t="s">
        <v>29</v>
      </c>
      <c r="M27" s="10" t="s">
        <v>29</v>
      </c>
      <c r="N27" s="8" t="s">
        <v>29</v>
      </c>
      <c r="O27" s="10" t="s">
        <v>19</v>
      </c>
      <c r="P27" s="8" t="s">
        <v>1566</v>
      </c>
      <c r="Q27" s="10" t="s">
        <v>197</v>
      </c>
      <c r="R27" s="10" t="s">
        <v>1387</v>
      </c>
      <c r="S27" s="8" t="s">
        <v>1545</v>
      </c>
      <c r="T27" s="10" t="s">
        <v>1531</v>
      </c>
      <c r="U27" s="10" t="s">
        <v>29</v>
      </c>
    </row>
    <row r="28" spans="1:21" s="10" customFormat="1" x14ac:dyDescent="0.25">
      <c r="A28" s="10" t="s">
        <v>1567</v>
      </c>
      <c r="B28" s="10" t="s">
        <v>1523</v>
      </c>
      <c r="C28" s="10" t="s">
        <v>166</v>
      </c>
      <c r="D28" s="10" t="s">
        <v>1568</v>
      </c>
      <c r="E28" s="8" t="s">
        <v>1569</v>
      </c>
      <c r="F28" s="8" t="s">
        <v>1570</v>
      </c>
      <c r="G28" s="10" t="s">
        <v>29</v>
      </c>
      <c r="H28" s="8" t="s">
        <v>1571</v>
      </c>
      <c r="I28" s="10" t="s">
        <v>1572</v>
      </c>
      <c r="J28" s="8" t="s">
        <v>1529</v>
      </c>
      <c r="K28" s="8" t="s">
        <v>29</v>
      </c>
      <c r="L28" s="8" t="s">
        <v>29</v>
      </c>
      <c r="M28" s="10" t="s">
        <v>29</v>
      </c>
      <c r="N28" s="8" t="s">
        <v>29</v>
      </c>
      <c r="O28" s="10" t="s">
        <v>19</v>
      </c>
      <c r="P28" s="8" t="s">
        <v>1573</v>
      </c>
      <c r="Q28" s="10" t="s">
        <v>197</v>
      </c>
      <c r="R28" s="10" t="s">
        <v>1387</v>
      </c>
      <c r="S28" s="8" t="s">
        <v>1545</v>
      </c>
      <c r="T28" s="10" t="s">
        <v>1531</v>
      </c>
      <c r="U28" s="10" t="s">
        <v>29</v>
      </c>
    </row>
    <row r="29" spans="1:21" s="10" customFormat="1" x14ac:dyDescent="0.25">
      <c r="A29" s="10" t="s">
        <v>1574</v>
      </c>
      <c r="B29" s="10" t="s">
        <v>1523</v>
      </c>
      <c r="C29" s="10" t="s">
        <v>166</v>
      </c>
      <c r="D29" s="10" t="s">
        <v>1575</v>
      </c>
      <c r="E29" s="8" t="s">
        <v>1576</v>
      </c>
      <c r="F29" s="8" t="s">
        <v>1577</v>
      </c>
      <c r="G29" s="10" t="s">
        <v>29</v>
      </c>
      <c r="H29" s="8" t="s">
        <v>1578</v>
      </c>
      <c r="I29" s="10" t="s">
        <v>1579</v>
      </c>
      <c r="J29" s="8" t="s">
        <v>1529</v>
      </c>
      <c r="K29" s="8" t="s">
        <v>29</v>
      </c>
      <c r="L29" s="8" t="s">
        <v>29</v>
      </c>
      <c r="M29" s="10" t="s">
        <v>29</v>
      </c>
      <c r="N29" s="8" t="s">
        <v>29</v>
      </c>
      <c r="O29" s="10" t="s">
        <v>19</v>
      </c>
      <c r="P29" s="8" t="s">
        <v>1580</v>
      </c>
      <c r="Q29" s="10" t="s">
        <v>197</v>
      </c>
      <c r="R29" s="10" t="s">
        <v>1387</v>
      </c>
      <c r="S29" s="8" t="s">
        <v>1545</v>
      </c>
      <c r="T29" s="10" t="s">
        <v>1531</v>
      </c>
      <c r="U29" s="10" t="s">
        <v>29</v>
      </c>
    </row>
    <row r="30" spans="1:21" s="10" customFormat="1" x14ac:dyDescent="0.25">
      <c r="A30" s="10" t="s">
        <v>1581</v>
      </c>
      <c r="B30" s="10" t="s">
        <v>1523</v>
      </c>
      <c r="C30" s="11" t="s">
        <v>297</v>
      </c>
      <c r="D30" s="10" t="s">
        <v>1582</v>
      </c>
      <c r="E30" s="8" t="s">
        <v>1583</v>
      </c>
      <c r="F30" s="8" t="s">
        <v>1584</v>
      </c>
      <c r="G30" s="10" t="s">
        <v>29</v>
      </c>
      <c r="H30" s="8" t="s">
        <v>1527</v>
      </c>
      <c r="I30" s="10" t="s">
        <v>1528</v>
      </c>
      <c r="J30" s="8" t="s">
        <v>1529</v>
      </c>
      <c r="K30" s="8" t="s">
        <v>29</v>
      </c>
      <c r="L30" s="8" t="s">
        <v>29</v>
      </c>
      <c r="M30" s="10" t="s">
        <v>29</v>
      </c>
      <c r="N30" s="8" t="s">
        <v>29</v>
      </c>
      <c r="O30" s="10" t="s">
        <v>19</v>
      </c>
      <c r="P30" s="8" t="s">
        <v>1585</v>
      </c>
      <c r="Q30" s="10" t="s">
        <v>174</v>
      </c>
      <c r="R30" s="10" t="s">
        <v>1387</v>
      </c>
      <c r="S30" s="8" t="s">
        <v>1586</v>
      </c>
      <c r="T30" s="10" t="s">
        <v>1531</v>
      </c>
      <c r="U30" s="10" t="s">
        <v>29</v>
      </c>
    </row>
    <row r="31" spans="1:21" s="10" customFormat="1" x14ac:dyDescent="0.25">
      <c r="A31" s="10" t="s">
        <v>1587</v>
      </c>
      <c r="B31" s="10" t="s">
        <v>1523</v>
      </c>
      <c r="C31" s="10" t="s">
        <v>166</v>
      </c>
      <c r="D31" s="10" t="s">
        <v>1588</v>
      </c>
      <c r="E31" s="8" t="s">
        <v>1589</v>
      </c>
      <c r="F31" s="8" t="s">
        <v>1590</v>
      </c>
      <c r="G31" s="10" t="s">
        <v>29</v>
      </c>
      <c r="H31" s="8" t="s">
        <v>1591</v>
      </c>
      <c r="I31" s="10" t="s">
        <v>308</v>
      </c>
      <c r="J31" s="8" t="s">
        <v>1529</v>
      </c>
      <c r="K31" s="8" t="s">
        <v>29</v>
      </c>
      <c r="L31" s="8" t="s">
        <v>29</v>
      </c>
      <c r="M31" s="10" t="s">
        <v>29</v>
      </c>
      <c r="N31" s="8" t="s">
        <v>29</v>
      </c>
      <c r="O31" s="10" t="s">
        <v>19</v>
      </c>
      <c r="P31" s="8" t="s">
        <v>1592</v>
      </c>
      <c r="Q31" s="10" t="s">
        <v>190</v>
      </c>
      <c r="R31" s="10" t="s">
        <v>1387</v>
      </c>
      <c r="S31" s="8" t="s">
        <v>1593</v>
      </c>
      <c r="T31" s="10" t="s">
        <v>1531</v>
      </c>
      <c r="U31" s="10" t="s">
        <v>29</v>
      </c>
    </row>
    <row r="32" spans="1:21" s="10" customFormat="1" x14ac:dyDescent="0.25">
      <c r="A32" s="10" t="s">
        <v>1594</v>
      </c>
      <c r="B32" s="10" t="s">
        <v>1523</v>
      </c>
      <c r="C32" s="10" t="s">
        <v>166</v>
      </c>
      <c r="D32" s="10" t="s">
        <v>1595</v>
      </c>
      <c r="E32" s="8" t="s">
        <v>1596</v>
      </c>
      <c r="F32" s="8" t="s">
        <v>1597</v>
      </c>
      <c r="G32" s="10" t="s">
        <v>29</v>
      </c>
      <c r="H32" s="8" t="s">
        <v>1591</v>
      </c>
      <c r="I32" s="10" t="s">
        <v>308</v>
      </c>
      <c r="J32" s="8" t="s">
        <v>1529</v>
      </c>
      <c r="K32" s="8" t="s">
        <v>29</v>
      </c>
      <c r="L32" s="8" t="s">
        <v>29</v>
      </c>
      <c r="M32" s="10" t="s">
        <v>29</v>
      </c>
      <c r="N32" s="8" t="s">
        <v>29</v>
      </c>
      <c r="O32" s="10" t="s">
        <v>19</v>
      </c>
      <c r="P32" s="8" t="s">
        <v>1598</v>
      </c>
      <c r="Q32" s="10" t="s">
        <v>174</v>
      </c>
      <c r="R32" s="10" t="s">
        <v>1387</v>
      </c>
      <c r="S32" s="8" t="s">
        <v>1599</v>
      </c>
      <c r="T32" s="10" t="s">
        <v>1531</v>
      </c>
      <c r="U32" s="10" t="s">
        <v>29</v>
      </c>
    </row>
    <row r="33" spans="1:21" s="10" customFormat="1" x14ac:dyDescent="0.25">
      <c r="A33" s="10" t="s">
        <v>1600</v>
      </c>
      <c r="B33" s="10" t="s">
        <v>1523</v>
      </c>
      <c r="C33" s="11" t="s">
        <v>297</v>
      </c>
      <c r="D33" s="10" t="s">
        <v>1601</v>
      </c>
      <c r="E33" s="8" t="s">
        <v>1602</v>
      </c>
      <c r="F33" s="8" t="s">
        <v>1603</v>
      </c>
      <c r="G33" s="10" t="s">
        <v>29</v>
      </c>
      <c r="H33" s="8" t="s">
        <v>1604</v>
      </c>
      <c r="I33" s="10" t="s">
        <v>1605</v>
      </c>
      <c r="J33" s="8" t="s">
        <v>1606</v>
      </c>
      <c r="K33" s="8" t="s">
        <v>29</v>
      </c>
      <c r="L33" s="8" t="s">
        <v>29</v>
      </c>
      <c r="M33" s="10" t="s">
        <v>29</v>
      </c>
      <c r="N33" s="8" t="s">
        <v>29</v>
      </c>
      <c r="O33" s="10" t="s">
        <v>19</v>
      </c>
      <c r="P33" s="8" t="s">
        <v>1607</v>
      </c>
      <c r="Q33" s="10" t="s">
        <v>1399</v>
      </c>
      <c r="R33" s="10" t="s">
        <v>1608</v>
      </c>
      <c r="S33" s="8" t="s">
        <v>1609</v>
      </c>
      <c r="T33" s="10" t="s">
        <v>1531</v>
      </c>
      <c r="U33" s="10" t="s">
        <v>29</v>
      </c>
    </row>
    <row r="34" spans="1:21" s="10" customFormat="1" x14ac:dyDescent="0.25">
      <c r="A34" s="10" t="s">
        <v>1610</v>
      </c>
      <c r="B34" s="10" t="s">
        <v>1523</v>
      </c>
      <c r="C34" s="11" t="s">
        <v>297</v>
      </c>
      <c r="D34" s="10" t="s">
        <v>1611</v>
      </c>
      <c r="E34" s="8" t="s">
        <v>1612</v>
      </c>
      <c r="F34" s="8" t="s">
        <v>1613</v>
      </c>
      <c r="G34" s="10" t="s">
        <v>29</v>
      </c>
      <c r="H34" s="8" t="s">
        <v>1614</v>
      </c>
      <c r="I34" s="10" t="s">
        <v>308</v>
      </c>
      <c r="J34" s="8" t="s">
        <v>1615</v>
      </c>
      <c r="K34" s="8" t="s">
        <v>29</v>
      </c>
      <c r="L34" s="8" t="s">
        <v>29</v>
      </c>
      <c r="M34" s="10" t="s">
        <v>29</v>
      </c>
      <c r="N34" s="8" t="s">
        <v>29</v>
      </c>
      <c r="O34" s="10" t="s">
        <v>19</v>
      </c>
      <c r="P34" s="8" t="s">
        <v>1616</v>
      </c>
      <c r="Q34" s="10" t="s">
        <v>776</v>
      </c>
      <c r="R34" s="10" t="s">
        <v>1617</v>
      </c>
      <c r="S34" s="8" t="s">
        <v>1618</v>
      </c>
      <c r="T34" s="10" t="s">
        <v>1531</v>
      </c>
      <c r="U34" s="10" t="s">
        <v>29</v>
      </c>
    </row>
    <row r="35" spans="1:21" s="10" customFormat="1" x14ac:dyDescent="0.25">
      <c r="A35" s="10" t="s">
        <v>1619</v>
      </c>
      <c r="B35" s="10" t="s">
        <v>1523</v>
      </c>
      <c r="C35" s="10" t="s">
        <v>166</v>
      </c>
      <c r="D35" s="10" t="s">
        <v>1620</v>
      </c>
      <c r="E35" s="8" t="s">
        <v>1621</v>
      </c>
      <c r="F35" s="8" t="s">
        <v>1622</v>
      </c>
      <c r="G35" s="10" t="s">
        <v>29</v>
      </c>
      <c r="H35" s="8" t="s">
        <v>1591</v>
      </c>
      <c r="I35" s="10" t="s">
        <v>308</v>
      </c>
      <c r="J35" s="8" t="s">
        <v>1529</v>
      </c>
      <c r="K35" s="8" t="s">
        <v>29</v>
      </c>
      <c r="L35" s="8" t="s">
        <v>29</v>
      </c>
      <c r="M35" s="10" t="s">
        <v>29</v>
      </c>
      <c r="N35" s="8" t="s">
        <v>29</v>
      </c>
      <c r="O35" s="10" t="s">
        <v>19</v>
      </c>
      <c r="P35" s="8" t="s">
        <v>1623</v>
      </c>
      <c r="Q35" s="10" t="s">
        <v>174</v>
      </c>
      <c r="R35" s="10" t="s">
        <v>1387</v>
      </c>
      <c r="S35" s="8" t="s">
        <v>1586</v>
      </c>
      <c r="T35" s="10" t="s">
        <v>1531</v>
      </c>
      <c r="U35" s="10" t="s">
        <v>29</v>
      </c>
    </row>
    <row r="36" spans="1:21" s="10" customFormat="1" x14ac:dyDescent="0.25">
      <c r="A36" s="10" t="s">
        <v>1624</v>
      </c>
      <c r="B36" s="10" t="s">
        <v>1523</v>
      </c>
      <c r="C36" s="10" t="s">
        <v>166</v>
      </c>
      <c r="D36" s="10" t="s">
        <v>1625</v>
      </c>
      <c r="E36" s="8" t="s">
        <v>1626</v>
      </c>
      <c r="F36" s="8" t="s">
        <v>1627</v>
      </c>
      <c r="G36" s="10" t="s">
        <v>29</v>
      </c>
      <c r="H36" s="8" t="s">
        <v>1628</v>
      </c>
      <c r="I36" s="10" t="s">
        <v>308</v>
      </c>
      <c r="J36" s="8" t="s">
        <v>1529</v>
      </c>
      <c r="K36" s="8" t="s">
        <v>29</v>
      </c>
      <c r="L36" s="8" t="s">
        <v>29</v>
      </c>
      <c r="M36" s="10" t="s">
        <v>29</v>
      </c>
      <c r="N36" s="8" t="s">
        <v>29</v>
      </c>
      <c r="O36" s="10" t="s">
        <v>19</v>
      </c>
      <c r="P36" s="8" t="s">
        <v>1629</v>
      </c>
      <c r="Q36" s="10" t="s">
        <v>197</v>
      </c>
      <c r="R36" s="10" t="s">
        <v>1387</v>
      </c>
      <c r="S36" s="8" t="s">
        <v>1630</v>
      </c>
      <c r="T36" s="10" t="s">
        <v>1531</v>
      </c>
      <c r="U36" s="10" t="s">
        <v>29</v>
      </c>
    </row>
    <row r="37" spans="1:21" s="10" customFormat="1" x14ac:dyDescent="0.25">
      <c r="A37" s="10" t="s">
        <v>1631</v>
      </c>
      <c r="B37" s="10" t="s">
        <v>1523</v>
      </c>
      <c r="C37" s="11" t="s">
        <v>297</v>
      </c>
      <c r="D37" s="10" t="s">
        <v>1632</v>
      </c>
      <c r="E37" s="8" t="s">
        <v>1633</v>
      </c>
      <c r="F37" s="8" t="s">
        <v>1634</v>
      </c>
      <c r="G37" s="10" t="s">
        <v>29</v>
      </c>
      <c r="H37" s="8" t="s">
        <v>1635</v>
      </c>
      <c r="I37" s="10" t="s">
        <v>1636</v>
      </c>
      <c r="J37" s="8" t="s">
        <v>1529</v>
      </c>
      <c r="K37" s="8" t="s">
        <v>29</v>
      </c>
      <c r="L37" s="8" t="s">
        <v>29</v>
      </c>
      <c r="M37" s="10" t="s">
        <v>29</v>
      </c>
      <c r="N37" s="8" t="s">
        <v>29</v>
      </c>
      <c r="O37" s="10" t="s">
        <v>19</v>
      </c>
      <c r="P37" s="8" t="s">
        <v>1637</v>
      </c>
      <c r="Q37" s="10" t="s">
        <v>1399</v>
      </c>
      <c r="R37" s="10" t="s">
        <v>1387</v>
      </c>
      <c r="S37" s="8" t="s">
        <v>1638</v>
      </c>
      <c r="T37" s="10" t="s">
        <v>1531</v>
      </c>
      <c r="U37" s="10" t="s">
        <v>29</v>
      </c>
    </row>
    <row r="38" spans="1:21" s="10" customFormat="1" x14ac:dyDescent="0.25">
      <c r="A38" s="10" t="s">
        <v>1639</v>
      </c>
      <c r="B38" s="10" t="s">
        <v>1523</v>
      </c>
      <c r="C38" s="11" t="s">
        <v>297</v>
      </c>
      <c r="D38" s="10" t="s">
        <v>1640</v>
      </c>
      <c r="E38" s="8" t="s">
        <v>1641</v>
      </c>
      <c r="F38" s="8" t="s">
        <v>1642</v>
      </c>
      <c r="G38" s="10" t="s">
        <v>29</v>
      </c>
      <c r="H38" s="8" t="s">
        <v>1643</v>
      </c>
      <c r="I38" s="10" t="s">
        <v>1579</v>
      </c>
      <c r="J38" s="8" t="s">
        <v>1529</v>
      </c>
      <c r="K38" s="8" t="s">
        <v>29</v>
      </c>
      <c r="L38" s="8" t="s">
        <v>29</v>
      </c>
      <c r="M38" s="10" t="s">
        <v>29</v>
      </c>
      <c r="N38" s="8" t="s">
        <v>29</v>
      </c>
      <c r="O38" s="10" t="s">
        <v>19</v>
      </c>
      <c r="P38" s="8" t="s">
        <v>1644</v>
      </c>
      <c r="Q38" s="10" t="s">
        <v>1399</v>
      </c>
      <c r="R38" s="10" t="s">
        <v>1387</v>
      </c>
      <c r="S38" s="8" t="s">
        <v>1645</v>
      </c>
      <c r="T38" s="10" t="s">
        <v>1531</v>
      </c>
      <c r="U38" s="10" t="s">
        <v>29</v>
      </c>
    </row>
    <row r="39" spans="1:21" s="10" customFormat="1" x14ac:dyDescent="0.25">
      <c r="A39" s="10" t="s">
        <v>1646</v>
      </c>
      <c r="B39" s="10" t="s">
        <v>1523</v>
      </c>
      <c r="C39" s="11" t="s">
        <v>297</v>
      </c>
      <c r="D39" s="10" t="s">
        <v>1647</v>
      </c>
      <c r="E39" s="8" t="s">
        <v>1648</v>
      </c>
      <c r="F39" s="8" t="s">
        <v>1649</v>
      </c>
      <c r="G39" s="10" t="s">
        <v>29</v>
      </c>
      <c r="H39" s="8" t="s">
        <v>1527</v>
      </c>
      <c r="I39" s="10" t="s">
        <v>1528</v>
      </c>
      <c r="J39" s="8" t="s">
        <v>1529</v>
      </c>
      <c r="K39" s="8" t="s">
        <v>29</v>
      </c>
      <c r="L39" s="8" t="s">
        <v>29</v>
      </c>
      <c r="M39" s="10" t="s">
        <v>29</v>
      </c>
      <c r="N39" s="8" t="s">
        <v>29</v>
      </c>
      <c r="O39" s="10" t="s">
        <v>19</v>
      </c>
      <c r="P39" s="8" t="s">
        <v>1650</v>
      </c>
      <c r="Q39" s="10" t="s">
        <v>174</v>
      </c>
      <c r="R39" s="10" t="s">
        <v>1387</v>
      </c>
      <c r="S39" s="8" t="s">
        <v>1651</v>
      </c>
      <c r="T39" s="10" t="s">
        <v>1531</v>
      </c>
      <c r="U39" s="10" t="s">
        <v>29</v>
      </c>
    </row>
    <row r="40" spans="1:21" s="10" customFormat="1" x14ac:dyDescent="0.25">
      <c r="A40" s="10" t="s">
        <v>1652</v>
      </c>
      <c r="B40" s="10" t="s">
        <v>1523</v>
      </c>
      <c r="C40" s="10" t="s">
        <v>166</v>
      </c>
      <c r="D40" s="10" t="s">
        <v>1653</v>
      </c>
      <c r="E40" s="8" t="s">
        <v>1654</v>
      </c>
      <c r="F40" s="8" t="s">
        <v>1655</v>
      </c>
      <c r="G40" s="10" t="s">
        <v>29</v>
      </c>
      <c r="H40" s="8" t="s">
        <v>1656</v>
      </c>
      <c r="I40" s="10" t="s">
        <v>308</v>
      </c>
      <c r="J40" s="8" t="s">
        <v>1529</v>
      </c>
      <c r="K40" s="8" t="s">
        <v>29</v>
      </c>
      <c r="L40" s="8" t="s">
        <v>29</v>
      </c>
      <c r="M40" s="10" t="s">
        <v>29</v>
      </c>
      <c r="N40" s="8" t="s">
        <v>29</v>
      </c>
      <c r="O40" s="10" t="s">
        <v>19</v>
      </c>
      <c r="P40" s="8" t="s">
        <v>1657</v>
      </c>
      <c r="Q40" s="10" t="s">
        <v>174</v>
      </c>
      <c r="R40" s="10" t="s">
        <v>1387</v>
      </c>
      <c r="S40" s="8" t="s">
        <v>1658</v>
      </c>
      <c r="T40" s="10" t="s">
        <v>1531</v>
      </c>
      <c r="U40" s="10" t="s">
        <v>29</v>
      </c>
    </row>
    <row r="41" spans="1:21" s="10" customFormat="1" x14ac:dyDescent="0.25">
      <c r="A41" s="10" t="s">
        <v>1659</v>
      </c>
      <c r="B41" s="10" t="s">
        <v>1523</v>
      </c>
      <c r="C41" s="10" t="s">
        <v>166</v>
      </c>
      <c r="D41" s="10" t="s">
        <v>1660</v>
      </c>
      <c r="E41" s="8" t="s">
        <v>1661</v>
      </c>
      <c r="F41" s="8" t="s">
        <v>1662</v>
      </c>
      <c r="G41" s="10" t="s">
        <v>29</v>
      </c>
      <c r="H41" s="8" t="s">
        <v>1663</v>
      </c>
      <c r="I41" s="10" t="s">
        <v>308</v>
      </c>
      <c r="J41" s="8" t="s">
        <v>1529</v>
      </c>
      <c r="K41" s="8" t="s">
        <v>29</v>
      </c>
      <c r="L41" s="8" t="s">
        <v>29</v>
      </c>
      <c r="M41" s="10" t="s">
        <v>29</v>
      </c>
      <c r="N41" s="8" t="s">
        <v>29</v>
      </c>
      <c r="O41" s="10" t="s">
        <v>19</v>
      </c>
      <c r="P41" s="8" t="s">
        <v>1664</v>
      </c>
      <c r="Q41" s="10" t="s">
        <v>174</v>
      </c>
      <c r="R41" s="10" t="s">
        <v>1387</v>
      </c>
      <c r="S41" s="8" t="s">
        <v>1665</v>
      </c>
      <c r="T41" s="10" t="s">
        <v>1531</v>
      </c>
      <c r="U41" s="10" t="s">
        <v>29</v>
      </c>
    </row>
    <row r="42" spans="1:21" s="10" customFormat="1" x14ac:dyDescent="0.25">
      <c r="A42" s="10" t="s">
        <v>1666</v>
      </c>
      <c r="B42" s="10" t="s">
        <v>1523</v>
      </c>
      <c r="C42" s="10" t="s">
        <v>166</v>
      </c>
      <c r="D42" s="10" t="s">
        <v>1667</v>
      </c>
      <c r="E42" s="8" t="s">
        <v>1668</v>
      </c>
      <c r="F42" s="8" t="s">
        <v>1669</v>
      </c>
      <c r="G42" s="10" t="s">
        <v>29</v>
      </c>
      <c r="H42" s="8" t="s">
        <v>1670</v>
      </c>
      <c r="I42" s="10" t="s">
        <v>308</v>
      </c>
      <c r="J42" s="8" t="s">
        <v>1529</v>
      </c>
      <c r="K42" s="8" t="s">
        <v>29</v>
      </c>
      <c r="L42" s="8" t="s">
        <v>29</v>
      </c>
      <c r="M42" s="10" t="s">
        <v>29</v>
      </c>
      <c r="N42" s="8" t="s">
        <v>29</v>
      </c>
      <c r="O42" s="10" t="s">
        <v>19</v>
      </c>
      <c r="P42" s="8" t="s">
        <v>1671</v>
      </c>
      <c r="Q42" s="10" t="s">
        <v>174</v>
      </c>
      <c r="R42" s="10" t="s">
        <v>1387</v>
      </c>
      <c r="S42" s="8" t="s">
        <v>1672</v>
      </c>
      <c r="T42" s="10" t="s">
        <v>1531</v>
      </c>
      <c r="U42" s="10" t="s">
        <v>29</v>
      </c>
    </row>
    <row r="43" spans="1:21" s="10" customFormat="1" x14ac:dyDescent="0.25">
      <c r="A43" s="10" t="s">
        <v>1673</v>
      </c>
      <c r="B43" s="10" t="s">
        <v>1523</v>
      </c>
      <c r="C43" s="10" t="s">
        <v>166</v>
      </c>
      <c r="D43" s="10" t="s">
        <v>1674</v>
      </c>
      <c r="E43" s="8" t="s">
        <v>1675</v>
      </c>
      <c r="F43" s="8" t="s">
        <v>1676</v>
      </c>
      <c r="G43" s="10" t="s">
        <v>29</v>
      </c>
      <c r="H43" s="8" t="s">
        <v>1677</v>
      </c>
      <c r="I43" s="10" t="s">
        <v>308</v>
      </c>
      <c r="J43" s="8" t="s">
        <v>1529</v>
      </c>
      <c r="K43" s="8" t="s">
        <v>29</v>
      </c>
      <c r="L43" s="8" t="s">
        <v>29</v>
      </c>
      <c r="M43" s="10" t="s">
        <v>29</v>
      </c>
      <c r="N43" s="8" t="s">
        <v>29</v>
      </c>
      <c r="O43" s="10" t="s">
        <v>19</v>
      </c>
      <c r="P43" s="8" t="s">
        <v>1678</v>
      </c>
      <c r="Q43" s="10" t="s">
        <v>174</v>
      </c>
      <c r="R43" s="10" t="s">
        <v>1387</v>
      </c>
      <c r="S43" s="8" t="s">
        <v>1679</v>
      </c>
      <c r="T43" s="10" t="s">
        <v>1531</v>
      </c>
      <c r="U43" s="10" t="s">
        <v>29</v>
      </c>
    </row>
    <row r="44" spans="1:21" s="10" customFormat="1" x14ac:dyDescent="0.25">
      <c r="A44" s="10" t="s">
        <v>1680</v>
      </c>
      <c r="B44" s="10" t="s">
        <v>1523</v>
      </c>
      <c r="C44" s="10" t="s">
        <v>166</v>
      </c>
      <c r="D44" s="10" t="s">
        <v>1681</v>
      </c>
      <c r="E44" s="8" t="s">
        <v>1682</v>
      </c>
      <c r="F44" s="8" t="s">
        <v>1683</v>
      </c>
      <c r="G44" s="10" t="s">
        <v>29</v>
      </c>
      <c r="H44" s="8" t="s">
        <v>1684</v>
      </c>
      <c r="I44" s="10" t="s">
        <v>308</v>
      </c>
      <c r="J44" s="8" t="s">
        <v>1529</v>
      </c>
      <c r="K44" s="8" t="s">
        <v>29</v>
      </c>
      <c r="L44" s="8" t="s">
        <v>29</v>
      </c>
      <c r="M44" s="10" t="s">
        <v>29</v>
      </c>
      <c r="N44" s="8" t="s">
        <v>29</v>
      </c>
      <c r="O44" s="10" t="s">
        <v>19</v>
      </c>
      <c r="P44" s="8" t="s">
        <v>1685</v>
      </c>
      <c r="Q44" s="10" t="s">
        <v>174</v>
      </c>
      <c r="R44" s="10" t="s">
        <v>1387</v>
      </c>
      <c r="S44" s="8" t="s">
        <v>1686</v>
      </c>
      <c r="T44" s="10" t="s">
        <v>1531</v>
      </c>
      <c r="U44" s="10" t="s">
        <v>29</v>
      </c>
    </row>
    <row r="45" spans="1:21" s="10" customFormat="1" x14ac:dyDescent="0.25">
      <c r="A45" s="10" t="s">
        <v>1687</v>
      </c>
      <c r="B45" s="10" t="s">
        <v>1523</v>
      </c>
      <c r="C45" s="10" t="s">
        <v>166</v>
      </c>
      <c r="D45" s="10" t="s">
        <v>1688</v>
      </c>
      <c r="E45" s="8" t="s">
        <v>1689</v>
      </c>
      <c r="F45" s="8" t="s">
        <v>1690</v>
      </c>
      <c r="G45" s="10" t="s">
        <v>29</v>
      </c>
      <c r="H45" s="8" t="s">
        <v>1691</v>
      </c>
      <c r="I45" s="10" t="s">
        <v>308</v>
      </c>
      <c r="J45" s="8" t="s">
        <v>1529</v>
      </c>
      <c r="K45" s="8" t="s">
        <v>29</v>
      </c>
      <c r="L45" s="8" t="s">
        <v>29</v>
      </c>
      <c r="M45" s="10" t="s">
        <v>29</v>
      </c>
      <c r="N45" s="8" t="s">
        <v>29</v>
      </c>
      <c r="O45" s="10" t="s">
        <v>19</v>
      </c>
      <c r="P45" s="8" t="s">
        <v>1692</v>
      </c>
      <c r="Q45" s="10" t="s">
        <v>174</v>
      </c>
      <c r="R45" s="10" t="s">
        <v>1387</v>
      </c>
      <c r="S45" s="8" t="s">
        <v>1693</v>
      </c>
      <c r="T45" s="10" t="s">
        <v>1531</v>
      </c>
      <c r="U45" s="10" t="s">
        <v>29</v>
      </c>
    </row>
    <row r="46" spans="1:21" s="10" customFormat="1" x14ac:dyDescent="0.25">
      <c r="A46" s="10" t="s">
        <v>1694</v>
      </c>
      <c r="B46" s="10" t="s">
        <v>1523</v>
      </c>
      <c r="C46" s="10" t="s">
        <v>166</v>
      </c>
      <c r="D46" s="10" t="s">
        <v>1695</v>
      </c>
      <c r="E46" s="8" t="s">
        <v>1696</v>
      </c>
      <c r="F46" s="8" t="s">
        <v>1697</v>
      </c>
      <c r="G46" s="10" t="s">
        <v>29</v>
      </c>
      <c r="H46" s="8" t="s">
        <v>1698</v>
      </c>
      <c r="I46" s="10" t="s">
        <v>308</v>
      </c>
      <c r="J46" s="8" t="s">
        <v>1529</v>
      </c>
      <c r="K46" s="8" t="s">
        <v>29</v>
      </c>
      <c r="L46" s="8" t="s">
        <v>29</v>
      </c>
      <c r="M46" s="10" t="s">
        <v>29</v>
      </c>
      <c r="N46" s="8" t="s">
        <v>29</v>
      </c>
      <c r="O46" s="10" t="s">
        <v>19</v>
      </c>
      <c r="P46" s="8" t="s">
        <v>1699</v>
      </c>
      <c r="Q46" s="10" t="s">
        <v>174</v>
      </c>
      <c r="R46" s="10" t="s">
        <v>1387</v>
      </c>
      <c r="S46" s="8" t="s">
        <v>1700</v>
      </c>
      <c r="T46" s="10" t="s">
        <v>1531</v>
      </c>
      <c r="U46" s="10" t="s">
        <v>29</v>
      </c>
    </row>
    <row r="47" spans="1:21" s="10" customFormat="1" x14ac:dyDescent="0.25">
      <c r="A47" s="10" t="s">
        <v>1701</v>
      </c>
      <c r="B47" s="10" t="s">
        <v>1523</v>
      </c>
      <c r="C47" s="11" t="s">
        <v>297</v>
      </c>
      <c r="D47" s="10" t="s">
        <v>1702</v>
      </c>
      <c r="E47" s="8" t="s">
        <v>1703</v>
      </c>
      <c r="F47" s="8" t="s">
        <v>1704</v>
      </c>
      <c r="G47" s="10" t="s">
        <v>29</v>
      </c>
      <c r="H47" s="8" t="s">
        <v>1705</v>
      </c>
      <c r="I47" s="10" t="s">
        <v>1551</v>
      </c>
      <c r="J47" s="8" t="s">
        <v>1529</v>
      </c>
      <c r="K47" s="8" t="s">
        <v>29</v>
      </c>
      <c r="L47" s="8" t="s">
        <v>29</v>
      </c>
      <c r="M47" s="10" t="s">
        <v>29</v>
      </c>
      <c r="N47" s="8" t="s">
        <v>29</v>
      </c>
      <c r="O47" s="10" t="s">
        <v>19</v>
      </c>
      <c r="P47" s="8" t="s">
        <v>1706</v>
      </c>
      <c r="Q47" s="10" t="s">
        <v>174</v>
      </c>
      <c r="R47" s="10" t="s">
        <v>1387</v>
      </c>
      <c r="S47" s="8" t="s">
        <v>1707</v>
      </c>
      <c r="T47" s="10" t="s">
        <v>1531</v>
      </c>
      <c r="U47" s="10" t="s">
        <v>29</v>
      </c>
    </row>
    <row r="48" spans="1:21" s="10" customFormat="1" x14ac:dyDescent="0.25">
      <c r="A48" s="10" t="s">
        <v>1708</v>
      </c>
      <c r="B48" s="10" t="s">
        <v>1523</v>
      </c>
      <c r="C48" s="10" t="s">
        <v>166</v>
      </c>
      <c r="D48" s="10" t="s">
        <v>1709</v>
      </c>
      <c r="E48" s="8" t="s">
        <v>1710</v>
      </c>
      <c r="F48" s="8" t="s">
        <v>1711</v>
      </c>
      <c r="G48" s="10" t="s">
        <v>29</v>
      </c>
      <c r="H48" s="8" t="s">
        <v>1712</v>
      </c>
      <c r="I48" s="10" t="s">
        <v>1551</v>
      </c>
      <c r="J48" s="8" t="s">
        <v>1529</v>
      </c>
      <c r="K48" s="8" t="s">
        <v>29</v>
      </c>
      <c r="L48" s="8" t="s">
        <v>29</v>
      </c>
      <c r="M48" s="10" t="s">
        <v>29</v>
      </c>
      <c r="N48" s="8" t="s">
        <v>29</v>
      </c>
      <c r="O48" s="10" t="s">
        <v>19</v>
      </c>
      <c r="P48" s="8" t="s">
        <v>1713</v>
      </c>
      <c r="Q48" s="10" t="s">
        <v>174</v>
      </c>
      <c r="R48" s="10" t="s">
        <v>1387</v>
      </c>
      <c r="S48" s="8" t="s">
        <v>1714</v>
      </c>
      <c r="T48" s="10" t="s">
        <v>1531</v>
      </c>
      <c r="U48" s="10" t="s">
        <v>29</v>
      </c>
    </row>
    <row r="49" spans="1:21" s="10" customFormat="1" x14ac:dyDescent="0.25">
      <c r="A49" s="10" t="s">
        <v>1715</v>
      </c>
      <c r="B49" s="10" t="s">
        <v>1523</v>
      </c>
      <c r="C49" s="10" t="s">
        <v>166</v>
      </c>
      <c r="D49" s="10" t="s">
        <v>1716</v>
      </c>
      <c r="E49" s="8" t="s">
        <v>1717</v>
      </c>
      <c r="F49" s="8" t="s">
        <v>1718</v>
      </c>
      <c r="G49" s="10" t="s">
        <v>29</v>
      </c>
      <c r="H49" s="8" t="s">
        <v>1719</v>
      </c>
      <c r="I49" s="10" t="s">
        <v>1551</v>
      </c>
      <c r="J49" s="8" t="s">
        <v>1529</v>
      </c>
      <c r="K49" s="8" t="s">
        <v>29</v>
      </c>
      <c r="L49" s="8" t="s">
        <v>29</v>
      </c>
      <c r="M49" s="10" t="s">
        <v>29</v>
      </c>
      <c r="N49" s="8" t="s">
        <v>29</v>
      </c>
      <c r="O49" s="10" t="s">
        <v>19</v>
      </c>
      <c r="P49" s="8" t="s">
        <v>1720</v>
      </c>
      <c r="Q49" s="10" t="s">
        <v>174</v>
      </c>
      <c r="R49" s="10" t="s">
        <v>1387</v>
      </c>
      <c r="S49" s="8" t="s">
        <v>1721</v>
      </c>
      <c r="T49" s="10" t="s">
        <v>1531</v>
      </c>
      <c r="U49" s="10" t="s">
        <v>29</v>
      </c>
    </row>
    <row r="50" spans="1:21" s="10" customFormat="1" x14ac:dyDescent="0.25">
      <c r="A50" s="10" t="s">
        <v>1722</v>
      </c>
      <c r="B50" s="10" t="s">
        <v>1523</v>
      </c>
      <c r="C50" s="10" t="s">
        <v>166</v>
      </c>
      <c r="D50" s="10" t="s">
        <v>1723</v>
      </c>
      <c r="E50" s="8" t="s">
        <v>1724</v>
      </c>
      <c r="F50" s="8" t="s">
        <v>1725</v>
      </c>
      <c r="G50" s="10" t="s">
        <v>29</v>
      </c>
      <c r="H50" s="8" t="s">
        <v>1726</v>
      </c>
      <c r="I50" s="10" t="s">
        <v>1558</v>
      </c>
      <c r="J50" s="8" t="s">
        <v>1529</v>
      </c>
      <c r="K50" s="8" t="s">
        <v>29</v>
      </c>
      <c r="L50" s="8" t="s">
        <v>29</v>
      </c>
      <c r="M50" s="10" t="s">
        <v>29</v>
      </c>
      <c r="N50" s="8" t="s">
        <v>29</v>
      </c>
      <c r="O50" s="10" t="s">
        <v>19</v>
      </c>
      <c r="P50" s="8" t="s">
        <v>1727</v>
      </c>
      <c r="Q50" s="10" t="s">
        <v>174</v>
      </c>
      <c r="R50" s="10" t="s">
        <v>1387</v>
      </c>
      <c r="S50" s="8" t="s">
        <v>1728</v>
      </c>
      <c r="T50" s="10" t="s">
        <v>1531</v>
      </c>
      <c r="U50" s="10" t="s">
        <v>29</v>
      </c>
    </row>
    <row r="51" spans="1:21" s="10" customFormat="1" x14ac:dyDescent="0.25">
      <c r="A51" s="10" t="s">
        <v>1729</v>
      </c>
      <c r="B51" s="10" t="s">
        <v>1523</v>
      </c>
      <c r="C51" s="10" t="s">
        <v>166</v>
      </c>
      <c r="D51" s="10" t="s">
        <v>1730</v>
      </c>
      <c r="E51" s="8" t="s">
        <v>1731</v>
      </c>
      <c r="F51" s="8" t="s">
        <v>1732</v>
      </c>
      <c r="G51" s="10" t="s">
        <v>29</v>
      </c>
      <c r="H51" s="8" t="s">
        <v>1733</v>
      </c>
      <c r="I51" s="10" t="s">
        <v>1558</v>
      </c>
      <c r="J51" s="8" t="s">
        <v>1529</v>
      </c>
      <c r="K51" s="8" t="s">
        <v>29</v>
      </c>
      <c r="L51" s="8" t="s">
        <v>29</v>
      </c>
      <c r="M51" s="10" t="s">
        <v>29</v>
      </c>
      <c r="N51" s="8" t="s">
        <v>29</v>
      </c>
      <c r="O51" s="10" t="s">
        <v>19</v>
      </c>
      <c r="P51" s="8" t="s">
        <v>1727</v>
      </c>
      <c r="Q51" s="10" t="s">
        <v>174</v>
      </c>
      <c r="R51" s="10" t="s">
        <v>1387</v>
      </c>
      <c r="S51" s="8" t="s">
        <v>1586</v>
      </c>
      <c r="T51" s="10" t="s">
        <v>1531</v>
      </c>
      <c r="U51" s="10" t="s">
        <v>29</v>
      </c>
    </row>
    <row r="52" spans="1:21" s="10" customFormat="1" x14ac:dyDescent="0.25">
      <c r="A52" s="10" t="s">
        <v>1734</v>
      </c>
      <c r="B52" s="10" t="s">
        <v>1523</v>
      </c>
      <c r="C52" s="11" t="s">
        <v>297</v>
      </c>
      <c r="D52" s="10" t="s">
        <v>1735</v>
      </c>
      <c r="E52" s="8" t="s">
        <v>1736</v>
      </c>
      <c r="F52" s="8" t="s">
        <v>1737</v>
      </c>
      <c r="G52" s="10" t="s">
        <v>29</v>
      </c>
      <c r="H52" s="8" t="s">
        <v>1738</v>
      </c>
      <c r="I52" s="10" t="s">
        <v>1565</v>
      </c>
      <c r="J52" s="8" t="s">
        <v>1529</v>
      </c>
      <c r="K52" s="8" t="s">
        <v>29</v>
      </c>
      <c r="L52" s="8" t="s">
        <v>29</v>
      </c>
      <c r="M52" s="10" t="s">
        <v>29</v>
      </c>
      <c r="N52" s="8" t="s">
        <v>29</v>
      </c>
      <c r="O52" s="10" t="s">
        <v>19</v>
      </c>
      <c r="P52" s="8" t="s">
        <v>1739</v>
      </c>
      <c r="Q52" s="10" t="s">
        <v>174</v>
      </c>
      <c r="R52" s="10" t="s">
        <v>1387</v>
      </c>
      <c r="S52" s="8" t="s">
        <v>1740</v>
      </c>
      <c r="T52" s="10" t="s">
        <v>1531</v>
      </c>
      <c r="U52" s="10" t="s">
        <v>29</v>
      </c>
    </row>
    <row r="53" spans="1:21" s="10" customFormat="1" x14ac:dyDescent="0.25">
      <c r="A53" s="10" t="s">
        <v>1741</v>
      </c>
      <c r="B53" s="10" t="s">
        <v>1523</v>
      </c>
      <c r="C53" s="10" t="s">
        <v>335</v>
      </c>
      <c r="D53" s="10" t="s">
        <v>1742</v>
      </c>
      <c r="E53" s="8" t="s">
        <v>1743</v>
      </c>
      <c r="F53" s="8" t="s">
        <v>1744</v>
      </c>
      <c r="G53" s="10" t="s">
        <v>29</v>
      </c>
      <c r="H53" s="8" t="s">
        <v>1745</v>
      </c>
      <c r="I53" s="10" t="s">
        <v>1565</v>
      </c>
      <c r="J53" s="8" t="s">
        <v>1529</v>
      </c>
      <c r="K53" s="8" t="s">
        <v>29</v>
      </c>
      <c r="L53" s="8" t="s">
        <v>29</v>
      </c>
      <c r="M53" s="10" t="s">
        <v>29</v>
      </c>
      <c r="N53" s="8" t="s">
        <v>29</v>
      </c>
      <c r="O53" s="10" t="s">
        <v>19</v>
      </c>
      <c r="P53" s="8" t="s">
        <v>1746</v>
      </c>
      <c r="Q53" s="10" t="s">
        <v>174</v>
      </c>
      <c r="R53" s="10" t="s">
        <v>1387</v>
      </c>
      <c r="S53" s="8" t="s">
        <v>1747</v>
      </c>
      <c r="T53" s="10" t="s">
        <v>1531</v>
      </c>
      <c r="U53" s="10" t="s">
        <v>29</v>
      </c>
    </row>
    <row r="54" spans="1:21" s="10" customFormat="1" x14ac:dyDescent="0.25">
      <c r="A54" s="10" t="s">
        <v>1748</v>
      </c>
      <c r="B54" s="10" t="s">
        <v>1523</v>
      </c>
      <c r="C54" s="10" t="s">
        <v>335</v>
      </c>
      <c r="D54" s="10" t="s">
        <v>1749</v>
      </c>
      <c r="E54" s="8" t="s">
        <v>1750</v>
      </c>
      <c r="F54" s="8" t="s">
        <v>1751</v>
      </c>
      <c r="G54" s="10" t="s">
        <v>29</v>
      </c>
      <c r="H54" s="8" t="s">
        <v>1752</v>
      </c>
      <c r="I54" s="10" t="s">
        <v>1565</v>
      </c>
      <c r="J54" s="8" t="s">
        <v>1529</v>
      </c>
      <c r="K54" s="8" t="s">
        <v>29</v>
      </c>
      <c r="L54" s="8" t="s">
        <v>29</v>
      </c>
      <c r="M54" s="10" t="s">
        <v>29</v>
      </c>
      <c r="N54" s="8" t="s">
        <v>29</v>
      </c>
      <c r="O54" s="10" t="s">
        <v>19</v>
      </c>
      <c r="P54" s="8" t="s">
        <v>1753</v>
      </c>
      <c r="Q54" s="10" t="s">
        <v>174</v>
      </c>
      <c r="R54" s="10" t="s">
        <v>1387</v>
      </c>
      <c r="S54" s="8" t="s">
        <v>1754</v>
      </c>
      <c r="T54" s="10" t="s">
        <v>1531</v>
      </c>
      <c r="U54" s="10" t="s">
        <v>29</v>
      </c>
    </row>
    <row r="55" spans="1:21" s="10" customFormat="1" x14ac:dyDescent="0.25">
      <c r="A55" s="10" t="s">
        <v>1755</v>
      </c>
      <c r="B55" s="10" t="s">
        <v>1523</v>
      </c>
      <c r="C55" s="10" t="s">
        <v>335</v>
      </c>
      <c r="D55" s="10" t="s">
        <v>1756</v>
      </c>
      <c r="E55" s="8" t="s">
        <v>1757</v>
      </c>
      <c r="F55" s="8" t="s">
        <v>1758</v>
      </c>
      <c r="G55" s="10" t="s">
        <v>29</v>
      </c>
      <c r="H55" s="8" t="s">
        <v>1759</v>
      </c>
      <c r="I55" s="10" t="s">
        <v>1565</v>
      </c>
      <c r="J55" s="8" t="s">
        <v>1529</v>
      </c>
      <c r="K55" s="8" t="s">
        <v>29</v>
      </c>
      <c r="L55" s="8" t="s">
        <v>29</v>
      </c>
      <c r="M55" s="10" t="s">
        <v>29</v>
      </c>
      <c r="N55" s="8" t="s">
        <v>29</v>
      </c>
      <c r="O55" s="10" t="s">
        <v>19</v>
      </c>
      <c r="P55" s="8" t="s">
        <v>1760</v>
      </c>
      <c r="Q55" s="10" t="s">
        <v>174</v>
      </c>
      <c r="R55" s="10" t="s">
        <v>1387</v>
      </c>
      <c r="S55" s="8" t="s">
        <v>1761</v>
      </c>
      <c r="T55" s="10" t="s">
        <v>1531</v>
      </c>
      <c r="U55" s="10" t="s">
        <v>29</v>
      </c>
    </row>
    <row r="56" spans="1:21" s="10" customFormat="1" x14ac:dyDescent="0.25">
      <c r="A56" s="10" t="s">
        <v>1762</v>
      </c>
      <c r="B56" s="10" t="s">
        <v>1523</v>
      </c>
      <c r="C56" s="11" t="s">
        <v>297</v>
      </c>
      <c r="D56" s="10" t="s">
        <v>1763</v>
      </c>
      <c r="E56" s="8" t="s">
        <v>1764</v>
      </c>
      <c r="F56" s="8" t="s">
        <v>1765</v>
      </c>
      <c r="G56" s="10" t="s">
        <v>29</v>
      </c>
      <c r="H56" s="8" t="s">
        <v>1766</v>
      </c>
      <c r="I56" s="10" t="s">
        <v>1767</v>
      </c>
      <c r="J56" s="8" t="s">
        <v>1529</v>
      </c>
      <c r="K56" s="8" t="s">
        <v>29</v>
      </c>
      <c r="L56" s="8" t="s">
        <v>29</v>
      </c>
      <c r="M56" s="10" t="s">
        <v>29</v>
      </c>
      <c r="N56" s="8" t="s">
        <v>29</v>
      </c>
      <c r="O56" s="10" t="s">
        <v>19</v>
      </c>
      <c r="P56" s="8" t="s">
        <v>1768</v>
      </c>
      <c r="Q56" s="10" t="s">
        <v>174</v>
      </c>
      <c r="R56" s="10" t="s">
        <v>1387</v>
      </c>
      <c r="S56" s="8" t="s">
        <v>1769</v>
      </c>
      <c r="T56" s="10" t="s">
        <v>1531</v>
      </c>
      <c r="U56" s="10" t="s">
        <v>29</v>
      </c>
    </row>
    <row r="57" spans="1:21" s="10" customFormat="1" x14ac:dyDescent="0.25">
      <c r="A57" s="10" t="s">
        <v>1770</v>
      </c>
      <c r="B57" s="10" t="s">
        <v>1523</v>
      </c>
      <c r="C57" s="10" t="s">
        <v>335</v>
      </c>
      <c r="D57" s="10" t="s">
        <v>1771</v>
      </c>
      <c r="E57" s="8" t="s">
        <v>1772</v>
      </c>
      <c r="F57" s="8" t="s">
        <v>1773</v>
      </c>
      <c r="G57" s="10" t="s">
        <v>29</v>
      </c>
      <c r="H57" s="8" t="s">
        <v>1774</v>
      </c>
      <c r="I57" s="10" t="s">
        <v>1767</v>
      </c>
      <c r="J57" s="8" t="s">
        <v>1529</v>
      </c>
      <c r="K57" s="8" t="s">
        <v>29</v>
      </c>
      <c r="L57" s="8" t="s">
        <v>29</v>
      </c>
      <c r="M57" s="10" t="s">
        <v>29</v>
      </c>
      <c r="N57" s="8" t="s">
        <v>29</v>
      </c>
      <c r="O57" s="10" t="s">
        <v>19</v>
      </c>
      <c r="P57" s="8" t="s">
        <v>1775</v>
      </c>
      <c r="Q57" s="10" t="s">
        <v>174</v>
      </c>
      <c r="R57" s="10" t="s">
        <v>1387</v>
      </c>
      <c r="S57" s="8" t="s">
        <v>1776</v>
      </c>
      <c r="T57" s="10" t="s">
        <v>1531</v>
      </c>
      <c r="U57" s="10" t="s">
        <v>29</v>
      </c>
    </row>
    <row r="58" spans="1:21" s="10" customFormat="1" x14ac:dyDescent="0.25">
      <c r="A58" s="10" t="s">
        <v>1777</v>
      </c>
      <c r="B58" s="10" t="s">
        <v>1523</v>
      </c>
      <c r="C58" s="10" t="s">
        <v>335</v>
      </c>
      <c r="D58" s="10" t="s">
        <v>1778</v>
      </c>
      <c r="E58" s="8" t="s">
        <v>1779</v>
      </c>
      <c r="F58" s="8" t="s">
        <v>1780</v>
      </c>
      <c r="G58" s="10" t="s">
        <v>29</v>
      </c>
      <c r="H58" s="8" t="s">
        <v>1781</v>
      </c>
      <c r="I58" s="10" t="s">
        <v>1767</v>
      </c>
      <c r="J58" s="8" t="s">
        <v>1529</v>
      </c>
      <c r="K58" s="8" t="s">
        <v>29</v>
      </c>
      <c r="L58" s="8" t="s">
        <v>29</v>
      </c>
      <c r="M58" s="10" t="s">
        <v>29</v>
      </c>
      <c r="N58" s="8" t="s">
        <v>29</v>
      </c>
      <c r="O58" s="10" t="s">
        <v>19</v>
      </c>
      <c r="P58" s="8" t="s">
        <v>1782</v>
      </c>
      <c r="Q58" s="10" t="s">
        <v>174</v>
      </c>
      <c r="R58" s="10" t="s">
        <v>1387</v>
      </c>
      <c r="S58" s="8" t="s">
        <v>1783</v>
      </c>
      <c r="T58" s="10" t="s">
        <v>1531</v>
      </c>
      <c r="U58" s="10" t="s">
        <v>29</v>
      </c>
    </row>
    <row r="59" spans="1:21" s="10" customFormat="1" x14ac:dyDescent="0.25">
      <c r="A59" s="10" t="s">
        <v>1784</v>
      </c>
      <c r="B59" s="10" t="s">
        <v>1523</v>
      </c>
      <c r="C59" s="10" t="s">
        <v>335</v>
      </c>
      <c r="D59" s="10" t="s">
        <v>1785</v>
      </c>
      <c r="E59" s="8" t="s">
        <v>1786</v>
      </c>
      <c r="F59" s="8" t="s">
        <v>1787</v>
      </c>
      <c r="G59" s="10" t="s">
        <v>29</v>
      </c>
      <c r="H59" s="8" t="s">
        <v>1788</v>
      </c>
      <c r="I59" s="10" t="s">
        <v>1767</v>
      </c>
      <c r="J59" s="8" t="s">
        <v>1529</v>
      </c>
      <c r="K59" s="8" t="s">
        <v>29</v>
      </c>
      <c r="L59" s="8" t="s">
        <v>29</v>
      </c>
      <c r="M59" s="10" t="s">
        <v>29</v>
      </c>
      <c r="N59" s="8" t="s">
        <v>29</v>
      </c>
      <c r="O59" s="10" t="s">
        <v>19</v>
      </c>
      <c r="P59" s="8" t="s">
        <v>1789</v>
      </c>
      <c r="Q59" s="10" t="s">
        <v>174</v>
      </c>
      <c r="R59" s="10" t="s">
        <v>1387</v>
      </c>
      <c r="S59" s="8" t="s">
        <v>1790</v>
      </c>
      <c r="T59" s="10" t="s">
        <v>1531</v>
      </c>
      <c r="U59" s="10" t="s">
        <v>29</v>
      </c>
    </row>
    <row r="60" spans="1:21" s="10" customFormat="1" x14ac:dyDescent="0.25">
      <c r="A60" s="10" t="s">
        <v>1791</v>
      </c>
      <c r="B60" s="10" t="s">
        <v>1523</v>
      </c>
      <c r="C60" s="11" t="s">
        <v>297</v>
      </c>
      <c r="D60" s="10" t="s">
        <v>1792</v>
      </c>
      <c r="E60" s="8" t="s">
        <v>1793</v>
      </c>
      <c r="F60" s="8" t="s">
        <v>1794</v>
      </c>
      <c r="G60" s="10" t="s">
        <v>29</v>
      </c>
      <c r="H60" s="8" t="s">
        <v>1795</v>
      </c>
      <c r="I60" s="10" t="s">
        <v>1579</v>
      </c>
      <c r="J60" s="8" t="s">
        <v>1529</v>
      </c>
      <c r="K60" s="8" t="s">
        <v>29</v>
      </c>
      <c r="L60" s="8" t="s">
        <v>29</v>
      </c>
      <c r="M60" s="10" t="s">
        <v>29</v>
      </c>
      <c r="N60" s="8" t="s">
        <v>29</v>
      </c>
      <c r="O60" s="10" t="s">
        <v>19</v>
      </c>
      <c r="P60" s="8" t="s">
        <v>1796</v>
      </c>
      <c r="Q60" s="10" t="s">
        <v>174</v>
      </c>
      <c r="R60" s="10" t="s">
        <v>1387</v>
      </c>
      <c r="S60" s="8" t="s">
        <v>1797</v>
      </c>
      <c r="T60" s="10" t="s">
        <v>1531</v>
      </c>
      <c r="U60" s="10" t="s">
        <v>29</v>
      </c>
    </row>
    <row r="61" spans="1:21" s="10" customFormat="1" x14ac:dyDescent="0.25">
      <c r="A61" s="10" t="s">
        <v>1798</v>
      </c>
      <c r="B61" s="10" t="s">
        <v>1523</v>
      </c>
      <c r="C61" s="10" t="s">
        <v>335</v>
      </c>
      <c r="D61" s="10" t="s">
        <v>1799</v>
      </c>
      <c r="E61" s="8" t="s">
        <v>1800</v>
      </c>
      <c r="F61" s="8" t="s">
        <v>1801</v>
      </c>
      <c r="G61" s="10" t="s">
        <v>29</v>
      </c>
      <c r="H61" s="8" t="s">
        <v>1802</v>
      </c>
      <c r="I61" s="10" t="s">
        <v>1579</v>
      </c>
      <c r="J61" s="8" t="s">
        <v>1529</v>
      </c>
      <c r="K61" s="8" t="s">
        <v>29</v>
      </c>
      <c r="L61" s="8" t="s">
        <v>29</v>
      </c>
      <c r="M61" s="10" t="s">
        <v>29</v>
      </c>
      <c r="N61" s="8" t="s">
        <v>29</v>
      </c>
      <c r="O61" s="10" t="s">
        <v>19</v>
      </c>
      <c r="P61" s="8" t="s">
        <v>1803</v>
      </c>
      <c r="Q61" s="10" t="s">
        <v>174</v>
      </c>
      <c r="R61" s="10" t="s">
        <v>1387</v>
      </c>
      <c r="S61" s="8" t="s">
        <v>1804</v>
      </c>
      <c r="T61" s="10" t="s">
        <v>1531</v>
      </c>
      <c r="U61" s="10" t="s">
        <v>29</v>
      </c>
    </row>
    <row r="62" spans="1:21" s="10" customFormat="1" x14ac:dyDescent="0.25">
      <c r="A62" s="10" t="s">
        <v>1805</v>
      </c>
      <c r="B62" s="10" t="s">
        <v>1523</v>
      </c>
      <c r="C62" s="10" t="s">
        <v>166</v>
      </c>
      <c r="D62" s="10" t="s">
        <v>1806</v>
      </c>
      <c r="E62" s="8" t="s">
        <v>1807</v>
      </c>
      <c r="F62" s="8" t="s">
        <v>1808</v>
      </c>
      <c r="G62" s="10" t="s">
        <v>29</v>
      </c>
      <c r="H62" s="8" t="s">
        <v>1809</v>
      </c>
      <c r="I62" s="10" t="s">
        <v>1810</v>
      </c>
      <c r="J62" s="8" t="s">
        <v>1811</v>
      </c>
      <c r="K62" s="8" t="s">
        <v>29</v>
      </c>
      <c r="L62" s="8" t="s">
        <v>29</v>
      </c>
      <c r="M62" s="10" t="s">
        <v>29</v>
      </c>
      <c r="N62" s="8" t="s">
        <v>29</v>
      </c>
      <c r="O62" s="10" t="s">
        <v>19</v>
      </c>
      <c r="P62" s="8" t="s">
        <v>1812</v>
      </c>
      <c r="Q62" s="10" t="s">
        <v>174</v>
      </c>
      <c r="R62" s="10" t="s">
        <v>1387</v>
      </c>
      <c r="S62" s="8" t="s">
        <v>1813</v>
      </c>
      <c r="T62" s="10" t="s">
        <v>1814</v>
      </c>
      <c r="U62" s="10" t="s">
        <v>29</v>
      </c>
    </row>
    <row r="63" spans="1:21" s="10" customFormat="1" x14ac:dyDescent="0.25">
      <c r="A63" s="10" t="s">
        <v>1815</v>
      </c>
      <c r="B63" s="10" t="s">
        <v>1523</v>
      </c>
      <c r="C63" s="11" t="s">
        <v>297</v>
      </c>
      <c r="D63" s="10" t="s">
        <v>1816</v>
      </c>
      <c r="E63" s="8" t="s">
        <v>1817</v>
      </c>
      <c r="F63" s="8" t="s">
        <v>1818</v>
      </c>
      <c r="G63" s="10" t="s">
        <v>29</v>
      </c>
      <c r="H63" s="8" t="s">
        <v>1819</v>
      </c>
      <c r="I63" s="10" t="s">
        <v>1810</v>
      </c>
      <c r="J63" s="8" t="s">
        <v>1811</v>
      </c>
      <c r="K63" s="8" t="s">
        <v>29</v>
      </c>
      <c r="L63" s="8" t="s">
        <v>29</v>
      </c>
      <c r="M63" s="10" t="s">
        <v>29</v>
      </c>
      <c r="N63" s="8" t="s">
        <v>29</v>
      </c>
      <c r="O63" s="10" t="s">
        <v>19</v>
      </c>
      <c r="P63" s="8" t="s">
        <v>1820</v>
      </c>
      <c r="Q63" s="10" t="s">
        <v>190</v>
      </c>
      <c r="R63" s="10" t="s">
        <v>1387</v>
      </c>
      <c r="S63" s="8" t="s">
        <v>1821</v>
      </c>
      <c r="T63" s="10" t="s">
        <v>1814</v>
      </c>
      <c r="U63" s="10" t="s">
        <v>29</v>
      </c>
    </row>
    <row r="64" spans="1:21" s="10" customFormat="1" x14ac:dyDescent="0.25">
      <c r="A64" s="10" t="s">
        <v>1822</v>
      </c>
      <c r="B64" s="10" t="s">
        <v>1523</v>
      </c>
      <c r="C64" s="11" t="s">
        <v>297</v>
      </c>
      <c r="D64" s="10" t="s">
        <v>1823</v>
      </c>
      <c r="E64" s="8" t="s">
        <v>1824</v>
      </c>
      <c r="F64" s="8" t="s">
        <v>1825</v>
      </c>
      <c r="G64" s="10" t="s">
        <v>29</v>
      </c>
      <c r="H64" s="8" t="s">
        <v>1826</v>
      </c>
      <c r="I64" s="10" t="s">
        <v>1827</v>
      </c>
      <c r="J64" s="8" t="s">
        <v>1811</v>
      </c>
      <c r="K64" s="8" t="s">
        <v>29</v>
      </c>
      <c r="L64" s="8" t="s">
        <v>29</v>
      </c>
      <c r="M64" s="10" t="s">
        <v>29</v>
      </c>
      <c r="N64" s="8" t="s">
        <v>29</v>
      </c>
      <c r="O64" s="10" t="s">
        <v>19</v>
      </c>
      <c r="P64" s="8" t="s">
        <v>1828</v>
      </c>
      <c r="Q64" s="10" t="s">
        <v>174</v>
      </c>
      <c r="R64" s="10" t="s">
        <v>1387</v>
      </c>
      <c r="S64" s="8" t="s">
        <v>1829</v>
      </c>
      <c r="T64" s="10" t="s">
        <v>1814</v>
      </c>
      <c r="U64" s="10" t="s">
        <v>29</v>
      </c>
    </row>
    <row r="65" spans="1:21" s="10" customFormat="1" x14ac:dyDescent="0.25">
      <c r="A65" s="10" t="s">
        <v>1830</v>
      </c>
      <c r="B65" s="10" t="s">
        <v>1523</v>
      </c>
      <c r="C65" s="11" t="s">
        <v>297</v>
      </c>
      <c r="D65" s="10" t="s">
        <v>1831</v>
      </c>
      <c r="E65" s="8" t="s">
        <v>1832</v>
      </c>
      <c r="F65" s="8" t="s">
        <v>1833</v>
      </c>
      <c r="G65" s="10" t="s">
        <v>29</v>
      </c>
      <c r="H65" s="8" t="s">
        <v>1834</v>
      </c>
      <c r="I65" s="10" t="s">
        <v>1835</v>
      </c>
      <c r="J65" s="8" t="s">
        <v>1811</v>
      </c>
      <c r="K65" s="8" t="s">
        <v>29</v>
      </c>
      <c r="L65" s="8" t="s">
        <v>29</v>
      </c>
      <c r="M65" s="10" t="s">
        <v>29</v>
      </c>
      <c r="N65" s="8" t="s">
        <v>29</v>
      </c>
      <c r="O65" s="10" t="s">
        <v>19</v>
      </c>
      <c r="P65" s="8" t="s">
        <v>1836</v>
      </c>
      <c r="Q65" s="10" t="s">
        <v>190</v>
      </c>
      <c r="R65" s="10" t="s">
        <v>1387</v>
      </c>
      <c r="S65" s="8" t="s">
        <v>1837</v>
      </c>
      <c r="T65" s="10" t="s">
        <v>1814</v>
      </c>
      <c r="U65" s="10" t="s">
        <v>29</v>
      </c>
    </row>
    <row r="66" spans="1:21" s="10" customFormat="1" x14ac:dyDescent="0.25">
      <c r="A66" s="10" t="s">
        <v>1838</v>
      </c>
      <c r="B66" s="10" t="s">
        <v>1523</v>
      </c>
      <c r="C66" s="11" t="s">
        <v>297</v>
      </c>
      <c r="D66" s="10" t="s">
        <v>1839</v>
      </c>
      <c r="E66" s="8" t="s">
        <v>1840</v>
      </c>
      <c r="F66" s="8" t="s">
        <v>1841</v>
      </c>
      <c r="G66" s="10" t="s">
        <v>29</v>
      </c>
      <c r="H66" s="8" t="s">
        <v>1842</v>
      </c>
      <c r="I66" s="10" t="s">
        <v>1835</v>
      </c>
      <c r="J66" s="8" t="s">
        <v>1811</v>
      </c>
      <c r="K66" s="8" t="s">
        <v>29</v>
      </c>
      <c r="L66" s="8" t="s">
        <v>29</v>
      </c>
      <c r="M66" s="10" t="s">
        <v>29</v>
      </c>
      <c r="N66" s="8" t="s">
        <v>29</v>
      </c>
      <c r="O66" s="10" t="s">
        <v>19</v>
      </c>
      <c r="P66" s="8" t="s">
        <v>1843</v>
      </c>
      <c r="Q66" s="10" t="s">
        <v>190</v>
      </c>
      <c r="R66" s="10" t="s">
        <v>1387</v>
      </c>
      <c r="S66" s="8" t="s">
        <v>1844</v>
      </c>
      <c r="T66" s="10" t="s">
        <v>1814</v>
      </c>
      <c r="U66" s="10" t="s">
        <v>29</v>
      </c>
    </row>
    <row r="67" spans="1:21" s="10" customFormat="1" x14ac:dyDescent="0.25">
      <c r="A67" s="10" t="s">
        <v>1845</v>
      </c>
      <c r="B67" s="10" t="s">
        <v>1523</v>
      </c>
      <c r="C67" s="10" t="s">
        <v>166</v>
      </c>
      <c r="D67" s="10" t="s">
        <v>1846</v>
      </c>
      <c r="E67" s="8" t="s">
        <v>1847</v>
      </c>
      <c r="F67" s="8" t="s">
        <v>1848</v>
      </c>
      <c r="G67" s="10" t="s">
        <v>29</v>
      </c>
      <c r="H67" s="8" t="s">
        <v>1849</v>
      </c>
      <c r="I67" s="10" t="s">
        <v>1835</v>
      </c>
      <c r="J67" s="8" t="s">
        <v>1811</v>
      </c>
      <c r="K67" s="8" t="s">
        <v>29</v>
      </c>
      <c r="L67" s="8" t="s">
        <v>29</v>
      </c>
      <c r="M67" s="10" t="s">
        <v>29</v>
      </c>
      <c r="N67" s="8" t="s">
        <v>29</v>
      </c>
      <c r="O67" s="10" t="s">
        <v>19</v>
      </c>
      <c r="P67" s="8" t="s">
        <v>1850</v>
      </c>
      <c r="Q67" s="10" t="s">
        <v>197</v>
      </c>
      <c r="R67" s="10" t="s">
        <v>1387</v>
      </c>
      <c r="S67" s="8" t="s">
        <v>1851</v>
      </c>
      <c r="T67" s="10" t="s">
        <v>1814</v>
      </c>
      <c r="U67" s="10" t="s">
        <v>29</v>
      </c>
    </row>
    <row r="68" spans="1:21" s="10" customFormat="1" x14ac:dyDescent="0.25">
      <c r="A68" s="10" t="s">
        <v>1852</v>
      </c>
      <c r="B68" s="10" t="s">
        <v>1523</v>
      </c>
      <c r="C68" s="10" t="s">
        <v>335</v>
      </c>
      <c r="D68" s="10" t="s">
        <v>1853</v>
      </c>
      <c r="E68" s="8" t="s">
        <v>1854</v>
      </c>
      <c r="F68" s="8" t="s">
        <v>1855</v>
      </c>
      <c r="G68" s="10" t="s">
        <v>29</v>
      </c>
      <c r="H68" s="8" t="s">
        <v>1834</v>
      </c>
      <c r="I68" s="10" t="s">
        <v>1835</v>
      </c>
      <c r="J68" s="8" t="s">
        <v>1811</v>
      </c>
      <c r="K68" s="8" t="s">
        <v>29</v>
      </c>
      <c r="L68" s="8" t="s">
        <v>29</v>
      </c>
      <c r="M68" s="10" t="s">
        <v>29</v>
      </c>
      <c r="N68" s="8" t="s">
        <v>29</v>
      </c>
      <c r="O68" s="10" t="s">
        <v>19</v>
      </c>
      <c r="P68" s="8" t="s">
        <v>1856</v>
      </c>
      <c r="Q68" s="10" t="s">
        <v>190</v>
      </c>
      <c r="R68" s="10" t="s">
        <v>1387</v>
      </c>
      <c r="S68" s="8" t="s">
        <v>1857</v>
      </c>
      <c r="T68" s="10" t="s">
        <v>1814</v>
      </c>
      <c r="U68" s="10" t="s">
        <v>29</v>
      </c>
    </row>
    <row r="69" spans="1:21" s="10" customFormat="1" x14ac:dyDescent="0.25">
      <c r="A69" s="10" t="s">
        <v>1858</v>
      </c>
      <c r="B69" s="10" t="s">
        <v>1523</v>
      </c>
      <c r="C69" s="10" t="s">
        <v>166</v>
      </c>
      <c r="D69" s="10" t="s">
        <v>1859</v>
      </c>
      <c r="E69" s="8" t="s">
        <v>1860</v>
      </c>
      <c r="F69" s="8" t="s">
        <v>1861</v>
      </c>
      <c r="G69" s="10" t="s">
        <v>29</v>
      </c>
      <c r="H69" s="8" t="s">
        <v>1862</v>
      </c>
      <c r="I69" s="10" t="s">
        <v>1863</v>
      </c>
      <c r="J69" s="8" t="s">
        <v>1811</v>
      </c>
      <c r="K69" s="8" t="s">
        <v>29</v>
      </c>
      <c r="L69" s="8" t="s">
        <v>29</v>
      </c>
      <c r="M69" s="10" t="s">
        <v>29</v>
      </c>
      <c r="N69" s="8" t="s">
        <v>29</v>
      </c>
      <c r="O69" s="10" t="s">
        <v>19</v>
      </c>
      <c r="P69" s="8" t="s">
        <v>1864</v>
      </c>
      <c r="Q69" s="10" t="s">
        <v>174</v>
      </c>
      <c r="R69" s="10" t="s">
        <v>1387</v>
      </c>
      <c r="S69" s="8" t="s">
        <v>1865</v>
      </c>
      <c r="T69" s="10" t="s">
        <v>1814</v>
      </c>
      <c r="U69" s="10" t="s">
        <v>29</v>
      </c>
    </row>
    <row r="70" spans="1:21" s="10" customFormat="1" x14ac:dyDescent="0.25">
      <c r="A70" s="10" t="s">
        <v>1866</v>
      </c>
      <c r="B70" s="10" t="s">
        <v>1523</v>
      </c>
      <c r="C70" s="11" t="s">
        <v>297</v>
      </c>
      <c r="D70" s="10" t="s">
        <v>1867</v>
      </c>
      <c r="E70" s="8" t="s">
        <v>1868</v>
      </c>
      <c r="F70" s="8" t="s">
        <v>1869</v>
      </c>
      <c r="G70" s="10" t="s">
        <v>29</v>
      </c>
      <c r="H70" s="8" t="s">
        <v>1870</v>
      </c>
      <c r="I70" s="10" t="s">
        <v>1863</v>
      </c>
      <c r="J70" s="8" t="s">
        <v>1811</v>
      </c>
      <c r="K70" s="8" t="s">
        <v>29</v>
      </c>
      <c r="L70" s="8" t="s">
        <v>29</v>
      </c>
      <c r="M70" s="10" t="s">
        <v>29</v>
      </c>
      <c r="N70" s="8" t="s">
        <v>29</v>
      </c>
      <c r="O70" s="10" t="s">
        <v>19</v>
      </c>
      <c r="P70" s="8" t="s">
        <v>1871</v>
      </c>
      <c r="Q70" s="10" t="s">
        <v>190</v>
      </c>
      <c r="R70" s="10" t="s">
        <v>1387</v>
      </c>
      <c r="S70" s="8" t="s">
        <v>1872</v>
      </c>
      <c r="T70" s="10" t="s">
        <v>1814</v>
      </c>
      <c r="U70" s="10" t="s">
        <v>29</v>
      </c>
    </row>
    <row r="71" spans="1:21" s="10" customFormat="1" x14ac:dyDescent="0.25">
      <c r="A71" s="10" t="s">
        <v>1873</v>
      </c>
      <c r="B71" s="10" t="s">
        <v>1523</v>
      </c>
      <c r="C71" s="11" t="s">
        <v>297</v>
      </c>
      <c r="D71" s="10" t="s">
        <v>1874</v>
      </c>
      <c r="E71" s="8" t="s">
        <v>1875</v>
      </c>
      <c r="F71" s="8" t="s">
        <v>1876</v>
      </c>
      <c r="G71" s="10" t="s">
        <v>29</v>
      </c>
      <c r="H71" s="8" t="s">
        <v>1877</v>
      </c>
      <c r="I71" s="10" t="s">
        <v>1863</v>
      </c>
      <c r="J71" s="8" t="s">
        <v>1811</v>
      </c>
      <c r="K71" s="8" t="s">
        <v>29</v>
      </c>
      <c r="L71" s="8" t="s">
        <v>29</v>
      </c>
      <c r="M71" s="10" t="s">
        <v>29</v>
      </c>
      <c r="N71" s="8" t="s">
        <v>29</v>
      </c>
      <c r="O71" s="10" t="s">
        <v>19</v>
      </c>
      <c r="P71" s="8" t="s">
        <v>1878</v>
      </c>
      <c r="Q71" s="10" t="s">
        <v>190</v>
      </c>
      <c r="R71" s="10" t="s">
        <v>1387</v>
      </c>
      <c r="S71" s="8" t="s">
        <v>1879</v>
      </c>
      <c r="T71" s="10" t="s">
        <v>1814</v>
      </c>
      <c r="U71" s="10" t="s">
        <v>29</v>
      </c>
    </row>
    <row r="72" spans="1:21" s="10" customFormat="1" x14ac:dyDescent="0.25">
      <c r="A72" s="10" t="s">
        <v>1880</v>
      </c>
      <c r="B72" s="10" t="s">
        <v>1523</v>
      </c>
      <c r="C72" s="10" t="s">
        <v>166</v>
      </c>
      <c r="D72" s="10" t="s">
        <v>1881</v>
      </c>
      <c r="E72" s="8" t="s">
        <v>1882</v>
      </c>
      <c r="F72" s="8" t="s">
        <v>1883</v>
      </c>
      <c r="G72" s="10" t="s">
        <v>29</v>
      </c>
      <c r="H72" s="8" t="s">
        <v>1884</v>
      </c>
      <c r="I72" s="10" t="s">
        <v>1489</v>
      </c>
      <c r="J72" s="8" t="s">
        <v>1811</v>
      </c>
      <c r="K72" s="8" t="s">
        <v>29</v>
      </c>
      <c r="L72" s="8" t="s">
        <v>29</v>
      </c>
      <c r="M72" s="10" t="s">
        <v>29</v>
      </c>
      <c r="N72" s="8" t="s">
        <v>29</v>
      </c>
      <c r="O72" s="10" t="s">
        <v>19</v>
      </c>
      <c r="P72" s="8" t="s">
        <v>1885</v>
      </c>
      <c r="Q72" s="10" t="s">
        <v>190</v>
      </c>
      <c r="R72" s="10" t="s">
        <v>1387</v>
      </c>
      <c r="S72" s="8" t="s">
        <v>1886</v>
      </c>
      <c r="T72" s="10" t="s">
        <v>1814</v>
      </c>
      <c r="U72" s="10" t="s">
        <v>29</v>
      </c>
    </row>
    <row r="73" spans="1:21" s="10" customFormat="1" x14ac:dyDescent="0.25">
      <c r="A73" s="10" t="s">
        <v>1887</v>
      </c>
      <c r="B73" s="10" t="s">
        <v>1523</v>
      </c>
      <c r="C73" s="10" t="s">
        <v>166</v>
      </c>
      <c r="D73" s="10" t="s">
        <v>1888</v>
      </c>
      <c r="E73" s="8" t="s">
        <v>1889</v>
      </c>
      <c r="F73" s="8" t="s">
        <v>1890</v>
      </c>
      <c r="G73" s="10" t="s">
        <v>29</v>
      </c>
      <c r="H73" s="8" t="s">
        <v>1891</v>
      </c>
      <c r="I73" s="10" t="s">
        <v>1810</v>
      </c>
      <c r="J73" s="8" t="s">
        <v>1811</v>
      </c>
      <c r="K73" s="8" t="s">
        <v>29</v>
      </c>
      <c r="L73" s="8" t="s">
        <v>29</v>
      </c>
      <c r="M73" s="10" t="s">
        <v>29</v>
      </c>
      <c r="N73" s="8" t="s">
        <v>29</v>
      </c>
      <c r="O73" s="10" t="s">
        <v>19</v>
      </c>
      <c r="P73" s="8" t="s">
        <v>1892</v>
      </c>
      <c r="Q73" s="10" t="s">
        <v>174</v>
      </c>
      <c r="R73" s="10" t="s">
        <v>1387</v>
      </c>
      <c r="S73" s="8" t="s">
        <v>1893</v>
      </c>
      <c r="T73" s="10" t="s">
        <v>1814</v>
      </c>
      <c r="U73" s="10" t="s">
        <v>29</v>
      </c>
    </row>
    <row r="74" spans="1:21" s="10" customFormat="1" x14ac:dyDescent="0.25">
      <c r="A74" s="10" t="s">
        <v>1894</v>
      </c>
      <c r="B74" s="10" t="s">
        <v>1523</v>
      </c>
      <c r="C74" s="11" t="s">
        <v>297</v>
      </c>
      <c r="D74" s="10" t="s">
        <v>1895</v>
      </c>
      <c r="E74" s="8" t="s">
        <v>1896</v>
      </c>
      <c r="F74" s="8" t="s">
        <v>1897</v>
      </c>
      <c r="G74" s="10" t="s">
        <v>29</v>
      </c>
      <c r="H74" s="8" t="s">
        <v>1898</v>
      </c>
      <c r="I74" s="10" t="s">
        <v>1835</v>
      </c>
      <c r="J74" s="8" t="s">
        <v>1811</v>
      </c>
      <c r="K74" s="8" t="s">
        <v>29</v>
      </c>
      <c r="L74" s="8" t="s">
        <v>29</v>
      </c>
      <c r="M74" s="10" t="s">
        <v>29</v>
      </c>
      <c r="N74" s="8" t="s">
        <v>29</v>
      </c>
      <c r="O74" s="10" t="s">
        <v>19</v>
      </c>
      <c r="P74" s="8" t="s">
        <v>1899</v>
      </c>
      <c r="Q74" s="10" t="s">
        <v>1399</v>
      </c>
      <c r="R74" s="10" t="s">
        <v>1387</v>
      </c>
      <c r="S74" s="8" t="s">
        <v>1900</v>
      </c>
      <c r="T74" s="10" t="s">
        <v>1814</v>
      </c>
      <c r="U74" s="10" t="s">
        <v>29</v>
      </c>
    </row>
    <row r="75" spans="1:21" s="10" customFormat="1" x14ac:dyDescent="0.25">
      <c r="A75" s="10" t="s">
        <v>1901</v>
      </c>
      <c r="B75" s="10" t="s">
        <v>1523</v>
      </c>
      <c r="C75" s="10" t="s">
        <v>166</v>
      </c>
      <c r="D75" s="10" t="s">
        <v>1902</v>
      </c>
      <c r="E75" s="8" t="s">
        <v>1903</v>
      </c>
      <c r="F75" s="8" t="s">
        <v>1904</v>
      </c>
      <c r="G75" s="10" t="s">
        <v>29</v>
      </c>
      <c r="H75" s="8" t="s">
        <v>1905</v>
      </c>
      <c r="I75" s="10" t="s">
        <v>1906</v>
      </c>
      <c r="J75" s="8" t="s">
        <v>1811</v>
      </c>
      <c r="K75" s="8" t="s">
        <v>29</v>
      </c>
      <c r="L75" s="8" t="s">
        <v>29</v>
      </c>
      <c r="M75" s="10" t="s">
        <v>29</v>
      </c>
      <c r="N75" s="8" t="s">
        <v>29</v>
      </c>
      <c r="O75" s="10" t="s">
        <v>19</v>
      </c>
      <c r="P75" s="8" t="s">
        <v>1907</v>
      </c>
      <c r="Q75" s="10" t="s">
        <v>174</v>
      </c>
      <c r="R75" s="10" t="s">
        <v>1387</v>
      </c>
      <c r="S75" s="8" t="s">
        <v>1908</v>
      </c>
      <c r="T75" s="10" t="s">
        <v>1814</v>
      </c>
      <c r="U75" s="10" t="s">
        <v>29</v>
      </c>
    </row>
    <row r="76" spans="1:21" s="10" customFormat="1" x14ac:dyDescent="0.25">
      <c r="A76" s="10" t="s">
        <v>1909</v>
      </c>
      <c r="B76" s="10" t="s">
        <v>1523</v>
      </c>
      <c r="C76" s="10" t="s">
        <v>166</v>
      </c>
      <c r="D76" s="10" t="s">
        <v>1910</v>
      </c>
      <c r="E76" s="8" t="s">
        <v>1911</v>
      </c>
      <c r="F76" s="8" t="s">
        <v>1912</v>
      </c>
      <c r="G76" s="10" t="s">
        <v>29</v>
      </c>
      <c r="H76" s="8" t="s">
        <v>1913</v>
      </c>
      <c r="I76" s="10" t="s">
        <v>1914</v>
      </c>
      <c r="J76" s="8" t="s">
        <v>1811</v>
      </c>
      <c r="K76" s="8" t="s">
        <v>29</v>
      </c>
      <c r="L76" s="8" t="s">
        <v>29</v>
      </c>
      <c r="M76" s="10" t="s">
        <v>29</v>
      </c>
      <c r="N76" s="8" t="s">
        <v>29</v>
      </c>
      <c r="O76" s="10" t="s">
        <v>19</v>
      </c>
      <c r="P76" s="8" t="s">
        <v>1915</v>
      </c>
      <c r="Q76" s="10" t="s">
        <v>174</v>
      </c>
      <c r="R76" s="10" t="s">
        <v>1387</v>
      </c>
      <c r="S76" s="8" t="s">
        <v>1916</v>
      </c>
      <c r="T76" s="10" t="s">
        <v>1814</v>
      </c>
      <c r="U76" s="10" t="s">
        <v>29</v>
      </c>
    </row>
    <row r="77" spans="1:21" s="10" customFormat="1" x14ac:dyDescent="0.25">
      <c r="A77" s="10" t="s">
        <v>1917</v>
      </c>
      <c r="B77" s="10" t="s">
        <v>1523</v>
      </c>
      <c r="C77" s="10" t="s">
        <v>166</v>
      </c>
      <c r="D77" s="10" t="s">
        <v>1918</v>
      </c>
      <c r="E77" s="8" t="s">
        <v>1919</v>
      </c>
      <c r="F77" s="8" t="s">
        <v>1920</v>
      </c>
      <c r="G77" s="10" t="s">
        <v>29</v>
      </c>
      <c r="H77" s="8" t="s">
        <v>1921</v>
      </c>
      <c r="I77" s="10" t="s">
        <v>1914</v>
      </c>
      <c r="J77" s="8" t="s">
        <v>1811</v>
      </c>
      <c r="K77" s="8" t="s">
        <v>29</v>
      </c>
      <c r="L77" s="8" t="s">
        <v>29</v>
      </c>
      <c r="M77" s="10" t="s">
        <v>29</v>
      </c>
      <c r="N77" s="8" t="s">
        <v>29</v>
      </c>
      <c r="O77" s="10" t="s">
        <v>19</v>
      </c>
      <c r="P77" s="8" t="s">
        <v>1922</v>
      </c>
      <c r="Q77" s="10" t="s">
        <v>174</v>
      </c>
      <c r="R77" s="10" t="s">
        <v>1387</v>
      </c>
      <c r="S77" s="8" t="s">
        <v>1923</v>
      </c>
      <c r="T77" s="10" t="s">
        <v>1814</v>
      </c>
      <c r="U77" s="10" t="s">
        <v>29</v>
      </c>
    </row>
    <row r="78" spans="1:21" s="10" customFormat="1" x14ac:dyDescent="0.25">
      <c r="A78" s="10" t="s">
        <v>1924</v>
      </c>
      <c r="B78" s="10" t="s">
        <v>1523</v>
      </c>
      <c r="C78" s="11" t="s">
        <v>297</v>
      </c>
      <c r="D78" s="10" t="s">
        <v>1925</v>
      </c>
      <c r="E78" s="8" t="s">
        <v>1926</v>
      </c>
      <c r="F78" s="8" t="s">
        <v>1927</v>
      </c>
      <c r="G78" s="10" t="s">
        <v>29</v>
      </c>
      <c r="H78" s="8" t="s">
        <v>1928</v>
      </c>
      <c r="I78" s="10" t="s">
        <v>1929</v>
      </c>
      <c r="J78" s="8" t="s">
        <v>1811</v>
      </c>
      <c r="K78" s="8" t="s">
        <v>29</v>
      </c>
      <c r="L78" s="8" t="s">
        <v>29</v>
      </c>
      <c r="M78" s="10" t="s">
        <v>29</v>
      </c>
      <c r="N78" s="8" t="s">
        <v>29</v>
      </c>
      <c r="O78" s="10" t="s">
        <v>19</v>
      </c>
      <c r="P78" s="8" t="s">
        <v>1930</v>
      </c>
      <c r="Q78" s="10" t="s">
        <v>174</v>
      </c>
      <c r="R78" s="10" t="s">
        <v>1387</v>
      </c>
      <c r="S78" s="8" t="s">
        <v>1931</v>
      </c>
      <c r="T78" s="10" t="s">
        <v>1814</v>
      </c>
      <c r="U78" s="10" t="s">
        <v>29</v>
      </c>
    </row>
    <row r="79" spans="1:21" s="10" customFormat="1" x14ac:dyDescent="0.25">
      <c r="A79" s="10" t="s">
        <v>1932</v>
      </c>
      <c r="B79" s="10" t="s">
        <v>1523</v>
      </c>
      <c r="C79" s="11" t="s">
        <v>297</v>
      </c>
      <c r="D79" s="10" t="s">
        <v>1933</v>
      </c>
      <c r="E79" s="8" t="s">
        <v>1934</v>
      </c>
      <c r="F79" s="8" t="s">
        <v>1935</v>
      </c>
      <c r="G79" s="10" t="s">
        <v>29</v>
      </c>
      <c r="H79" s="8" t="s">
        <v>1936</v>
      </c>
      <c r="I79" s="10" t="s">
        <v>1937</v>
      </c>
      <c r="J79" s="8" t="s">
        <v>1811</v>
      </c>
      <c r="K79" s="8" t="s">
        <v>29</v>
      </c>
      <c r="L79" s="8" t="s">
        <v>29</v>
      </c>
      <c r="M79" s="10" t="s">
        <v>29</v>
      </c>
      <c r="N79" s="8" t="s">
        <v>29</v>
      </c>
      <c r="O79" s="10" t="s">
        <v>19</v>
      </c>
      <c r="P79" s="8" t="s">
        <v>1938</v>
      </c>
      <c r="Q79" s="10" t="s">
        <v>174</v>
      </c>
      <c r="R79" s="10" t="s">
        <v>1387</v>
      </c>
      <c r="S79" s="8" t="s">
        <v>1939</v>
      </c>
      <c r="T79" s="10" t="s">
        <v>1814</v>
      </c>
      <c r="U79" s="10" t="s">
        <v>29</v>
      </c>
    </row>
    <row r="80" spans="1:21" s="10" customFormat="1" x14ac:dyDescent="0.25">
      <c r="A80" s="10" t="s">
        <v>1940</v>
      </c>
      <c r="B80" s="10" t="s">
        <v>1523</v>
      </c>
      <c r="C80" s="10" t="s">
        <v>335</v>
      </c>
      <c r="D80" s="10" t="s">
        <v>1941</v>
      </c>
      <c r="E80" s="8" t="s">
        <v>1942</v>
      </c>
      <c r="F80" s="8" t="s">
        <v>1943</v>
      </c>
      <c r="G80" s="10" t="s">
        <v>29</v>
      </c>
      <c r="H80" s="8" t="s">
        <v>1944</v>
      </c>
      <c r="I80" s="10" t="s">
        <v>1945</v>
      </c>
      <c r="J80" s="8" t="s">
        <v>1811</v>
      </c>
      <c r="K80" s="8" t="s">
        <v>29</v>
      </c>
      <c r="L80" s="8" t="s">
        <v>29</v>
      </c>
      <c r="M80" s="10" t="s">
        <v>29</v>
      </c>
      <c r="N80" s="8" t="s">
        <v>29</v>
      </c>
      <c r="O80" s="10" t="s">
        <v>19</v>
      </c>
      <c r="P80" s="8" t="s">
        <v>1946</v>
      </c>
      <c r="Q80" s="10" t="s">
        <v>174</v>
      </c>
      <c r="R80" s="10" t="s">
        <v>1387</v>
      </c>
      <c r="S80" s="8" t="s">
        <v>1947</v>
      </c>
      <c r="T80" s="10" t="s">
        <v>1814</v>
      </c>
      <c r="U80" s="10" t="s">
        <v>29</v>
      </c>
    </row>
    <row r="81" spans="1:21" s="10" customFormat="1" x14ac:dyDescent="0.25">
      <c r="A81" s="10" t="s">
        <v>1948</v>
      </c>
      <c r="B81" s="10" t="s">
        <v>1523</v>
      </c>
      <c r="C81" s="10" t="s">
        <v>335</v>
      </c>
      <c r="D81" s="10" t="s">
        <v>1949</v>
      </c>
      <c r="E81" s="8" t="s">
        <v>1950</v>
      </c>
      <c r="F81" s="8" t="s">
        <v>1951</v>
      </c>
      <c r="G81" s="10" t="s">
        <v>29</v>
      </c>
      <c r="H81" s="8" t="s">
        <v>1952</v>
      </c>
      <c r="I81" s="10" t="s">
        <v>1945</v>
      </c>
      <c r="J81" s="8" t="s">
        <v>1811</v>
      </c>
      <c r="K81" s="8" t="s">
        <v>29</v>
      </c>
      <c r="L81" s="8" t="s">
        <v>29</v>
      </c>
      <c r="M81" s="10" t="s">
        <v>29</v>
      </c>
      <c r="N81" s="8" t="s">
        <v>29</v>
      </c>
      <c r="O81" s="10" t="s">
        <v>19</v>
      </c>
      <c r="P81" s="8" t="s">
        <v>1953</v>
      </c>
      <c r="Q81" s="10" t="s">
        <v>174</v>
      </c>
      <c r="R81" s="10" t="s">
        <v>1387</v>
      </c>
      <c r="S81" s="8" t="s">
        <v>1954</v>
      </c>
      <c r="T81" s="10" t="s">
        <v>1814</v>
      </c>
      <c r="U81" s="10" t="s">
        <v>29</v>
      </c>
    </row>
    <row r="82" spans="1:21" s="10" customFormat="1" x14ac:dyDescent="0.25">
      <c r="A82" s="10" t="s">
        <v>1955</v>
      </c>
      <c r="B82" s="10" t="s">
        <v>1523</v>
      </c>
      <c r="C82" s="10" t="s">
        <v>166</v>
      </c>
      <c r="D82" s="10" t="s">
        <v>1956</v>
      </c>
      <c r="E82" s="8" t="s">
        <v>1957</v>
      </c>
      <c r="F82" s="8" t="s">
        <v>1958</v>
      </c>
      <c r="G82" s="10" t="s">
        <v>29</v>
      </c>
      <c r="H82" s="8" t="s">
        <v>1959</v>
      </c>
      <c r="I82" s="10" t="s">
        <v>1960</v>
      </c>
      <c r="J82" s="8" t="s">
        <v>1811</v>
      </c>
      <c r="K82" s="8" t="s">
        <v>29</v>
      </c>
      <c r="L82" s="8" t="s">
        <v>29</v>
      </c>
      <c r="M82" s="10" t="s">
        <v>29</v>
      </c>
      <c r="N82" s="8" t="s">
        <v>29</v>
      </c>
      <c r="O82" s="10" t="s">
        <v>19</v>
      </c>
      <c r="P82" s="8" t="s">
        <v>1961</v>
      </c>
      <c r="Q82" s="10" t="s">
        <v>174</v>
      </c>
      <c r="R82" s="10" t="s">
        <v>1387</v>
      </c>
      <c r="S82" s="8" t="s">
        <v>1962</v>
      </c>
      <c r="T82" s="10" t="s">
        <v>1814</v>
      </c>
      <c r="U82" s="10" t="s">
        <v>29</v>
      </c>
    </row>
    <row r="83" spans="1:21" s="10" customFormat="1" x14ac:dyDescent="0.25">
      <c r="A83" s="10" t="s">
        <v>1963</v>
      </c>
      <c r="B83" s="10" t="s">
        <v>1523</v>
      </c>
      <c r="C83" s="10" t="s">
        <v>166</v>
      </c>
      <c r="D83" s="10" t="s">
        <v>1964</v>
      </c>
      <c r="E83" s="8" t="s">
        <v>1965</v>
      </c>
      <c r="F83" s="8" t="s">
        <v>1966</v>
      </c>
      <c r="G83" s="10" t="s">
        <v>29</v>
      </c>
      <c r="H83" s="8" t="s">
        <v>1967</v>
      </c>
      <c r="I83" s="10" t="s">
        <v>1968</v>
      </c>
      <c r="J83" s="8" t="s">
        <v>1811</v>
      </c>
      <c r="K83" s="8" t="s">
        <v>29</v>
      </c>
      <c r="L83" s="8" t="s">
        <v>29</v>
      </c>
      <c r="M83" s="10" t="s">
        <v>29</v>
      </c>
      <c r="N83" s="8" t="s">
        <v>29</v>
      </c>
      <c r="O83" s="10" t="s">
        <v>19</v>
      </c>
      <c r="P83" s="8" t="s">
        <v>1969</v>
      </c>
      <c r="Q83" s="10" t="s">
        <v>197</v>
      </c>
      <c r="R83" s="10" t="s">
        <v>1387</v>
      </c>
      <c r="S83" s="8" t="s">
        <v>1970</v>
      </c>
      <c r="T83" s="10" t="s">
        <v>1814</v>
      </c>
      <c r="U83" s="10" t="s">
        <v>29</v>
      </c>
    </row>
    <row r="84" spans="1:21" s="10" customFormat="1" x14ac:dyDescent="0.25">
      <c r="A84" s="10" t="s">
        <v>1971</v>
      </c>
      <c r="B84" s="10" t="s">
        <v>1523</v>
      </c>
      <c r="C84" s="10" t="s">
        <v>166</v>
      </c>
      <c r="D84" s="10" t="s">
        <v>1972</v>
      </c>
      <c r="E84" s="8" t="s">
        <v>1973</v>
      </c>
      <c r="F84" s="8" t="s">
        <v>1974</v>
      </c>
      <c r="G84" s="10" t="s">
        <v>29</v>
      </c>
      <c r="H84" s="8" t="s">
        <v>1975</v>
      </c>
      <c r="I84" s="10" t="s">
        <v>1968</v>
      </c>
      <c r="J84" s="8" t="s">
        <v>1811</v>
      </c>
      <c r="K84" s="8" t="s">
        <v>29</v>
      </c>
      <c r="L84" s="8" t="s">
        <v>29</v>
      </c>
      <c r="M84" s="10" t="s">
        <v>29</v>
      </c>
      <c r="N84" s="8" t="s">
        <v>29</v>
      </c>
      <c r="O84" s="10" t="s">
        <v>19</v>
      </c>
      <c r="P84" s="8" t="s">
        <v>1976</v>
      </c>
      <c r="Q84" s="10" t="s">
        <v>197</v>
      </c>
      <c r="R84" s="10" t="s">
        <v>1387</v>
      </c>
      <c r="S84" s="8" t="s">
        <v>1977</v>
      </c>
      <c r="T84" s="10" t="s">
        <v>1814</v>
      </c>
      <c r="U84" s="10" t="s">
        <v>29</v>
      </c>
    </row>
    <row r="85" spans="1:21" s="10" customFormat="1" x14ac:dyDescent="0.25">
      <c r="A85" s="10" t="s">
        <v>1978</v>
      </c>
      <c r="B85" s="10" t="s">
        <v>1523</v>
      </c>
      <c r="C85" s="11" t="s">
        <v>297</v>
      </c>
      <c r="D85" s="10" t="s">
        <v>1979</v>
      </c>
      <c r="E85" s="8" t="s">
        <v>1980</v>
      </c>
      <c r="F85" s="8" t="s">
        <v>1981</v>
      </c>
      <c r="G85" s="10" t="s">
        <v>29</v>
      </c>
      <c r="H85" s="8" t="s">
        <v>1982</v>
      </c>
      <c r="I85" s="10" t="s">
        <v>1960</v>
      </c>
      <c r="J85" s="8" t="s">
        <v>1811</v>
      </c>
      <c r="K85" s="8" t="s">
        <v>29</v>
      </c>
      <c r="L85" s="8" t="s">
        <v>29</v>
      </c>
      <c r="M85" s="10" t="s">
        <v>29</v>
      </c>
      <c r="N85" s="8" t="s">
        <v>29</v>
      </c>
      <c r="O85" s="10" t="s">
        <v>19</v>
      </c>
      <c r="P85" s="8" t="s">
        <v>1983</v>
      </c>
      <c r="Q85" s="10" t="s">
        <v>174</v>
      </c>
      <c r="R85" s="10" t="s">
        <v>1387</v>
      </c>
      <c r="S85" s="8" t="s">
        <v>1984</v>
      </c>
      <c r="T85" s="10" t="s">
        <v>1814</v>
      </c>
      <c r="U85" s="10" t="s">
        <v>29</v>
      </c>
    </row>
    <row r="86" spans="1:21" s="10" customFormat="1" x14ac:dyDescent="0.25">
      <c r="A86" s="10" t="s">
        <v>1985</v>
      </c>
      <c r="B86" s="10" t="s">
        <v>1523</v>
      </c>
      <c r="C86" s="11" t="s">
        <v>297</v>
      </c>
      <c r="D86" s="10" t="s">
        <v>1986</v>
      </c>
      <c r="E86" s="8" t="s">
        <v>1987</v>
      </c>
      <c r="F86" s="8" t="s">
        <v>1988</v>
      </c>
      <c r="G86" s="10" t="s">
        <v>29</v>
      </c>
      <c r="H86" s="8" t="s">
        <v>1989</v>
      </c>
      <c r="I86" s="10" t="s">
        <v>1960</v>
      </c>
      <c r="J86" s="8" t="s">
        <v>1811</v>
      </c>
      <c r="K86" s="8" t="s">
        <v>29</v>
      </c>
      <c r="L86" s="8" t="s">
        <v>29</v>
      </c>
      <c r="M86" s="10" t="s">
        <v>29</v>
      </c>
      <c r="N86" s="8" t="s">
        <v>29</v>
      </c>
      <c r="O86" s="10" t="s">
        <v>19</v>
      </c>
      <c r="P86" s="8" t="s">
        <v>1983</v>
      </c>
      <c r="Q86" s="10" t="s">
        <v>174</v>
      </c>
      <c r="R86" s="10" t="s">
        <v>1387</v>
      </c>
      <c r="S86" s="8" t="s">
        <v>1990</v>
      </c>
      <c r="T86" s="10" t="s">
        <v>1814</v>
      </c>
      <c r="U86" s="10" t="s">
        <v>29</v>
      </c>
    </row>
    <row r="87" spans="1:21" s="10" customFormat="1" x14ac:dyDescent="0.25">
      <c r="A87" s="10" t="s">
        <v>1991</v>
      </c>
      <c r="B87" s="10" t="s">
        <v>1523</v>
      </c>
      <c r="C87" s="11" t="s">
        <v>297</v>
      </c>
      <c r="D87" s="10" t="s">
        <v>1992</v>
      </c>
      <c r="E87" s="8" t="s">
        <v>1993</v>
      </c>
      <c r="F87" s="8" t="s">
        <v>1994</v>
      </c>
      <c r="G87" s="10" t="s">
        <v>29</v>
      </c>
      <c r="H87" s="8" t="s">
        <v>1995</v>
      </c>
      <c r="I87" s="10" t="s">
        <v>1960</v>
      </c>
      <c r="J87" s="8" t="s">
        <v>1811</v>
      </c>
      <c r="K87" s="8" t="s">
        <v>29</v>
      </c>
      <c r="L87" s="8" t="s">
        <v>29</v>
      </c>
      <c r="M87" s="10" t="s">
        <v>29</v>
      </c>
      <c r="N87" s="8" t="s">
        <v>29</v>
      </c>
      <c r="O87" s="10" t="s">
        <v>19</v>
      </c>
      <c r="P87" s="8" t="s">
        <v>1983</v>
      </c>
      <c r="Q87" s="10" t="s">
        <v>174</v>
      </c>
      <c r="R87" s="10" t="s">
        <v>1387</v>
      </c>
      <c r="S87" s="8" t="s">
        <v>1996</v>
      </c>
      <c r="T87" s="10" t="s">
        <v>1814</v>
      </c>
      <c r="U87" s="10" t="s">
        <v>29</v>
      </c>
    </row>
    <row r="88" spans="1:21" s="10" customFormat="1" x14ac:dyDescent="0.25">
      <c r="A88" s="10" t="s">
        <v>1997</v>
      </c>
      <c r="B88" s="10" t="s">
        <v>1523</v>
      </c>
      <c r="C88" s="10" t="s">
        <v>166</v>
      </c>
      <c r="D88" s="10" t="s">
        <v>1998</v>
      </c>
      <c r="E88" s="8" t="s">
        <v>1999</v>
      </c>
      <c r="F88" s="8" t="s">
        <v>2000</v>
      </c>
      <c r="G88" s="10" t="s">
        <v>29</v>
      </c>
      <c r="H88" s="8" t="s">
        <v>2001</v>
      </c>
      <c r="I88" s="10" t="s">
        <v>1968</v>
      </c>
      <c r="J88" s="8" t="s">
        <v>1811</v>
      </c>
      <c r="K88" s="8" t="s">
        <v>29</v>
      </c>
      <c r="L88" s="8" t="s">
        <v>29</v>
      </c>
      <c r="M88" s="10" t="s">
        <v>29</v>
      </c>
      <c r="N88" s="8" t="s">
        <v>29</v>
      </c>
      <c r="O88" s="10" t="s">
        <v>19</v>
      </c>
      <c r="P88" s="8" t="s">
        <v>2002</v>
      </c>
      <c r="Q88" s="10" t="s">
        <v>174</v>
      </c>
      <c r="R88" s="10" t="s">
        <v>1387</v>
      </c>
      <c r="S88" s="8" t="s">
        <v>2003</v>
      </c>
      <c r="T88" s="10" t="s">
        <v>1814</v>
      </c>
      <c r="U88" s="10" t="s">
        <v>29</v>
      </c>
    </row>
    <row r="89" spans="1:21" s="10" customFormat="1" x14ac:dyDescent="0.25">
      <c r="A89" s="10" t="s">
        <v>2004</v>
      </c>
      <c r="B89" s="10" t="s">
        <v>1523</v>
      </c>
      <c r="C89" s="11" t="s">
        <v>297</v>
      </c>
      <c r="D89" s="10" t="s">
        <v>2005</v>
      </c>
      <c r="E89" s="8" t="s">
        <v>2006</v>
      </c>
      <c r="F89" s="8" t="s">
        <v>2007</v>
      </c>
      <c r="G89" s="10" t="s">
        <v>29</v>
      </c>
      <c r="H89" s="8" t="s">
        <v>2008</v>
      </c>
      <c r="I89" s="10" t="s">
        <v>2009</v>
      </c>
      <c r="J89" s="8" t="s">
        <v>2010</v>
      </c>
      <c r="K89" s="8" t="s">
        <v>29</v>
      </c>
      <c r="L89" s="8" t="s">
        <v>29</v>
      </c>
      <c r="M89" s="10" t="s">
        <v>29</v>
      </c>
      <c r="N89" s="8" t="s">
        <v>29</v>
      </c>
      <c r="O89" s="10" t="s">
        <v>19</v>
      </c>
      <c r="P89" s="8" t="s">
        <v>2011</v>
      </c>
      <c r="Q89" s="10" t="s">
        <v>1399</v>
      </c>
      <c r="R89" s="10" t="s">
        <v>1387</v>
      </c>
      <c r="S89" s="8" t="s">
        <v>2012</v>
      </c>
      <c r="T89" s="10" t="s">
        <v>1814</v>
      </c>
      <c r="U89" s="10" t="s">
        <v>29</v>
      </c>
    </row>
    <row r="90" spans="1:21" s="10" customFormat="1" x14ac:dyDescent="0.25">
      <c r="A90" s="10" t="s">
        <v>2013</v>
      </c>
      <c r="B90" s="10" t="s">
        <v>1523</v>
      </c>
      <c r="C90" s="10" t="s">
        <v>335</v>
      </c>
      <c r="D90" s="10" t="s">
        <v>2014</v>
      </c>
      <c r="E90" s="8" t="s">
        <v>2015</v>
      </c>
      <c r="F90" s="8" t="s">
        <v>2016</v>
      </c>
      <c r="G90" s="10" t="s">
        <v>29</v>
      </c>
      <c r="H90" s="8" t="s">
        <v>2017</v>
      </c>
      <c r="I90" s="10" t="s">
        <v>2018</v>
      </c>
      <c r="J90" s="8" t="s">
        <v>1811</v>
      </c>
      <c r="K90" s="8" t="s">
        <v>29</v>
      </c>
      <c r="L90" s="8" t="s">
        <v>29</v>
      </c>
      <c r="M90" s="10" t="s">
        <v>29</v>
      </c>
      <c r="N90" s="8" t="s">
        <v>29</v>
      </c>
      <c r="O90" s="10" t="s">
        <v>19</v>
      </c>
      <c r="P90" s="8" t="s">
        <v>2019</v>
      </c>
      <c r="Q90" s="10" t="s">
        <v>174</v>
      </c>
      <c r="R90" s="10" t="s">
        <v>1387</v>
      </c>
      <c r="S90" s="8" t="s">
        <v>2020</v>
      </c>
      <c r="T90" s="10" t="s">
        <v>1814</v>
      </c>
      <c r="U90" s="10" t="s">
        <v>29</v>
      </c>
    </row>
    <row r="91" spans="1:21" s="10" customFormat="1" x14ac:dyDescent="0.25">
      <c r="A91" s="10" t="s">
        <v>2021</v>
      </c>
      <c r="B91" s="10" t="s">
        <v>1523</v>
      </c>
      <c r="C91" s="10" t="s">
        <v>335</v>
      </c>
      <c r="D91" s="10" t="s">
        <v>2022</v>
      </c>
      <c r="E91" s="8" t="s">
        <v>2023</v>
      </c>
      <c r="F91" s="8" t="s">
        <v>2024</v>
      </c>
      <c r="G91" s="10" t="s">
        <v>29</v>
      </c>
      <c r="H91" s="8" t="s">
        <v>2025</v>
      </c>
      <c r="I91" s="10" t="s">
        <v>2018</v>
      </c>
      <c r="J91" s="8" t="s">
        <v>1811</v>
      </c>
      <c r="K91" s="8" t="s">
        <v>29</v>
      </c>
      <c r="L91" s="8" t="s">
        <v>29</v>
      </c>
      <c r="M91" s="10" t="s">
        <v>29</v>
      </c>
      <c r="N91" s="8" t="s">
        <v>29</v>
      </c>
      <c r="O91" s="10" t="s">
        <v>19</v>
      </c>
      <c r="P91" s="8" t="s">
        <v>2026</v>
      </c>
      <c r="Q91" s="10" t="s">
        <v>174</v>
      </c>
      <c r="R91" s="10" t="s">
        <v>1387</v>
      </c>
      <c r="S91" s="8" t="s">
        <v>2027</v>
      </c>
      <c r="T91" s="10" t="s">
        <v>1814</v>
      </c>
      <c r="U91" s="10" t="s">
        <v>29</v>
      </c>
    </row>
    <row r="92" spans="1:21" s="10" customFormat="1" x14ac:dyDescent="0.25">
      <c r="A92" s="10" t="s">
        <v>2028</v>
      </c>
      <c r="B92" s="10" t="s">
        <v>1523</v>
      </c>
      <c r="C92" s="10" t="s">
        <v>335</v>
      </c>
      <c r="D92" s="10" t="s">
        <v>2029</v>
      </c>
      <c r="E92" s="8" t="s">
        <v>2030</v>
      </c>
      <c r="F92" s="8" t="s">
        <v>2031</v>
      </c>
      <c r="G92" s="10" t="s">
        <v>29</v>
      </c>
      <c r="H92" s="8" t="s">
        <v>2032</v>
      </c>
      <c r="I92" s="10" t="s">
        <v>2018</v>
      </c>
      <c r="J92" s="8" t="s">
        <v>1811</v>
      </c>
      <c r="K92" s="8" t="s">
        <v>29</v>
      </c>
      <c r="L92" s="8" t="s">
        <v>29</v>
      </c>
      <c r="M92" s="10" t="s">
        <v>29</v>
      </c>
      <c r="N92" s="8" t="s">
        <v>29</v>
      </c>
      <c r="O92" s="10" t="s">
        <v>19</v>
      </c>
      <c r="P92" s="8" t="s">
        <v>2033</v>
      </c>
      <c r="Q92" s="10" t="s">
        <v>174</v>
      </c>
      <c r="R92" s="10" t="s">
        <v>1387</v>
      </c>
      <c r="S92" s="8" t="s">
        <v>2034</v>
      </c>
      <c r="T92" s="10" t="s">
        <v>1814</v>
      </c>
      <c r="U92" s="10" t="s">
        <v>29</v>
      </c>
    </row>
    <row r="93" spans="1:21" s="10" customFormat="1" x14ac:dyDescent="0.25">
      <c r="A93" s="10" t="s">
        <v>2035</v>
      </c>
      <c r="B93" s="10" t="s">
        <v>1523</v>
      </c>
      <c r="C93" s="10" t="s">
        <v>335</v>
      </c>
      <c r="D93" s="10" t="s">
        <v>2036</v>
      </c>
      <c r="E93" s="8" t="s">
        <v>2037</v>
      </c>
      <c r="F93" s="8" t="s">
        <v>2038</v>
      </c>
      <c r="G93" s="10" t="s">
        <v>29</v>
      </c>
      <c r="H93" s="8" t="s">
        <v>2039</v>
      </c>
      <c r="I93" s="10" t="s">
        <v>2018</v>
      </c>
      <c r="J93" s="8" t="s">
        <v>1811</v>
      </c>
      <c r="K93" s="8" t="s">
        <v>29</v>
      </c>
      <c r="L93" s="8" t="s">
        <v>29</v>
      </c>
      <c r="M93" s="10" t="s">
        <v>29</v>
      </c>
      <c r="N93" s="8" t="s">
        <v>29</v>
      </c>
      <c r="O93" s="10" t="s">
        <v>19</v>
      </c>
      <c r="P93" s="8" t="s">
        <v>2040</v>
      </c>
      <c r="Q93" s="10" t="s">
        <v>174</v>
      </c>
      <c r="R93" s="10" t="s">
        <v>1387</v>
      </c>
      <c r="S93" s="8" t="s">
        <v>2041</v>
      </c>
      <c r="T93" s="10" t="s">
        <v>1814</v>
      </c>
      <c r="U93" s="10" t="s">
        <v>29</v>
      </c>
    </row>
    <row r="94" spans="1:21" s="10" customFormat="1" x14ac:dyDescent="0.25">
      <c r="A94" s="10" t="s">
        <v>2042</v>
      </c>
      <c r="B94" s="10" t="s">
        <v>1523</v>
      </c>
      <c r="C94" s="10" t="s">
        <v>335</v>
      </c>
      <c r="D94" s="10" t="s">
        <v>2043</v>
      </c>
      <c r="E94" s="8" t="s">
        <v>2044</v>
      </c>
      <c r="F94" s="8" t="s">
        <v>2045</v>
      </c>
      <c r="G94" s="10" t="s">
        <v>29</v>
      </c>
      <c r="H94" s="8" t="s">
        <v>2046</v>
      </c>
      <c r="I94" s="10" t="s">
        <v>2018</v>
      </c>
      <c r="J94" s="8" t="s">
        <v>1811</v>
      </c>
      <c r="K94" s="8" t="s">
        <v>29</v>
      </c>
      <c r="L94" s="8" t="s">
        <v>29</v>
      </c>
      <c r="M94" s="10" t="s">
        <v>29</v>
      </c>
      <c r="N94" s="8" t="s">
        <v>29</v>
      </c>
      <c r="O94" s="10" t="s">
        <v>19</v>
      </c>
      <c r="P94" s="8" t="s">
        <v>2047</v>
      </c>
      <c r="Q94" s="10" t="s">
        <v>174</v>
      </c>
      <c r="R94" s="10" t="s">
        <v>1387</v>
      </c>
      <c r="S94" s="8" t="s">
        <v>2048</v>
      </c>
      <c r="T94" s="10" t="s">
        <v>1814</v>
      </c>
      <c r="U94" s="10" t="s">
        <v>29</v>
      </c>
    </row>
    <row r="95" spans="1:21" s="10" customFormat="1" x14ac:dyDescent="0.25">
      <c r="A95" s="10" t="s">
        <v>2049</v>
      </c>
      <c r="B95" s="10" t="s">
        <v>1523</v>
      </c>
      <c r="C95" s="10" t="s">
        <v>335</v>
      </c>
      <c r="D95" s="10" t="s">
        <v>2050</v>
      </c>
      <c r="E95" s="8" t="s">
        <v>2051</v>
      </c>
      <c r="F95" s="8" t="s">
        <v>2052</v>
      </c>
      <c r="G95" s="10" t="s">
        <v>29</v>
      </c>
      <c r="H95" s="8" t="s">
        <v>2053</v>
      </c>
      <c r="I95" s="10" t="s">
        <v>2018</v>
      </c>
      <c r="J95" s="8" t="s">
        <v>1811</v>
      </c>
      <c r="K95" s="8" t="s">
        <v>29</v>
      </c>
      <c r="L95" s="8" t="s">
        <v>29</v>
      </c>
      <c r="M95" s="10" t="s">
        <v>29</v>
      </c>
      <c r="N95" s="8" t="s">
        <v>29</v>
      </c>
      <c r="O95" s="10" t="s">
        <v>19</v>
      </c>
      <c r="P95" s="8" t="s">
        <v>2054</v>
      </c>
      <c r="Q95" s="10" t="s">
        <v>174</v>
      </c>
      <c r="R95" s="10" t="s">
        <v>1387</v>
      </c>
      <c r="S95" s="8" t="s">
        <v>2055</v>
      </c>
      <c r="T95" s="10" t="s">
        <v>1814</v>
      </c>
      <c r="U95" s="10" t="s">
        <v>29</v>
      </c>
    </row>
    <row r="96" spans="1:21" s="10" customFormat="1" x14ac:dyDescent="0.25">
      <c r="A96" s="10" t="s">
        <v>2056</v>
      </c>
      <c r="B96" s="10" t="s">
        <v>1523</v>
      </c>
      <c r="C96" s="10" t="s">
        <v>335</v>
      </c>
      <c r="D96" s="10" t="s">
        <v>2057</v>
      </c>
      <c r="E96" s="8" t="s">
        <v>2058</v>
      </c>
      <c r="F96" s="8" t="s">
        <v>2059</v>
      </c>
      <c r="G96" s="10" t="s">
        <v>29</v>
      </c>
      <c r="H96" s="8" t="s">
        <v>2060</v>
      </c>
      <c r="I96" s="10" t="s">
        <v>2018</v>
      </c>
      <c r="J96" s="8" t="s">
        <v>1811</v>
      </c>
      <c r="K96" s="8" t="s">
        <v>29</v>
      </c>
      <c r="L96" s="8" t="s">
        <v>29</v>
      </c>
      <c r="M96" s="10" t="s">
        <v>29</v>
      </c>
      <c r="N96" s="8" t="s">
        <v>29</v>
      </c>
      <c r="O96" s="10" t="s">
        <v>19</v>
      </c>
      <c r="P96" s="8" t="s">
        <v>2061</v>
      </c>
      <c r="Q96" s="10" t="s">
        <v>174</v>
      </c>
      <c r="R96" s="10" t="s">
        <v>1387</v>
      </c>
      <c r="S96" s="8" t="s">
        <v>2062</v>
      </c>
      <c r="T96" s="10" t="s">
        <v>1814</v>
      </c>
      <c r="U96" s="10" t="s">
        <v>29</v>
      </c>
    </row>
    <row r="97" spans="1:21" s="10" customFormat="1" x14ac:dyDescent="0.25">
      <c r="A97" s="10" t="s">
        <v>2063</v>
      </c>
      <c r="B97" s="10" t="s">
        <v>1523</v>
      </c>
      <c r="C97" s="10" t="s">
        <v>335</v>
      </c>
      <c r="D97" s="10" t="s">
        <v>2064</v>
      </c>
      <c r="E97" s="8" t="s">
        <v>2065</v>
      </c>
      <c r="F97" s="8" t="s">
        <v>2066</v>
      </c>
      <c r="G97" s="10" t="s">
        <v>29</v>
      </c>
      <c r="H97" s="8" t="s">
        <v>2067</v>
      </c>
      <c r="I97" s="10" t="s">
        <v>2018</v>
      </c>
      <c r="J97" s="8" t="s">
        <v>1811</v>
      </c>
      <c r="K97" s="8" t="s">
        <v>29</v>
      </c>
      <c r="L97" s="8" t="s">
        <v>29</v>
      </c>
      <c r="M97" s="10" t="s">
        <v>29</v>
      </c>
      <c r="N97" s="8" t="s">
        <v>29</v>
      </c>
      <c r="O97" s="10" t="s">
        <v>19</v>
      </c>
      <c r="P97" s="8" t="s">
        <v>2068</v>
      </c>
      <c r="Q97" s="10" t="s">
        <v>174</v>
      </c>
      <c r="R97" s="10" t="s">
        <v>1387</v>
      </c>
      <c r="S97" s="8" t="s">
        <v>2069</v>
      </c>
      <c r="T97" s="10" t="s">
        <v>1814</v>
      </c>
      <c r="U97" s="10" t="s">
        <v>29</v>
      </c>
    </row>
    <row r="98" spans="1:21" s="10" customFormat="1" x14ac:dyDescent="0.25">
      <c r="A98" s="10" t="s">
        <v>2070</v>
      </c>
      <c r="B98" s="10" t="s">
        <v>1523</v>
      </c>
      <c r="C98" s="10" t="s">
        <v>335</v>
      </c>
      <c r="D98" s="10" t="s">
        <v>2071</v>
      </c>
      <c r="E98" s="8" t="s">
        <v>2072</v>
      </c>
      <c r="F98" s="8" t="s">
        <v>2073</v>
      </c>
      <c r="G98" s="10" t="s">
        <v>29</v>
      </c>
      <c r="H98" s="8" t="s">
        <v>2074</v>
      </c>
      <c r="I98" s="10" t="s">
        <v>2018</v>
      </c>
      <c r="J98" s="8" t="s">
        <v>1811</v>
      </c>
      <c r="K98" s="8" t="s">
        <v>29</v>
      </c>
      <c r="L98" s="8" t="s">
        <v>29</v>
      </c>
      <c r="M98" s="10" t="s">
        <v>29</v>
      </c>
      <c r="N98" s="8" t="s">
        <v>29</v>
      </c>
      <c r="O98" s="10" t="s">
        <v>19</v>
      </c>
      <c r="P98" s="8" t="s">
        <v>2075</v>
      </c>
      <c r="Q98" s="10" t="s">
        <v>174</v>
      </c>
      <c r="R98" s="10" t="s">
        <v>1387</v>
      </c>
      <c r="S98" s="8" t="s">
        <v>2076</v>
      </c>
      <c r="T98" s="10" t="s">
        <v>1814</v>
      </c>
      <c r="U98" s="10" t="s">
        <v>29</v>
      </c>
    </row>
    <row r="99" spans="1:21" s="10" customFormat="1" x14ac:dyDescent="0.25">
      <c r="A99" s="10" t="s">
        <v>2077</v>
      </c>
      <c r="B99" s="10" t="s">
        <v>1523</v>
      </c>
      <c r="C99" s="10" t="s">
        <v>335</v>
      </c>
      <c r="D99" s="10" t="s">
        <v>2078</v>
      </c>
      <c r="E99" s="8" t="s">
        <v>2079</v>
      </c>
      <c r="F99" s="8" t="s">
        <v>2080</v>
      </c>
      <c r="G99" s="10" t="s">
        <v>29</v>
      </c>
      <c r="H99" s="8" t="s">
        <v>2081</v>
      </c>
      <c r="I99" s="10" t="s">
        <v>2018</v>
      </c>
      <c r="J99" s="8" t="s">
        <v>1811</v>
      </c>
      <c r="K99" s="8" t="s">
        <v>29</v>
      </c>
      <c r="L99" s="8" t="s">
        <v>29</v>
      </c>
      <c r="M99" s="10" t="s">
        <v>29</v>
      </c>
      <c r="N99" s="8" t="s">
        <v>29</v>
      </c>
      <c r="O99" s="10" t="s">
        <v>19</v>
      </c>
      <c r="P99" s="8" t="s">
        <v>2082</v>
      </c>
      <c r="Q99" s="10" t="s">
        <v>174</v>
      </c>
      <c r="R99" s="10" t="s">
        <v>1387</v>
      </c>
      <c r="S99" s="8" t="s">
        <v>2083</v>
      </c>
      <c r="T99" s="10" t="s">
        <v>1814</v>
      </c>
      <c r="U99" s="10" t="s">
        <v>29</v>
      </c>
    </row>
    <row r="100" spans="1:21" s="10" customFormat="1" x14ac:dyDescent="0.25">
      <c r="A100" s="10" t="s">
        <v>2084</v>
      </c>
      <c r="B100" s="10" t="s">
        <v>1523</v>
      </c>
      <c r="C100" s="10" t="s">
        <v>166</v>
      </c>
      <c r="D100" s="10" t="s">
        <v>2085</v>
      </c>
      <c r="E100" s="8" t="s">
        <v>2086</v>
      </c>
      <c r="F100" s="8" t="s">
        <v>2087</v>
      </c>
      <c r="G100" s="10" t="s">
        <v>29</v>
      </c>
      <c r="H100" s="8" t="s">
        <v>2088</v>
      </c>
      <c r="I100" s="10" t="s">
        <v>2089</v>
      </c>
      <c r="J100" s="8" t="s">
        <v>1811</v>
      </c>
      <c r="K100" s="8" t="s">
        <v>29</v>
      </c>
      <c r="L100" s="8" t="s">
        <v>29</v>
      </c>
      <c r="M100" s="10" t="s">
        <v>29</v>
      </c>
      <c r="N100" s="8" t="s">
        <v>29</v>
      </c>
      <c r="O100" s="10" t="s">
        <v>19</v>
      </c>
      <c r="P100" s="8" t="s">
        <v>2090</v>
      </c>
      <c r="Q100" s="10" t="s">
        <v>197</v>
      </c>
      <c r="R100" s="10" t="s">
        <v>1387</v>
      </c>
      <c r="S100" s="8" t="s">
        <v>2091</v>
      </c>
      <c r="T100" s="10" t="s">
        <v>1814</v>
      </c>
      <c r="U100" s="10" t="s">
        <v>29</v>
      </c>
    </row>
    <row r="101" spans="1:21" s="10" customFormat="1" x14ac:dyDescent="0.25">
      <c r="A101" s="10" t="s">
        <v>2092</v>
      </c>
      <c r="B101" s="10" t="s">
        <v>1523</v>
      </c>
      <c r="C101" s="11" t="s">
        <v>297</v>
      </c>
      <c r="D101" s="10" t="s">
        <v>2093</v>
      </c>
      <c r="E101" s="8" t="s">
        <v>2094</v>
      </c>
      <c r="F101" s="8" t="s">
        <v>2095</v>
      </c>
      <c r="G101" s="10" t="s">
        <v>29</v>
      </c>
      <c r="H101" s="8" t="s">
        <v>2096</v>
      </c>
      <c r="I101" s="10" t="s">
        <v>2097</v>
      </c>
      <c r="J101" s="8" t="s">
        <v>1811</v>
      </c>
      <c r="K101" s="8" t="s">
        <v>29</v>
      </c>
      <c r="L101" s="8" t="s">
        <v>29</v>
      </c>
      <c r="M101" s="10" t="s">
        <v>29</v>
      </c>
      <c r="N101" s="8" t="s">
        <v>29</v>
      </c>
      <c r="O101" s="10" t="s">
        <v>19</v>
      </c>
      <c r="P101" s="8" t="s">
        <v>2098</v>
      </c>
      <c r="Q101" s="10" t="s">
        <v>174</v>
      </c>
      <c r="R101" s="10" t="s">
        <v>1387</v>
      </c>
      <c r="S101" s="8" t="s">
        <v>2099</v>
      </c>
      <c r="T101" s="10" t="s">
        <v>1814</v>
      </c>
      <c r="U101" s="10" t="s">
        <v>29</v>
      </c>
    </row>
    <row r="102" spans="1:21" s="10" customFormat="1" x14ac:dyDescent="0.25">
      <c r="A102" s="10" t="s">
        <v>2100</v>
      </c>
      <c r="B102" s="10" t="s">
        <v>1523</v>
      </c>
      <c r="C102" s="11" t="s">
        <v>297</v>
      </c>
      <c r="D102" s="10" t="s">
        <v>2101</v>
      </c>
      <c r="E102" s="8" t="s">
        <v>2102</v>
      </c>
      <c r="F102" s="8" t="s">
        <v>2103</v>
      </c>
      <c r="G102" s="10" t="s">
        <v>29</v>
      </c>
      <c r="H102" s="8" t="s">
        <v>2104</v>
      </c>
      <c r="I102" s="10" t="s">
        <v>2105</v>
      </c>
      <c r="J102" s="8" t="s">
        <v>1811</v>
      </c>
      <c r="K102" s="8" t="s">
        <v>29</v>
      </c>
      <c r="L102" s="8" t="s">
        <v>29</v>
      </c>
      <c r="M102" s="10" t="s">
        <v>29</v>
      </c>
      <c r="N102" s="8" t="s">
        <v>29</v>
      </c>
      <c r="O102" s="10" t="s">
        <v>19</v>
      </c>
      <c r="P102" s="8" t="s">
        <v>2106</v>
      </c>
      <c r="Q102" s="10" t="s">
        <v>1399</v>
      </c>
      <c r="R102" s="10" t="s">
        <v>1387</v>
      </c>
      <c r="S102" s="8" t="s">
        <v>2107</v>
      </c>
      <c r="T102" s="10" t="s">
        <v>1814</v>
      </c>
      <c r="U102" s="10" t="s">
        <v>29</v>
      </c>
    </row>
    <row r="103" spans="1:21" s="10" customFormat="1" x14ac:dyDescent="0.25">
      <c r="A103" s="10" t="s">
        <v>2108</v>
      </c>
      <c r="B103" s="10" t="s">
        <v>1523</v>
      </c>
      <c r="C103" s="11" t="s">
        <v>297</v>
      </c>
      <c r="D103" s="10" t="s">
        <v>2109</v>
      </c>
      <c r="E103" s="8" t="s">
        <v>2110</v>
      </c>
      <c r="F103" s="8" t="s">
        <v>2111</v>
      </c>
      <c r="G103" s="10" t="s">
        <v>29</v>
      </c>
      <c r="H103" s="8" t="s">
        <v>2112</v>
      </c>
      <c r="I103" s="10" t="s">
        <v>2113</v>
      </c>
      <c r="J103" s="8" t="s">
        <v>1606</v>
      </c>
      <c r="K103" s="8" t="s">
        <v>29</v>
      </c>
      <c r="L103" s="8" t="s">
        <v>29</v>
      </c>
      <c r="M103" s="10" t="s">
        <v>29</v>
      </c>
      <c r="N103" s="8" t="s">
        <v>29</v>
      </c>
      <c r="O103" s="10" t="s">
        <v>19</v>
      </c>
      <c r="P103" s="8" t="s">
        <v>2114</v>
      </c>
      <c r="Q103" s="10" t="s">
        <v>1399</v>
      </c>
      <c r="R103" s="10" t="s">
        <v>1608</v>
      </c>
      <c r="S103" s="8" t="s">
        <v>2115</v>
      </c>
      <c r="T103" s="10" t="s">
        <v>1814</v>
      </c>
      <c r="U103" s="10" t="s">
        <v>29</v>
      </c>
    </row>
    <row r="104" spans="1:21" s="10" customFormat="1" x14ac:dyDescent="0.25">
      <c r="A104" s="10" t="s">
        <v>2116</v>
      </c>
      <c r="B104" s="10" t="s">
        <v>1523</v>
      </c>
      <c r="C104" s="11" t="s">
        <v>297</v>
      </c>
      <c r="D104" s="10" t="s">
        <v>2117</v>
      </c>
      <c r="E104" s="8" t="s">
        <v>2118</v>
      </c>
      <c r="F104" s="8" t="s">
        <v>2119</v>
      </c>
      <c r="G104" s="10" t="s">
        <v>29</v>
      </c>
      <c r="H104" s="8" t="s">
        <v>2120</v>
      </c>
      <c r="I104" s="10" t="s">
        <v>1835</v>
      </c>
      <c r="J104" s="8" t="s">
        <v>1615</v>
      </c>
      <c r="K104" s="8" t="s">
        <v>29</v>
      </c>
      <c r="L104" s="8" t="s">
        <v>29</v>
      </c>
      <c r="M104" s="10" t="s">
        <v>29</v>
      </c>
      <c r="N104" s="8" t="s">
        <v>29</v>
      </c>
      <c r="O104" s="10" t="s">
        <v>19</v>
      </c>
      <c r="P104" s="8" t="s">
        <v>2121</v>
      </c>
      <c r="Q104" s="10" t="s">
        <v>776</v>
      </c>
      <c r="R104" s="10" t="s">
        <v>2122</v>
      </c>
      <c r="S104" s="8" t="s">
        <v>1618</v>
      </c>
      <c r="T104" s="10" t="s">
        <v>1814</v>
      </c>
      <c r="U104" s="10" t="s">
        <v>29</v>
      </c>
    </row>
    <row r="105" spans="1:21" s="10" customFormat="1" x14ac:dyDescent="0.25">
      <c r="A105" s="10" t="s">
        <v>2123</v>
      </c>
      <c r="B105" s="10" t="s">
        <v>1523</v>
      </c>
      <c r="C105" s="10" t="s">
        <v>166</v>
      </c>
      <c r="D105" s="10" t="s">
        <v>2124</v>
      </c>
      <c r="E105" s="8" t="s">
        <v>2125</v>
      </c>
      <c r="F105" s="8" t="s">
        <v>2126</v>
      </c>
      <c r="G105" s="10" t="s">
        <v>29</v>
      </c>
      <c r="H105" s="8" t="s">
        <v>2127</v>
      </c>
      <c r="I105" s="10" t="s">
        <v>1489</v>
      </c>
      <c r="J105" s="8" t="s">
        <v>1811</v>
      </c>
      <c r="K105" s="8" t="s">
        <v>29</v>
      </c>
      <c r="L105" s="8" t="s">
        <v>29</v>
      </c>
      <c r="M105" s="10" t="s">
        <v>29</v>
      </c>
      <c r="N105" s="8" t="s">
        <v>29</v>
      </c>
      <c r="O105" s="10" t="s">
        <v>19</v>
      </c>
      <c r="P105" s="8" t="s">
        <v>2128</v>
      </c>
      <c r="Q105" s="10" t="s">
        <v>174</v>
      </c>
      <c r="R105" s="10" t="s">
        <v>1387</v>
      </c>
      <c r="S105" s="8" t="s">
        <v>1599</v>
      </c>
      <c r="T105" s="10" t="s">
        <v>1814</v>
      </c>
      <c r="U105" s="10" t="s">
        <v>29</v>
      </c>
    </row>
    <row r="106" spans="1:21" s="10" customFormat="1" x14ac:dyDescent="0.25">
      <c r="A106" s="10" t="s">
        <v>2129</v>
      </c>
      <c r="B106" s="10" t="s">
        <v>1523</v>
      </c>
      <c r="C106" s="10" t="s">
        <v>166</v>
      </c>
      <c r="D106" s="10" t="s">
        <v>2130</v>
      </c>
      <c r="E106" s="8" t="s">
        <v>2131</v>
      </c>
      <c r="F106" s="8" t="s">
        <v>2132</v>
      </c>
      <c r="G106" s="10" t="s">
        <v>29</v>
      </c>
      <c r="H106" s="8" t="s">
        <v>2133</v>
      </c>
      <c r="I106" s="10" t="s">
        <v>1810</v>
      </c>
      <c r="J106" s="8" t="s">
        <v>2134</v>
      </c>
      <c r="K106" s="8" t="s">
        <v>29</v>
      </c>
      <c r="L106" s="8" t="s">
        <v>29</v>
      </c>
      <c r="M106" s="10" t="s">
        <v>29</v>
      </c>
      <c r="N106" s="8" t="s">
        <v>29</v>
      </c>
      <c r="O106" s="10" t="s">
        <v>19</v>
      </c>
      <c r="P106" s="8" t="s">
        <v>2135</v>
      </c>
      <c r="Q106" s="10" t="s">
        <v>174</v>
      </c>
      <c r="R106" s="10" t="s">
        <v>1387</v>
      </c>
      <c r="S106" s="8" t="s">
        <v>2136</v>
      </c>
      <c r="T106" s="10" t="s">
        <v>2137</v>
      </c>
      <c r="U106" s="10" t="s">
        <v>29</v>
      </c>
    </row>
    <row r="107" spans="1:21" s="10" customFormat="1" x14ac:dyDescent="0.25">
      <c r="A107" s="10" t="s">
        <v>2138</v>
      </c>
      <c r="B107" s="10" t="s">
        <v>1523</v>
      </c>
      <c r="C107" s="10" t="s">
        <v>166</v>
      </c>
      <c r="D107" s="10" t="s">
        <v>2139</v>
      </c>
      <c r="E107" s="8" t="s">
        <v>2140</v>
      </c>
      <c r="F107" s="8" t="s">
        <v>2141</v>
      </c>
      <c r="G107" s="10" t="s">
        <v>29</v>
      </c>
      <c r="H107" s="8" t="s">
        <v>2142</v>
      </c>
      <c r="I107" s="10" t="s">
        <v>1810</v>
      </c>
      <c r="J107" s="8" t="s">
        <v>2134</v>
      </c>
      <c r="K107" s="8" t="s">
        <v>29</v>
      </c>
      <c r="L107" s="8" t="s">
        <v>29</v>
      </c>
      <c r="M107" s="10" t="s">
        <v>29</v>
      </c>
      <c r="N107" s="8" t="s">
        <v>29</v>
      </c>
      <c r="O107" s="10" t="s">
        <v>19</v>
      </c>
      <c r="P107" s="8" t="s">
        <v>2143</v>
      </c>
      <c r="Q107" s="10" t="s">
        <v>174</v>
      </c>
      <c r="R107" s="10" t="s">
        <v>1387</v>
      </c>
      <c r="S107" s="8" t="s">
        <v>2144</v>
      </c>
      <c r="T107" s="10" t="s">
        <v>2137</v>
      </c>
      <c r="U107" s="10" t="s">
        <v>29</v>
      </c>
    </row>
    <row r="108" spans="1:21" s="10" customFormat="1" x14ac:dyDescent="0.25">
      <c r="A108" s="10" t="s">
        <v>2145</v>
      </c>
      <c r="B108" s="10" t="s">
        <v>1523</v>
      </c>
      <c r="C108" s="10" t="s">
        <v>166</v>
      </c>
      <c r="D108" s="10" t="s">
        <v>2146</v>
      </c>
      <c r="E108" s="8" t="s">
        <v>2147</v>
      </c>
      <c r="F108" s="8" t="s">
        <v>2148</v>
      </c>
      <c r="G108" s="10" t="s">
        <v>29</v>
      </c>
      <c r="H108" s="8" t="s">
        <v>2149</v>
      </c>
      <c r="I108" s="10" t="s">
        <v>1489</v>
      </c>
      <c r="J108" s="8" t="s">
        <v>2134</v>
      </c>
      <c r="K108" s="8" t="s">
        <v>29</v>
      </c>
      <c r="L108" s="8" t="s">
        <v>29</v>
      </c>
      <c r="M108" s="10" t="s">
        <v>29</v>
      </c>
      <c r="N108" s="8" t="s">
        <v>29</v>
      </c>
      <c r="O108" s="10" t="s">
        <v>19</v>
      </c>
      <c r="P108" s="8" t="s">
        <v>2150</v>
      </c>
      <c r="Q108" s="10" t="s">
        <v>190</v>
      </c>
      <c r="R108" s="10" t="s">
        <v>1387</v>
      </c>
      <c r="S108" s="8" t="s">
        <v>2151</v>
      </c>
      <c r="T108" s="10" t="s">
        <v>2137</v>
      </c>
      <c r="U108" s="10" t="s">
        <v>29</v>
      </c>
    </row>
    <row r="109" spans="1:21" s="10" customFormat="1" x14ac:dyDescent="0.25">
      <c r="A109" s="10" t="s">
        <v>2152</v>
      </c>
      <c r="B109" s="10" t="s">
        <v>1523</v>
      </c>
      <c r="C109" s="10" t="s">
        <v>166</v>
      </c>
      <c r="D109" s="10" t="s">
        <v>2153</v>
      </c>
      <c r="E109" s="8" t="s">
        <v>2154</v>
      </c>
      <c r="F109" s="8" t="s">
        <v>2155</v>
      </c>
      <c r="G109" s="10" t="s">
        <v>29</v>
      </c>
      <c r="H109" s="8" t="s">
        <v>2133</v>
      </c>
      <c r="I109" s="10" t="s">
        <v>1489</v>
      </c>
      <c r="J109" s="8" t="s">
        <v>2134</v>
      </c>
      <c r="K109" s="8" t="s">
        <v>29</v>
      </c>
      <c r="L109" s="8" t="s">
        <v>29</v>
      </c>
      <c r="M109" s="10" t="s">
        <v>29</v>
      </c>
      <c r="N109" s="8" t="s">
        <v>29</v>
      </c>
      <c r="O109" s="10" t="s">
        <v>19</v>
      </c>
      <c r="P109" s="8" t="s">
        <v>2156</v>
      </c>
      <c r="Q109" s="10" t="s">
        <v>174</v>
      </c>
      <c r="R109" s="10" t="s">
        <v>1387</v>
      </c>
      <c r="S109" s="8" t="s">
        <v>2157</v>
      </c>
      <c r="T109" s="10" t="s">
        <v>2137</v>
      </c>
      <c r="U109" s="10" t="s">
        <v>29</v>
      </c>
    </row>
    <row r="110" spans="1:21" s="10" customFormat="1" x14ac:dyDescent="0.25">
      <c r="A110" s="10" t="s">
        <v>2158</v>
      </c>
      <c r="B110" s="10" t="s">
        <v>1523</v>
      </c>
      <c r="C110" s="10" t="s">
        <v>335</v>
      </c>
      <c r="D110" s="10" t="s">
        <v>2159</v>
      </c>
      <c r="E110" s="8" t="s">
        <v>2160</v>
      </c>
      <c r="F110" s="8" t="s">
        <v>2161</v>
      </c>
      <c r="G110" s="10" t="s">
        <v>29</v>
      </c>
      <c r="H110" s="8" t="s">
        <v>2162</v>
      </c>
      <c r="I110" s="10" t="s">
        <v>1489</v>
      </c>
      <c r="J110" s="8" t="s">
        <v>2134</v>
      </c>
      <c r="K110" s="8" t="s">
        <v>29</v>
      </c>
      <c r="L110" s="8" t="s">
        <v>29</v>
      </c>
      <c r="M110" s="10" t="s">
        <v>29</v>
      </c>
      <c r="N110" s="8" t="s">
        <v>29</v>
      </c>
      <c r="O110" s="10" t="s">
        <v>19</v>
      </c>
      <c r="P110" s="8" t="s">
        <v>2163</v>
      </c>
      <c r="Q110" s="10" t="s">
        <v>174</v>
      </c>
      <c r="R110" s="10" t="s">
        <v>1387</v>
      </c>
      <c r="S110" s="8" t="s">
        <v>2164</v>
      </c>
      <c r="T110" s="10" t="s">
        <v>2137</v>
      </c>
      <c r="U110" s="10" t="s">
        <v>29</v>
      </c>
    </row>
    <row r="111" spans="1:21" s="10" customFormat="1" x14ac:dyDescent="0.25">
      <c r="A111" s="10" t="s">
        <v>2165</v>
      </c>
      <c r="B111" s="10" t="s">
        <v>1523</v>
      </c>
      <c r="C111" s="10" t="s">
        <v>335</v>
      </c>
      <c r="D111" s="10" t="s">
        <v>2166</v>
      </c>
      <c r="E111" s="8" t="s">
        <v>2167</v>
      </c>
      <c r="F111" s="8" t="s">
        <v>2168</v>
      </c>
      <c r="G111" s="10" t="s">
        <v>29</v>
      </c>
      <c r="H111" s="8" t="s">
        <v>2169</v>
      </c>
      <c r="I111" s="10" t="s">
        <v>1489</v>
      </c>
      <c r="J111" s="8" t="s">
        <v>2134</v>
      </c>
      <c r="K111" s="8" t="s">
        <v>29</v>
      </c>
      <c r="L111" s="8" t="s">
        <v>29</v>
      </c>
      <c r="M111" s="10" t="s">
        <v>29</v>
      </c>
      <c r="N111" s="8" t="s">
        <v>29</v>
      </c>
      <c r="O111" s="10" t="s">
        <v>19</v>
      </c>
      <c r="P111" s="8" t="s">
        <v>2170</v>
      </c>
      <c r="Q111" s="10" t="s">
        <v>174</v>
      </c>
      <c r="R111" s="10" t="s">
        <v>1387</v>
      </c>
      <c r="S111" s="8" t="s">
        <v>2171</v>
      </c>
      <c r="T111" s="10" t="s">
        <v>2137</v>
      </c>
      <c r="U111" s="10" t="s">
        <v>29</v>
      </c>
    </row>
    <row r="112" spans="1:21" s="10" customFormat="1" x14ac:dyDescent="0.25">
      <c r="A112" s="10" t="s">
        <v>2172</v>
      </c>
      <c r="B112" s="10" t="s">
        <v>1523</v>
      </c>
      <c r="C112" s="10" t="s">
        <v>166</v>
      </c>
      <c r="D112" s="10" t="s">
        <v>2173</v>
      </c>
      <c r="E112" s="8" t="s">
        <v>2174</v>
      </c>
      <c r="F112" s="8" t="s">
        <v>2175</v>
      </c>
      <c r="G112" s="10" t="s">
        <v>29</v>
      </c>
      <c r="H112" s="8" t="s">
        <v>2176</v>
      </c>
      <c r="I112" s="10" t="s">
        <v>1489</v>
      </c>
      <c r="J112" s="8" t="s">
        <v>2134</v>
      </c>
      <c r="K112" s="8" t="s">
        <v>29</v>
      </c>
      <c r="L112" s="8" t="s">
        <v>29</v>
      </c>
      <c r="M112" s="10" t="s">
        <v>29</v>
      </c>
      <c r="N112" s="8" t="s">
        <v>29</v>
      </c>
      <c r="O112" s="10" t="s">
        <v>19</v>
      </c>
      <c r="P112" s="8" t="s">
        <v>2177</v>
      </c>
      <c r="Q112" s="10" t="s">
        <v>197</v>
      </c>
      <c r="R112" s="10" t="s">
        <v>1387</v>
      </c>
      <c r="S112" s="8" t="s">
        <v>2178</v>
      </c>
      <c r="T112" s="10" t="s">
        <v>2137</v>
      </c>
      <c r="U112" s="10" t="s">
        <v>29</v>
      </c>
    </row>
    <row r="113" spans="1:21" s="10" customFormat="1" x14ac:dyDescent="0.25">
      <c r="A113" s="10" t="s">
        <v>2179</v>
      </c>
      <c r="B113" s="10" t="s">
        <v>1523</v>
      </c>
      <c r="C113" s="10" t="s">
        <v>335</v>
      </c>
      <c r="D113" s="10" t="s">
        <v>2180</v>
      </c>
      <c r="E113" s="8" t="s">
        <v>2181</v>
      </c>
      <c r="F113" s="8" t="s">
        <v>2182</v>
      </c>
      <c r="G113" s="10" t="s">
        <v>29</v>
      </c>
      <c r="H113" s="8" t="s">
        <v>2183</v>
      </c>
      <c r="I113" s="10" t="s">
        <v>1489</v>
      </c>
      <c r="J113" s="8" t="s">
        <v>2134</v>
      </c>
      <c r="K113" s="8" t="s">
        <v>29</v>
      </c>
      <c r="L113" s="8" t="s">
        <v>29</v>
      </c>
      <c r="M113" s="10" t="s">
        <v>29</v>
      </c>
      <c r="N113" s="8" t="s">
        <v>29</v>
      </c>
      <c r="O113" s="10" t="s">
        <v>19</v>
      </c>
      <c r="P113" s="8" t="s">
        <v>2184</v>
      </c>
      <c r="Q113" s="10" t="s">
        <v>174</v>
      </c>
      <c r="R113" s="10" t="s">
        <v>1387</v>
      </c>
      <c r="S113" s="8" t="s">
        <v>2185</v>
      </c>
      <c r="T113" s="10" t="s">
        <v>2137</v>
      </c>
      <c r="U113" s="10" t="s">
        <v>29</v>
      </c>
    </row>
    <row r="114" spans="1:21" s="10" customFormat="1" x14ac:dyDescent="0.25">
      <c r="A114" s="10" t="s">
        <v>2186</v>
      </c>
      <c r="B114" s="10" t="s">
        <v>1523</v>
      </c>
      <c r="C114" s="11" t="s">
        <v>297</v>
      </c>
      <c r="D114" s="10" t="s">
        <v>2187</v>
      </c>
      <c r="E114" s="8" t="s">
        <v>2188</v>
      </c>
      <c r="F114" s="8" t="s">
        <v>2189</v>
      </c>
      <c r="G114" s="10" t="s">
        <v>29</v>
      </c>
      <c r="H114" s="8" t="s">
        <v>2190</v>
      </c>
      <c r="I114" s="10" t="s">
        <v>1489</v>
      </c>
      <c r="J114" s="8" t="s">
        <v>2134</v>
      </c>
      <c r="K114" s="8" t="s">
        <v>29</v>
      </c>
      <c r="L114" s="8" t="s">
        <v>29</v>
      </c>
      <c r="M114" s="10" t="s">
        <v>29</v>
      </c>
      <c r="N114" s="8" t="s">
        <v>29</v>
      </c>
      <c r="O114" s="10" t="s">
        <v>19</v>
      </c>
      <c r="P114" s="8" t="s">
        <v>2191</v>
      </c>
      <c r="Q114" s="10" t="s">
        <v>174</v>
      </c>
      <c r="R114" s="10" t="s">
        <v>1387</v>
      </c>
      <c r="S114" s="8" t="s">
        <v>2192</v>
      </c>
      <c r="T114" s="10" t="s">
        <v>2137</v>
      </c>
      <c r="U114" s="10" t="s">
        <v>29</v>
      </c>
    </row>
    <row r="115" spans="1:21" s="10" customFormat="1" x14ac:dyDescent="0.25">
      <c r="A115" s="10" t="s">
        <v>2193</v>
      </c>
      <c r="B115" s="10" t="s">
        <v>1523</v>
      </c>
      <c r="C115" s="10" t="s">
        <v>335</v>
      </c>
      <c r="D115" s="10" t="s">
        <v>2194</v>
      </c>
      <c r="E115" s="8" t="s">
        <v>2195</v>
      </c>
      <c r="F115" s="8" t="s">
        <v>2196</v>
      </c>
      <c r="G115" s="10" t="s">
        <v>29</v>
      </c>
      <c r="H115" s="8" t="s">
        <v>2197</v>
      </c>
      <c r="I115" s="10" t="s">
        <v>1489</v>
      </c>
      <c r="J115" s="8" t="s">
        <v>2134</v>
      </c>
      <c r="K115" s="8" t="s">
        <v>29</v>
      </c>
      <c r="L115" s="8" t="s">
        <v>29</v>
      </c>
      <c r="M115" s="10" t="s">
        <v>29</v>
      </c>
      <c r="N115" s="8" t="s">
        <v>29</v>
      </c>
      <c r="O115" s="10" t="s">
        <v>19</v>
      </c>
      <c r="P115" s="8" t="s">
        <v>2198</v>
      </c>
      <c r="Q115" s="10" t="s">
        <v>174</v>
      </c>
      <c r="R115" s="10" t="s">
        <v>1387</v>
      </c>
      <c r="S115" s="8" t="s">
        <v>2199</v>
      </c>
      <c r="T115" s="10" t="s">
        <v>2137</v>
      </c>
      <c r="U115" s="10" t="s">
        <v>29</v>
      </c>
    </row>
    <row r="116" spans="1:21" s="10" customFormat="1" x14ac:dyDescent="0.25">
      <c r="A116" s="10" t="s">
        <v>2200</v>
      </c>
      <c r="B116" s="10" t="s">
        <v>1523</v>
      </c>
      <c r="C116" s="10" t="s">
        <v>166</v>
      </c>
      <c r="D116" s="10" t="s">
        <v>2201</v>
      </c>
      <c r="E116" s="8" t="s">
        <v>2202</v>
      </c>
      <c r="F116" s="8" t="s">
        <v>2203</v>
      </c>
      <c r="G116" s="10" t="s">
        <v>29</v>
      </c>
      <c r="H116" s="8" t="s">
        <v>2197</v>
      </c>
      <c r="I116" s="10" t="s">
        <v>2204</v>
      </c>
      <c r="J116" s="8" t="s">
        <v>2134</v>
      </c>
      <c r="K116" s="8" t="s">
        <v>29</v>
      </c>
      <c r="L116" s="8" t="s">
        <v>29</v>
      </c>
      <c r="M116" s="10" t="s">
        <v>29</v>
      </c>
      <c r="N116" s="8" t="s">
        <v>29</v>
      </c>
      <c r="O116" s="10" t="s">
        <v>19</v>
      </c>
      <c r="P116" s="8" t="s">
        <v>2205</v>
      </c>
      <c r="Q116" s="10" t="s">
        <v>1399</v>
      </c>
      <c r="R116" s="10" t="s">
        <v>1387</v>
      </c>
      <c r="S116" s="8" t="s">
        <v>2206</v>
      </c>
      <c r="T116" s="10" t="s">
        <v>2137</v>
      </c>
      <c r="U116" s="10" t="s">
        <v>29</v>
      </c>
    </row>
    <row r="117" spans="1:21" s="10" customFormat="1" x14ac:dyDescent="0.25">
      <c r="A117" s="10" t="s">
        <v>2207</v>
      </c>
      <c r="B117" s="10" t="s">
        <v>1523</v>
      </c>
      <c r="C117" s="11" t="s">
        <v>297</v>
      </c>
      <c r="D117" s="10" t="s">
        <v>2208</v>
      </c>
      <c r="E117" s="8" t="s">
        <v>2209</v>
      </c>
      <c r="F117" s="8" t="s">
        <v>2210</v>
      </c>
      <c r="G117" s="10" t="s">
        <v>29</v>
      </c>
      <c r="H117" s="8" t="s">
        <v>1604</v>
      </c>
      <c r="I117" s="10" t="s">
        <v>2211</v>
      </c>
      <c r="J117" s="8" t="s">
        <v>1606</v>
      </c>
      <c r="K117" s="8" t="s">
        <v>29</v>
      </c>
      <c r="L117" s="8" t="s">
        <v>29</v>
      </c>
      <c r="M117" s="10" t="s">
        <v>29</v>
      </c>
      <c r="N117" s="8" t="s">
        <v>29</v>
      </c>
      <c r="O117" s="10" t="s">
        <v>19</v>
      </c>
      <c r="P117" s="8" t="s">
        <v>2212</v>
      </c>
      <c r="Q117" s="10" t="s">
        <v>1399</v>
      </c>
      <c r="R117" s="10" t="s">
        <v>1608</v>
      </c>
      <c r="S117" s="8" t="s">
        <v>2115</v>
      </c>
      <c r="T117" s="10" t="s">
        <v>2137</v>
      </c>
      <c r="U117" s="10" t="s">
        <v>29</v>
      </c>
    </row>
    <row r="118" spans="1:21" s="10" customFormat="1" x14ac:dyDescent="0.25">
      <c r="A118" s="10" t="s">
        <v>2213</v>
      </c>
      <c r="B118" s="10" t="s">
        <v>1523</v>
      </c>
      <c r="C118" s="10" t="s">
        <v>166</v>
      </c>
      <c r="D118" s="10" t="s">
        <v>2214</v>
      </c>
      <c r="E118" s="8" t="s">
        <v>2215</v>
      </c>
      <c r="F118" s="8" t="s">
        <v>1613</v>
      </c>
      <c r="G118" s="10" t="s">
        <v>29</v>
      </c>
      <c r="H118" s="8" t="s">
        <v>2120</v>
      </c>
      <c r="I118" s="10" t="s">
        <v>1489</v>
      </c>
      <c r="J118" s="8" t="s">
        <v>1615</v>
      </c>
      <c r="K118" s="8" t="s">
        <v>29</v>
      </c>
      <c r="L118" s="8" t="s">
        <v>29</v>
      </c>
      <c r="M118" s="10" t="s">
        <v>29</v>
      </c>
      <c r="N118" s="8" t="s">
        <v>29</v>
      </c>
      <c r="O118" s="10" t="s">
        <v>19</v>
      </c>
      <c r="P118" s="8" t="s">
        <v>2216</v>
      </c>
      <c r="Q118" s="10" t="s">
        <v>776</v>
      </c>
      <c r="R118" s="10" t="s">
        <v>2122</v>
      </c>
      <c r="S118" s="8" t="s">
        <v>1618</v>
      </c>
      <c r="T118" s="10" t="s">
        <v>2137</v>
      </c>
      <c r="U118" s="10" t="s">
        <v>29</v>
      </c>
    </row>
    <row r="119" spans="1:21" s="10" customFormat="1" x14ac:dyDescent="0.25">
      <c r="A119" s="10" t="s">
        <v>2217</v>
      </c>
      <c r="B119" s="10" t="s">
        <v>1523</v>
      </c>
      <c r="C119" s="10" t="s">
        <v>166</v>
      </c>
      <c r="D119" s="10" t="s">
        <v>2218</v>
      </c>
      <c r="E119" s="8" t="s">
        <v>2219</v>
      </c>
      <c r="F119" s="8" t="s">
        <v>2220</v>
      </c>
      <c r="G119" s="10" t="s">
        <v>29</v>
      </c>
      <c r="H119" s="8" t="s">
        <v>2197</v>
      </c>
      <c r="I119" s="10" t="s">
        <v>1489</v>
      </c>
      <c r="J119" s="8" t="s">
        <v>2134</v>
      </c>
      <c r="K119" s="8" t="s">
        <v>29</v>
      </c>
      <c r="L119" s="8" t="s">
        <v>29</v>
      </c>
      <c r="M119" s="10" t="s">
        <v>29</v>
      </c>
      <c r="N119" s="8" t="s">
        <v>29</v>
      </c>
      <c r="O119" s="10" t="s">
        <v>19</v>
      </c>
      <c r="P119" s="8" t="s">
        <v>2221</v>
      </c>
      <c r="Q119" s="10" t="s">
        <v>174</v>
      </c>
      <c r="R119" s="10" t="s">
        <v>1387</v>
      </c>
      <c r="S119" s="8" t="s">
        <v>1599</v>
      </c>
      <c r="T119" s="10" t="s">
        <v>2137</v>
      </c>
      <c r="U119" s="10" t="s">
        <v>29</v>
      </c>
    </row>
    <row r="120" spans="1:21" s="10" customFormat="1" x14ac:dyDescent="0.25">
      <c r="A120" s="10" t="s">
        <v>2222</v>
      </c>
      <c r="B120" s="10" t="s">
        <v>1523</v>
      </c>
      <c r="C120" s="10" t="s">
        <v>335</v>
      </c>
      <c r="D120" s="10" t="s">
        <v>2223</v>
      </c>
      <c r="E120" s="8" t="s">
        <v>2224</v>
      </c>
      <c r="F120" s="8" t="s">
        <v>2225</v>
      </c>
      <c r="G120" s="10" t="s">
        <v>29</v>
      </c>
      <c r="H120" s="8" t="s">
        <v>2226</v>
      </c>
      <c r="I120" s="10" t="s">
        <v>2227</v>
      </c>
      <c r="J120" s="8" t="s">
        <v>2134</v>
      </c>
      <c r="K120" s="8" t="s">
        <v>29</v>
      </c>
      <c r="L120" s="8" t="s">
        <v>29</v>
      </c>
      <c r="M120" s="10" t="s">
        <v>29</v>
      </c>
      <c r="N120" s="8" t="s">
        <v>29</v>
      </c>
      <c r="O120" s="10" t="s">
        <v>19</v>
      </c>
      <c r="P120" s="8" t="s">
        <v>2228</v>
      </c>
      <c r="Q120" s="10" t="s">
        <v>174</v>
      </c>
      <c r="R120" s="10" t="s">
        <v>1387</v>
      </c>
      <c r="S120" s="8" t="s">
        <v>2229</v>
      </c>
      <c r="T120" s="10" t="s">
        <v>2137</v>
      </c>
      <c r="U120" s="10" t="s">
        <v>29</v>
      </c>
    </row>
    <row r="121" spans="1:21" s="10" customFormat="1" x14ac:dyDescent="0.25">
      <c r="A121" s="10" t="s">
        <v>2230</v>
      </c>
      <c r="B121" s="10" t="s">
        <v>1523</v>
      </c>
      <c r="C121" s="10" t="s">
        <v>335</v>
      </c>
      <c r="D121" s="10" t="s">
        <v>2231</v>
      </c>
      <c r="E121" s="8" t="s">
        <v>2232</v>
      </c>
      <c r="F121" s="8" t="s">
        <v>2233</v>
      </c>
      <c r="G121" s="10" t="s">
        <v>29</v>
      </c>
      <c r="H121" s="8" t="s">
        <v>2234</v>
      </c>
      <c r="I121" s="10" t="s">
        <v>2235</v>
      </c>
      <c r="J121" s="8" t="s">
        <v>2134</v>
      </c>
      <c r="K121" s="8" t="s">
        <v>29</v>
      </c>
      <c r="L121" s="8" t="s">
        <v>29</v>
      </c>
      <c r="M121" s="10" t="s">
        <v>29</v>
      </c>
      <c r="N121" s="8" t="s">
        <v>29</v>
      </c>
      <c r="O121" s="10" t="s">
        <v>19</v>
      </c>
      <c r="P121" s="8" t="s">
        <v>2236</v>
      </c>
      <c r="Q121" s="10" t="s">
        <v>174</v>
      </c>
      <c r="R121" s="10" t="s">
        <v>1387</v>
      </c>
      <c r="S121" s="8" t="s">
        <v>2237</v>
      </c>
      <c r="T121" s="10" t="s">
        <v>2137</v>
      </c>
      <c r="U121" s="10" t="s">
        <v>29</v>
      </c>
    </row>
    <row r="122" spans="1:21" s="10" customFormat="1" x14ac:dyDescent="0.25">
      <c r="A122" s="10" t="s">
        <v>2238</v>
      </c>
      <c r="B122" s="10" t="s">
        <v>1523</v>
      </c>
      <c r="C122" s="10" t="s">
        <v>166</v>
      </c>
      <c r="D122" s="10" t="s">
        <v>2239</v>
      </c>
      <c r="E122" s="8" t="s">
        <v>2240</v>
      </c>
      <c r="F122" s="8" t="s">
        <v>2241</v>
      </c>
      <c r="G122" s="10" t="s">
        <v>29</v>
      </c>
      <c r="H122" s="8" t="s">
        <v>2242</v>
      </c>
      <c r="I122" s="10" t="s">
        <v>2235</v>
      </c>
      <c r="J122" s="8" t="s">
        <v>2134</v>
      </c>
      <c r="K122" s="8" t="s">
        <v>29</v>
      </c>
      <c r="L122" s="8" t="s">
        <v>29</v>
      </c>
      <c r="M122" s="10" t="s">
        <v>29</v>
      </c>
      <c r="N122" s="8" t="s">
        <v>29</v>
      </c>
      <c r="O122" s="10" t="s">
        <v>19</v>
      </c>
      <c r="P122" s="8" t="s">
        <v>2243</v>
      </c>
      <c r="Q122" s="10" t="s">
        <v>197</v>
      </c>
      <c r="R122" s="10" t="s">
        <v>1387</v>
      </c>
      <c r="S122" s="8" t="s">
        <v>2244</v>
      </c>
      <c r="T122" s="10" t="s">
        <v>2137</v>
      </c>
      <c r="U122" s="10" t="s">
        <v>29</v>
      </c>
    </row>
    <row r="123" spans="1:21" s="10" customFormat="1" x14ac:dyDescent="0.25">
      <c r="A123" s="10" t="s">
        <v>2245</v>
      </c>
      <c r="B123" s="10" t="s">
        <v>1523</v>
      </c>
      <c r="C123" s="10" t="s">
        <v>166</v>
      </c>
      <c r="D123" s="10" t="s">
        <v>2246</v>
      </c>
      <c r="E123" s="8" t="s">
        <v>2247</v>
      </c>
      <c r="F123" s="8" t="s">
        <v>2248</v>
      </c>
      <c r="G123" s="10" t="s">
        <v>29</v>
      </c>
      <c r="H123" s="8" t="s">
        <v>2226</v>
      </c>
      <c r="I123" s="10" t="s">
        <v>2249</v>
      </c>
      <c r="J123" s="8" t="s">
        <v>2134</v>
      </c>
      <c r="K123" s="8" t="s">
        <v>29</v>
      </c>
      <c r="L123" s="8" t="s">
        <v>29</v>
      </c>
      <c r="M123" s="10" t="s">
        <v>29</v>
      </c>
      <c r="N123" s="8" t="s">
        <v>29</v>
      </c>
      <c r="O123" s="10" t="s">
        <v>19</v>
      </c>
      <c r="P123" s="8" t="s">
        <v>2250</v>
      </c>
      <c r="Q123" s="10" t="s">
        <v>174</v>
      </c>
      <c r="R123" s="10" t="s">
        <v>1387</v>
      </c>
      <c r="S123" s="8" t="s">
        <v>2251</v>
      </c>
      <c r="T123" s="10" t="s">
        <v>2137</v>
      </c>
      <c r="U123" s="10" t="s">
        <v>29</v>
      </c>
    </row>
    <row r="124" spans="1:21" s="10" customFormat="1" x14ac:dyDescent="0.25">
      <c r="A124" s="10" t="s">
        <v>2252</v>
      </c>
      <c r="B124" s="10" t="s">
        <v>1523</v>
      </c>
      <c r="C124" s="10" t="s">
        <v>166</v>
      </c>
      <c r="D124" s="10" t="s">
        <v>2253</v>
      </c>
      <c r="E124" s="8" t="s">
        <v>2254</v>
      </c>
      <c r="F124" s="8" t="s">
        <v>2255</v>
      </c>
      <c r="G124" s="10" t="s">
        <v>29</v>
      </c>
      <c r="H124" s="8" t="s">
        <v>2256</v>
      </c>
      <c r="I124" s="10" t="s">
        <v>2249</v>
      </c>
      <c r="J124" s="8" t="s">
        <v>2134</v>
      </c>
      <c r="K124" s="8" t="s">
        <v>29</v>
      </c>
      <c r="L124" s="8" t="s">
        <v>29</v>
      </c>
      <c r="M124" s="10" t="s">
        <v>29</v>
      </c>
      <c r="N124" s="8" t="s">
        <v>29</v>
      </c>
      <c r="O124" s="10" t="s">
        <v>19</v>
      </c>
      <c r="P124" s="8" t="s">
        <v>2257</v>
      </c>
      <c r="Q124" s="10" t="s">
        <v>190</v>
      </c>
      <c r="R124" s="10" t="s">
        <v>1387</v>
      </c>
      <c r="S124" s="8" t="s">
        <v>2258</v>
      </c>
      <c r="T124" s="10" t="s">
        <v>2137</v>
      </c>
      <c r="U124" s="10" t="s">
        <v>29</v>
      </c>
    </row>
    <row r="125" spans="1:21" s="10" customFormat="1" x14ac:dyDescent="0.25">
      <c r="A125" s="10" t="s">
        <v>2259</v>
      </c>
      <c r="B125" s="10" t="s">
        <v>1523</v>
      </c>
      <c r="C125" s="10" t="s">
        <v>335</v>
      </c>
      <c r="D125" s="10" t="s">
        <v>2260</v>
      </c>
      <c r="E125" s="8" t="s">
        <v>2261</v>
      </c>
      <c r="F125" s="8" t="s">
        <v>2262</v>
      </c>
      <c r="G125" s="10" t="s">
        <v>29</v>
      </c>
      <c r="H125" s="8" t="s">
        <v>2226</v>
      </c>
      <c r="I125" s="10" t="s">
        <v>2249</v>
      </c>
      <c r="J125" s="8" t="s">
        <v>2134</v>
      </c>
      <c r="K125" s="8" t="s">
        <v>29</v>
      </c>
      <c r="L125" s="8" t="s">
        <v>29</v>
      </c>
      <c r="M125" s="10" t="s">
        <v>29</v>
      </c>
      <c r="N125" s="8" t="s">
        <v>29</v>
      </c>
      <c r="O125" s="10" t="s">
        <v>19</v>
      </c>
      <c r="P125" s="8" t="s">
        <v>2263</v>
      </c>
      <c r="Q125" s="10" t="s">
        <v>174</v>
      </c>
      <c r="R125" s="10" t="s">
        <v>1387</v>
      </c>
      <c r="S125" s="8" t="s">
        <v>2264</v>
      </c>
      <c r="T125" s="10" t="s">
        <v>2137</v>
      </c>
      <c r="U125" s="10" t="s">
        <v>29</v>
      </c>
    </row>
    <row r="126" spans="1:21" s="10" customFormat="1" x14ac:dyDescent="0.25">
      <c r="A126" s="10" t="s">
        <v>2265</v>
      </c>
      <c r="B126" s="10" t="s">
        <v>1523</v>
      </c>
      <c r="C126" s="10" t="s">
        <v>335</v>
      </c>
      <c r="D126" s="10" t="s">
        <v>2266</v>
      </c>
      <c r="E126" s="8" t="s">
        <v>2267</v>
      </c>
      <c r="F126" s="8" t="s">
        <v>2268</v>
      </c>
      <c r="G126" s="10" t="s">
        <v>29</v>
      </c>
      <c r="H126" s="8" t="s">
        <v>2226</v>
      </c>
      <c r="I126" s="10" t="s">
        <v>2249</v>
      </c>
      <c r="J126" s="8" t="s">
        <v>2134</v>
      </c>
      <c r="K126" s="8" t="s">
        <v>29</v>
      </c>
      <c r="L126" s="8" t="s">
        <v>29</v>
      </c>
      <c r="M126" s="10" t="s">
        <v>29</v>
      </c>
      <c r="N126" s="8" t="s">
        <v>29</v>
      </c>
      <c r="O126" s="10" t="s">
        <v>19</v>
      </c>
      <c r="P126" s="8" t="s">
        <v>2269</v>
      </c>
      <c r="Q126" s="10" t="s">
        <v>174</v>
      </c>
      <c r="R126" s="10" t="s">
        <v>1387</v>
      </c>
      <c r="S126" s="8" t="s">
        <v>2270</v>
      </c>
      <c r="T126" s="10" t="s">
        <v>2137</v>
      </c>
      <c r="U126" s="10" t="s">
        <v>29</v>
      </c>
    </row>
    <row r="127" spans="1:21" s="10" customFormat="1" x14ac:dyDescent="0.25">
      <c r="A127" s="10" t="s">
        <v>2271</v>
      </c>
      <c r="B127" s="10" t="s">
        <v>1523</v>
      </c>
      <c r="C127" s="10" t="s">
        <v>335</v>
      </c>
      <c r="D127" s="10" t="s">
        <v>2272</v>
      </c>
      <c r="E127" s="8" t="s">
        <v>2273</v>
      </c>
      <c r="F127" s="8" t="s">
        <v>2274</v>
      </c>
      <c r="G127" s="10" t="s">
        <v>29</v>
      </c>
      <c r="H127" s="8" t="s">
        <v>2226</v>
      </c>
      <c r="I127" s="10" t="s">
        <v>2249</v>
      </c>
      <c r="J127" s="8" t="s">
        <v>2134</v>
      </c>
      <c r="K127" s="8" t="s">
        <v>29</v>
      </c>
      <c r="L127" s="8" t="s">
        <v>29</v>
      </c>
      <c r="M127" s="10" t="s">
        <v>29</v>
      </c>
      <c r="N127" s="8" t="s">
        <v>29</v>
      </c>
      <c r="O127" s="10" t="s">
        <v>19</v>
      </c>
      <c r="P127" s="8" t="s">
        <v>2275</v>
      </c>
      <c r="Q127" s="10" t="s">
        <v>174</v>
      </c>
      <c r="R127" s="10" t="s">
        <v>1387</v>
      </c>
      <c r="S127" s="8" t="s">
        <v>2276</v>
      </c>
      <c r="T127" s="10" t="s">
        <v>2137</v>
      </c>
      <c r="U127" s="10" t="s">
        <v>29</v>
      </c>
    </row>
    <row r="128" spans="1:21" s="10" customFormat="1" x14ac:dyDescent="0.25">
      <c r="A128" s="10" t="s">
        <v>2277</v>
      </c>
      <c r="B128" s="10" t="s">
        <v>1523</v>
      </c>
      <c r="C128" s="10" t="s">
        <v>166</v>
      </c>
      <c r="D128" s="10" t="s">
        <v>2278</v>
      </c>
      <c r="E128" s="8" t="s">
        <v>2279</v>
      </c>
      <c r="F128" s="8" t="s">
        <v>2280</v>
      </c>
      <c r="G128" s="10" t="s">
        <v>29</v>
      </c>
      <c r="H128" s="8" t="s">
        <v>2226</v>
      </c>
      <c r="I128" s="10" t="s">
        <v>2227</v>
      </c>
      <c r="J128" s="8" t="s">
        <v>2134</v>
      </c>
      <c r="K128" s="8" t="s">
        <v>29</v>
      </c>
      <c r="L128" s="8" t="s">
        <v>29</v>
      </c>
      <c r="M128" s="10" t="s">
        <v>29</v>
      </c>
      <c r="N128" s="8" t="s">
        <v>29</v>
      </c>
      <c r="O128" s="10" t="s">
        <v>19</v>
      </c>
      <c r="P128" s="8" t="s">
        <v>2281</v>
      </c>
      <c r="Q128" s="10" t="s">
        <v>174</v>
      </c>
      <c r="R128" s="10" t="s">
        <v>1387</v>
      </c>
      <c r="S128" s="8" t="s">
        <v>2282</v>
      </c>
      <c r="T128" s="10" t="s">
        <v>2137</v>
      </c>
      <c r="U128" s="10" t="s">
        <v>29</v>
      </c>
    </row>
    <row r="129" spans="1:21" s="10" customFormat="1" x14ac:dyDescent="0.25">
      <c r="A129" s="10" t="s">
        <v>2283</v>
      </c>
      <c r="B129" s="10" t="s">
        <v>1523</v>
      </c>
      <c r="C129" s="11" t="s">
        <v>297</v>
      </c>
      <c r="D129" s="10" t="s">
        <v>2284</v>
      </c>
      <c r="E129" s="8" t="s">
        <v>2285</v>
      </c>
      <c r="F129" s="8" t="s">
        <v>2286</v>
      </c>
      <c r="G129" s="10" t="s">
        <v>29</v>
      </c>
      <c r="H129" s="8" t="s">
        <v>1604</v>
      </c>
      <c r="I129" s="10" t="s">
        <v>2287</v>
      </c>
      <c r="J129" s="8" t="s">
        <v>1606</v>
      </c>
      <c r="K129" s="8" t="s">
        <v>29</v>
      </c>
      <c r="L129" s="8" t="s">
        <v>29</v>
      </c>
      <c r="M129" s="10" t="s">
        <v>29</v>
      </c>
      <c r="N129" s="8" t="s">
        <v>29</v>
      </c>
      <c r="O129" s="10" t="s">
        <v>19</v>
      </c>
      <c r="P129" s="8" t="s">
        <v>2288</v>
      </c>
      <c r="Q129" s="10" t="s">
        <v>1399</v>
      </c>
      <c r="R129" s="10" t="s">
        <v>1608</v>
      </c>
      <c r="S129" s="8" t="s">
        <v>2115</v>
      </c>
      <c r="T129" s="10" t="s">
        <v>2137</v>
      </c>
      <c r="U129" s="10" t="s">
        <v>29</v>
      </c>
    </row>
    <row r="130" spans="1:21" s="10" customFormat="1" x14ac:dyDescent="0.25">
      <c r="A130" s="10" t="s">
        <v>2289</v>
      </c>
      <c r="B130" s="10" t="s">
        <v>1523</v>
      </c>
      <c r="C130" s="10" t="s">
        <v>166</v>
      </c>
      <c r="D130" s="10" t="s">
        <v>2290</v>
      </c>
      <c r="E130" s="8" t="s">
        <v>2291</v>
      </c>
      <c r="F130" s="8" t="s">
        <v>1613</v>
      </c>
      <c r="G130" s="10" t="s">
        <v>29</v>
      </c>
      <c r="H130" s="8" t="s">
        <v>2120</v>
      </c>
      <c r="I130" s="10" t="s">
        <v>2249</v>
      </c>
      <c r="J130" s="8" t="s">
        <v>1615</v>
      </c>
      <c r="K130" s="8" t="s">
        <v>29</v>
      </c>
      <c r="L130" s="8" t="s">
        <v>29</v>
      </c>
      <c r="M130" s="10" t="s">
        <v>29</v>
      </c>
      <c r="N130" s="8" t="s">
        <v>29</v>
      </c>
      <c r="O130" s="10" t="s">
        <v>19</v>
      </c>
      <c r="P130" s="8" t="s">
        <v>2292</v>
      </c>
      <c r="Q130" s="10" t="s">
        <v>776</v>
      </c>
      <c r="R130" s="10" t="s">
        <v>2122</v>
      </c>
      <c r="S130" s="8" t="s">
        <v>1618</v>
      </c>
      <c r="T130" s="10" t="s">
        <v>2137</v>
      </c>
      <c r="U130" s="10" t="s">
        <v>29</v>
      </c>
    </row>
    <row r="131" spans="1:21" s="10" customFormat="1" x14ac:dyDescent="0.25">
      <c r="A131" s="10" t="s">
        <v>2293</v>
      </c>
      <c r="B131" s="10" t="s">
        <v>1523</v>
      </c>
      <c r="C131" s="10" t="s">
        <v>166</v>
      </c>
      <c r="D131" s="10" t="s">
        <v>2294</v>
      </c>
      <c r="E131" s="8" t="s">
        <v>2295</v>
      </c>
      <c r="F131" s="8" t="s">
        <v>2296</v>
      </c>
      <c r="G131" s="10" t="s">
        <v>29</v>
      </c>
      <c r="H131" s="8" t="s">
        <v>2226</v>
      </c>
      <c r="I131" s="10" t="s">
        <v>2249</v>
      </c>
      <c r="J131" s="8" t="s">
        <v>2134</v>
      </c>
      <c r="K131" s="8" t="s">
        <v>29</v>
      </c>
      <c r="L131" s="8" t="s">
        <v>29</v>
      </c>
      <c r="M131" s="10" t="s">
        <v>29</v>
      </c>
      <c r="N131" s="8" t="s">
        <v>29</v>
      </c>
      <c r="O131" s="10" t="s">
        <v>19</v>
      </c>
      <c r="P131" s="8" t="s">
        <v>2297</v>
      </c>
      <c r="Q131" s="10" t="s">
        <v>174</v>
      </c>
      <c r="R131" s="10" t="s">
        <v>1387</v>
      </c>
      <c r="S131" s="8" t="s">
        <v>1599</v>
      </c>
      <c r="T131" s="10" t="s">
        <v>2137</v>
      </c>
      <c r="U131" s="10" t="s">
        <v>29</v>
      </c>
    </row>
    <row r="132" spans="1:21" s="10" customFormat="1" x14ac:dyDescent="0.25">
      <c r="A132" s="10" t="s">
        <v>2298</v>
      </c>
      <c r="B132" s="10" t="s">
        <v>1523</v>
      </c>
      <c r="C132" s="10" t="s">
        <v>335</v>
      </c>
      <c r="D132" s="10" t="s">
        <v>2299</v>
      </c>
      <c r="E132" s="8" t="s">
        <v>2300</v>
      </c>
      <c r="F132" s="8" t="s">
        <v>2301</v>
      </c>
      <c r="G132" s="10" t="s">
        <v>29</v>
      </c>
      <c r="H132" s="8" t="s">
        <v>2302</v>
      </c>
      <c r="I132" s="10" t="s">
        <v>964</v>
      </c>
      <c r="J132" s="8" t="s">
        <v>2134</v>
      </c>
      <c r="K132" s="8" t="s">
        <v>29</v>
      </c>
      <c r="L132" s="8" t="s">
        <v>29</v>
      </c>
      <c r="M132" s="10" t="s">
        <v>29</v>
      </c>
      <c r="N132" s="8" t="s">
        <v>29</v>
      </c>
      <c r="O132" s="10" t="s">
        <v>19</v>
      </c>
      <c r="P132" s="8" t="s">
        <v>2303</v>
      </c>
      <c r="Q132" s="10" t="s">
        <v>174</v>
      </c>
      <c r="R132" s="10" t="s">
        <v>1387</v>
      </c>
      <c r="S132" s="8" t="s">
        <v>2304</v>
      </c>
      <c r="T132" s="10" t="s">
        <v>2137</v>
      </c>
      <c r="U132" s="10" t="s">
        <v>29</v>
      </c>
    </row>
    <row r="133" spans="1:21" s="10" customFormat="1" x14ac:dyDescent="0.25">
      <c r="A133" s="10" t="s">
        <v>2305</v>
      </c>
      <c r="B133" s="10" t="s">
        <v>1523</v>
      </c>
      <c r="C133" s="10" t="s">
        <v>166</v>
      </c>
      <c r="D133" s="10" t="s">
        <v>2306</v>
      </c>
      <c r="E133" s="8" t="s">
        <v>2307</v>
      </c>
      <c r="F133" s="8" t="s">
        <v>2308</v>
      </c>
      <c r="G133" s="10" t="s">
        <v>29</v>
      </c>
      <c r="H133" s="8" t="s">
        <v>2309</v>
      </c>
      <c r="I133" s="10" t="s">
        <v>964</v>
      </c>
      <c r="J133" s="8" t="s">
        <v>2134</v>
      </c>
      <c r="K133" s="8" t="s">
        <v>29</v>
      </c>
      <c r="L133" s="8" t="s">
        <v>29</v>
      </c>
      <c r="M133" s="10" t="s">
        <v>29</v>
      </c>
      <c r="N133" s="8" t="s">
        <v>29</v>
      </c>
      <c r="O133" s="10" t="s">
        <v>19</v>
      </c>
      <c r="P133" s="8" t="s">
        <v>2310</v>
      </c>
      <c r="Q133" s="10" t="s">
        <v>174</v>
      </c>
      <c r="R133" s="10" t="s">
        <v>1387</v>
      </c>
      <c r="S133" s="8" t="s">
        <v>2311</v>
      </c>
      <c r="T133" s="10" t="s">
        <v>2137</v>
      </c>
      <c r="U133" s="10" t="s">
        <v>29</v>
      </c>
    </row>
    <row r="134" spans="1:21" s="10" customFormat="1" x14ac:dyDescent="0.25">
      <c r="A134" s="10" t="s">
        <v>2312</v>
      </c>
      <c r="B134" s="10" t="s">
        <v>1523</v>
      </c>
      <c r="C134" s="10" t="s">
        <v>335</v>
      </c>
      <c r="D134" s="10" t="s">
        <v>2313</v>
      </c>
      <c r="E134" s="8" t="s">
        <v>2314</v>
      </c>
      <c r="F134" s="8" t="s">
        <v>2315</v>
      </c>
      <c r="G134" s="10" t="s">
        <v>29</v>
      </c>
      <c r="H134" s="8" t="s">
        <v>2316</v>
      </c>
      <c r="I134" s="10" t="s">
        <v>964</v>
      </c>
      <c r="J134" s="8" t="s">
        <v>2134</v>
      </c>
      <c r="K134" s="8" t="s">
        <v>29</v>
      </c>
      <c r="L134" s="8" t="s">
        <v>29</v>
      </c>
      <c r="M134" s="10" t="s">
        <v>29</v>
      </c>
      <c r="N134" s="8" t="s">
        <v>29</v>
      </c>
      <c r="O134" s="10" t="s">
        <v>19</v>
      </c>
      <c r="P134" s="8" t="s">
        <v>2317</v>
      </c>
      <c r="Q134" s="10" t="s">
        <v>190</v>
      </c>
      <c r="R134" s="10" t="s">
        <v>1387</v>
      </c>
      <c r="S134" s="8" t="s">
        <v>2318</v>
      </c>
      <c r="T134" s="10" t="s">
        <v>2137</v>
      </c>
      <c r="U134" s="10" t="s">
        <v>29</v>
      </c>
    </row>
    <row r="135" spans="1:21" s="10" customFormat="1" x14ac:dyDescent="0.25">
      <c r="A135" s="10" t="s">
        <v>2319</v>
      </c>
      <c r="B135" s="10" t="s">
        <v>1523</v>
      </c>
      <c r="C135" s="10" t="s">
        <v>335</v>
      </c>
      <c r="D135" s="10" t="s">
        <v>2320</v>
      </c>
      <c r="E135" s="8" t="s">
        <v>2321</v>
      </c>
      <c r="F135" s="8" t="s">
        <v>2322</v>
      </c>
      <c r="G135" s="10" t="s">
        <v>29</v>
      </c>
      <c r="H135" s="8" t="s">
        <v>2323</v>
      </c>
      <c r="I135" s="10" t="s">
        <v>964</v>
      </c>
      <c r="J135" s="8" t="s">
        <v>2134</v>
      </c>
      <c r="K135" s="8" t="s">
        <v>29</v>
      </c>
      <c r="L135" s="8" t="s">
        <v>29</v>
      </c>
      <c r="M135" s="10" t="s">
        <v>29</v>
      </c>
      <c r="N135" s="8" t="s">
        <v>29</v>
      </c>
      <c r="O135" s="10" t="s">
        <v>19</v>
      </c>
      <c r="P135" s="8" t="s">
        <v>2324</v>
      </c>
      <c r="Q135" s="10" t="s">
        <v>190</v>
      </c>
      <c r="R135" s="10" t="s">
        <v>1387</v>
      </c>
      <c r="S135" s="8" t="s">
        <v>2325</v>
      </c>
      <c r="T135" s="10" t="s">
        <v>2137</v>
      </c>
      <c r="U135" s="10" t="s">
        <v>29</v>
      </c>
    </row>
    <row r="136" spans="1:21" s="10" customFormat="1" x14ac:dyDescent="0.25">
      <c r="A136" s="10" t="s">
        <v>2326</v>
      </c>
      <c r="B136" s="10" t="s">
        <v>1523</v>
      </c>
      <c r="C136" s="10" t="s">
        <v>335</v>
      </c>
      <c r="D136" s="10" t="s">
        <v>2327</v>
      </c>
      <c r="E136" s="8" t="s">
        <v>2328</v>
      </c>
      <c r="F136" s="8" t="s">
        <v>2329</v>
      </c>
      <c r="G136" s="10" t="s">
        <v>29</v>
      </c>
      <c r="H136" s="8" t="s">
        <v>2330</v>
      </c>
      <c r="I136" s="10" t="s">
        <v>964</v>
      </c>
      <c r="J136" s="8" t="s">
        <v>2134</v>
      </c>
      <c r="K136" s="8" t="s">
        <v>29</v>
      </c>
      <c r="L136" s="8" t="s">
        <v>29</v>
      </c>
      <c r="M136" s="10" t="s">
        <v>29</v>
      </c>
      <c r="N136" s="8" t="s">
        <v>29</v>
      </c>
      <c r="O136" s="10" t="s">
        <v>19</v>
      </c>
      <c r="P136" s="8" t="s">
        <v>2331</v>
      </c>
      <c r="Q136" s="10" t="s">
        <v>174</v>
      </c>
      <c r="R136" s="10" t="s">
        <v>1387</v>
      </c>
      <c r="S136" s="8" t="s">
        <v>2332</v>
      </c>
      <c r="T136" s="10" t="s">
        <v>2137</v>
      </c>
      <c r="U136" s="10" t="s">
        <v>29</v>
      </c>
    </row>
    <row r="137" spans="1:21" s="10" customFormat="1" x14ac:dyDescent="0.25">
      <c r="A137" s="10" t="s">
        <v>2333</v>
      </c>
      <c r="B137" s="10" t="s">
        <v>1523</v>
      </c>
      <c r="C137" s="10" t="s">
        <v>335</v>
      </c>
      <c r="D137" s="10" t="s">
        <v>2334</v>
      </c>
      <c r="E137" s="8" t="s">
        <v>2335</v>
      </c>
      <c r="F137" s="8" t="s">
        <v>2336</v>
      </c>
      <c r="G137" s="10" t="s">
        <v>29</v>
      </c>
      <c r="H137" s="8" t="s">
        <v>2337</v>
      </c>
      <c r="I137" s="10" t="s">
        <v>964</v>
      </c>
      <c r="J137" s="8" t="s">
        <v>2134</v>
      </c>
      <c r="K137" s="8" t="s">
        <v>29</v>
      </c>
      <c r="L137" s="8" t="s">
        <v>29</v>
      </c>
      <c r="M137" s="10" t="s">
        <v>29</v>
      </c>
      <c r="N137" s="8" t="s">
        <v>29</v>
      </c>
      <c r="O137" s="10" t="s">
        <v>19</v>
      </c>
      <c r="P137" s="8" t="s">
        <v>2338</v>
      </c>
      <c r="Q137" s="10" t="s">
        <v>174</v>
      </c>
      <c r="R137" s="10" t="s">
        <v>1387</v>
      </c>
      <c r="S137" s="8" t="s">
        <v>2339</v>
      </c>
      <c r="T137" s="10" t="s">
        <v>2137</v>
      </c>
      <c r="U137" s="10" t="s">
        <v>29</v>
      </c>
    </row>
    <row r="138" spans="1:21" s="10" customFormat="1" x14ac:dyDescent="0.25">
      <c r="A138" s="10" t="s">
        <v>2340</v>
      </c>
      <c r="B138" s="10" t="s">
        <v>1523</v>
      </c>
      <c r="C138" s="10" t="s">
        <v>335</v>
      </c>
      <c r="D138" s="10" t="s">
        <v>2341</v>
      </c>
      <c r="E138" s="8" t="s">
        <v>2342</v>
      </c>
      <c r="F138" s="8" t="s">
        <v>2343</v>
      </c>
      <c r="G138" s="10" t="s">
        <v>29</v>
      </c>
      <c r="H138" s="8" t="s">
        <v>2344</v>
      </c>
      <c r="I138" s="10" t="s">
        <v>964</v>
      </c>
      <c r="J138" s="8" t="s">
        <v>2134</v>
      </c>
      <c r="K138" s="8" t="s">
        <v>29</v>
      </c>
      <c r="L138" s="8" t="s">
        <v>29</v>
      </c>
      <c r="M138" s="10" t="s">
        <v>29</v>
      </c>
      <c r="N138" s="8" t="s">
        <v>29</v>
      </c>
      <c r="O138" s="10" t="s">
        <v>19</v>
      </c>
      <c r="P138" s="8" t="s">
        <v>2345</v>
      </c>
      <c r="Q138" s="10" t="s">
        <v>174</v>
      </c>
      <c r="R138" s="10" t="s">
        <v>1387</v>
      </c>
      <c r="S138" s="8" t="s">
        <v>2346</v>
      </c>
      <c r="T138" s="10" t="s">
        <v>2137</v>
      </c>
      <c r="U138" s="10" t="s">
        <v>29</v>
      </c>
    </row>
    <row r="139" spans="1:21" s="10" customFormat="1" x14ac:dyDescent="0.25">
      <c r="A139" s="10" t="s">
        <v>2347</v>
      </c>
      <c r="B139" s="10" t="s">
        <v>1523</v>
      </c>
      <c r="C139" s="10" t="s">
        <v>335</v>
      </c>
      <c r="D139" s="10" t="s">
        <v>2348</v>
      </c>
      <c r="E139" s="8" t="s">
        <v>2349</v>
      </c>
      <c r="F139" s="8" t="s">
        <v>2350</v>
      </c>
      <c r="G139" s="10" t="s">
        <v>29</v>
      </c>
      <c r="H139" s="8" t="s">
        <v>2351</v>
      </c>
      <c r="I139" s="10" t="s">
        <v>964</v>
      </c>
      <c r="J139" s="8" t="s">
        <v>2134</v>
      </c>
      <c r="K139" s="8" t="s">
        <v>29</v>
      </c>
      <c r="L139" s="8" t="s">
        <v>29</v>
      </c>
      <c r="M139" s="10" t="s">
        <v>29</v>
      </c>
      <c r="N139" s="8" t="s">
        <v>29</v>
      </c>
      <c r="O139" s="10" t="s">
        <v>19</v>
      </c>
      <c r="P139" s="8" t="s">
        <v>2352</v>
      </c>
      <c r="Q139" s="10" t="s">
        <v>174</v>
      </c>
      <c r="R139" s="10" t="s">
        <v>1387</v>
      </c>
      <c r="S139" s="8" t="s">
        <v>2353</v>
      </c>
      <c r="T139" s="10" t="s">
        <v>2137</v>
      </c>
      <c r="U139" s="10" t="s">
        <v>29</v>
      </c>
    </row>
    <row r="140" spans="1:21" s="10" customFormat="1" x14ac:dyDescent="0.25">
      <c r="A140" s="10" t="s">
        <v>2354</v>
      </c>
      <c r="B140" s="10" t="s">
        <v>1523</v>
      </c>
      <c r="C140" s="10" t="s">
        <v>335</v>
      </c>
      <c r="D140" s="10" t="s">
        <v>2355</v>
      </c>
      <c r="E140" s="8" t="s">
        <v>2356</v>
      </c>
      <c r="F140" s="8" t="s">
        <v>2357</v>
      </c>
      <c r="G140" s="10" t="s">
        <v>29</v>
      </c>
      <c r="H140" s="8" t="s">
        <v>2302</v>
      </c>
      <c r="I140" s="10" t="s">
        <v>964</v>
      </c>
      <c r="J140" s="8" t="s">
        <v>2134</v>
      </c>
      <c r="K140" s="8" t="s">
        <v>29</v>
      </c>
      <c r="L140" s="8" t="s">
        <v>29</v>
      </c>
      <c r="M140" s="10" t="s">
        <v>29</v>
      </c>
      <c r="N140" s="8" t="s">
        <v>29</v>
      </c>
      <c r="O140" s="10" t="s">
        <v>19</v>
      </c>
      <c r="P140" s="8" t="s">
        <v>2358</v>
      </c>
      <c r="Q140" s="10" t="s">
        <v>174</v>
      </c>
      <c r="R140" s="10" t="s">
        <v>1387</v>
      </c>
      <c r="S140" s="8" t="s">
        <v>2359</v>
      </c>
      <c r="T140" s="10" t="s">
        <v>2137</v>
      </c>
      <c r="U140" s="10" t="s">
        <v>29</v>
      </c>
    </row>
    <row r="141" spans="1:21" s="10" customFormat="1" x14ac:dyDescent="0.25">
      <c r="A141" s="10" t="s">
        <v>2360</v>
      </c>
      <c r="B141" s="10" t="s">
        <v>1523</v>
      </c>
      <c r="C141" s="10" t="s">
        <v>335</v>
      </c>
      <c r="D141" s="10" t="s">
        <v>2361</v>
      </c>
      <c r="E141" s="8" t="s">
        <v>2362</v>
      </c>
      <c r="F141" s="8" t="s">
        <v>2363</v>
      </c>
      <c r="G141" s="10" t="s">
        <v>29</v>
      </c>
      <c r="H141" s="8" t="s">
        <v>2364</v>
      </c>
      <c r="I141" s="10" t="s">
        <v>964</v>
      </c>
      <c r="J141" s="8" t="s">
        <v>2134</v>
      </c>
      <c r="K141" s="8" t="s">
        <v>29</v>
      </c>
      <c r="L141" s="8" t="s">
        <v>29</v>
      </c>
      <c r="M141" s="10" t="s">
        <v>29</v>
      </c>
      <c r="N141" s="8" t="s">
        <v>29</v>
      </c>
      <c r="O141" s="10" t="s">
        <v>19</v>
      </c>
      <c r="P141" s="8" t="s">
        <v>2365</v>
      </c>
      <c r="Q141" s="10" t="s">
        <v>174</v>
      </c>
      <c r="R141" s="10" t="s">
        <v>1387</v>
      </c>
      <c r="S141" s="8" t="s">
        <v>2366</v>
      </c>
      <c r="T141" s="10" t="s">
        <v>2137</v>
      </c>
      <c r="U141" s="10" t="s">
        <v>29</v>
      </c>
    </row>
    <row r="142" spans="1:21" s="10" customFormat="1" x14ac:dyDescent="0.25">
      <c r="A142" s="10" t="s">
        <v>2367</v>
      </c>
      <c r="B142" s="10" t="s">
        <v>1523</v>
      </c>
      <c r="C142" s="10" t="s">
        <v>166</v>
      </c>
      <c r="D142" s="10" t="s">
        <v>2368</v>
      </c>
      <c r="E142" s="8" t="s">
        <v>2369</v>
      </c>
      <c r="F142" s="8" t="s">
        <v>2370</v>
      </c>
      <c r="G142" s="10" t="s">
        <v>29</v>
      </c>
      <c r="H142" s="8" t="s">
        <v>2302</v>
      </c>
      <c r="I142" s="10" t="s">
        <v>964</v>
      </c>
      <c r="J142" s="8" t="s">
        <v>2134</v>
      </c>
      <c r="K142" s="8" t="s">
        <v>29</v>
      </c>
      <c r="L142" s="8" t="s">
        <v>29</v>
      </c>
      <c r="M142" s="10" t="s">
        <v>29</v>
      </c>
      <c r="N142" s="8" t="s">
        <v>29</v>
      </c>
      <c r="O142" s="10" t="s">
        <v>19</v>
      </c>
      <c r="P142" s="8" t="s">
        <v>2371</v>
      </c>
      <c r="Q142" s="10" t="s">
        <v>174</v>
      </c>
      <c r="R142" s="10" t="s">
        <v>1387</v>
      </c>
      <c r="S142" s="8" t="s">
        <v>2311</v>
      </c>
      <c r="T142" s="10" t="s">
        <v>2137</v>
      </c>
      <c r="U142" s="10" t="s">
        <v>29</v>
      </c>
    </row>
    <row r="143" spans="1:21" s="10" customFormat="1" x14ac:dyDescent="0.25">
      <c r="A143" s="10" t="s">
        <v>2372</v>
      </c>
      <c r="B143" s="10" t="s">
        <v>1523</v>
      </c>
      <c r="C143" s="11" t="s">
        <v>297</v>
      </c>
      <c r="D143" s="10" t="s">
        <v>2373</v>
      </c>
      <c r="E143" s="8" t="s">
        <v>2374</v>
      </c>
      <c r="F143" s="8" t="s">
        <v>2375</v>
      </c>
      <c r="G143" s="10" t="s">
        <v>29</v>
      </c>
      <c r="H143" s="8" t="s">
        <v>1604</v>
      </c>
      <c r="I143" s="10" t="s">
        <v>2376</v>
      </c>
      <c r="J143" s="8" t="s">
        <v>1606</v>
      </c>
      <c r="K143" s="8" t="s">
        <v>29</v>
      </c>
      <c r="L143" s="8" t="s">
        <v>29</v>
      </c>
      <c r="M143" s="10" t="s">
        <v>29</v>
      </c>
      <c r="N143" s="8" t="s">
        <v>29</v>
      </c>
      <c r="O143" s="10" t="s">
        <v>19</v>
      </c>
      <c r="P143" s="8" t="s">
        <v>2377</v>
      </c>
      <c r="Q143" s="10" t="s">
        <v>1399</v>
      </c>
      <c r="R143" s="10" t="s">
        <v>1608</v>
      </c>
      <c r="S143" s="8" t="s">
        <v>2378</v>
      </c>
      <c r="T143" s="10" t="s">
        <v>2137</v>
      </c>
      <c r="U143" s="10" t="s">
        <v>29</v>
      </c>
    </row>
    <row r="144" spans="1:21" s="10" customFormat="1" x14ac:dyDescent="0.25">
      <c r="A144" s="10" t="s">
        <v>2379</v>
      </c>
      <c r="B144" s="10" t="s">
        <v>1523</v>
      </c>
      <c r="C144" s="10" t="s">
        <v>335</v>
      </c>
      <c r="D144" s="10" t="s">
        <v>2380</v>
      </c>
      <c r="E144" s="8" t="s">
        <v>2381</v>
      </c>
      <c r="F144" s="8" t="s">
        <v>2382</v>
      </c>
      <c r="G144" s="10" t="s">
        <v>29</v>
      </c>
      <c r="H144" s="8" t="s">
        <v>2383</v>
      </c>
      <c r="I144" s="10" t="s">
        <v>964</v>
      </c>
      <c r="J144" s="8" t="s">
        <v>1615</v>
      </c>
      <c r="K144" s="8" t="s">
        <v>29</v>
      </c>
      <c r="L144" s="8" t="s">
        <v>29</v>
      </c>
      <c r="M144" s="10" t="s">
        <v>29</v>
      </c>
      <c r="N144" s="8" t="s">
        <v>29</v>
      </c>
      <c r="O144" s="10" t="s">
        <v>19</v>
      </c>
      <c r="P144" s="8" t="s">
        <v>2384</v>
      </c>
      <c r="Q144" s="10" t="s">
        <v>776</v>
      </c>
      <c r="R144" s="10" t="s">
        <v>1387</v>
      </c>
      <c r="S144" s="8" t="s">
        <v>1618</v>
      </c>
      <c r="T144" s="10" t="s">
        <v>2137</v>
      </c>
      <c r="U144" s="10" t="s">
        <v>29</v>
      </c>
    </row>
    <row r="145" spans="1:21" s="10" customFormat="1" x14ac:dyDescent="0.25">
      <c r="A145" s="10" t="s">
        <v>2385</v>
      </c>
      <c r="B145" s="10" t="s">
        <v>1523</v>
      </c>
      <c r="C145" s="10" t="s">
        <v>166</v>
      </c>
      <c r="D145" s="10" t="s">
        <v>2386</v>
      </c>
      <c r="E145" s="8" t="s">
        <v>2387</v>
      </c>
      <c r="F145" s="8" t="s">
        <v>2388</v>
      </c>
      <c r="G145" s="10" t="s">
        <v>29</v>
      </c>
      <c r="H145" s="8" t="s">
        <v>2302</v>
      </c>
      <c r="I145" s="10" t="s">
        <v>964</v>
      </c>
      <c r="J145" s="8" t="s">
        <v>2134</v>
      </c>
      <c r="K145" s="8" t="s">
        <v>29</v>
      </c>
      <c r="L145" s="8" t="s">
        <v>29</v>
      </c>
      <c r="M145" s="10" t="s">
        <v>29</v>
      </c>
      <c r="N145" s="8" t="s">
        <v>29</v>
      </c>
      <c r="O145" s="10" t="s">
        <v>19</v>
      </c>
      <c r="P145" s="8" t="s">
        <v>2389</v>
      </c>
      <c r="Q145" s="10" t="s">
        <v>174</v>
      </c>
      <c r="R145" s="10" t="s">
        <v>1387</v>
      </c>
      <c r="S145" s="8" t="s">
        <v>1599</v>
      </c>
      <c r="T145" s="10" t="s">
        <v>2137</v>
      </c>
      <c r="U145" s="10" t="s">
        <v>29</v>
      </c>
    </row>
    <row r="146" spans="1:21" s="10" customFormat="1" x14ac:dyDescent="0.25">
      <c r="A146" s="10" t="s">
        <v>2390</v>
      </c>
      <c r="B146" s="10" t="s">
        <v>1523</v>
      </c>
      <c r="C146" s="10" t="s">
        <v>335</v>
      </c>
      <c r="D146" s="10" t="s">
        <v>2391</v>
      </c>
      <c r="E146" s="8" t="s">
        <v>2392</v>
      </c>
      <c r="F146" s="8" t="s">
        <v>2393</v>
      </c>
      <c r="G146" s="10" t="s">
        <v>29</v>
      </c>
      <c r="H146" s="8" t="s">
        <v>2394</v>
      </c>
      <c r="I146" s="10" t="s">
        <v>2395</v>
      </c>
      <c r="J146" s="8" t="s">
        <v>2134</v>
      </c>
      <c r="K146" s="8" t="s">
        <v>29</v>
      </c>
      <c r="L146" s="8" t="s">
        <v>29</v>
      </c>
      <c r="M146" s="10" t="s">
        <v>29</v>
      </c>
      <c r="N146" s="8" t="s">
        <v>29</v>
      </c>
      <c r="O146" s="10" t="s">
        <v>19</v>
      </c>
      <c r="P146" s="8" t="s">
        <v>2396</v>
      </c>
      <c r="Q146" s="10" t="s">
        <v>174</v>
      </c>
      <c r="R146" s="10" t="s">
        <v>1387</v>
      </c>
      <c r="S146" s="8" t="s">
        <v>2397</v>
      </c>
      <c r="T146" s="10" t="s">
        <v>2137</v>
      </c>
      <c r="U146" s="10" t="s">
        <v>29</v>
      </c>
    </row>
    <row r="147" spans="1:21" s="10" customFormat="1" x14ac:dyDescent="0.25">
      <c r="A147" s="10" t="s">
        <v>2398</v>
      </c>
      <c r="B147" s="10" t="s">
        <v>1523</v>
      </c>
      <c r="C147" s="10" t="s">
        <v>335</v>
      </c>
      <c r="D147" s="10" t="s">
        <v>2399</v>
      </c>
      <c r="E147" s="8" t="s">
        <v>2400</v>
      </c>
      <c r="F147" s="8" t="s">
        <v>2401</v>
      </c>
      <c r="G147" s="10" t="s">
        <v>29</v>
      </c>
      <c r="H147" s="8" t="s">
        <v>2402</v>
      </c>
      <c r="I147" s="10" t="s">
        <v>2403</v>
      </c>
      <c r="J147" s="8" t="s">
        <v>2134</v>
      </c>
      <c r="K147" s="8" t="s">
        <v>29</v>
      </c>
      <c r="L147" s="8" t="s">
        <v>29</v>
      </c>
      <c r="M147" s="10" t="s">
        <v>29</v>
      </c>
      <c r="N147" s="8" t="s">
        <v>29</v>
      </c>
      <c r="O147" s="10" t="s">
        <v>19</v>
      </c>
      <c r="P147" s="8" t="s">
        <v>2404</v>
      </c>
      <c r="Q147" s="10" t="s">
        <v>174</v>
      </c>
      <c r="R147" s="10" t="s">
        <v>1387</v>
      </c>
      <c r="S147" s="8" t="s">
        <v>2405</v>
      </c>
      <c r="T147" s="10" t="s">
        <v>2137</v>
      </c>
      <c r="U147" s="10" t="s">
        <v>29</v>
      </c>
    </row>
    <row r="148" spans="1:21" s="10" customFormat="1" x14ac:dyDescent="0.25">
      <c r="A148" s="10" t="s">
        <v>2406</v>
      </c>
      <c r="B148" s="10" t="s">
        <v>1523</v>
      </c>
      <c r="C148" s="10" t="s">
        <v>335</v>
      </c>
      <c r="D148" s="10" t="s">
        <v>2407</v>
      </c>
      <c r="E148" s="8" t="s">
        <v>2408</v>
      </c>
      <c r="F148" s="8" t="s">
        <v>2409</v>
      </c>
      <c r="G148" s="10" t="s">
        <v>29</v>
      </c>
      <c r="H148" s="8" t="s">
        <v>2394</v>
      </c>
      <c r="I148" s="10" t="s">
        <v>2410</v>
      </c>
      <c r="J148" s="8" t="s">
        <v>2134</v>
      </c>
      <c r="K148" s="8" t="s">
        <v>29</v>
      </c>
      <c r="L148" s="8" t="s">
        <v>29</v>
      </c>
      <c r="M148" s="10" t="s">
        <v>29</v>
      </c>
      <c r="N148" s="8" t="s">
        <v>29</v>
      </c>
      <c r="O148" s="10" t="s">
        <v>19</v>
      </c>
      <c r="P148" s="8" t="s">
        <v>2411</v>
      </c>
      <c r="Q148" s="10" t="s">
        <v>174</v>
      </c>
      <c r="R148" s="10" t="s">
        <v>1387</v>
      </c>
      <c r="S148" s="8" t="s">
        <v>2412</v>
      </c>
      <c r="T148" s="10" t="s">
        <v>2137</v>
      </c>
      <c r="U148" s="10" t="s">
        <v>29</v>
      </c>
    </row>
    <row r="149" spans="1:21" s="10" customFormat="1" x14ac:dyDescent="0.25">
      <c r="A149" s="10" t="s">
        <v>2413</v>
      </c>
      <c r="B149" s="10" t="s">
        <v>1523</v>
      </c>
      <c r="C149" s="10" t="s">
        <v>335</v>
      </c>
      <c r="D149" s="10" t="s">
        <v>2414</v>
      </c>
      <c r="E149" s="8" t="s">
        <v>2415</v>
      </c>
      <c r="F149" s="8" t="s">
        <v>2416</v>
      </c>
      <c r="G149" s="10" t="s">
        <v>29</v>
      </c>
      <c r="H149" s="8" t="s">
        <v>1495</v>
      </c>
      <c r="I149" s="10" t="s">
        <v>2403</v>
      </c>
      <c r="J149" s="8" t="s">
        <v>2134</v>
      </c>
      <c r="K149" s="8" t="s">
        <v>29</v>
      </c>
      <c r="L149" s="8" t="s">
        <v>29</v>
      </c>
      <c r="M149" s="10" t="s">
        <v>29</v>
      </c>
      <c r="N149" s="8" t="s">
        <v>29</v>
      </c>
      <c r="O149" s="10" t="s">
        <v>19</v>
      </c>
      <c r="P149" s="8" t="s">
        <v>2417</v>
      </c>
      <c r="Q149" s="10" t="s">
        <v>190</v>
      </c>
      <c r="R149" s="10" t="s">
        <v>1387</v>
      </c>
      <c r="S149" s="8" t="s">
        <v>2412</v>
      </c>
      <c r="T149" s="10" t="s">
        <v>2137</v>
      </c>
      <c r="U149" s="10" t="s">
        <v>29</v>
      </c>
    </row>
    <row r="150" spans="1:21" s="10" customFormat="1" x14ac:dyDescent="0.25">
      <c r="A150" s="10" t="s">
        <v>2418</v>
      </c>
      <c r="B150" s="10" t="s">
        <v>1523</v>
      </c>
      <c r="C150" s="10" t="s">
        <v>335</v>
      </c>
      <c r="D150" s="10" t="s">
        <v>2419</v>
      </c>
      <c r="E150" s="8" t="s">
        <v>2420</v>
      </c>
      <c r="F150" s="8" t="s">
        <v>2421</v>
      </c>
      <c r="G150" s="10" t="s">
        <v>29</v>
      </c>
      <c r="H150" s="8" t="s">
        <v>2422</v>
      </c>
      <c r="I150" s="10" t="s">
        <v>2403</v>
      </c>
      <c r="J150" s="8" t="s">
        <v>2134</v>
      </c>
      <c r="K150" s="8" t="s">
        <v>29</v>
      </c>
      <c r="L150" s="8" t="s">
        <v>29</v>
      </c>
      <c r="M150" s="10" t="s">
        <v>29</v>
      </c>
      <c r="N150" s="8" t="s">
        <v>29</v>
      </c>
      <c r="O150" s="10" t="s">
        <v>19</v>
      </c>
      <c r="P150" s="8" t="s">
        <v>2423</v>
      </c>
      <c r="Q150" s="10" t="s">
        <v>197</v>
      </c>
      <c r="R150" s="10" t="s">
        <v>1387</v>
      </c>
      <c r="S150" s="8" t="s">
        <v>2424</v>
      </c>
      <c r="T150" s="10" t="s">
        <v>2137</v>
      </c>
      <c r="U150" s="10" t="s">
        <v>29</v>
      </c>
    </row>
    <row r="151" spans="1:21" s="10" customFormat="1" x14ac:dyDescent="0.25">
      <c r="A151" s="10" t="s">
        <v>2425</v>
      </c>
      <c r="B151" s="10" t="s">
        <v>1523</v>
      </c>
      <c r="C151" s="10" t="s">
        <v>335</v>
      </c>
      <c r="D151" s="10" t="s">
        <v>2426</v>
      </c>
      <c r="E151" s="8" t="s">
        <v>2427</v>
      </c>
      <c r="F151" s="8" t="s">
        <v>2428</v>
      </c>
      <c r="G151" s="10" t="s">
        <v>29</v>
      </c>
      <c r="H151" s="8" t="s">
        <v>2429</v>
      </c>
      <c r="I151" s="10" t="s">
        <v>2403</v>
      </c>
      <c r="J151" s="8" t="s">
        <v>2134</v>
      </c>
      <c r="K151" s="8" t="s">
        <v>29</v>
      </c>
      <c r="L151" s="8" t="s">
        <v>29</v>
      </c>
      <c r="M151" s="10" t="s">
        <v>29</v>
      </c>
      <c r="N151" s="8" t="s">
        <v>29</v>
      </c>
      <c r="O151" s="10" t="s">
        <v>19</v>
      </c>
      <c r="P151" s="8" t="s">
        <v>2430</v>
      </c>
      <c r="Q151" s="10" t="s">
        <v>174</v>
      </c>
      <c r="R151" s="10" t="s">
        <v>1387</v>
      </c>
      <c r="S151" s="8" t="s">
        <v>2431</v>
      </c>
      <c r="T151" s="10" t="s">
        <v>2137</v>
      </c>
      <c r="U151" s="10" t="s">
        <v>29</v>
      </c>
    </row>
    <row r="152" spans="1:21" s="10" customFormat="1" x14ac:dyDescent="0.25">
      <c r="A152" s="10" t="s">
        <v>2432</v>
      </c>
      <c r="B152" s="10" t="s">
        <v>1523</v>
      </c>
      <c r="C152" s="10" t="s">
        <v>335</v>
      </c>
      <c r="D152" s="10" t="s">
        <v>2433</v>
      </c>
      <c r="E152" s="8" t="s">
        <v>2434</v>
      </c>
      <c r="F152" s="8" t="s">
        <v>2435</v>
      </c>
      <c r="G152" s="10" t="s">
        <v>29</v>
      </c>
      <c r="H152" s="8" t="s">
        <v>2436</v>
      </c>
      <c r="I152" s="10" t="s">
        <v>2437</v>
      </c>
      <c r="J152" s="8" t="s">
        <v>2134</v>
      </c>
      <c r="K152" s="8" t="s">
        <v>29</v>
      </c>
      <c r="L152" s="8" t="s">
        <v>29</v>
      </c>
      <c r="M152" s="10" t="s">
        <v>29</v>
      </c>
      <c r="N152" s="8" t="s">
        <v>29</v>
      </c>
      <c r="O152" s="10" t="s">
        <v>19</v>
      </c>
      <c r="P152" s="8" t="s">
        <v>2438</v>
      </c>
      <c r="Q152" s="10" t="s">
        <v>174</v>
      </c>
      <c r="R152" s="10" t="s">
        <v>1387</v>
      </c>
      <c r="S152" s="8" t="s">
        <v>2439</v>
      </c>
      <c r="T152" s="10" t="s">
        <v>2137</v>
      </c>
      <c r="U152" s="10" t="s">
        <v>29</v>
      </c>
    </row>
    <row r="153" spans="1:21" s="10" customFormat="1" x14ac:dyDescent="0.25">
      <c r="A153" s="10" t="s">
        <v>2440</v>
      </c>
      <c r="B153" s="10" t="s">
        <v>1523</v>
      </c>
      <c r="C153" s="10" t="s">
        <v>166</v>
      </c>
      <c r="D153" s="10" t="s">
        <v>2441</v>
      </c>
      <c r="E153" s="8" t="s">
        <v>2442</v>
      </c>
      <c r="F153" s="8" t="s">
        <v>2443</v>
      </c>
      <c r="G153" s="10" t="s">
        <v>29</v>
      </c>
      <c r="H153" s="8" t="s">
        <v>1604</v>
      </c>
      <c r="I153" s="10" t="s">
        <v>2444</v>
      </c>
      <c r="J153" s="8" t="s">
        <v>1606</v>
      </c>
      <c r="K153" s="8" t="s">
        <v>29</v>
      </c>
      <c r="L153" s="8" t="s">
        <v>29</v>
      </c>
      <c r="M153" s="10" t="s">
        <v>29</v>
      </c>
      <c r="N153" s="8" t="s">
        <v>29</v>
      </c>
      <c r="O153" s="10" t="s">
        <v>19</v>
      </c>
      <c r="P153" s="8" t="s">
        <v>2445</v>
      </c>
      <c r="Q153" s="10" t="s">
        <v>1399</v>
      </c>
      <c r="R153" s="10" t="s">
        <v>1608</v>
      </c>
      <c r="S153" s="8" t="s">
        <v>2446</v>
      </c>
      <c r="T153" s="10" t="s">
        <v>2137</v>
      </c>
      <c r="U153" s="10" t="s">
        <v>29</v>
      </c>
    </row>
    <row r="154" spans="1:21" s="10" customFormat="1" x14ac:dyDescent="0.25">
      <c r="A154" s="10" t="s">
        <v>2447</v>
      </c>
      <c r="B154" s="10" t="s">
        <v>1523</v>
      </c>
      <c r="C154" s="10" t="s">
        <v>335</v>
      </c>
      <c r="D154" s="10" t="s">
        <v>2448</v>
      </c>
      <c r="E154" s="8" t="s">
        <v>2449</v>
      </c>
      <c r="F154" s="8" t="s">
        <v>2450</v>
      </c>
      <c r="G154" s="10" t="s">
        <v>29</v>
      </c>
      <c r="H154" s="8" t="s">
        <v>2383</v>
      </c>
      <c r="I154" s="10" t="s">
        <v>2403</v>
      </c>
      <c r="J154" s="8" t="s">
        <v>1615</v>
      </c>
      <c r="K154" s="8" t="s">
        <v>29</v>
      </c>
      <c r="L154" s="8" t="s">
        <v>29</v>
      </c>
      <c r="M154" s="10" t="s">
        <v>29</v>
      </c>
      <c r="N154" s="8" t="s">
        <v>29</v>
      </c>
      <c r="O154" s="10" t="s">
        <v>19</v>
      </c>
      <c r="P154" s="8" t="s">
        <v>2451</v>
      </c>
      <c r="Q154" s="10" t="s">
        <v>776</v>
      </c>
      <c r="R154" s="10" t="s">
        <v>1387</v>
      </c>
      <c r="S154" s="8" t="s">
        <v>1618</v>
      </c>
      <c r="T154" s="10" t="s">
        <v>2137</v>
      </c>
      <c r="U154" s="10" t="s">
        <v>29</v>
      </c>
    </row>
    <row r="155" spans="1:21" s="10" customFormat="1" x14ac:dyDescent="0.25">
      <c r="A155" s="10" t="s">
        <v>2452</v>
      </c>
      <c r="B155" s="10" t="s">
        <v>1523</v>
      </c>
      <c r="C155" s="10" t="s">
        <v>166</v>
      </c>
      <c r="D155" s="10" t="s">
        <v>2453</v>
      </c>
      <c r="E155" s="8" t="s">
        <v>2454</v>
      </c>
      <c r="F155" s="8" t="s">
        <v>2455</v>
      </c>
      <c r="G155" s="10" t="s">
        <v>29</v>
      </c>
      <c r="H155" s="8" t="s">
        <v>2394</v>
      </c>
      <c r="I155" s="10" t="s">
        <v>2403</v>
      </c>
      <c r="J155" s="8" t="s">
        <v>2134</v>
      </c>
      <c r="K155" s="8" t="s">
        <v>29</v>
      </c>
      <c r="L155" s="8" t="s">
        <v>29</v>
      </c>
      <c r="M155" s="10" t="s">
        <v>29</v>
      </c>
      <c r="N155" s="8" t="s">
        <v>29</v>
      </c>
      <c r="O155" s="10" t="s">
        <v>19</v>
      </c>
      <c r="P155" s="8" t="s">
        <v>2456</v>
      </c>
      <c r="Q155" s="10" t="s">
        <v>174</v>
      </c>
      <c r="R155" s="10" t="s">
        <v>1387</v>
      </c>
      <c r="S155" s="8" t="s">
        <v>1599</v>
      </c>
      <c r="T155" s="10" t="s">
        <v>2137</v>
      </c>
      <c r="U155" s="10" t="s">
        <v>29</v>
      </c>
    </row>
    <row r="156" spans="1:21" s="10" customFormat="1" x14ac:dyDescent="0.25">
      <c r="A156" s="10" t="s">
        <v>2457</v>
      </c>
      <c r="B156" s="10" t="s">
        <v>2458</v>
      </c>
      <c r="C156" s="10" t="s">
        <v>166</v>
      </c>
      <c r="D156" s="10" t="s">
        <v>2459</v>
      </c>
      <c r="E156" s="8" t="s">
        <v>2460</v>
      </c>
      <c r="F156" s="8" t="s">
        <v>2461</v>
      </c>
      <c r="G156" s="10" t="s">
        <v>29</v>
      </c>
      <c r="H156" s="8" t="s">
        <v>2462</v>
      </c>
      <c r="I156" s="10" t="s">
        <v>2463</v>
      </c>
      <c r="J156" s="8" t="s">
        <v>2464</v>
      </c>
      <c r="K156" s="8" t="s">
        <v>29</v>
      </c>
      <c r="L156" s="8" t="s">
        <v>29</v>
      </c>
      <c r="M156" s="10" t="s">
        <v>29</v>
      </c>
      <c r="N156" s="8" t="s">
        <v>29</v>
      </c>
      <c r="O156" s="10" t="s">
        <v>19</v>
      </c>
      <c r="P156" s="8" t="s">
        <v>2465</v>
      </c>
      <c r="Q156" s="10" t="s">
        <v>174</v>
      </c>
      <c r="R156" s="10" t="s">
        <v>1387</v>
      </c>
      <c r="S156" s="8" t="s">
        <v>2466</v>
      </c>
      <c r="T156" s="10" t="s">
        <v>2467</v>
      </c>
      <c r="U156" s="10" t="s">
        <v>29</v>
      </c>
    </row>
    <row r="157" spans="1:21" s="10" customFormat="1" x14ac:dyDescent="0.25">
      <c r="A157" s="10" t="s">
        <v>2468</v>
      </c>
      <c r="B157" s="10" t="s">
        <v>2458</v>
      </c>
      <c r="C157" s="11" t="s">
        <v>297</v>
      </c>
      <c r="D157" s="10" t="s">
        <v>2469</v>
      </c>
      <c r="E157" s="8" t="s">
        <v>2470</v>
      </c>
      <c r="F157" s="8" t="s">
        <v>2471</v>
      </c>
      <c r="G157" s="10" t="s">
        <v>29</v>
      </c>
      <c r="H157" s="8" t="s">
        <v>2462</v>
      </c>
      <c r="I157" s="10" t="s">
        <v>308</v>
      </c>
      <c r="J157" s="8" t="s">
        <v>2464</v>
      </c>
      <c r="K157" s="8" t="s">
        <v>29</v>
      </c>
      <c r="L157" s="8" t="s">
        <v>29</v>
      </c>
      <c r="M157" s="10" t="s">
        <v>29</v>
      </c>
      <c r="N157" s="8" t="s">
        <v>29</v>
      </c>
      <c r="O157" s="10" t="s">
        <v>19</v>
      </c>
      <c r="P157" s="8" t="s">
        <v>2472</v>
      </c>
      <c r="Q157" s="10" t="s">
        <v>174</v>
      </c>
      <c r="R157" s="10" t="s">
        <v>1387</v>
      </c>
      <c r="S157" s="8" t="s">
        <v>2473</v>
      </c>
      <c r="T157" s="10" t="s">
        <v>2467</v>
      </c>
      <c r="U157" s="10" t="s">
        <v>29</v>
      </c>
    </row>
    <row r="158" spans="1:21" s="10" customFormat="1" x14ac:dyDescent="0.25">
      <c r="A158" s="10" t="s">
        <v>2474</v>
      </c>
      <c r="B158" s="10" t="s">
        <v>2458</v>
      </c>
      <c r="C158" s="10" t="s">
        <v>166</v>
      </c>
      <c r="D158" s="10" t="s">
        <v>2475</v>
      </c>
      <c r="E158" s="8" t="s">
        <v>2476</v>
      </c>
      <c r="F158" s="8" t="s">
        <v>2477</v>
      </c>
      <c r="G158" s="10" t="s">
        <v>29</v>
      </c>
      <c r="H158" s="8" t="s">
        <v>2478</v>
      </c>
      <c r="I158" s="10" t="s">
        <v>2479</v>
      </c>
      <c r="J158" s="8" t="s">
        <v>2464</v>
      </c>
      <c r="K158" s="8" t="s">
        <v>29</v>
      </c>
      <c r="L158" s="8" t="s">
        <v>29</v>
      </c>
      <c r="M158" s="10" t="s">
        <v>29</v>
      </c>
      <c r="N158" s="8" t="s">
        <v>29</v>
      </c>
      <c r="O158" s="10" t="s">
        <v>19</v>
      </c>
      <c r="P158" s="8" t="s">
        <v>2480</v>
      </c>
      <c r="Q158" s="10" t="s">
        <v>174</v>
      </c>
      <c r="R158" s="10" t="s">
        <v>1387</v>
      </c>
      <c r="S158" s="8" t="s">
        <v>2481</v>
      </c>
      <c r="T158" s="10" t="s">
        <v>2467</v>
      </c>
      <c r="U158" s="10" t="s">
        <v>29</v>
      </c>
    </row>
    <row r="159" spans="1:21" s="10" customFormat="1" x14ac:dyDescent="0.25">
      <c r="A159" s="10" t="s">
        <v>2482</v>
      </c>
      <c r="B159" s="10" t="s">
        <v>2458</v>
      </c>
      <c r="C159" s="11" t="s">
        <v>297</v>
      </c>
      <c r="D159" s="10" t="s">
        <v>2483</v>
      </c>
      <c r="E159" s="8" t="s">
        <v>2484</v>
      </c>
      <c r="F159" s="8" t="s">
        <v>2485</v>
      </c>
      <c r="G159" s="10" t="s">
        <v>29</v>
      </c>
      <c r="H159" s="8" t="s">
        <v>2486</v>
      </c>
      <c r="I159" s="10" t="s">
        <v>2487</v>
      </c>
      <c r="J159" s="8" t="s">
        <v>2464</v>
      </c>
      <c r="K159" s="8" t="s">
        <v>29</v>
      </c>
      <c r="L159" s="8" t="s">
        <v>29</v>
      </c>
      <c r="M159" s="10" t="s">
        <v>29</v>
      </c>
      <c r="N159" s="8" t="s">
        <v>29</v>
      </c>
      <c r="O159" s="10" t="s">
        <v>19</v>
      </c>
      <c r="P159" s="8" t="s">
        <v>2488</v>
      </c>
      <c r="Q159" s="10" t="s">
        <v>1399</v>
      </c>
      <c r="R159" s="10" t="s">
        <v>1387</v>
      </c>
      <c r="S159" s="8" t="s">
        <v>2489</v>
      </c>
      <c r="T159" s="10" t="s">
        <v>2467</v>
      </c>
      <c r="U159" s="10" t="s">
        <v>29</v>
      </c>
    </row>
    <row r="160" spans="1:21" s="10" customFormat="1" x14ac:dyDescent="0.25">
      <c r="A160" s="10" t="s">
        <v>2490</v>
      </c>
      <c r="B160" s="10" t="s">
        <v>2458</v>
      </c>
      <c r="C160" s="10" t="s">
        <v>166</v>
      </c>
      <c r="D160" s="10" t="s">
        <v>2491</v>
      </c>
      <c r="E160" s="8" t="s">
        <v>2492</v>
      </c>
      <c r="F160" s="8" t="s">
        <v>2493</v>
      </c>
      <c r="G160" s="10" t="s">
        <v>29</v>
      </c>
      <c r="H160" s="8" t="s">
        <v>2494</v>
      </c>
      <c r="I160" s="10" t="s">
        <v>2495</v>
      </c>
      <c r="J160" s="8" t="s">
        <v>2464</v>
      </c>
      <c r="K160" s="8" t="s">
        <v>29</v>
      </c>
      <c r="L160" s="8" t="s">
        <v>29</v>
      </c>
      <c r="M160" s="10" t="s">
        <v>29</v>
      </c>
      <c r="N160" s="8" t="s">
        <v>29</v>
      </c>
      <c r="O160" s="10" t="s">
        <v>19</v>
      </c>
      <c r="P160" s="8" t="s">
        <v>2496</v>
      </c>
      <c r="Q160" s="10" t="s">
        <v>174</v>
      </c>
      <c r="R160" s="10" t="s">
        <v>1387</v>
      </c>
      <c r="S160" s="8" t="s">
        <v>2497</v>
      </c>
      <c r="T160" s="10" t="s">
        <v>2467</v>
      </c>
      <c r="U160" s="10" t="s">
        <v>29</v>
      </c>
    </row>
    <row r="161" spans="1:21" s="10" customFormat="1" x14ac:dyDescent="0.25">
      <c r="A161" s="10" t="s">
        <v>2498</v>
      </c>
      <c r="B161" s="10" t="s">
        <v>2458</v>
      </c>
      <c r="C161" s="10" t="s">
        <v>166</v>
      </c>
      <c r="D161" s="10" t="s">
        <v>2499</v>
      </c>
      <c r="E161" s="8" t="s">
        <v>2500</v>
      </c>
      <c r="F161" s="8" t="s">
        <v>2501</v>
      </c>
      <c r="G161" s="10" t="s">
        <v>29</v>
      </c>
      <c r="H161" s="8" t="s">
        <v>2502</v>
      </c>
      <c r="I161" s="10" t="s">
        <v>1192</v>
      </c>
      <c r="J161" s="8" t="s">
        <v>2464</v>
      </c>
      <c r="K161" s="8" t="s">
        <v>29</v>
      </c>
      <c r="L161" s="8" t="s">
        <v>29</v>
      </c>
      <c r="M161" s="10" t="s">
        <v>29</v>
      </c>
      <c r="N161" s="8" t="s">
        <v>29</v>
      </c>
      <c r="O161" s="10" t="s">
        <v>19</v>
      </c>
      <c r="P161" s="8" t="s">
        <v>2503</v>
      </c>
      <c r="Q161" s="10" t="s">
        <v>174</v>
      </c>
      <c r="R161" s="10" t="s">
        <v>1387</v>
      </c>
      <c r="S161" s="8" t="s">
        <v>2504</v>
      </c>
      <c r="T161" s="10" t="s">
        <v>2467</v>
      </c>
      <c r="U161" s="10" t="s">
        <v>29</v>
      </c>
    </row>
    <row r="162" spans="1:21" s="10" customFormat="1" x14ac:dyDescent="0.25">
      <c r="A162" s="10" t="s">
        <v>2505</v>
      </c>
      <c r="B162" s="10" t="s">
        <v>2458</v>
      </c>
      <c r="C162" s="10" t="s">
        <v>335</v>
      </c>
      <c r="D162" s="10" t="s">
        <v>2506</v>
      </c>
      <c r="E162" s="8" t="s">
        <v>2507</v>
      </c>
      <c r="F162" s="8" t="s">
        <v>2508</v>
      </c>
      <c r="G162" s="10" t="s">
        <v>29</v>
      </c>
      <c r="H162" s="8" t="s">
        <v>2509</v>
      </c>
      <c r="I162" s="10" t="s">
        <v>2510</v>
      </c>
      <c r="J162" s="8" t="s">
        <v>2464</v>
      </c>
      <c r="K162" s="8" t="s">
        <v>29</v>
      </c>
      <c r="L162" s="8" t="s">
        <v>29</v>
      </c>
      <c r="M162" s="10" t="s">
        <v>29</v>
      </c>
      <c r="N162" s="8" t="s">
        <v>29</v>
      </c>
      <c r="O162" s="10" t="s">
        <v>19</v>
      </c>
      <c r="P162" s="8" t="s">
        <v>2511</v>
      </c>
      <c r="Q162" s="10" t="s">
        <v>174</v>
      </c>
      <c r="R162" s="10" t="s">
        <v>1387</v>
      </c>
      <c r="S162" s="8" t="s">
        <v>2512</v>
      </c>
      <c r="T162" s="10" t="s">
        <v>2467</v>
      </c>
      <c r="U162" s="10" t="s">
        <v>29</v>
      </c>
    </row>
    <row r="163" spans="1:21" s="10" customFormat="1" x14ac:dyDescent="0.25">
      <c r="A163" s="10" t="s">
        <v>2513</v>
      </c>
      <c r="B163" s="10" t="s">
        <v>2458</v>
      </c>
      <c r="C163" s="10" t="s">
        <v>166</v>
      </c>
      <c r="D163" s="10" t="s">
        <v>2514</v>
      </c>
      <c r="E163" s="8" t="s">
        <v>2515</v>
      </c>
      <c r="F163" s="8" t="s">
        <v>2516</v>
      </c>
      <c r="G163" s="10" t="s">
        <v>29</v>
      </c>
      <c r="H163" s="8" t="s">
        <v>2517</v>
      </c>
      <c r="I163" s="10" t="s">
        <v>2518</v>
      </c>
      <c r="J163" s="8" t="s">
        <v>2464</v>
      </c>
      <c r="K163" s="8" t="s">
        <v>29</v>
      </c>
      <c r="L163" s="8" t="s">
        <v>29</v>
      </c>
      <c r="M163" s="10" t="s">
        <v>29</v>
      </c>
      <c r="N163" s="8" t="s">
        <v>29</v>
      </c>
      <c r="O163" s="10" t="s">
        <v>19</v>
      </c>
      <c r="P163" s="8" t="s">
        <v>2519</v>
      </c>
      <c r="Q163" s="10" t="s">
        <v>174</v>
      </c>
      <c r="R163" s="10" t="s">
        <v>1387</v>
      </c>
      <c r="S163" s="8" t="s">
        <v>2520</v>
      </c>
      <c r="T163" s="10" t="s">
        <v>2467</v>
      </c>
      <c r="U163" s="10" t="s">
        <v>29</v>
      </c>
    </row>
    <row r="164" spans="1:21" s="10" customFormat="1" x14ac:dyDescent="0.25">
      <c r="A164" s="10" t="s">
        <v>2521</v>
      </c>
      <c r="B164" s="10" t="s">
        <v>2458</v>
      </c>
      <c r="C164" s="10" t="s">
        <v>335</v>
      </c>
      <c r="D164" s="10" t="s">
        <v>2522</v>
      </c>
      <c r="E164" s="8" t="s">
        <v>2523</v>
      </c>
      <c r="F164" s="8" t="s">
        <v>2524</v>
      </c>
      <c r="G164" s="10" t="s">
        <v>29</v>
      </c>
      <c r="H164" s="8" t="s">
        <v>2525</v>
      </c>
      <c r="I164" s="10" t="s">
        <v>2526</v>
      </c>
      <c r="J164" s="8" t="s">
        <v>2464</v>
      </c>
      <c r="K164" s="8" t="s">
        <v>29</v>
      </c>
      <c r="L164" s="8" t="s">
        <v>29</v>
      </c>
      <c r="M164" s="10" t="s">
        <v>29</v>
      </c>
      <c r="N164" s="8" t="s">
        <v>29</v>
      </c>
      <c r="O164" s="10" t="s">
        <v>19</v>
      </c>
      <c r="P164" s="8" t="s">
        <v>2527</v>
      </c>
      <c r="Q164" s="10" t="s">
        <v>174</v>
      </c>
      <c r="R164" s="10" t="s">
        <v>1387</v>
      </c>
      <c r="S164" s="8" t="s">
        <v>2528</v>
      </c>
      <c r="T164" s="10" t="s">
        <v>2467</v>
      </c>
      <c r="U164" s="10" t="s">
        <v>29</v>
      </c>
    </row>
    <row r="165" spans="1:21" s="10" customFormat="1" x14ac:dyDescent="0.25">
      <c r="A165" s="10" t="s">
        <v>2529</v>
      </c>
      <c r="B165" s="10" t="s">
        <v>2458</v>
      </c>
      <c r="C165" s="10" t="s">
        <v>166</v>
      </c>
      <c r="D165" s="10" t="s">
        <v>2530</v>
      </c>
      <c r="E165" s="8" t="s">
        <v>2531</v>
      </c>
      <c r="F165" s="8" t="s">
        <v>2532</v>
      </c>
      <c r="G165" s="10" t="s">
        <v>29</v>
      </c>
      <c r="H165" s="8" t="s">
        <v>2533</v>
      </c>
      <c r="I165" s="10" t="s">
        <v>2534</v>
      </c>
      <c r="J165" s="8" t="s">
        <v>2464</v>
      </c>
      <c r="K165" s="8" t="s">
        <v>29</v>
      </c>
      <c r="L165" s="8" t="s">
        <v>29</v>
      </c>
      <c r="M165" s="10" t="s">
        <v>29</v>
      </c>
      <c r="N165" s="8" t="s">
        <v>29</v>
      </c>
      <c r="O165" s="10" t="s">
        <v>19</v>
      </c>
      <c r="P165" s="8" t="s">
        <v>2535</v>
      </c>
      <c r="Q165" s="10" t="s">
        <v>174</v>
      </c>
      <c r="R165" s="10" t="s">
        <v>1387</v>
      </c>
      <c r="S165" s="8" t="s">
        <v>2536</v>
      </c>
      <c r="T165" s="10" t="s">
        <v>2467</v>
      </c>
      <c r="U165" s="10" t="s">
        <v>29</v>
      </c>
    </row>
    <row r="166" spans="1:21" s="10" customFormat="1" x14ac:dyDescent="0.25">
      <c r="A166" s="10" t="s">
        <v>2537</v>
      </c>
      <c r="B166" s="10" t="s">
        <v>2458</v>
      </c>
      <c r="C166" s="10" t="s">
        <v>166</v>
      </c>
      <c r="D166" s="10" t="s">
        <v>2538</v>
      </c>
      <c r="E166" s="8" t="s">
        <v>2539</v>
      </c>
      <c r="F166" s="8" t="s">
        <v>2540</v>
      </c>
      <c r="G166" s="10" t="s">
        <v>29</v>
      </c>
      <c r="H166" s="8" t="s">
        <v>2541</v>
      </c>
      <c r="I166" s="10" t="s">
        <v>2534</v>
      </c>
      <c r="J166" s="8" t="s">
        <v>2464</v>
      </c>
      <c r="K166" s="8" t="s">
        <v>29</v>
      </c>
      <c r="L166" s="8" t="s">
        <v>29</v>
      </c>
      <c r="M166" s="10" t="s">
        <v>29</v>
      </c>
      <c r="N166" s="8" t="s">
        <v>29</v>
      </c>
      <c r="O166" s="10" t="s">
        <v>19</v>
      </c>
      <c r="P166" s="8" t="s">
        <v>2542</v>
      </c>
      <c r="Q166" s="10" t="s">
        <v>174</v>
      </c>
      <c r="R166" s="10" t="s">
        <v>1387</v>
      </c>
      <c r="S166" s="8" t="s">
        <v>2543</v>
      </c>
      <c r="T166" s="10" t="s">
        <v>2467</v>
      </c>
      <c r="U166" s="10" t="s">
        <v>29</v>
      </c>
    </row>
    <row r="167" spans="1:21" s="10" customFormat="1" x14ac:dyDescent="0.25">
      <c r="A167" s="10" t="s">
        <v>2544</v>
      </c>
      <c r="B167" s="10" t="s">
        <v>2458</v>
      </c>
      <c r="C167" s="10" t="s">
        <v>166</v>
      </c>
      <c r="D167" s="10" t="s">
        <v>2545</v>
      </c>
      <c r="E167" s="8" t="s">
        <v>2546</v>
      </c>
      <c r="F167" s="8" t="s">
        <v>2547</v>
      </c>
      <c r="G167" s="10" t="s">
        <v>29</v>
      </c>
      <c r="H167" s="8" t="s">
        <v>2548</v>
      </c>
      <c r="I167" s="10" t="s">
        <v>1579</v>
      </c>
      <c r="J167" s="8" t="s">
        <v>2464</v>
      </c>
      <c r="K167" s="8" t="s">
        <v>29</v>
      </c>
      <c r="L167" s="8" t="s">
        <v>29</v>
      </c>
      <c r="M167" s="10" t="s">
        <v>29</v>
      </c>
      <c r="N167" s="8" t="s">
        <v>29</v>
      </c>
      <c r="O167" s="10" t="s">
        <v>19</v>
      </c>
      <c r="P167" s="8" t="s">
        <v>2549</v>
      </c>
      <c r="Q167" s="10" t="s">
        <v>174</v>
      </c>
      <c r="R167" s="10" t="s">
        <v>1387</v>
      </c>
      <c r="S167" s="8" t="s">
        <v>2550</v>
      </c>
      <c r="T167" s="10" t="s">
        <v>2467</v>
      </c>
      <c r="U167" s="10" t="s">
        <v>29</v>
      </c>
    </row>
    <row r="168" spans="1:21" s="10" customFormat="1" x14ac:dyDescent="0.25">
      <c r="A168" s="10" t="s">
        <v>2551</v>
      </c>
      <c r="B168" s="10" t="s">
        <v>2458</v>
      </c>
      <c r="C168" s="10" t="s">
        <v>166</v>
      </c>
      <c r="D168" s="10" t="s">
        <v>2552</v>
      </c>
      <c r="E168" s="8" t="s">
        <v>2553</v>
      </c>
      <c r="F168" s="8" t="s">
        <v>2554</v>
      </c>
      <c r="G168" s="10" t="s">
        <v>29</v>
      </c>
      <c r="H168" s="8" t="s">
        <v>2555</v>
      </c>
      <c r="I168" s="10" t="s">
        <v>1945</v>
      </c>
      <c r="J168" s="8" t="s">
        <v>2464</v>
      </c>
      <c r="K168" s="8" t="s">
        <v>29</v>
      </c>
      <c r="L168" s="8" t="s">
        <v>29</v>
      </c>
      <c r="M168" s="10" t="s">
        <v>29</v>
      </c>
      <c r="N168" s="8" t="s">
        <v>29</v>
      </c>
      <c r="O168" s="10" t="s">
        <v>19</v>
      </c>
      <c r="P168" s="8" t="s">
        <v>2556</v>
      </c>
      <c r="Q168" s="10" t="s">
        <v>174</v>
      </c>
      <c r="R168" s="10" t="s">
        <v>1387</v>
      </c>
      <c r="S168" s="8" t="s">
        <v>2557</v>
      </c>
      <c r="T168" s="10" t="s">
        <v>2467</v>
      </c>
      <c r="U168" s="10" t="s">
        <v>29</v>
      </c>
    </row>
    <row r="169" spans="1:21" s="10" customFormat="1" x14ac:dyDescent="0.25">
      <c r="A169" s="10" t="s">
        <v>2558</v>
      </c>
      <c r="B169" s="10" t="s">
        <v>2458</v>
      </c>
      <c r="C169" s="10" t="s">
        <v>335</v>
      </c>
      <c r="D169" s="10" t="s">
        <v>2559</v>
      </c>
      <c r="E169" s="8" t="s">
        <v>2560</v>
      </c>
      <c r="F169" s="8" t="s">
        <v>2561</v>
      </c>
      <c r="G169" s="10" t="s">
        <v>29</v>
      </c>
      <c r="H169" s="8" t="s">
        <v>2562</v>
      </c>
      <c r="I169" s="10" t="s">
        <v>824</v>
      </c>
      <c r="J169" s="8" t="s">
        <v>2464</v>
      </c>
      <c r="K169" s="8" t="s">
        <v>29</v>
      </c>
      <c r="L169" s="8" t="s">
        <v>29</v>
      </c>
      <c r="M169" s="10" t="s">
        <v>29</v>
      </c>
      <c r="N169" s="8" t="s">
        <v>29</v>
      </c>
      <c r="O169" s="10" t="s">
        <v>19</v>
      </c>
      <c r="P169" s="8" t="s">
        <v>2563</v>
      </c>
      <c r="Q169" s="10" t="s">
        <v>174</v>
      </c>
      <c r="R169" s="10" t="s">
        <v>1387</v>
      </c>
      <c r="S169" s="8" t="s">
        <v>2564</v>
      </c>
      <c r="T169" s="10" t="s">
        <v>2467</v>
      </c>
      <c r="U169" s="10" t="s">
        <v>29</v>
      </c>
    </row>
    <row r="170" spans="1:21" s="10" customFormat="1" x14ac:dyDescent="0.25">
      <c r="A170" s="10" t="s">
        <v>2565</v>
      </c>
      <c r="B170" s="10" t="s">
        <v>2458</v>
      </c>
      <c r="C170" s="10" t="s">
        <v>335</v>
      </c>
      <c r="D170" s="10" t="s">
        <v>2566</v>
      </c>
      <c r="E170" s="8" t="s">
        <v>2567</v>
      </c>
      <c r="F170" s="8" t="s">
        <v>2568</v>
      </c>
      <c r="G170" s="10" t="s">
        <v>29</v>
      </c>
      <c r="H170" s="8" t="s">
        <v>2569</v>
      </c>
      <c r="I170" s="10" t="s">
        <v>2570</v>
      </c>
      <c r="J170" s="8" t="s">
        <v>2464</v>
      </c>
      <c r="K170" s="8" t="s">
        <v>29</v>
      </c>
      <c r="L170" s="8" t="s">
        <v>29</v>
      </c>
      <c r="M170" s="10" t="s">
        <v>29</v>
      </c>
      <c r="N170" s="8" t="s">
        <v>29</v>
      </c>
      <c r="O170" s="10" t="s">
        <v>19</v>
      </c>
      <c r="P170" s="8" t="s">
        <v>2571</v>
      </c>
      <c r="Q170" s="10" t="s">
        <v>174</v>
      </c>
      <c r="R170" s="10" t="s">
        <v>1387</v>
      </c>
      <c r="S170" s="8" t="s">
        <v>2572</v>
      </c>
      <c r="T170" s="10" t="s">
        <v>2467</v>
      </c>
      <c r="U170" s="10" t="s">
        <v>29</v>
      </c>
    </row>
    <row r="171" spans="1:21" s="10" customFormat="1" x14ac:dyDescent="0.25">
      <c r="A171" s="10" t="s">
        <v>2573</v>
      </c>
      <c r="B171" s="10" t="s">
        <v>2458</v>
      </c>
      <c r="C171" s="10" t="s">
        <v>166</v>
      </c>
      <c r="D171" s="10" t="s">
        <v>2574</v>
      </c>
      <c r="E171" s="8" t="s">
        <v>2575</v>
      </c>
      <c r="F171" s="8" t="s">
        <v>2576</v>
      </c>
      <c r="G171" s="10" t="s">
        <v>29</v>
      </c>
      <c r="H171" s="8" t="s">
        <v>2577</v>
      </c>
      <c r="I171" s="10" t="s">
        <v>2526</v>
      </c>
      <c r="J171" s="8" t="s">
        <v>2464</v>
      </c>
      <c r="K171" s="8" t="s">
        <v>29</v>
      </c>
      <c r="L171" s="8" t="s">
        <v>29</v>
      </c>
      <c r="M171" s="10" t="s">
        <v>29</v>
      </c>
      <c r="N171" s="8" t="s">
        <v>29</v>
      </c>
      <c r="O171" s="10" t="s">
        <v>19</v>
      </c>
      <c r="P171" s="8" t="s">
        <v>2578</v>
      </c>
      <c r="Q171" s="10" t="s">
        <v>197</v>
      </c>
      <c r="R171" s="10" t="s">
        <v>1387</v>
      </c>
      <c r="S171" s="8" t="s">
        <v>2579</v>
      </c>
      <c r="T171" s="10" t="s">
        <v>2467</v>
      </c>
      <c r="U171" s="10" t="s">
        <v>29</v>
      </c>
    </row>
    <row r="172" spans="1:21" s="10" customFormat="1" x14ac:dyDescent="0.25">
      <c r="A172" s="10" t="s">
        <v>2580</v>
      </c>
      <c r="B172" s="10" t="s">
        <v>2458</v>
      </c>
      <c r="C172" s="10" t="s">
        <v>166</v>
      </c>
      <c r="D172" s="10" t="s">
        <v>2581</v>
      </c>
      <c r="E172" s="8" t="s">
        <v>2582</v>
      </c>
      <c r="F172" s="8" t="s">
        <v>2583</v>
      </c>
      <c r="G172" s="10" t="s">
        <v>29</v>
      </c>
      <c r="H172" s="8" t="s">
        <v>2584</v>
      </c>
      <c r="I172" s="10" t="s">
        <v>2585</v>
      </c>
      <c r="J172" s="8" t="s">
        <v>2464</v>
      </c>
      <c r="K172" s="8" t="s">
        <v>29</v>
      </c>
      <c r="L172" s="8" t="s">
        <v>29</v>
      </c>
      <c r="M172" s="10" t="s">
        <v>29</v>
      </c>
      <c r="N172" s="8" t="s">
        <v>29</v>
      </c>
      <c r="O172" s="10" t="s">
        <v>19</v>
      </c>
      <c r="P172" s="8" t="s">
        <v>2586</v>
      </c>
      <c r="Q172" s="10" t="s">
        <v>197</v>
      </c>
      <c r="R172" s="10" t="s">
        <v>1387</v>
      </c>
      <c r="S172" s="8" t="s">
        <v>2587</v>
      </c>
      <c r="T172" s="10" t="s">
        <v>2467</v>
      </c>
      <c r="U172" s="10" t="s">
        <v>29</v>
      </c>
    </row>
    <row r="173" spans="1:21" s="10" customFormat="1" x14ac:dyDescent="0.25">
      <c r="A173" s="10" t="s">
        <v>2588</v>
      </c>
      <c r="B173" s="10" t="s">
        <v>2458</v>
      </c>
      <c r="C173" s="11" t="s">
        <v>297</v>
      </c>
      <c r="D173" s="10" t="s">
        <v>2589</v>
      </c>
      <c r="E173" s="8" t="s">
        <v>2590</v>
      </c>
      <c r="F173" s="8" t="s">
        <v>2591</v>
      </c>
      <c r="G173" s="10" t="s">
        <v>29</v>
      </c>
      <c r="H173" s="8" t="s">
        <v>2592</v>
      </c>
      <c r="I173" s="10" t="s">
        <v>2593</v>
      </c>
      <c r="J173" s="8" t="s">
        <v>1606</v>
      </c>
      <c r="K173" s="8" t="s">
        <v>29</v>
      </c>
      <c r="L173" s="8" t="s">
        <v>29</v>
      </c>
      <c r="M173" s="10" t="s">
        <v>29</v>
      </c>
      <c r="N173" s="8" t="s">
        <v>29</v>
      </c>
      <c r="O173" s="10" t="s">
        <v>19</v>
      </c>
      <c r="P173" s="8" t="s">
        <v>2594</v>
      </c>
      <c r="Q173" s="10" t="s">
        <v>1399</v>
      </c>
      <c r="R173" s="10" t="s">
        <v>1608</v>
      </c>
      <c r="S173" s="8" t="s">
        <v>2595</v>
      </c>
      <c r="T173" s="10" t="s">
        <v>2467</v>
      </c>
      <c r="U173" s="10" t="s">
        <v>29</v>
      </c>
    </row>
    <row r="174" spans="1:21" s="10" customFormat="1" x14ac:dyDescent="0.25">
      <c r="A174" s="10" t="s">
        <v>2596</v>
      </c>
      <c r="B174" s="10" t="s">
        <v>2458</v>
      </c>
      <c r="C174" s="11" t="s">
        <v>297</v>
      </c>
      <c r="D174" s="10" t="s">
        <v>2597</v>
      </c>
      <c r="E174" s="8" t="s">
        <v>2598</v>
      </c>
      <c r="F174" s="8" t="s">
        <v>2599</v>
      </c>
      <c r="G174" s="10" t="s">
        <v>29</v>
      </c>
      <c r="H174" s="8" t="s">
        <v>1604</v>
      </c>
      <c r="I174" s="10" t="s">
        <v>2600</v>
      </c>
      <c r="J174" s="8" t="s">
        <v>1606</v>
      </c>
      <c r="K174" s="8" t="s">
        <v>29</v>
      </c>
      <c r="L174" s="8" t="s">
        <v>29</v>
      </c>
      <c r="M174" s="10" t="s">
        <v>29</v>
      </c>
      <c r="N174" s="8" t="s">
        <v>29</v>
      </c>
      <c r="O174" s="10" t="s">
        <v>19</v>
      </c>
      <c r="P174" s="8" t="s">
        <v>2601</v>
      </c>
      <c r="Q174" s="10" t="s">
        <v>1399</v>
      </c>
      <c r="R174" s="10" t="s">
        <v>1608</v>
      </c>
      <c r="S174" s="8" t="s">
        <v>2602</v>
      </c>
      <c r="T174" s="10" t="s">
        <v>2467</v>
      </c>
      <c r="U174" s="10" t="s">
        <v>29</v>
      </c>
    </row>
    <row r="175" spans="1:21" s="10" customFormat="1" x14ac:dyDescent="0.25">
      <c r="A175" s="10" t="s">
        <v>2603</v>
      </c>
      <c r="B175" s="10" t="s">
        <v>2458</v>
      </c>
      <c r="C175" s="11" t="s">
        <v>297</v>
      </c>
      <c r="D175" s="10" t="s">
        <v>2604</v>
      </c>
      <c r="E175" s="8" t="s">
        <v>2605</v>
      </c>
      <c r="F175" s="8" t="s">
        <v>2606</v>
      </c>
      <c r="G175" s="10" t="s">
        <v>29</v>
      </c>
      <c r="H175" s="8" t="s">
        <v>2120</v>
      </c>
      <c r="I175" s="10" t="s">
        <v>2607</v>
      </c>
      <c r="J175" s="8" t="s">
        <v>1615</v>
      </c>
      <c r="K175" s="8" t="s">
        <v>29</v>
      </c>
      <c r="L175" s="8" t="s">
        <v>29</v>
      </c>
      <c r="M175" s="10" t="s">
        <v>29</v>
      </c>
      <c r="N175" s="8" t="s">
        <v>29</v>
      </c>
      <c r="O175" s="10" t="s">
        <v>19</v>
      </c>
      <c r="P175" s="8" t="s">
        <v>2608</v>
      </c>
      <c r="Q175" s="10" t="s">
        <v>776</v>
      </c>
      <c r="R175" s="10" t="s">
        <v>2122</v>
      </c>
      <c r="S175" s="8" t="s">
        <v>1618</v>
      </c>
      <c r="T175" s="10" t="s">
        <v>2467</v>
      </c>
      <c r="U175" s="10" t="s">
        <v>29</v>
      </c>
    </row>
    <row r="176" spans="1:21" s="10" customFormat="1" x14ac:dyDescent="0.25">
      <c r="A176" s="10" t="s">
        <v>2609</v>
      </c>
      <c r="B176" s="10" t="s">
        <v>2458</v>
      </c>
      <c r="C176" s="10" t="s">
        <v>166</v>
      </c>
      <c r="D176" s="10" t="s">
        <v>2610</v>
      </c>
      <c r="E176" s="8" t="s">
        <v>2611</v>
      </c>
      <c r="F176" s="8" t="s">
        <v>2612</v>
      </c>
      <c r="G176" s="10" t="s">
        <v>29</v>
      </c>
      <c r="H176" s="8" t="s">
        <v>2613</v>
      </c>
      <c r="I176" s="10" t="s">
        <v>2614</v>
      </c>
      <c r="J176" s="8" t="s">
        <v>2464</v>
      </c>
      <c r="K176" s="8" t="s">
        <v>29</v>
      </c>
      <c r="L176" s="8" t="s">
        <v>29</v>
      </c>
      <c r="M176" s="10" t="s">
        <v>29</v>
      </c>
      <c r="N176" s="8" t="s">
        <v>29</v>
      </c>
      <c r="O176" s="10" t="s">
        <v>19</v>
      </c>
      <c r="P176" s="8" t="s">
        <v>2615</v>
      </c>
      <c r="Q176" s="10" t="s">
        <v>174</v>
      </c>
      <c r="R176" s="10" t="s">
        <v>1387</v>
      </c>
      <c r="S176" s="8" t="s">
        <v>2616</v>
      </c>
      <c r="T176" s="10" t="s">
        <v>2467</v>
      </c>
      <c r="U176" s="10" t="s">
        <v>29</v>
      </c>
    </row>
    <row r="177" spans="1:21" s="10" customFormat="1" x14ac:dyDescent="0.25">
      <c r="A177" s="10" t="s">
        <v>2617</v>
      </c>
      <c r="B177" s="10" t="s">
        <v>2458</v>
      </c>
      <c r="C177" s="10" t="s">
        <v>335</v>
      </c>
      <c r="D177" s="10" t="s">
        <v>2618</v>
      </c>
      <c r="E177" s="8" t="s">
        <v>2619</v>
      </c>
      <c r="F177" s="8" t="s">
        <v>2620</v>
      </c>
      <c r="G177" s="10" t="s">
        <v>29</v>
      </c>
      <c r="H177" s="8" t="s">
        <v>2613</v>
      </c>
      <c r="I177" s="10" t="s">
        <v>1192</v>
      </c>
      <c r="J177" s="8" t="s">
        <v>2464</v>
      </c>
      <c r="K177" s="8" t="s">
        <v>29</v>
      </c>
      <c r="L177" s="8" t="s">
        <v>29</v>
      </c>
      <c r="M177" s="10" t="s">
        <v>29</v>
      </c>
      <c r="N177" s="8" t="s">
        <v>29</v>
      </c>
      <c r="O177" s="10" t="s">
        <v>19</v>
      </c>
      <c r="P177" s="8" t="s">
        <v>2621</v>
      </c>
      <c r="Q177" s="10" t="s">
        <v>174</v>
      </c>
      <c r="R177" s="10" t="s">
        <v>1387</v>
      </c>
      <c r="S177" s="8" t="s">
        <v>2622</v>
      </c>
      <c r="T177" s="10" t="s">
        <v>2467</v>
      </c>
      <c r="U177" s="10" t="s">
        <v>29</v>
      </c>
    </row>
    <row r="178" spans="1:21" s="10" customFormat="1" x14ac:dyDescent="0.25">
      <c r="A178" s="10" t="s">
        <v>2623</v>
      </c>
      <c r="B178" s="10" t="s">
        <v>2458</v>
      </c>
      <c r="C178" s="11" t="s">
        <v>297</v>
      </c>
      <c r="D178" s="10" t="s">
        <v>2624</v>
      </c>
      <c r="E178" s="8" t="s">
        <v>2625</v>
      </c>
      <c r="F178" s="8" t="s">
        <v>2626</v>
      </c>
      <c r="G178" s="10" t="s">
        <v>29</v>
      </c>
      <c r="H178" s="8" t="s">
        <v>2627</v>
      </c>
      <c r="I178" s="10" t="s">
        <v>2628</v>
      </c>
      <c r="J178" s="8" t="s">
        <v>2464</v>
      </c>
      <c r="K178" s="8" t="s">
        <v>29</v>
      </c>
      <c r="L178" s="8" t="s">
        <v>29</v>
      </c>
      <c r="M178" s="10" t="s">
        <v>29</v>
      </c>
      <c r="N178" s="8" t="s">
        <v>29</v>
      </c>
      <c r="O178" s="10" t="s">
        <v>19</v>
      </c>
      <c r="P178" s="8" t="s">
        <v>2629</v>
      </c>
      <c r="Q178" s="10" t="s">
        <v>174</v>
      </c>
      <c r="R178" s="10" t="s">
        <v>1387</v>
      </c>
      <c r="S178" s="8" t="s">
        <v>2630</v>
      </c>
      <c r="T178" s="10" t="s">
        <v>2467</v>
      </c>
      <c r="U178" s="10" t="s">
        <v>29</v>
      </c>
    </row>
    <row r="179" spans="1:21" s="10" customFormat="1" x14ac:dyDescent="0.25">
      <c r="A179" s="10" t="s">
        <v>2631</v>
      </c>
      <c r="B179" s="10" t="s">
        <v>2458</v>
      </c>
      <c r="C179" s="11" t="s">
        <v>297</v>
      </c>
      <c r="D179" s="10" t="s">
        <v>2632</v>
      </c>
      <c r="E179" s="8" t="s">
        <v>2633</v>
      </c>
      <c r="F179" s="8" t="s">
        <v>2634</v>
      </c>
      <c r="G179" s="10" t="s">
        <v>29</v>
      </c>
      <c r="H179" s="8" t="s">
        <v>2635</v>
      </c>
      <c r="I179" s="10" t="s">
        <v>2636</v>
      </c>
      <c r="J179" s="8" t="s">
        <v>2464</v>
      </c>
      <c r="K179" s="8" t="s">
        <v>29</v>
      </c>
      <c r="L179" s="8" t="s">
        <v>29</v>
      </c>
      <c r="M179" s="10" t="s">
        <v>29</v>
      </c>
      <c r="N179" s="8" t="s">
        <v>29</v>
      </c>
      <c r="O179" s="10" t="s">
        <v>19</v>
      </c>
      <c r="P179" s="8" t="s">
        <v>2637</v>
      </c>
      <c r="Q179" s="10" t="s">
        <v>174</v>
      </c>
      <c r="R179" s="10" t="s">
        <v>1387</v>
      </c>
      <c r="S179" s="8" t="s">
        <v>2638</v>
      </c>
      <c r="T179" s="10" t="s">
        <v>2467</v>
      </c>
      <c r="U179" s="10" t="s">
        <v>29</v>
      </c>
    </row>
    <row r="180" spans="1:21" s="10" customFormat="1" x14ac:dyDescent="0.25">
      <c r="A180" s="10" t="s">
        <v>2639</v>
      </c>
      <c r="B180" s="10" t="s">
        <v>2458</v>
      </c>
      <c r="C180" s="11" t="s">
        <v>297</v>
      </c>
      <c r="D180" s="10" t="s">
        <v>2640</v>
      </c>
      <c r="E180" s="8" t="s">
        <v>2641</v>
      </c>
      <c r="F180" s="8" t="s">
        <v>2642</v>
      </c>
      <c r="G180" s="10" t="s">
        <v>29</v>
      </c>
      <c r="H180" s="8" t="s">
        <v>2643</v>
      </c>
      <c r="I180" s="10" t="s">
        <v>1192</v>
      </c>
      <c r="J180" s="8" t="s">
        <v>2464</v>
      </c>
      <c r="K180" s="8" t="s">
        <v>29</v>
      </c>
      <c r="L180" s="8" t="s">
        <v>29</v>
      </c>
      <c r="M180" s="10" t="s">
        <v>29</v>
      </c>
      <c r="N180" s="8" t="s">
        <v>29</v>
      </c>
      <c r="O180" s="10" t="s">
        <v>19</v>
      </c>
      <c r="P180" s="8" t="s">
        <v>2644</v>
      </c>
      <c r="Q180" s="10" t="s">
        <v>174</v>
      </c>
      <c r="R180" s="10" t="s">
        <v>1387</v>
      </c>
      <c r="S180" s="8" t="s">
        <v>2645</v>
      </c>
      <c r="T180" s="10" t="s">
        <v>2467</v>
      </c>
      <c r="U180" s="10" t="s">
        <v>29</v>
      </c>
    </row>
    <row r="181" spans="1:21" s="10" customFormat="1" x14ac:dyDescent="0.25">
      <c r="A181" s="10" t="s">
        <v>2646</v>
      </c>
      <c r="B181" s="10" t="s">
        <v>2458</v>
      </c>
      <c r="C181" s="11" t="s">
        <v>297</v>
      </c>
      <c r="D181" s="10" t="s">
        <v>2647</v>
      </c>
      <c r="E181" s="8" t="s">
        <v>2648</v>
      </c>
      <c r="F181" s="8" t="s">
        <v>2649</v>
      </c>
      <c r="G181" s="10" t="s">
        <v>29</v>
      </c>
      <c r="H181" s="8" t="s">
        <v>2650</v>
      </c>
      <c r="I181" s="10" t="s">
        <v>2636</v>
      </c>
      <c r="J181" s="8" t="s">
        <v>2464</v>
      </c>
      <c r="K181" s="8" t="s">
        <v>29</v>
      </c>
      <c r="L181" s="8" t="s">
        <v>29</v>
      </c>
      <c r="M181" s="10" t="s">
        <v>29</v>
      </c>
      <c r="N181" s="8" t="s">
        <v>29</v>
      </c>
      <c r="O181" s="10" t="s">
        <v>19</v>
      </c>
      <c r="P181" s="8" t="s">
        <v>2651</v>
      </c>
      <c r="Q181" s="10" t="s">
        <v>190</v>
      </c>
      <c r="R181" s="10" t="s">
        <v>1387</v>
      </c>
      <c r="S181" s="8" t="s">
        <v>2652</v>
      </c>
      <c r="T181" s="10" t="s">
        <v>2467</v>
      </c>
      <c r="U181" s="10" t="s">
        <v>29</v>
      </c>
    </row>
    <row r="182" spans="1:21" s="10" customFormat="1" x14ac:dyDescent="0.25">
      <c r="A182" s="10" t="s">
        <v>2653</v>
      </c>
      <c r="B182" s="10" t="s">
        <v>2458</v>
      </c>
      <c r="C182" s="11" t="s">
        <v>297</v>
      </c>
      <c r="D182" s="10" t="s">
        <v>2654</v>
      </c>
      <c r="E182" s="8" t="s">
        <v>2655</v>
      </c>
      <c r="F182" s="8" t="s">
        <v>2656</v>
      </c>
      <c r="G182" s="10" t="s">
        <v>29</v>
      </c>
      <c r="H182" s="8" t="s">
        <v>2657</v>
      </c>
      <c r="I182" s="10" t="s">
        <v>2614</v>
      </c>
      <c r="J182" s="8" t="s">
        <v>2464</v>
      </c>
      <c r="K182" s="8" t="s">
        <v>29</v>
      </c>
      <c r="L182" s="8" t="s">
        <v>29</v>
      </c>
      <c r="M182" s="10" t="s">
        <v>29</v>
      </c>
      <c r="N182" s="8" t="s">
        <v>29</v>
      </c>
      <c r="O182" s="10" t="s">
        <v>19</v>
      </c>
      <c r="P182" s="8" t="s">
        <v>2658</v>
      </c>
      <c r="Q182" s="10" t="s">
        <v>174</v>
      </c>
      <c r="R182" s="10" t="s">
        <v>1387</v>
      </c>
      <c r="S182" s="8" t="s">
        <v>2659</v>
      </c>
      <c r="T182" s="10" t="s">
        <v>2467</v>
      </c>
      <c r="U182" s="10" t="s">
        <v>29</v>
      </c>
    </row>
    <row r="183" spans="1:21" s="10" customFormat="1" x14ac:dyDescent="0.25">
      <c r="A183" s="10" t="s">
        <v>2660</v>
      </c>
      <c r="B183" s="10" t="s">
        <v>2458</v>
      </c>
      <c r="C183" s="11" t="s">
        <v>297</v>
      </c>
      <c r="D183" s="10" t="s">
        <v>2661</v>
      </c>
      <c r="E183" s="8" t="s">
        <v>2662</v>
      </c>
      <c r="F183" s="8" t="s">
        <v>2663</v>
      </c>
      <c r="G183" s="10" t="s">
        <v>29</v>
      </c>
      <c r="H183" s="8" t="s">
        <v>2664</v>
      </c>
      <c r="I183" s="10" t="s">
        <v>2614</v>
      </c>
      <c r="J183" s="8" t="s">
        <v>2464</v>
      </c>
      <c r="K183" s="8" t="s">
        <v>29</v>
      </c>
      <c r="L183" s="8" t="s">
        <v>29</v>
      </c>
      <c r="M183" s="10" t="s">
        <v>29</v>
      </c>
      <c r="N183" s="8" t="s">
        <v>29</v>
      </c>
      <c r="O183" s="10" t="s">
        <v>19</v>
      </c>
      <c r="P183" s="8" t="s">
        <v>2665</v>
      </c>
      <c r="Q183" s="10" t="s">
        <v>174</v>
      </c>
      <c r="R183" s="10" t="s">
        <v>1387</v>
      </c>
      <c r="S183" s="8" t="s">
        <v>2666</v>
      </c>
      <c r="T183" s="10" t="s">
        <v>2467</v>
      </c>
      <c r="U183" s="10" t="s">
        <v>29</v>
      </c>
    </row>
    <row r="184" spans="1:21" s="10" customFormat="1" x14ac:dyDescent="0.25">
      <c r="A184" s="10" t="s">
        <v>2667</v>
      </c>
      <c r="B184" s="10" t="s">
        <v>2458</v>
      </c>
      <c r="C184" s="11" t="s">
        <v>297</v>
      </c>
      <c r="D184" s="10" t="s">
        <v>2668</v>
      </c>
      <c r="E184" s="8" t="s">
        <v>2669</v>
      </c>
      <c r="F184" s="8" t="s">
        <v>2670</v>
      </c>
      <c r="G184" s="10" t="s">
        <v>29</v>
      </c>
      <c r="H184" s="8" t="s">
        <v>2671</v>
      </c>
      <c r="I184" s="10" t="s">
        <v>2614</v>
      </c>
      <c r="J184" s="8" t="s">
        <v>2464</v>
      </c>
      <c r="K184" s="8" t="s">
        <v>29</v>
      </c>
      <c r="L184" s="8" t="s">
        <v>29</v>
      </c>
      <c r="M184" s="10" t="s">
        <v>29</v>
      </c>
      <c r="N184" s="8" t="s">
        <v>29</v>
      </c>
      <c r="O184" s="10" t="s">
        <v>19</v>
      </c>
      <c r="P184" s="8" t="s">
        <v>2672</v>
      </c>
      <c r="Q184" s="10" t="s">
        <v>174</v>
      </c>
      <c r="R184" s="10" t="s">
        <v>1387</v>
      </c>
      <c r="S184" s="8" t="s">
        <v>2673</v>
      </c>
      <c r="T184" s="10" t="s">
        <v>2467</v>
      </c>
      <c r="U184" s="10" t="s">
        <v>29</v>
      </c>
    </row>
    <row r="185" spans="1:21" s="10" customFormat="1" x14ac:dyDescent="0.25">
      <c r="A185" s="10" t="s">
        <v>2674</v>
      </c>
      <c r="B185" s="10" t="s">
        <v>2458</v>
      </c>
      <c r="C185" s="10" t="s">
        <v>166</v>
      </c>
      <c r="D185" s="10" t="s">
        <v>2675</v>
      </c>
      <c r="E185" s="8" t="s">
        <v>2676</v>
      </c>
      <c r="F185" s="8" t="s">
        <v>2677</v>
      </c>
      <c r="G185" s="10" t="s">
        <v>29</v>
      </c>
      <c r="H185" s="8" t="s">
        <v>2678</v>
      </c>
      <c r="I185" s="10" t="s">
        <v>2614</v>
      </c>
      <c r="J185" s="8" t="s">
        <v>2464</v>
      </c>
      <c r="K185" s="8" t="s">
        <v>29</v>
      </c>
      <c r="L185" s="8" t="s">
        <v>29</v>
      </c>
      <c r="M185" s="10" t="s">
        <v>29</v>
      </c>
      <c r="N185" s="8" t="s">
        <v>29</v>
      </c>
      <c r="O185" s="10" t="s">
        <v>19</v>
      </c>
      <c r="P185" s="8" t="s">
        <v>2679</v>
      </c>
      <c r="Q185" s="10" t="s">
        <v>174</v>
      </c>
      <c r="R185" s="10" t="s">
        <v>1387</v>
      </c>
      <c r="S185" s="8" t="s">
        <v>2680</v>
      </c>
      <c r="T185" s="10" t="s">
        <v>2467</v>
      </c>
      <c r="U185" s="10" t="s">
        <v>29</v>
      </c>
    </row>
    <row r="186" spans="1:21" s="10" customFormat="1" x14ac:dyDescent="0.25">
      <c r="A186" s="10" t="s">
        <v>2681</v>
      </c>
      <c r="B186" s="10" t="s">
        <v>2458</v>
      </c>
      <c r="C186" s="11" t="s">
        <v>297</v>
      </c>
      <c r="D186" s="10" t="s">
        <v>2682</v>
      </c>
      <c r="E186" s="8" t="s">
        <v>2683</v>
      </c>
      <c r="F186" s="8" t="s">
        <v>2684</v>
      </c>
      <c r="G186" s="10" t="s">
        <v>29</v>
      </c>
      <c r="H186" s="8" t="s">
        <v>2685</v>
      </c>
      <c r="I186" s="10" t="s">
        <v>2614</v>
      </c>
      <c r="J186" s="8" t="s">
        <v>2464</v>
      </c>
      <c r="K186" s="8" t="s">
        <v>29</v>
      </c>
      <c r="L186" s="8" t="s">
        <v>29</v>
      </c>
      <c r="M186" s="10" t="s">
        <v>29</v>
      </c>
      <c r="N186" s="8" t="s">
        <v>29</v>
      </c>
      <c r="O186" s="10" t="s">
        <v>19</v>
      </c>
      <c r="P186" s="8" t="s">
        <v>2686</v>
      </c>
      <c r="Q186" s="10" t="s">
        <v>174</v>
      </c>
      <c r="R186" s="10" t="s">
        <v>1387</v>
      </c>
      <c r="S186" s="8" t="s">
        <v>2687</v>
      </c>
      <c r="T186" s="10" t="s">
        <v>2467</v>
      </c>
      <c r="U186" s="10" t="s">
        <v>29</v>
      </c>
    </row>
    <row r="187" spans="1:21" s="10" customFormat="1" x14ac:dyDescent="0.25">
      <c r="A187" s="10" t="s">
        <v>2688</v>
      </c>
      <c r="B187" s="10" t="s">
        <v>2458</v>
      </c>
      <c r="C187" s="10" t="s">
        <v>166</v>
      </c>
      <c r="D187" s="10" t="s">
        <v>2689</v>
      </c>
      <c r="E187" s="8" t="s">
        <v>2690</v>
      </c>
      <c r="F187" s="8" t="s">
        <v>2691</v>
      </c>
      <c r="G187" s="10" t="s">
        <v>29</v>
      </c>
      <c r="H187" s="8" t="s">
        <v>2692</v>
      </c>
      <c r="I187" s="10" t="s">
        <v>2614</v>
      </c>
      <c r="J187" s="8" t="s">
        <v>2464</v>
      </c>
      <c r="K187" s="8" t="s">
        <v>29</v>
      </c>
      <c r="L187" s="8" t="s">
        <v>29</v>
      </c>
      <c r="M187" s="10" t="s">
        <v>29</v>
      </c>
      <c r="N187" s="8" t="s">
        <v>29</v>
      </c>
      <c r="O187" s="10" t="s">
        <v>19</v>
      </c>
      <c r="P187" s="8" t="s">
        <v>2693</v>
      </c>
      <c r="Q187" s="10" t="s">
        <v>174</v>
      </c>
      <c r="R187" s="10" t="s">
        <v>1387</v>
      </c>
      <c r="S187" s="8" t="s">
        <v>2694</v>
      </c>
      <c r="T187" s="10" t="s">
        <v>2467</v>
      </c>
      <c r="U187" s="10" t="s">
        <v>29</v>
      </c>
    </row>
    <row r="188" spans="1:21" s="10" customFormat="1" x14ac:dyDescent="0.25">
      <c r="A188" s="10" t="s">
        <v>2695</v>
      </c>
      <c r="B188" s="10" t="s">
        <v>2458</v>
      </c>
      <c r="C188" s="10" t="s">
        <v>166</v>
      </c>
      <c r="D188" s="10" t="s">
        <v>2696</v>
      </c>
      <c r="E188" s="8" t="s">
        <v>2697</v>
      </c>
      <c r="F188" s="8" t="s">
        <v>2698</v>
      </c>
      <c r="G188" s="10" t="s">
        <v>29</v>
      </c>
      <c r="H188" s="8" t="s">
        <v>2699</v>
      </c>
      <c r="I188" s="10" t="s">
        <v>2614</v>
      </c>
      <c r="J188" s="8" t="s">
        <v>2464</v>
      </c>
      <c r="K188" s="8" t="s">
        <v>29</v>
      </c>
      <c r="L188" s="8" t="s">
        <v>29</v>
      </c>
      <c r="M188" s="10" t="s">
        <v>29</v>
      </c>
      <c r="N188" s="8" t="s">
        <v>29</v>
      </c>
      <c r="O188" s="10" t="s">
        <v>19</v>
      </c>
      <c r="P188" s="8" t="s">
        <v>2700</v>
      </c>
      <c r="Q188" s="10" t="s">
        <v>174</v>
      </c>
      <c r="R188" s="10" t="s">
        <v>1387</v>
      </c>
      <c r="S188" s="8" t="s">
        <v>2645</v>
      </c>
      <c r="T188" s="10" t="s">
        <v>2467</v>
      </c>
      <c r="U188" s="10" t="s">
        <v>29</v>
      </c>
    </row>
    <row r="189" spans="1:21" s="10" customFormat="1" x14ac:dyDescent="0.25">
      <c r="A189" s="10" t="s">
        <v>2701</v>
      </c>
      <c r="B189" s="10" t="s">
        <v>2458</v>
      </c>
      <c r="C189" s="10" t="s">
        <v>166</v>
      </c>
      <c r="D189" s="10" t="s">
        <v>2702</v>
      </c>
      <c r="E189" s="8" t="s">
        <v>2703</v>
      </c>
      <c r="F189" s="8" t="s">
        <v>2704</v>
      </c>
      <c r="G189" s="10" t="s">
        <v>29</v>
      </c>
      <c r="H189" s="8" t="s">
        <v>2705</v>
      </c>
      <c r="I189" s="10" t="s">
        <v>1192</v>
      </c>
      <c r="J189" s="8" t="s">
        <v>2464</v>
      </c>
      <c r="K189" s="8" t="s">
        <v>29</v>
      </c>
      <c r="L189" s="8" t="s">
        <v>29</v>
      </c>
      <c r="M189" s="10" t="s">
        <v>29</v>
      </c>
      <c r="N189" s="8" t="s">
        <v>29</v>
      </c>
      <c r="O189" s="10" t="s">
        <v>19</v>
      </c>
      <c r="P189" s="8" t="s">
        <v>2706</v>
      </c>
      <c r="Q189" s="10" t="s">
        <v>197</v>
      </c>
      <c r="R189" s="10" t="s">
        <v>1387</v>
      </c>
      <c r="S189" s="8" t="s">
        <v>2707</v>
      </c>
      <c r="T189" s="10" t="s">
        <v>2467</v>
      </c>
      <c r="U189" s="10" t="s">
        <v>29</v>
      </c>
    </row>
    <row r="190" spans="1:21" s="10" customFormat="1" x14ac:dyDescent="0.25">
      <c r="A190" s="10" t="s">
        <v>2708</v>
      </c>
      <c r="B190" s="10" t="s">
        <v>2458</v>
      </c>
      <c r="C190" s="10" t="s">
        <v>166</v>
      </c>
      <c r="D190" s="10" t="s">
        <v>2709</v>
      </c>
      <c r="E190" s="8" t="s">
        <v>2710</v>
      </c>
      <c r="F190" s="8" t="s">
        <v>2711</v>
      </c>
      <c r="G190" s="10" t="s">
        <v>29</v>
      </c>
      <c r="H190" s="8" t="s">
        <v>2712</v>
      </c>
      <c r="I190" s="10" t="s">
        <v>1192</v>
      </c>
      <c r="J190" s="8" t="s">
        <v>2464</v>
      </c>
      <c r="K190" s="8" t="s">
        <v>29</v>
      </c>
      <c r="L190" s="8" t="s">
        <v>29</v>
      </c>
      <c r="M190" s="10" t="s">
        <v>29</v>
      </c>
      <c r="N190" s="8" t="s">
        <v>29</v>
      </c>
      <c r="O190" s="10" t="s">
        <v>19</v>
      </c>
      <c r="P190" s="8" t="s">
        <v>2713</v>
      </c>
      <c r="Q190" s="10" t="s">
        <v>197</v>
      </c>
      <c r="R190" s="10" t="s">
        <v>1387</v>
      </c>
      <c r="S190" s="8" t="s">
        <v>2714</v>
      </c>
      <c r="T190" s="10" t="s">
        <v>2467</v>
      </c>
      <c r="U190" s="10" t="s">
        <v>29</v>
      </c>
    </row>
    <row r="191" spans="1:21" s="10" customFormat="1" x14ac:dyDescent="0.25">
      <c r="A191" s="10" t="s">
        <v>2715</v>
      </c>
      <c r="B191" s="10" t="s">
        <v>2458</v>
      </c>
      <c r="C191" s="11" t="s">
        <v>297</v>
      </c>
      <c r="D191" s="10" t="s">
        <v>2716</v>
      </c>
      <c r="E191" s="8" t="s">
        <v>2717</v>
      </c>
      <c r="F191" s="8" t="s">
        <v>2718</v>
      </c>
      <c r="G191" s="10" t="s">
        <v>29</v>
      </c>
      <c r="H191" s="8" t="s">
        <v>2719</v>
      </c>
      <c r="I191" s="10" t="s">
        <v>1192</v>
      </c>
      <c r="J191" s="8" t="s">
        <v>2464</v>
      </c>
      <c r="K191" s="8" t="s">
        <v>29</v>
      </c>
      <c r="L191" s="8" t="s">
        <v>29</v>
      </c>
      <c r="M191" s="10" t="s">
        <v>29</v>
      </c>
      <c r="N191" s="8" t="s">
        <v>29</v>
      </c>
      <c r="O191" s="10" t="s">
        <v>19</v>
      </c>
      <c r="P191" s="8" t="s">
        <v>2720</v>
      </c>
      <c r="Q191" s="10" t="s">
        <v>174</v>
      </c>
      <c r="R191" s="10" t="s">
        <v>1387</v>
      </c>
      <c r="S191" s="8" t="s">
        <v>2673</v>
      </c>
      <c r="T191" s="10" t="s">
        <v>2467</v>
      </c>
      <c r="U191" s="10" t="s">
        <v>29</v>
      </c>
    </row>
    <row r="192" spans="1:21" s="10" customFormat="1" x14ac:dyDescent="0.25">
      <c r="A192" s="10" t="s">
        <v>2721</v>
      </c>
      <c r="B192" s="10" t="s">
        <v>2458</v>
      </c>
      <c r="C192" s="10" t="s">
        <v>166</v>
      </c>
      <c r="D192" s="10" t="s">
        <v>2722</v>
      </c>
      <c r="E192" s="8" t="s">
        <v>2723</v>
      </c>
      <c r="F192" s="8" t="s">
        <v>2724</v>
      </c>
      <c r="G192" s="10" t="s">
        <v>29</v>
      </c>
      <c r="H192" s="8" t="s">
        <v>2725</v>
      </c>
      <c r="I192" s="10" t="s">
        <v>2726</v>
      </c>
      <c r="J192" s="8" t="s">
        <v>2464</v>
      </c>
      <c r="K192" s="8" t="s">
        <v>29</v>
      </c>
      <c r="L192" s="8" t="s">
        <v>29</v>
      </c>
      <c r="M192" s="10" t="s">
        <v>29</v>
      </c>
      <c r="N192" s="8" t="s">
        <v>29</v>
      </c>
      <c r="O192" s="10" t="s">
        <v>19</v>
      </c>
      <c r="P192" s="8" t="s">
        <v>2727</v>
      </c>
      <c r="Q192" s="10" t="s">
        <v>1399</v>
      </c>
      <c r="R192" s="10" t="s">
        <v>1387</v>
      </c>
      <c r="S192" s="8" t="s">
        <v>2728</v>
      </c>
      <c r="T192" s="10" t="s">
        <v>2467</v>
      </c>
      <c r="U192" s="10" t="s">
        <v>29</v>
      </c>
    </row>
    <row r="193" spans="1:21" s="10" customFormat="1" x14ac:dyDescent="0.25">
      <c r="A193" s="10" t="s">
        <v>2729</v>
      </c>
      <c r="B193" s="10" t="s">
        <v>2458</v>
      </c>
      <c r="C193" s="11" t="s">
        <v>297</v>
      </c>
      <c r="D193" s="10" t="s">
        <v>2730</v>
      </c>
      <c r="E193" s="8" t="s">
        <v>2731</v>
      </c>
      <c r="F193" s="8" t="s">
        <v>2732</v>
      </c>
      <c r="G193" s="10" t="s">
        <v>29</v>
      </c>
      <c r="H193" s="8" t="s">
        <v>2733</v>
      </c>
      <c r="I193" s="10" t="s">
        <v>2734</v>
      </c>
      <c r="J193" s="8" t="s">
        <v>1606</v>
      </c>
      <c r="K193" s="8" t="s">
        <v>29</v>
      </c>
      <c r="L193" s="8" t="s">
        <v>29</v>
      </c>
      <c r="M193" s="10" t="s">
        <v>29</v>
      </c>
      <c r="N193" s="8" t="s">
        <v>29</v>
      </c>
      <c r="O193" s="10" t="s">
        <v>19</v>
      </c>
      <c r="P193" s="8" t="s">
        <v>2735</v>
      </c>
      <c r="Q193" s="10" t="s">
        <v>1399</v>
      </c>
      <c r="R193" s="10" t="s">
        <v>1608</v>
      </c>
      <c r="S193" s="8" t="s">
        <v>2736</v>
      </c>
      <c r="T193" s="10" t="s">
        <v>2467</v>
      </c>
      <c r="U193" s="10" t="s">
        <v>29</v>
      </c>
    </row>
    <row r="194" spans="1:21" s="10" customFormat="1" x14ac:dyDescent="0.25">
      <c r="A194" s="10" t="s">
        <v>2737</v>
      </c>
      <c r="B194" s="10" t="s">
        <v>2458</v>
      </c>
      <c r="C194" s="11" t="s">
        <v>297</v>
      </c>
      <c r="D194" s="10" t="s">
        <v>2738</v>
      </c>
      <c r="E194" s="8" t="s">
        <v>2739</v>
      </c>
      <c r="F194" s="8" t="s">
        <v>2740</v>
      </c>
      <c r="G194" s="10" t="s">
        <v>29</v>
      </c>
      <c r="H194" s="8" t="s">
        <v>1604</v>
      </c>
      <c r="I194" s="10" t="s">
        <v>2741</v>
      </c>
      <c r="J194" s="8" t="s">
        <v>1606</v>
      </c>
      <c r="K194" s="8" t="s">
        <v>29</v>
      </c>
      <c r="L194" s="8" t="s">
        <v>29</v>
      </c>
      <c r="M194" s="10" t="s">
        <v>29</v>
      </c>
      <c r="N194" s="8" t="s">
        <v>29</v>
      </c>
      <c r="O194" s="10" t="s">
        <v>19</v>
      </c>
      <c r="P194" s="8" t="s">
        <v>2742</v>
      </c>
      <c r="Q194" s="10" t="s">
        <v>1399</v>
      </c>
      <c r="R194" s="10" t="s">
        <v>1608</v>
      </c>
      <c r="S194" s="8" t="s">
        <v>2115</v>
      </c>
      <c r="T194" s="10" t="s">
        <v>2467</v>
      </c>
      <c r="U194" s="10" t="s">
        <v>29</v>
      </c>
    </row>
    <row r="195" spans="1:21" s="10" customFormat="1" x14ac:dyDescent="0.25">
      <c r="A195" s="10" t="s">
        <v>2743</v>
      </c>
      <c r="B195" s="10" t="s">
        <v>2458</v>
      </c>
      <c r="C195" s="11" t="s">
        <v>297</v>
      </c>
      <c r="D195" s="10" t="s">
        <v>2744</v>
      </c>
      <c r="E195" s="8" t="s">
        <v>2745</v>
      </c>
      <c r="F195" s="8" t="s">
        <v>2746</v>
      </c>
      <c r="G195" s="10" t="s">
        <v>29</v>
      </c>
      <c r="H195" s="8" t="s">
        <v>2747</v>
      </c>
      <c r="I195" s="10" t="s">
        <v>2636</v>
      </c>
      <c r="J195" s="8" t="s">
        <v>1615</v>
      </c>
      <c r="K195" s="8" t="s">
        <v>29</v>
      </c>
      <c r="L195" s="8" t="s">
        <v>29</v>
      </c>
      <c r="M195" s="10" t="s">
        <v>29</v>
      </c>
      <c r="N195" s="8" t="s">
        <v>29</v>
      </c>
      <c r="O195" s="10" t="s">
        <v>19</v>
      </c>
      <c r="P195" s="8" t="s">
        <v>2748</v>
      </c>
      <c r="Q195" s="10" t="s">
        <v>776</v>
      </c>
      <c r="R195" s="10" t="s">
        <v>2749</v>
      </c>
      <c r="S195" s="8" t="s">
        <v>1618</v>
      </c>
      <c r="T195" s="10" t="s">
        <v>2467</v>
      </c>
      <c r="U195" s="10" t="s">
        <v>29</v>
      </c>
    </row>
    <row r="196" spans="1:21" s="10" customFormat="1" x14ac:dyDescent="0.25">
      <c r="A196" s="10" t="s">
        <v>2750</v>
      </c>
      <c r="B196" s="10" t="s">
        <v>2458</v>
      </c>
      <c r="C196" s="10" t="s">
        <v>166</v>
      </c>
      <c r="D196" s="10" t="s">
        <v>2751</v>
      </c>
      <c r="E196" s="8" t="s">
        <v>2752</v>
      </c>
      <c r="F196" s="8" t="s">
        <v>2753</v>
      </c>
      <c r="G196" s="10" t="s">
        <v>29</v>
      </c>
      <c r="H196" s="8" t="s">
        <v>2754</v>
      </c>
      <c r="I196" s="10" t="s">
        <v>2614</v>
      </c>
      <c r="J196" s="8" t="s">
        <v>2464</v>
      </c>
      <c r="K196" s="8" t="s">
        <v>29</v>
      </c>
      <c r="L196" s="8" t="s">
        <v>29</v>
      </c>
      <c r="M196" s="10" t="s">
        <v>29</v>
      </c>
      <c r="N196" s="8" t="s">
        <v>29</v>
      </c>
      <c r="O196" s="10" t="s">
        <v>19</v>
      </c>
      <c r="P196" s="8" t="s">
        <v>2755</v>
      </c>
      <c r="Q196" s="10" t="s">
        <v>190</v>
      </c>
      <c r="R196" s="10" t="s">
        <v>1387</v>
      </c>
      <c r="S196" s="8" t="s">
        <v>2756</v>
      </c>
      <c r="T196" s="10" t="s">
        <v>2467</v>
      </c>
      <c r="U196" s="10" t="s">
        <v>29</v>
      </c>
    </row>
    <row r="197" spans="1:21" s="10" customFormat="1" x14ac:dyDescent="0.25">
      <c r="A197" s="10" t="s">
        <v>2757</v>
      </c>
      <c r="B197" s="10" t="s">
        <v>2458</v>
      </c>
      <c r="C197" s="10" t="s">
        <v>166</v>
      </c>
      <c r="D197" s="10" t="s">
        <v>2758</v>
      </c>
      <c r="E197" s="8" t="s">
        <v>2759</v>
      </c>
      <c r="F197" s="8" t="s">
        <v>2760</v>
      </c>
      <c r="G197" s="10" t="s">
        <v>29</v>
      </c>
      <c r="H197" s="8" t="s">
        <v>2650</v>
      </c>
      <c r="I197" s="10" t="s">
        <v>1192</v>
      </c>
      <c r="J197" s="8" t="s">
        <v>2464</v>
      </c>
      <c r="K197" s="8" t="s">
        <v>29</v>
      </c>
      <c r="L197" s="8" t="s">
        <v>29</v>
      </c>
      <c r="M197" s="10" t="s">
        <v>29</v>
      </c>
      <c r="N197" s="8" t="s">
        <v>29</v>
      </c>
      <c r="O197" s="10" t="s">
        <v>19</v>
      </c>
      <c r="P197" s="8" t="s">
        <v>2761</v>
      </c>
      <c r="Q197" s="10" t="s">
        <v>174</v>
      </c>
      <c r="R197" s="10" t="s">
        <v>1387</v>
      </c>
      <c r="S197" s="8" t="s">
        <v>1599</v>
      </c>
      <c r="T197" s="10" t="s">
        <v>2467</v>
      </c>
      <c r="U197" s="10" t="s">
        <v>29</v>
      </c>
    </row>
    <row r="198" spans="1:21" s="10" customFormat="1" x14ac:dyDescent="0.25">
      <c r="A198" s="10" t="s">
        <v>2762</v>
      </c>
      <c r="B198" s="10" t="s">
        <v>2763</v>
      </c>
      <c r="C198" s="10" t="s">
        <v>166</v>
      </c>
      <c r="D198" s="10" t="s">
        <v>2764</v>
      </c>
      <c r="E198" s="8" t="s">
        <v>2765</v>
      </c>
      <c r="F198" s="8" t="s">
        <v>2766</v>
      </c>
      <c r="G198" s="10" t="s">
        <v>29</v>
      </c>
      <c r="H198" s="8" t="s">
        <v>2767</v>
      </c>
      <c r="I198" s="10" t="s">
        <v>2768</v>
      </c>
      <c r="J198" s="8" t="s">
        <v>2769</v>
      </c>
      <c r="K198" s="8" t="s">
        <v>29</v>
      </c>
      <c r="L198" s="8" t="s">
        <v>29</v>
      </c>
      <c r="M198" s="10" t="s">
        <v>29</v>
      </c>
      <c r="N198" s="8" t="s">
        <v>29</v>
      </c>
      <c r="O198" s="10" t="s">
        <v>19</v>
      </c>
      <c r="P198" s="8" t="s">
        <v>2770</v>
      </c>
      <c r="Q198" s="10" t="s">
        <v>174</v>
      </c>
      <c r="R198" s="10" t="s">
        <v>1387</v>
      </c>
      <c r="S198" s="8" t="s">
        <v>2771</v>
      </c>
      <c r="T198" s="10" t="s">
        <v>2772</v>
      </c>
      <c r="U198" s="10" t="s">
        <v>29</v>
      </c>
    </row>
    <row r="199" spans="1:21" s="10" customFormat="1" x14ac:dyDescent="0.25">
      <c r="A199" s="10" t="s">
        <v>2773</v>
      </c>
      <c r="B199" s="10" t="s">
        <v>2763</v>
      </c>
      <c r="C199" s="10" t="s">
        <v>335</v>
      </c>
      <c r="D199" s="10" t="s">
        <v>2774</v>
      </c>
      <c r="E199" s="8" t="s">
        <v>2775</v>
      </c>
      <c r="F199" s="8" t="s">
        <v>2776</v>
      </c>
      <c r="G199" s="10" t="s">
        <v>29</v>
      </c>
      <c r="H199" s="8" t="s">
        <v>2777</v>
      </c>
      <c r="I199" s="10" t="s">
        <v>430</v>
      </c>
      <c r="J199" s="8" t="s">
        <v>2769</v>
      </c>
      <c r="K199" s="8" t="s">
        <v>29</v>
      </c>
      <c r="L199" s="8" t="s">
        <v>29</v>
      </c>
      <c r="M199" s="10" t="s">
        <v>29</v>
      </c>
      <c r="N199" s="8" t="s">
        <v>29</v>
      </c>
      <c r="O199" s="10" t="s">
        <v>19</v>
      </c>
      <c r="P199" s="8" t="s">
        <v>2778</v>
      </c>
      <c r="Q199" s="10" t="s">
        <v>174</v>
      </c>
      <c r="R199" s="10" t="s">
        <v>1387</v>
      </c>
      <c r="S199" s="8" t="s">
        <v>1388</v>
      </c>
      <c r="T199" s="10" t="s">
        <v>2772</v>
      </c>
      <c r="U199" s="10" t="s">
        <v>29</v>
      </c>
    </row>
    <row r="200" spans="1:21" s="10" customFormat="1" x14ac:dyDescent="0.25">
      <c r="A200" s="10" t="s">
        <v>2779</v>
      </c>
      <c r="B200" s="10" t="s">
        <v>2763</v>
      </c>
      <c r="C200" s="11" t="s">
        <v>297</v>
      </c>
      <c r="D200" s="10" t="s">
        <v>2780</v>
      </c>
      <c r="E200" s="8" t="s">
        <v>2781</v>
      </c>
      <c r="F200" s="8" t="s">
        <v>2782</v>
      </c>
      <c r="G200" s="10" t="s">
        <v>29</v>
      </c>
      <c r="H200" s="8" t="s">
        <v>2783</v>
      </c>
      <c r="I200" s="10" t="s">
        <v>2768</v>
      </c>
      <c r="J200" s="8" t="s">
        <v>2769</v>
      </c>
      <c r="K200" s="8" t="s">
        <v>29</v>
      </c>
      <c r="L200" s="8" t="s">
        <v>29</v>
      </c>
      <c r="M200" s="10" t="s">
        <v>29</v>
      </c>
      <c r="N200" s="8" t="s">
        <v>29</v>
      </c>
      <c r="O200" s="10" t="s">
        <v>19</v>
      </c>
      <c r="P200" s="8" t="s">
        <v>2784</v>
      </c>
      <c r="Q200" s="10" t="s">
        <v>174</v>
      </c>
      <c r="R200" s="10" t="s">
        <v>1387</v>
      </c>
      <c r="S200" s="8" t="s">
        <v>2785</v>
      </c>
      <c r="T200" s="10" t="s">
        <v>2772</v>
      </c>
      <c r="U200" s="10" t="s">
        <v>29</v>
      </c>
    </row>
    <row r="201" spans="1:21" s="10" customFormat="1" x14ac:dyDescent="0.25">
      <c r="A201" s="10" t="s">
        <v>2786</v>
      </c>
      <c r="B201" s="10" t="s">
        <v>2763</v>
      </c>
      <c r="C201" s="11" t="s">
        <v>297</v>
      </c>
      <c r="D201" s="10" t="s">
        <v>2787</v>
      </c>
      <c r="E201" s="8" t="s">
        <v>2788</v>
      </c>
      <c r="F201" s="8" t="s">
        <v>2789</v>
      </c>
      <c r="G201" s="10" t="s">
        <v>29</v>
      </c>
      <c r="H201" s="8" t="s">
        <v>2790</v>
      </c>
      <c r="I201" s="10" t="s">
        <v>2791</v>
      </c>
      <c r="J201" s="8" t="s">
        <v>2769</v>
      </c>
      <c r="K201" s="8" t="s">
        <v>29</v>
      </c>
      <c r="L201" s="8" t="s">
        <v>29</v>
      </c>
      <c r="M201" s="10" t="s">
        <v>29</v>
      </c>
      <c r="N201" s="8" t="s">
        <v>29</v>
      </c>
      <c r="O201" s="10" t="s">
        <v>19</v>
      </c>
      <c r="P201" s="8" t="s">
        <v>2792</v>
      </c>
      <c r="Q201" s="10" t="s">
        <v>174</v>
      </c>
      <c r="R201" s="10" t="s">
        <v>1387</v>
      </c>
      <c r="S201" s="8" t="s">
        <v>2793</v>
      </c>
      <c r="T201" s="10" t="s">
        <v>2772</v>
      </c>
      <c r="U201" s="10" t="s">
        <v>29</v>
      </c>
    </row>
    <row r="202" spans="1:21" s="10" customFormat="1" x14ac:dyDescent="0.25">
      <c r="A202" s="10" t="s">
        <v>2794</v>
      </c>
      <c r="B202" s="10" t="s">
        <v>2763</v>
      </c>
      <c r="C202" s="10" t="s">
        <v>335</v>
      </c>
      <c r="D202" s="10" t="s">
        <v>2795</v>
      </c>
      <c r="E202" s="8" t="s">
        <v>2796</v>
      </c>
      <c r="F202" s="8" t="s">
        <v>2797</v>
      </c>
      <c r="G202" s="10" t="s">
        <v>29</v>
      </c>
      <c r="H202" s="8" t="s">
        <v>2790</v>
      </c>
      <c r="I202" s="10" t="s">
        <v>430</v>
      </c>
      <c r="J202" s="8" t="s">
        <v>2769</v>
      </c>
      <c r="K202" s="8" t="s">
        <v>29</v>
      </c>
      <c r="L202" s="8" t="s">
        <v>29</v>
      </c>
      <c r="M202" s="10" t="s">
        <v>29</v>
      </c>
      <c r="N202" s="8" t="s">
        <v>29</v>
      </c>
      <c r="O202" s="10" t="s">
        <v>19</v>
      </c>
      <c r="P202" s="8" t="s">
        <v>2798</v>
      </c>
      <c r="Q202" s="10" t="s">
        <v>197</v>
      </c>
      <c r="R202" s="10" t="s">
        <v>1387</v>
      </c>
      <c r="S202" s="8" t="s">
        <v>2799</v>
      </c>
      <c r="T202" s="10" t="s">
        <v>2772</v>
      </c>
      <c r="U202" s="10" t="s">
        <v>29</v>
      </c>
    </row>
    <row r="203" spans="1:21" s="10" customFormat="1" x14ac:dyDescent="0.25">
      <c r="A203" s="10" t="s">
        <v>2800</v>
      </c>
      <c r="B203" s="10" t="s">
        <v>2763</v>
      </c>
      <c r="C203" s="10" t="s">
        <v>166</v>
      </c>
      <c r="D203" s="10" t="s">
        <v>2801</v>
      </c>
      <c r="E203" s="8" t="s">
        <v>2802</v>
      </c>
      <c r="F203" s="8" t="s">
        <v>2803</v>
      </c>
      <c r="G203" s="10" t="s">
        <v>29</v>
      </c>
      <c r="H203" s="8" t="s">
        <v>2804</v>
      </c>
      <c r="I203" s="10" t="s">
        <v>430</v>
      </c>
      <c r="J203" s="8" t="s">
        <v>2769</v>
      </c>
      <c r="K203" s="8" t="s">
        <v>29</v>
      </c>
      <c r="L203" s="8" t="s">
        <v>29</v>
      </c>
      <c r="M203" s="10" t="s">
        <v>29</v>
      </c>
      <c r="N203" s="8" t="s">
        <v>29</v>
      </c>
      <c r="O203" s="10" t="s">
        <v>19</v>
      </c>
      <c r="P203" s="8" t="s">
        <v>2805</v>
      </c>
      <c r="Q203" s="10" t="s">
        <v>190</v>
      </c>
      <c r="R203" s="10" t="s">
        <v>1387</v>
      </c>
      <c r="S203" s="8" t="s">
        <v>2806</v>
      </c>
      <c r="T203" s="10" t="s">
        <v>2772</v>
      </c>
      <c r="U203" s="10" t="s">
        <v>29</v>
      </c>
    </row>
    <row r="204" spans="1:21" s="10" customFormat="1" x14ac:dyDescent="0.25">
      <c r="A204" s="10" t="s">
        <v>2807</v>
      </c>
      <c r="B204" s="10" t="s">
        <v>2763</v>
      </c>
      <c r="C204" s="10" t="s">
        <v>166</v>
      </c>
      <c r="D204" s="10" t="s">
        <v>2808</v>
      </c>
      <c r="E204" s="8" t="s">
        <v>2809</v>
      </c>
      <c r="F204" s="8" t="s">
        <v>2810</v>
      </c>
      <c r="G204" s="10" t="s">
        <v>29</v>
      </c>
      <c r="H204" s="8" t="s">
        <v>2811</v>
      </c>
      <c r="I204" s="10" t="s">
        <v>430</v>
      </c>
      <c r="J204" s="8" t="s">
        <v>2769</v>
      </c>
      <c r="K204" s="8" t="s">
        <v>29</v>
      </c>
      <c r="L204" s="8" t="s">
        <v>29</v>
      </c>
      <c r="M204" s="10" t="s">
        <v>29</v>
      </c>
      <c r="N204" s="8" t="s">
        <v>29</v>
      </c>
      <c r="O204" s="10" t="s">
        <v>19</v>
      </c>
      <c r="P204" s="8" t="s">
        <v>2812</v>
      </c>
      <c r="Q204" s="10" t="s">
        <v>190</v>
      </c>
      <c r="R204" s="10" t="s">
        <v>1387</v>
      </c>
      <c r="S204" s="8" t="s">
        <v>2813</v>
      </c>
      <c r="T204" s="10" t="s">
        <v>2772</v>
      </c>
      <c r="U204" s="10" t="s">
        <v>29</v>
      </c>
    </row>
    <row r="205" spans="1:21" s="10" customFormat="1" x14ac:dyDescent="0.25">
      <c r="A205" s="10" t="s">
        <v>2814</v>
      </c>
      <c r="B205" s="10" t="s">
        <v>2763</v>
      </c>
      <c r="C205" s="10" t="s">
        <v>166</v>
      </c>
      <c r="D205" s="10" t="s">
        <v>2815</v>
      </c>
      <c r="E205" s="8" t="s">
        <v>2816</v>
      </c>
      <c r="F205" s="8" t="s">
        <v>2810</v>
      </c>
      <c r="G205" s="10" t="s">
        <v>29</v>
      </c>
      <c r="H205" s="8" t="s">
        <v>2817</v>
      </c>
      <c r="I205" s="10" t="s">
        <v>430</v>
      </c>
      <c r="J205" s="8" t="s">
        <v>2769</v>
      </c>
      <c r="K205" s="8" t="s">
        <v>29</v>
      </c>
      <c r="L205" s="8" t="s">
        <v>29</v>
      </c>
      <c r="M205" s="10" t="s">
        <v>29</v>
      </c>
      <c r="N205" s="8" t="s">
        <v>29</v>
      </c>
      <c r="O205" s="10" t="s">
        <v>19</v>
      </c>
      <c r="P205" s="8" t="s">
        <v>2818</v>
      </c>
      <c r="Q205" s="10" t="s">
        <v>190</v>
      </c>
      <c r="R205" s="10" t="s">
        <v>1387</v>
      </c>
      <c r="S205" s="8" t="s">
        <v>2819</v>
      </c>
      <c r="T205" s="10" t="s">
        <v>2772</v>
      </c>
      <c r="U205" s="10" t="s">
        <v>29</v>
      </c>
    </row>
    <row r="206" spans="1:21" s="10" customFormat="1" x14ac:dyDescent="0.25">
      <c r="A206" s="10" t="s">
        <v>2820</v>
      </c>
      <c r="B206" s="10" t="s">
        <v>2763</v>
      </c>
      <c r="C206" s="11" t="s">
        <v>297</v>
      </c>
      <c r="D206" s="10" t="s">
        <v>2821</v>
      </c>
      <c r="E206" s="8" t="s">
        <v>2822</v>
      </c>
      <c r="F206" s="8" t="s">
        <v>2823</v>
      </c>
      <c r="G206" s="10" t="s">
        <v>29</v>
      </c>
      <c r="H206" s="8" t="s">
        <v>2824</v>
      </c>
      <c r="I206" s="10" t="s">
        <v>2825</v>
      </c>
      <c r="J206" s="8" t="s">
        <v>2769</v>
      </c>
      <c r="K206" s="8" t="s">
        <v>29</v>
      </c>
      <c r="L206" s="8" t="s">
        <v>29</v>
      </c>
      <c r="M206" s="10" t="s">
        <v>29</v>
      </c>
      <c r="N206" s="8" t="s">
        <v>29</v>
      </c>
      <c r="O206" s="10" t="s">
        <v>19</v>
      </c>
      <c r="P206" s="8" t="s">
        <v>2826</v>
      </c>
      <c r="Q206" s="10" t="s">
        <v>197</v>
      </c>
      <c r="R206" s="10" t="s">
        <v>1387</v>
      </c>
      <c r="S206" s="8" t="s">
        <v>2827</v>
      </c>
      <c r="T206" s="10" t="s">
        <v>2772</v>
      </c>
      <c r="U206" s="10" t="s">
        <v>29</v>
      </c>
    </row>
    <row r="207" spans="1:21" s="10" customFormat="1" x14ac:dyDescent="0.25">
      <c r="A207" s="10" t="s">
        <v>2828</v>
      </c>
      <c r="B207" s="10" t="s">
        <v>2763</v>
      </c>
      <c r="C207" s="11" t="s">
        <v>297</v>
      </c>
      <c r="D207" s="10" t="s">
        <v>2829</v>
      </c>
      <c r="E207" s="8" t="s">
        <v>2830</v>
      </c>
      <c r="F207" s="8" t="s">
        <v>2831</v>
      </c>
      <c r="G207" s="10" t="s">
        <v>29</v>
      </c>
      <c r="H207" s="8" t="s">
        <v>2832</v>
      </c>
      <c r="I207" s="10" t="s">
        <v>2825</v>
      </c>
      <c r="J207" s="8" t="s">
        <v>2769</v>
      </c>
      <c r="K207" s="8" t="s">
        <v>29</v>
      </c>
      <c r="L207" s="8" t="s">
        <v>29</v>
      </c>
      <c r="M207" s="10" t="s">
        <v>29</v>
      </c>
      <c r="N207" s="8" t="s">
        <v>29</v>
      </c>
      <c r="O207" s="10" t="s">
        <v>19</v>
      </c>
      <c r="P207" s="8" t="s">
        <v>2833</v>
      </c>
      <c r="Q207" s="10" t="s">
        <v>190</v>
      </c>
      <c r="R207" s="10" t="s">
        <v>1387</v>
      </c>
      <c r="S207" s="8" t="s">
        <v>2834</v>
      </c>
      <c r="T207" s="10" t="s">
        <v>2772</v>
      </c>
      <c r="U207" s="10" t="s">
        <v>29</v>
      </c>
    </row>
    <row r="208" spans="1:21" s="10" customFormat="1" x14ac:dyDescent="0.25">
      <c r="A208" s="10" t="s">
        <v>2835</v>
      </c>
      <c r="B208" s="10" t="s">
        <v>2763</v>
      </c>
      <c r="C208" s="11" t="s">
        <v>297</v>
      </c>
      <c r="D208" s="10" t="s">
        <v>2836</v>
      </c>
      <c r="E208" s="8" t="s">
        <v>2837</v>
      </c>
      <c r="F208" s="8" t="s">
        <v>2838</v>
      </c>
      <c r="G208" s="10" t="s">
        <v>29</v>
      </c>
      <c r="H208" s="8" t="s">
        <v>2839</v>
      </c>
      <c r="I208" s="10" t="s">
        <v>2825</v>
      </c>
      <c r="J208" s="8" t="s">
        <v>2769</v>
      </c>
      <c r="K208" s="8" t="s">
        <v>29</v>
      </c>
      <c r="L208" s="8" t="s">
        <v>29</v>
      </c>
      <c r="M208" s="10" t="s">
        <v>29</v>
      </c>
      <c r="N208" s="8" t="s">
        <v>29</v>
      </c>
      <c r="O208" s="10" t="s">
        <v>19</v>
      </c>
      <c r="P208" s="8" t="s">
        <v>2840</v>
      </c>
      <c r="Q208" s="10" t="s">
        <v>190</v>
      </c>
      <c r="R208" s="10" t="s">
        <v>1387</v>
      </c>
      <c r="S208" s="8" t="s">
        <v>2841</v>
      </c>
      <c r="T208" s="10" t="s">
        <v>2772</v>
      </c>
      <c r="U208" s="10" t="s">
        <v>29</v>
      </c>
    </row>
    <row r="209" spans="1:21" s="10" customFormat="1" x14ac:dyDescent="0.25">
      <c r="A209" s="10" t="s">
        <v>2842</v>
      </c>
      <c r="B209" s="10" t="s">
        <v>2763</v>
      </c>
      <c r="C209" s="11" t="s">
        <v>297</v>
      </c>
      <c r="D209" s="10" t="s">
        <v>2843</v>
      </c>
      <c r="E209" s="8" t="s">
        <v>2844</v>
      </c>
      <c r="F209" s="8" t="s">
        <v>2845</v>
      </c>
      <c r="G209" s="10" t="s">
        <v>29</v>
      </c>
      <c r="H209" s="8" t="s">
        <v>2846</v>
      </c>
      <c r="I209" s="10" t="s">
        <v>2825</v>
      </c>
      <c r="J209" s="8" t="s">
        <v>2847</v>
      </c>
      <c r="K209" s="8" t="s">
        <v>29</v>
      </c>
      <c r="L209" s="8" t="s">
        <v>29</v>
      </c>
      <c r="M209" s="10" t="s">
        <v>29</v>
      </c>
      <c r="N209" s="8" t="s">
        <v>29</v>
      </c>
      <c r="O209" s="10" t="s">
        <v>19</v>
      </c>
      <c r="P209" s="8" t="s">
        <v>2848</v>
      </c>
      <c r="Q209" s="10" t="s">
        <v>1399</v>
      </c>
      <c r="R209" s="10" t="s">
        <v>1387</v>
      </c>
      <c r="S209" s="8" t="s">
        <v>2849</v>
      </c>
      <c r="T209" s="10" t="s">
        <v>2772</v>
      </c>
      <c r="U209" s="10" t="s">
        <v>29</v>
      </c>
    </row>
    <row r="210" spans="1:21" s="10" customFormat="1" x14ac:dyDescent="0.25">
      <c r="A210" s="10" t="s">
        <v>2850</v>
      </c>
      <c r="B210" s="10" t="s">
        <v>2763</v>
      </c>
      <c r="C210" s="10" t="s">
        <v>166</v>
      </c>
      <c r="D210" s="10" t="s">
        <v>2851</v>
      </c>
      <c r="E210" s="8" t="s">
        <v>2852</v>
      </c>
      <c r="F210" s="8" t="s">
        <v>2853</v>
      </c>
      <c r="G210" s="10" t="s">
        <v>29</v>
      </c>
      <c r="H210" s="8" t="s">
        <v>2846</v>
      </c>
      <c r="I210" s="10" t="s">
        <v>2825</v>
      </c>
      <c r="J210" s="8" t="s">
        <v>2769</v>
      </c>
      <c r="K210" s="8" t="s">
        <v>29</v>
      </c>
      <c r="L210" s="8" t="s">
        <v>29</v>
      </c>
      <c r="M210" s="10" t="s">
        <v>29</v>
      </c>
      <c r="N210" s="8" t="s">
        <v>29</v>
      </c>
      <c r="O210" s="10" t="s">
        <v>19</v>
      </c>
      <c r="P210" s="8" t="s">
        <v>2854</v>
      </c>
      <c r="Q210" s="10" t="s">
        <v>174</v>
      </c>
      <c r="R210" s="10" t="s">
        <v>1387</v>
      </c>
      <c r="S210" s="8" t="s">
        <v>2849</v>
      </c>
      <c r="T210" s="10" t="s">
        <v>2772</v>
      </c>
      <c r="U210" s="10" t="s">
        <v>29</v>
      </c>
    </row>
    <row r="211" spans="1:21" s="10" customFormat="1" x14ac:dyDescent="0.25">
      <c r="A211" s="10" t="s">
        <v>2855</v>
      </c>
      <c r="B211" s="10" t="s">
        <v>2763</v>
      </c>
      <c r="C211" s="10" t="s">
        <v>166</v>
      </c>
      <c r="D211" s="10" t="s">
        <v>2856</v>
      </c>
      <c r="E211" s="8" t="s">
        <v>2857</v>
      </c>
      <c r="F211" s="8" t="s">
        <v>2858</v>
      </c>
      <c r="G211" s="10" t="s">
        <v>29</v>
      </c>
      <c r="H211" s="8" t="s">
        <v>2859</v>
      </c>
      <c r="I211" s="10" t="s">
        <v>2825</v>
      </c>
      <c r="J211" s="8" t="s">
        <v>2769</v>
      </c>
      <c r="K211" s="8" t="s">
        <v>29</v>
      </c>
      <c r="L211" s="8" t="s">
        <v>29</v>
      </c>
      <c r="M211" s="10" t="s">
        <v>29</v>
      </c>
      <c r="N211" s="8" t="s">
        <v>29</v>
      </c>
      <c r="O211" s="10" t="s">
        <v>19</v>
      </c>
      <c r="P211" s="8" t="s">
        <v>2860</v>
      </c>
      <c r="Q211" s="10" t="s">
        <v>174</v>
      </c>
      <c r="R211" s="10" t="s">
        <v>1387</v>
      </c>
      <c r="S211" s="8" t="s">
        <v>2861</v>
      </c>
      <c r="T211" s="10" t="s">
        <v>2772</v>
      </c>
      <c r="U211" s="10" t="s">
        <v>29</v>
      </c>
    </row>
    <row r="212" spans="1:21" s="10" customFormat="1" x14ac:dyDescent="0.25">
      <c r="A212" s="10" t="s">
        <v>2862</v>
      </c>
      <c r="B212" s="10" t="s">
        <v>2763</v>
      </c>
      <c r="C212" s="11" t="s">
        <v>297</v>
      </c>
      <c r="D212" s="10" t="s">
        <v>2863</v>
      </c>
      <c r="E212" s="8" t="s">
        <v>2864</v>
      </c>
      <c r="F212" s="8" t="s">
        <v>2865</v>
      </c>
      <c r="G212" s="10" t="s">
        <v>29</v>
      </c>
      <c r="H212" s="8" t="s">
        <v>2866</v>
      </c>
      <c r="I212" s="10" t="s">
        <v>2825</v>
      </c>
      <c r="J212" s="8" t="s">
        <v>2769</v>
      </c>
      <c r="K212" s="8" t="s">
        <v>29</v>
      </c>
      <c r="L212" s="8" t="s">
        <v>29</v>
      </c>
      <c r="M212" s="10" t="s">
        <v>29</v>
      </c>
      <c r="N212" s="8" t="s">
        <v>29</v>
      </c>
      <c r="O212" s="10" t="s">
        <v>19</v>
      </c>
      <c r="P212" s="8" t="s">
        <v>2867</v>
      </c>
      <c r="Q212" s="10" t="s">
        <v>174</v>
      </c>
      <c r="R212" s="10" t="s">
        <v>1387</v>
      </c>
      <c r="S212" s="8" t="s">
        <v>2868</v>
      </c>
      <c r="T212" s="10" t="s">
        <v>2772</v>
      </c>
      <c r="U212" s="10" t="s">
        <v>29</v>
      </c>
    </row>
    <row r="213" spans="1:21" s="10" customFormat="1" x14ac:dyDescent="0.25">
      <c r="A213" s="10" t="s">
        <v>2869</v>
      </c>
      <c r="B213" s="10" t="s">
        <v>2763</v>
      </c>
      <c r="C213" s="11" t="s">
        <v>297</v>
      </c>
      <c r="D213" s="10" t="s">
        <v>2870</v>
      </c>
      <c r="E213" s="8" t="s">
        <v>2871</v>
      </c>
      <c r="F213" s="8" t="s">
        <v>2872</v>
      </c>
      <c r="G213" s="10" t="s">
        <v>29</v>
      </c>
      <c r="H213" s="8" t="s">
        <v>2873</v>
      </c>
      <c r="I213" s="10" t="s">
        <v>2825</v>
      </c>
      <c r="J213" s="8" t="s">
        <v>2874</v>
      </c>
      <c r="K213" s="8" t="s">
        <v>29</v>
      </c>
      <c r="L213" s="8" t="s">
        <v>29</v>
      </c>
      <c r="M213" s="10" t="s">
        <v>29</v>
      </c>
      <c r="N213" s="8" t="s">
        <v>29</v>
      </c>
      <c r="O213" s="10" t="s">
        <v>19</v>
      </c>
      <c r="P213" s="8" t="s">
        <v>2875</v>
      </c>
      <c r="Q213" s="10" t="s">
        <v>1399</v>
      </c>
      <c r="R213" s="10" t="s">
        <v>1387</v>
      </c>
      <c r="S213" s="8" t="s">
        <v>2876</v>
      </c>
      <c r="T213" s="10" t="s">
        <v>2772</v>
      </c>
      <c r="U213" s="10" t="s">
        <v>29</v>
      </c>
    </row>
    <row r="214" spans="1:21" s="10" customFormat="1" x14ac:dyDescent="0.25">
      <c r="A214" s="10" t="s">
        <v>2877</v>
      </c>
      <c r="B214" s="10" t="s">
        <v>2763</v>
      </c>
      <c r="C214" s="11" t="s">
        <v>297</v>
      </c>
      <c r="D214" s="10" t="s">
        <v>2878</v>
      </c>
      <c r="E214" s="8" t="s">
        <v>2879</v>
      </c>
      <c r="F214" s="8" t="s">
        <v>2880</v>
      </c>
      <c r="G214" s="10" t="s">
        <v>29</v>
      </c>
      <c r="H214" s="8" t="s">
        <v>2881</v>
      </c>
      <c r="I214" s="10" t="s">
        <v>2882</v>
      </c>
      <c r="J214" s="8" t="s">
        <v>2769</v>
      </c>
      <c r="K214" s="8" t="s">
        <v>29</v>
      </c>
      <c r="L214" s="8" t="s">
        <v>29</v>
      </c>
      <c r="M214" s="10" t="s">
        <v>29</v>
      </c>
      <c r="N214" s="8" t="s">
        <v>29</v>
      </c>
      <c r="O214" s="10" t="s">
        <v>19</v>
      </c>
      <c r="P214" s="8" t="s">
        <v>2883</v>
      </c>
      <c r="Q214" s="10" t="s">
        <v>197</v>
      </c>
      <c r="R214" s="10" t="s">
        <v>1387</v>
      </c>
      <c r="S214" s="8" t="s">
        <v>2884</v>
      </c>
      <c r="T214" s="10" t="s">
        <v>2772</v>
      </c>
      <c r="U214" s="10" t="s">
        <v>29</v>
      </c>
    </row>
    <row r="215" spans="1:21" s="10" customFormat="1" x14ac:dyDescent="0.25">
      <c r="A215" s="10" t="s">
        <v>2885</v>
      </c>
      <c r="B215" s="10" t="s">
        <v>2763</v>
      </c>
      <c r="C215" s="10" t="s">
        <v>166</v>
      </c>
      <c r="D215" s="10" t="s">
        <v>2886</v>
      </c>
      <c r="E215" s="8" t="s">
        <v>2887</v>
      </c>
      <c r="F215" s="8" t="s">
        <v>2888</v>
      </c>
      <c r="G215" s="10" t="s">
        <v>29</v>
      </c>
      <c r="H215" s="8" t="s">
        <v>2889</v>
      </c>
      <c r="I215" s="10" t="s">
        <v>2791</v>
      </c>
      <c r="J215" s="8" t="s">
        <v>2769</v>
      </c>
      <c r="K215" s="8" t="s">
        <v>29</v>
      </c>
      <c r="L215" s="8" t="s">
        <v>29</v>
      </c>
      <c r="M215" s="10" t="s">
        <v>29</v>
      </c>
      <c r="N215" s="8" t="s">
        <v>29</v>
      </c>
      <c r="O215" s="10" t="s">
        <v>19</v>
      </c>
      <c r="P215" s="8" t="s">
        <v>2890</v>
      </c>
      <c r="Q215" s="10" t="s">
        <v>190</v>
      </c>
      <c r="R215" s="10" t="s">
        <v>1387</v>
      </c>
      <c r="S215" s="8" t="s">
        <v>2891</v>
      </c>
      <c r="T215" s="10" t="s">
        <v>2772</v>
      </c>
      <c r="U215" s="10" t="s">
        <v>29</v>
      </c>
    </row>
    <row r="216" spans="1:21" s="10" customFormat="1" x14ac:dyDescent="0.25">
      <c r="A216" s="10" t="s">
        <v>2892</v>
      </c>
      <c r="B216" s="10" t="s">
        <v>2763</v>
      </c>
      <c r="C216" s="10" t="s">
        <v>166</v>
      </c>
      <c r="D216" s="10" t="s">
        <v>2893</v>
      </c>
      <c r="E216" s="8" t="s">
        <v>2894</v>
      </c>
      <c r="F216" s="8" t="s">
        <v>2895</v>
      </c>
      <c r="G216" s="10" t="s">
        <v>29</v>
      </c>
      <c r="H216" s="8" t="s">
        <v>2896</v>
      </c>
      <c r="I216" s="10" t="s">
        <v>2882</v>
      </c>
      <c r="J216" s="8" t="s">
        <v>2769</v>
      </c>
      <c r="K216" s="8" t="s">
        <v>29</v>
      </c>
      <c r="L216" s="8" t="s">
        <v>29</v>
      </c>
      <c r="M216" s="10" t="s">
        <v>29</v>
      </c>
      <c r="N216" s="8" t="s">
        <v>29</v>
      </c>
      <c r="O216" s="10" t="s">
        <v>19</v>
      </c>
      <c r="P216" s="8" t="s">
        <v>2897</v>
      </c>
      <c r="Q216" s="10" t="s">
        <v>174</v>
      </c>
      <c r="R216" s="10" t="s">
        <v>1387</v>
      </c>
      <c r="S216" s="8" t="s">
        <v>2898</v>
      </c>
      <c r="T216" s="10" t="s">
        <v>2772</v>
      </c>
      <c r="U216" s="10" t="s">
        <v>29</v>
      </c>
    </row>
    <row r="217" spans="1:21" s="10" customFormat="1" x14ac:dyDescent="0.25">
      <c r="A217" s="10" t="s">
        <v>2899</v>
      </c>
      <c r="B217" s="10" t="s">
        <v>2763</v>
      </c>
      <c r="C217" s="11" t="s">
        <v>297</v>
      </c>
      <c r="D217" s="10" t="s">
        <v>2900</v>
      </c>
      <c r="E217" s="8" t="s">
        <v>2901</v>
      </c>
      <c r="F217" s="8" t="s">
        <v>2902</v>
      </c>
      <c r="G217" s="10" t="s">
        <v>29</v>
      </c>
      <c r="H217" s="8" t="s">
        <v>2903</v>
      </c>
      <c r="I217" s="10" t="s">
        <v>2882</v>
      </c>
      <c r="J217" s="8" t="s">
        <v>2769</v>
      </c>
      <c r="K217" s="8" t="s">
        <v>29</v>
      </c>
      <c r="L217" s="8" t="s">
        <v>29</v>
      </c>
      <c r="M217" s="10" t="s">
        <v>29</v>
      </c>
      <c r="N217" s="8" t="s">
        <v>29</v>
      </c>
      <c r="O217" s="10" t="s">
        <v>19</v>
      </c>
      <c r="P217" s="8" t="s">
        <v>2904</v>
      </c>
      <c r="Q217" s="10" t="s">
        <v>174</v>
      </c>
      <c r="R217" s="10" t="s">
        <v>1387</v>
      </c>
      <c r="S217" s="8" t="s">
        <v>2905</v>
      </c>
      <c r="T217" s="10" t="s">
        <v>2772</v>
      </c>
      <c r="U217" s="10" t="s">
        <v>29</v>
      </c>
    </row>
    <row r="218" spans="1:21" s="10" customFormat="1" x14ac:dyDescent="0.25">
      <c r="A218" s="10" t="s">
        <v>2906</v>
      </c>
      <c r="B218" s="10" t="s">
        <v>2763</v>
      </c>
      <c r="C218" s="10" t="s">
        <v>166</v>
      </c>
      <c r="D218" s="10" t="s">
        <v>2907</v>
      </c>
      <c r="E218" s="8" t="s">
        <v>2908</v>
      </c>
      <c r="F218" s="8" t="s">
        <v>2909</v>
      </c>
      <c r="G218" s="10" t="s">
        <v>29</v>
      </c>
      <c r="H218" s="8" t="s">
        <v>2910</v>
      </c>
      <c r="I218" s="10" t="s">
        <v>2882</v>
      </c>
      <c r="J218" s="8" t="s">
        <v>2769</v>
      </c>
      <c r="K218" s="8" t="s">
        <v>29</v>
      </c>
      <c r="L218" s="8" t="s">
        <v>29</v>
      </c>
      <c r="M218" s="10" t="s">
        <v>29</v>
      </c>
      <c r="N218" s="8" t="s">
        <v>29</v>
      </c>
      <c r="O218" s="10" t="s">
        <v>19</v>
      </c>
      <c r="P218" s="8" t="s">
        <v>2911</v>
      </c>
      <c r="Q218" s="10" t="s">
        <v>174</v>
      </c>
      <c r="R218" s="10" t="s">
        <v>1387</v>
      </c>
      <c r="S218" s="8" t="s">
        <v>2912</v>
      </c>
      <c r="T218" s="10" t="s">
        <v>2772</v>
      </c>
      <c r="U218" s="10" t="s">
        <v>29</v>
      </c>
    </row>
    <row r="219" spans="1:21" s="10" customFormat="1" x14ac:dyDescent="0.25">
      <c r="A219" s="10" t="s">
        <v>2913</v>
      </c>
      <c r="B219" s="10" t="s">
        <v>2763</v>
      </c>
      <c r="C219" s="10" t="s">
        <v>166</v>
      </c>
      <c r="D219" s="10" t="s">
        <v>2914</v>
      </c>
      <c r="E219" s="8" t="s">
        <v>2915</v>
      </c>
      <c r="F219" s="8" t="s">
        <v>2916</v>
      </c>
      <c r="G219" s="10" t="s">
        <v>29</v>
      </c>
      <c r="H219" s="8" t="s">
        <v>2917</v>
      </c>
      <c r="I219" s="10" t="s">
        <v>2882</v>
      </c>
      <c r="J219" s="8" t="s">
        <v>2769</v>
      </c>
      <c r="K219" s="8" t="s">
        <v>29</v>
      </c>
      <c r="L219" s="8" t="s">
        <v>29</v>
      </c>
      <c r="M219" s="10" t="s">
        <v>29</v>
      </c>
      <c r="N219" s="8" t="s">
        <v>29</v>
      </c>
      <c r="O219" s="10" t="s">
        <v>19</v>
      </c>
      <c r="P219" s="8" t="s">
        <v>2918</v>
      </c>
      <c r="Q219" s="10" t="s">
        <v>174</v>
      </c>
      <c r="R219" s="10" t="s">
        <v>1387</v>
      </c>
      <c r="S219" s="8" t="s">
        <v>2919</v>
      </c>
      <c r="T219" s="10" t="s">
        <v>2772</v>
      </c>
      <c r="U219" s="10" t="s">
        <v>29</v>
      </c>
    </row>
    <row r="220" spans="1:21" s="10" customFormat="1" x14ac:dyDescent="0.25">
      <c r="A220" s="10" t="s">
        <v>2920</v>
      </c>
      <c r="B220" s="10" t="s">
        <v>2763</v>
      </c>
      <c r="C220" s="10" t="s">
        <v>166</v>
      </c>
      <c r="D220" s="10" t="s">
        <v>2921</v>
      </c>
      <c r="E220" s="8" t="s">
        <v>2922</v>
      </c>
      <c r="F220" s="8" t="s">
        <v>2923</v>
      </c>
      <c r="G220" s="10" t="s">
        <v>29</v>
      </c>
      <c r="H220" s="8" t="s">
        <v>2924</v>
      </c>
      <c r="I220" s="10" t="s">
        <v>2925</v>
      </c>
      <c r="J220" s="8" t="s">
        <v>2769</v>
      </c>
      <c r="K220" s="8" t="s">
        <v>29</v>
      </c>
      <c r="L220" s="8" t="s">
        <v>29</v>
      </c>
      <c r="M220" s="10" t="s">
        <v>29</v>
      </c>
      <c r="N220" s="8" t="s">
        <v>29</v>
      </c>
      <c r="O220" s="10" t="s">
        <v>19</v>
      </c>
      <c r="P220" s="8" t="s">
        <v>2926</v>
      </c>
      <c r="Q220" s="10" t="s">
        <v>174</v>
      </c>
      <c r="R220" s="10" t="s">
        <v>1387</v>
      </c>
      <c r="S220" s="8" t="s">
        <v>2927</v>
      </c>
      <c r="T220" s="10" t="s">
        <v>2772</v>
      </c>
      <c r="U220" s="10" t="s">
        <v>29</v>
      </c>
    </row>
    <row r="221" spans="1:21" s="10" customFormat="1" x14ac:dyDescent="0.25">
      <c r="A221" s="10" t="s">
        <v>2928</v>
      </c>
      <c r="B221" s="10" t="s">
        <v>2763</v>
      </c>
      <c r="C221" s="10" t="s">
        <v>166</v>
      </c>
      <c r="D221" s="10" t="s">
        <v>2929</v>
      </c>
      <c r="E221" s="8" t="s">
        <v>2930</v>
      </c>
      <c r="F221" s="8" t="s">
        <v>2931</v>
      </c>
      <c r="G221" s="10" t="s">
        <v>29</v>
      </c>
      <c r="H221" s="8" t="s">
        <v>2932</v>
      </c>
      <c r="I221" s="10" t="s">
        <v>2925</v>
      </c>
      <c r="J221" s="8" t="s">
        <v>2769</v>
      </c>
      <c r="K221" s="8" t="s">
        <v>29</v>
      </c>
      <c r="L221" s="8" t="s">
        <v>29</v>
      </c>
      <c r="M221" s="10" t="s">
        <v>29</v>
      </c>
      <c r="N221" s="8" t="s">
        <v>29</v>
      </c>
      <c r="O221" s="10" t="s">
        <v>19</v>
      </c>
      <c r="P221" s="8" t="s">
        <v>2926</v>
      </c>
      <c r="Q221" s="10" t="s">
        <v>174</v>
      </c>
      <c r="R221" s="10" t="s">
        <v>1387</v>
      </c>
      <c r="S221" s="8" t="s">
        <v>2933</v>
      </c>
      <c r="T221" s="10" t="s">
        <v>2772</v>
      </c>
      <c r="U221" s="10" t="s">
        <v>29</v>
      </c>
    </row>
    <row r="222" spans="1:21" s="10" customFormat="1" x14ac:dyDescent="0.25">
      <c r="A222" s="10" t="s">
        <v>2934</v>
      </c>
      <c r="B222" s="10" t="s">
        <v>2763</v>
      </c>
      <c r="C222" s="10" t="s">
        <v>166</v>
      </c>
      <c r="D222" s="10" t="s">
        <v>2935</v>
      </c>
      <c r="E222" s="8" t="s">
        <v>2936</v>
      </c>
      <c r="F222" s="8" t="s">
        <v>2937</v>
      </c>
      <c r="G222" s="10" t="s">
        <v>29</v>
      </c>
      <c r="H222" s="8" t="s">
        <v>2938</v>
      </c>
      <c r="I222" s="10" t="s">
        <v>2925</v>
      </c>
      <c r="J222" s="8" t="s">
        <v>2769</v>
      </c>
      <c r="K222" s="8" t="s">
        <v>29</v>
      </c>
      <c r="L222" s="8" t="s">
        <v>29</v>
      </c>
      <c r="M222" s="10" t="s">
        <v>29</v>
      </c>
      <c r="N222" s="8" t="s">
        <v>29</v>
      </c>
      <c r="O222" s="10" t="s">
        <v>19</v>
      </c>
      <c r="P222" s="8" t="s">
        <v>2926</v>
      </c>
      <c r="Q222" s="10" t="s">
        <v>174</v>
      </c>
      <c r="R222" s="10" t="s">
        <v>1387</v>
      </c>
      <c r="S222" s="8" t="s">
        <v>2939</v>
      </c>
      <c r="T222" s="10" t="s">
        <v>2772</v>
      </c>
      <c r="U222" s="10" t="s">
        <v>29</v>
      </c>
    </row>
    <row r="223" spans="1:21" s="10" customFormat="1" x14ac:dyDescent="0.25">
      <c r="A223" s="10" t="s">
        <v>2940</v>
      </c>
      <c r="B223" s="10" t="s">
        <v>2763</v>
      </c>
      <c r="C223" s="10" t="s">
        <v>166</v>
      </c>
      <c r="D223" s="10" t="s">
        <v>2941</v>
      </c>
      <c r="E223" s="8" t="s">
        <v>2942</v>
      </c>
      <c r="F223" s="8" t="s">
        <v>2943</v>
      </c>
      <c r="G223" s="10" t="s">
        <v>29</v>
      </c>
      <c r="H223" s="8" t="s">
        <v>2944</v>
      </c>
      <c r="I223" s="10" t="s">
        <v>2925</v>
      </c>
      <c r="J223" s="8" t="s">
        <v>2769</v>
      </c>
      <c r="K223" s="8" t="s">
        <v>29</v>
      </c>
      <c r="L223" s="8" t="s">
        <v>29</v>
      </c>
      <c r="M223" s="10" t="s">
        <v>29</v>
      </c>
      <c r="N223" s="8" t="s">
        <v>29</v>
      </c>
      <c r="O223" s="10" t="s">
        <v>19</v>
      </c>
      <c r="P223" s="8" t="s">
        <v>2926</v>
      </c>
      <c r="Q223" s="10" t="s">
        <v>174</v>
      </c>
      <c r="R223" s="10" t="s">
        <v>1387</v>
      </c>
      <c r="S223" s="8" t="s">
        <v>2945</v>
      </c>
      <c r="T223" s="10" t="s">
        <v>2772</v>
      </c>
      <c r="U223" s="10" t="s">
        <v>29</v>
      </c>
    </row>
    <row r="224" spans="1:21" s="10" customFormat="1" x14ac:dyDescent="0.25">
      <c r="A224" s="10" t="s">
        <v>2946</v>
      </c>
      <c r="B224" s="10" t="s">
        <v>2763</v>
      </c>
      <c r="C224" s="10" t="s">
        <v>166</v>
      </c>
      <c r="D224" s="10" t="s">
        <v>2947</v>
      </c>
      <c r="E224" s="8" t="s">
        <v>2948</v>
      </c>
      <c r="F224" s="8" t="s">
        <v>2949</v>
      </c>
      <c r="G224" s="10" t="s">
        <v>29</v>
      </c>
      <c r="H224" s="8" t="s">
        <v>2950</v>
      </c>
      <c r="I224" s="10" t="s">
        <v>2925</v>
      </c>
      <c r="J224" s="8" t="s">
        <v>2769</v>
      </c>
      <c r="K224" s="8" t="s">
        <v>29</v>
      </c>
      <c r="L224" s="8" t="s">
        <v>29</v>
      </c>
      <c r="M224" s="10" t="s">
        <v>29</v>
      </c>
      <c r="N224" s="8" t="s">
        <v>29</v>
      </c>
      <c r="O224" s="10" t="s">
        <v>19</v>
      </c>
      <c r="P224" s="8" t="s">
        <v>2926</v>
      </c>
      <c r="Q224" s="10" t="s">
        <v>174</v>
      </c>
      <c r="R224" s="10" t="s">
        <v>1387</v>
      </c>
      <c r="S224" s="8" t="s">
        <v>2951</v>
      </c>
      <c r="T224" s="10" t="s">
        <v>2772</v>
      </c>
      <c r="U224" s="10" t="s">
        <v>29</v>
      </c>
    </row>
    <row r="225" spans="1:21" s="10" customFormat="1" x14ac:dyDescent="0.25">
      <c r="A225" s="10" t="s">
        <v>2952</v>
      </c>
      <c r="B225" s="10" t="s">
        <v>2763</v>
      </c>
      <c r="C225" s="10" t="s">
        <v>166</v>
      </c>
      <c r="D225" s="10" t="s">
        <v>2953</v>
      </c>
      <c r="E225" s="8" t="s">
        <v>2954</v>
      </c>
      <c r="F225" s="8" t="s">
        <v>2955</v>
      </c>
      <c r="G225" s="10" t="s">
        <v>29</v>
      </c>
      <c r="H225" s="8" t="s">
        <v>2956</v>
      </c>
      <c r="I225" s="10" t="s">
        <v>2925</v>
      </c>
      <c r="J225" s="8" t="s">
        <v>2769</v>
      </c>
      <c r="K225" s="8" t="s">
        <v>29</v>
      </c>
      <c r="L225" s="8" t="s">
        <v>29</v>
      </c>
      <c r="M225" s="10" t="s">
        <v>29</v>
      </c>
      <c r="N225" s="8" t="s">
        <v>29</v>
      </c>
      <c r="O225" s="10" t="s">
        <v>19</v>
      </c>
      <c r="P225" s="8" t="s">
        <v>2926</v>
      </c>
      <c r="Q225" s="10" t="s">
        <v>174</v>
      </c>
      <c r="R225" s="10" t="s">
        <v>1387</v>
      </c>
      <c r="S225" s="8" t="s">
        <v>2957</v>
      </c>
      <c r="T225" s="10" t="s">
        <v>2772</v>
      </c>
      <c r="U225" s="10" t="s">
        <v>29</v>
      </c>
    </row>
    <row r="226" spans="1:21" s="10" customFormat="1" x14ac:dyDescent="0.25">
      <c r="A226" s="10" t="s">
        <v>2958</v>
      </c>
      <c r="B226" s="10" t="s">
        <v>2763</v>
      </c>
      <c r="C226" s="10" t="s">
        <v>166</v>
      </c>
      <c r="D226" s="10" t="s">
        <v>2959</v>
      </c>
      <c r="E226" s="8" t="s">
        <v>2960</v>
      </c>
      <c r="F226" s="8" t="s">
        <v>2961</v>
      </c>
      <c r="G226" s="10" t="s">
        <v>29</v>
      </c>
      <c r="H226" s="8" t="s">
        <v>2962</v>
      </c>
      <c r="I226" s="10" t="s">
        <v>2925</v>
      </c>
      <c r="J226" s="8" t="s">
        <v>2769</v>
      </c>
      <c r="K226" s="8" t="s">
        <v>29</v>
      </c>
      <c r="L226" s="8" t="s">
        <v>29</v>
      </c>
      <c r="M226" s="10" t="s">
        <v>29</v>
      </c>
      <c r="N226" s="8" t="s">
        <v>29</v>
      </c>
      <c r="O226" s="10" t="s">
        <v>19</v>
      </c>
      <c r="P226" s="8" t="s">
        <v>2926</v>
      </c>
      <c r="Q226" s="10" t="s">
        <v>174</v>
      </c>
      <c r="R226" s="10" t="s">
        <v>1387</v>
      </c>
      <c r="S226" s="8" t="s">
        <v>2963</v>
      </c>
      <c r="T226" s="10" t="s">
        <v>2772</v>
      </c>
      <c r="U226" s="10" t="s">
        <v>29</v>
      </c>
    </row>
    <row r="227" spans="1:21" s="10" customFormat="1" x14ac:dyDescent="0.25">
      <c r="A227" s="10" t="s">
        <v>2964</v>
      </c>
      <c r="B227" s="10" t="s">
        <v>2763</v>
      </c>
      <c r="C227" s="10" t="s">
        <v>166</v>
      </c>
      <c r="D227" s="10" t="s">
        <v>2965</v>
      </c>
      <c r="E227" s="8" t="s">
        <v>2966</v>
      </c>
      <c r="F227" s="8" t="s">
        <v>2967</v>
      </c>
      <c r="G227" s="10" t="s">
        <v>29</v>
      </c>
      <c r="H227" s="8" t="s">
        <v>2968</v>
      </c>
      <c r="I227" s="10" t="s">
        <v>2925</v>
      </c>
      <c r="J227" s="8" t="s">
        <v>2769</v>
      </c>
      <c r="K227" s="8" t="s">
        <v>29</v>
      </c>
      <c r="L227" s="8" t="s">
        <v>29</v>
      </c>
      <c r="M227" s="10" t="s">
        <v>29</v>
      </c>
      <c r="N227" s="8" t="s">
        <v>29</v>
      </c>
      <c r="O227" s="10" t="s">
        <v>19</v>
      </c>
      <c r="P227" s="8" t="s">
        <v>2926</v>
      </c>
      <c r="Q227" s="10" t="s">
        <v>174</v>
      </c>
      <c r="R227" s="10" t="s">
        <v>1387</v>
      </c>
      <c r="S227" s="8" t="s">
        <v>2969</v>
      </c>
      <c r="T227" s="10" t="s">
        <v>2772</v>
      </c>
      <c r="U227" s="10" t="s">
        <v>29</v>
      </c>
    </row>
    <row r="228" spans="1:21" s="10" customFormat="1" x14ac:dyDescent="0.25">
      <c r="A228" s="10" t="s">
        <v>2970</v>
      </c>
      <c r="B228" s="10" t="s">
        <v>2763</v>
      </c>
      <c r="C228" s="10" t="s">
        <v>166</v>
      </c>
      <c r="D228" s="10" t="s">
        <v>2971</v>
      </c>
      <c r="E228" s="8" t="s">
        <v>2972</v>
      </c>
      <c r="F228" s="8" t="s">
        <v>2973</v>
      </c>
      <c r="G228" s="10" t="s">
        <v>29</v>
      </c>
      <c r="H228" s="8" t="s">
        <v>2974</v>
      </c>
      <c r="I228" s="10" t="s">
        <v>2925</v>
      </c>
      <c r="J228" s="8" t="s">
        <v>2769</v>
      </c>
      <c r="K228" s="8" t="s">
        <v>29</v>
      </c>
      <c r="L228" s="8" t="s">
        <v>29</v>
      </c>
      <c r="M228" s="10" t="s">
        <v>29</v>
      </c>
      <c r="N228" s="8" t="s">
        <v>29</v>
      </c>
      <c r="O228" s="10" t="s">
        <v>19</v>
      </c>
      <c r="P228" s="8" t="s">
        <v>2926</v>
      </c>
      <c r="Q228" s="10" t="s">
        <v>174</v>
      </c>
      <c r="R228" s="10" t="s">
        <v>1387</v>
      </c>
      <c r="S228" s="8" t="s">
        <v>2975</v>
      </c>
      <c r="T228" s="10" t="s">
        <v>2772</v>
      </c>
      <c r="U228" s="10" t="s">
        <v>29</v>
      </c>
    </row>
    <row r="229" spans="1:21" s="10" customFormat="1" x14ac:dyDescent="0.25">
      <c r="A229" s="10" t="s">
        <v>2976</v>
      </c>
      <c r="B229" s="10" t="s">
        <v>2763</v>
      </c>
      <c r="C229" s="10" t="s">
        <v>166</v>
      </c>
      <c r="D229" s="10" t="s">
        <v>2977</v>
      </c>
      <c r="E229" s="8" t="s">
        <v>2978</v>
      </c>
      <c r="F229" s="8" t="s">
        <v>2979</v>
      </c>
      <c r="G229" s="10" t="s">
        <v>29</v>
      </c>
      <c r="H229" s="8" t="s">
        <v>2980</v>
      </c>
      <c r="I229" s="10" t="s">
        <v>2768</v>
      </c>
      <c r="J229" s="8" t="s">
        <v>2769</v>
      </c>
      <c r="K229" s="8" t="s">
        <v>29</v>
      </c>
      <c r="L229" s="8" t="s">
        <v>29</v>
      </c>
      <c r="M229" s="10" t="s">
        <v>29</v>
      </c>
      <c r="N229" s="8" t="s">
        <v>29</v>
      </c>
      <c r="O229" s="10" t="s">
        <v>19</v>
      </c>
      <c r="P229" s="8" t="s">
        <v>2981</v>
      </c>
      <c r="Q229" s="10" t="s">
        <v>174</v>
      </c>
      <c r="R229" s="10" t="s">
        <v>1387</v>
      </c>
      <c r="S229" s="8" t="s">
        <v>2982</v>
      </c>
      <c r="T229" s="10" t="s">
        <v>2772</v>
      </c>
      <c r="U229" s="10" t="s">
        <v>29</v>
      </c>
    </row>
    <row r="230" spans="1:21" s="10" customFormat="1" x14ac:dyDescent="0.25">
      <c r="A230" s="10" t="s">
        <v>2983</v>
      </c>
      <c r="B230" s="10" t="s">
        <v>2763</v>
      </c>
      <c r="C230" s="10" t="s">
        <v>166</v>
      </c>
      <c r="D230" s="10" t="s">
        <v>2984</v>
      </c>
      <c r="E230" s="8" t="s">
        <v>2985</v>
      </c>
      <c r="F230" s="8" t="s">
        <v>2986</v>
      </c>
      <c r="G230" s="10" t="s">
        <v>29</v>
      </c>
      <c r="H230" s="8" t="s">
        <v>2987</v>
      </c>
      <c r="I230" s="10" t="s">
        <v>2768</v>
      </c>
      <c r="J230" s="8" t="s">
        <v>2769</v>
      </c>
      <c r="K230" s="8" t="s">
        <v>29</v>
      </c>
      <c r="L230" s="8" t="s">
        <v>29</v>
      </c>
      <c r="M230" s="10" t="s">
        <v>29</v>
      </c>
      <c r="N230" s="8" t="s">
        <v>29</v>
      </c>
      <c r="O230" s="10" t="s">
        <v>19</v>
      </c>
      <c r="P230" s="8" t="s">
        <v>2981</v>
      </c>
      <c r="Q230" s="10" t="s">
        <v>174</v>
      </c>
      <c r="R230" s="10" t="s">
        <v>1387</v>
      </c>
      <c r="S230" s="8" t="s">
        <v>2988</v>
      </c>
      <c r="T230" s="10" t="s">
        <v>2772</v>
      </c>
      <c r="U230" s="10" t="s">
        <v>29</v>
      </c>
    </row>
    <row r="231" spans="1:21" s="10" customFormat="1" x14ac:dyDescent="0.25">
      <c r="A231" s="10" t="s">
        <v>2989</v>
      </c>
      <c r="B231" s="10" t="s">
        <v>2763</v>
      </c>
      <c r="C231" s="10" t="s">
        <v>166</v>
      </c>
      <c r="D231" s="10" t="s">
        <v>2990</v>
      </c>
      <c r="E231" s="8" t="s">
        <v>2991</v>
      </c>
      <c r="F231" s="8" t="s">
        <v>2992</v>
      </c>
      <c r="G231" s="10" t="s">
        <v>29</v>
      </c>
      <c r="H231" s="8" t="s">
        <v>2993</v>
      </c>
      <c r="I231" s="10" t="s">
        <v>2768</v>
      </c>
      <c r="J231" s="8" t="s">
        <v>2769</v>
      </c>
      <c r="K231" s="8" t="s">
        <v>29</v>
      </c>
      <c r="L231" s="8" t="s">
        <v>29</v>
      </c>
      <c r="M231" s="10" t="s">
        <v>29</v>
      </c>
      <c r="N231" s="8" t="s">
        <v>29</v>
      </c>
      <c r="O231" s="10" t="s">
        <v>19</v>
      </c>
      <c r="P231" s="8" t="s">
        <v>2981</v>
      </c>
      <c r="Q231" s="10" t="s">
        <v>174</v>
      </c>
      <c r="R231" s="10" t="s">
        <v>1387</v>
      </c>
      <c r="S231" s="8" t="s">
        <v>2994</v>
      </c>
      <c r="T231" s="10" t="s">
        <v>2772</v>
      </c>
      <c r="U231" s="10" t="s">
        <v>29</v>
      </c>
    </row>
    <row r="232" spans="1:21" s="10" customFormat="1" x14ac:dyDescent="0.25">
      <c r="A232" s="10" t="s">
        <v>2995</v>
      </c>
      <c r="B232" s="10" t="s">
        <v>2763</v>
      </c>
      <c r="C232" s="10" t="s">
        <v>166</v>
      </c>
      <c r="D232" s="10" t="s">
        <v>2996</v>
      </c>
      <c r="E232" s="8" t="s">
        <v>2997</v>
      </c>
      <c r="F232" s="8" t="s">
        <v>2998</v>
      </c>
      <c r="G232" s="10" t="s">
        <v>29</v>
      </c>
      <c r="H232" s="8" t="s">
        <v>2999</v>
      </c>
      <c r="I232" s="10" t="s">
        <v>2768</v>
      </c>
      <c r="J232" s="8" t="s">
        <v>2769</v>
      </c>
      <c r="K232" s="8" t="s">
        <v>29</v>
      </c>
      <c r="L232" s="8" t="s">
        <v>29</v>
      </c>
      <c r="M232" s="10" t="s">
        <v>29</v>
      </c>
      <c r="N232" s="8" t="s">
        <v>29</v>
      </c>
      <c r="O232" s="10" t="s">
        <v>19</v>
      </c>
      <c r="P232" s="8" t="s">
        <v>2981</v>
      </c>
      <c r="Q232" s="10" t="s">
        <v>174</v>
      </c>
      <c r="R232" s="10" t="s">
        <v>1387</v>
      </c>
      <c r="S232" s="8" t="s">
        <v>3000</v>
      </c>
      <c r="T232" s="10" t="s">
        <v>2772</v>
      </c>
      <c r="U232" s="10" t="s">
        <v>29</v>
      </c>
    </row>
    <row r="233" spans="1:21" s="10" customFormat="1" x14ac:dyDescent="0.25">
      <c r="A233" s="10" t="s">
        <v>3001</v>
      </c>
      <c r="B233" s="10" t="s">
        <v>2763</v>
      </c>
      <c r="C233" s="10" t="s">
        <v>166</v>
      </c>
      <c r="D233" s="10" t="s">
        <v>3002</v>
      </c>
      <c r="E233" s="8" t="s">
        <v>3003</v>
      </c>
      <c r="F233" s="8" t="s">
        <v>3004</v>
      </c>
      <c r="G233" s="10" t="s">
        <v>29</v>
      </c>
      <c r="H233" s="8" t="s">
        <v>3005</v>
      </c>
      <c r="I233" s="10" t="s">
        <v>2768</v>
      </c>
      <c r="J233" s="8" t="s">
        <v>2769</v>
      </c>
      <c r="K233" s="8" t="s">
        <v>29</v>
      </c>
      <c r="L233" s="8" t="s">
        <v>29</v>
      </c>
      <c r="M233" s="10" t="s">
        <v>29</v>
      </c>
      <c r="N233" s="8" t="s">
        <v>29</v>
      </c>
      <c r="O233" s="10" t="s">
        <v>19</v>
      </c>
      <c r="P233" s="8" t="s">
        <v>2981</v>
      </c>
      <c r="Q233" s="10" t="s">
        <v>174</v>
      </c>
      <c r="R233" s="10" t="s">
        <v>1387</v>
      </c>
      <c r="S233" s="8" t="s">
        <v>3006</v>
      </c>
      <c r="T233" s="10" t="s">
        <v>2772</v>
      </c>
      <c r="U233" s="10" t="s">
        <v>29</v>
      </c>
    </row>
    <row r="234" spans="1:21" s="10" customFormat="1" x14ac:dyDescent="0.25">
      <c r="A234" s="10" t="s">
        <v>3007</v>
      </c>
      <c r="B234" s="10" t="s">
        <v>2763</v>
      </c>
      <c r="C234" s="10" t="s">
        <v>166</v>
      </c>
      <c r="D234" s="10" t="s">
        <v>3008</v>
      </c>
      <c r="E234" s="8" t="s">
        <v>3009</v>
      </c>
      <c r="F234" s="8" t="s">
        <v>3010</v>
      </c>
      <c r="G234" s="10" t="s">
        <v>29</v>
      </c>
      <c r="H234" s="8" t="s">
        <v>3011</v>
      </c>
      <c r="I234" s="10" t="s">
        <v>2768</v>
      </c>
      <c r="J234" s="8" t="s">
        <v>2769</v>
      </c>
      <c r="K234" s="8" t="s">
        <v>29</v>
      </c>
      <c r="L234" s="8" t="s">
        <v>29</v>
      </c>
      <c r="M234" s="10" t="s">
        <v>29</v>
      </c>
      <c r="N234" s="8" t="s">
        <v>29</v>
      </c>
      <c r="O234" s="10" t="s">
        <v>19</v>
      </c>
      <c r="P234" s="8" t="s">
        <v>2981</v>
      </c>
      <c r="Q234" s="10" t="s">
        <v>174</v>
      </c>
      <c r="R234" s="10" t="s">
        <v>1387</v>
      </c>
      <c r="S234" s="8" t="s">
        <v>3012</v>
      </c>
      <c r="T234" s="10" t="s">
        <v>2772</v>
      </c>
      <c r="U234" s="10" t="s">
        <v>29</v>
      </c>
    </row>
    <row r="235" spans="1:21" s="10" customFormat="1" x14ac:dyDescent="0.25">
      <c r="A235" s="10" t="s">
        <v>3013</v>
      </c>
      <c r="B235" s="10" t="s">
        <v>2763</v>
      </c>
      <c r="C235" s="10" t="s">
        <v>166</v>
      </c>
      <c r="D235" s="10" t="s">
        <v>3014</v>
      </c>
      <c r="E235" s="8" t="s">
        <v>3015</v>
      </c>
      <c r="F235" s="8" t="s">
        <v>3016</v>
      </c>
      <c r="G235" s="10" t="s">
        <v>29</v>
      </c>
      <c r="H235" s="8" t="s">
        <v>3017</v>
      </c>
      <c r="I235" s="10" t="s">
        <v>2768</v>
      </c>
      <c r="J235" s="8" t="s">
        <v>2769</v>
      </c>
      <c r="K235" s="8" t="s">
        <v>29</v>
      </c>
      <c r="L235" s="8" t="s">
        <v>29</v>
      </c>
      <c r="M235" s="10" t="s">
        <v>29</v>
      </c>
      <c r="N235" s="8" t="s">
        <v>29</v>
      </c>
      <c r="O235" s="10" t="s">
        <v>19</v>
      </c>
      <c r="P235" s="8" t="s">
        <v>2981</v>
      </c>
      <c r="Q235" s="10" t="s">
        <v>174</v>
      </c>
      <c r="R235" s="10" t="s">
        <v>1387</v>
      </c>
      <c r="S235" s="8" t="s">
        <v>3018</v>
      </c>
      <c r="T235" s="10" t="s">
        <v>2772</v>
      </c>
      <c r="U235" s="10" t="s">
        <v>29</v>
      </c>
    </row>
    <row r="236" spans="1:21" s="10" customFormat="1" x14ac:dyDescent="0.25">
      <c r="A236" s="10" t="s">
        <v>3019</v>
      </c>
      <c r="B236" s="10" t="s">
        <v>2763</v>
      </c>
      <c r="C236" s="10" t="s">
        <v>166</v>
      </c>
      <c r="D236" s="10" t="s">
        <v>3020</v>
      </c>
      <c r="E236" s="8" t="s">
        <v>3021</v>
      </c>
      <c r="F236" s="8" t="s">
        <v>3022</v>
      </c>
      <c r="G236" s="10" t="s">
        <v>29</v>
      </c>
      <c r="H236" s="8" t="s">
        <v>3023</v>
      </c>
      <c r="I236" s="10" t="s">
        <v>2768</v>
      </c>
      <c r="J236" s="8" t="s">
        <v>2769</v>
      </c>
      <c r="K236" s="8" t="s">
        <v>29</v>
      </c>
      <c r="L236" s="8" t="s">
        <v>29</v>
      </c>
      <c r="M236" s="10" t="s">
        <v>29</v>
      </c>
      <c r="N236" s="8" t="s">
        <v>29</v>
      </c>
      <c r="O236" s="10" t="s">
        <v>19</v>
      </c>
      <c r="P236" s="8" t="s">
        <v>2981</v>
      </c>
      <c r="Q236" s="10" t="s">
        <v>174</v>
      </c>
      <c r="R236" s="10" t="s">
        <v>1387</v>
      </c>
      <c r="S236" s="8" t="s">
        <v>3024</v>
      </c>
      <c r="T236" s="10" t="s">
        <v>2772</v>
      </c>
      <c r="U236" s="10" t="s">
        <v>29</v>
      </c>
    </row>
    <row r="237" spans="1:21" s="10" customFormat="1" x14ac:dyDescent="0.25">
      <c r="A237" s="10" t="s">
        <v>3025</v>
      </c>
      <c r="B237" s="10" t="s">
        <v>2763</v>
      </c>
      <c r="C237" s="10" t="s">
        <v>166</v>
      </c>
      <c r="D237" s="10" t="s">
        <v>3026</v>
      </c>
      <c r="E237" s="8" t="s">
        <v>3027</v>
      </c>
      <c r="F237" s="8" t="s">
        <v>3028</v>
      </c>
      <c r="G237" s="10" t="s">
        <v>29</v>
      </c>
      <c r="H237" s="8" t="s">
        <v>3029</v>
      </c>
      <c r="I237" s="10" t="s">
        <v>2768</v>
      </c>
      <c r="J237" s="8" t="s">
        <v>2769</v>
      </c>
      <c r="K237" s="8" t="s">
        <v>29</v>
      </c>
      <c r="L237" s="8" t="s">
        <v>29</v>
      </c>
      <c r="M237" s="10" t="s">
        <v>29</v>
      </c>
      <c r="N237" s="8" t="s">
        <v>29</v>
      </c>
      <c r="O237" s="10" t="s">
        <v>19</v>
      </c>
      <c r="P237" s="8" t="s">
        <v>2981</v>
      </c>
      <c r="Q237" s="10" t="s">
        <v>174</v>
      </c>
      <c r="R237" s="10" t="s">
        <v>1387</v>
      </c>
      <c r="S237" s="8" t="s">
        <v>3030</v>
      </c>
      <c r="T237" s="10" t="s">
        <v>2772</v>
      </c>
      <c r="U237" s="10" t="s">
        <v>29</v>
      </c>
    </row>
    <row r="238" spans="1:21" s="10" customFormat="1" x14ac:dyDescent="0.25">
      <c r="A238" s="10" t="s">
        <v>3031</v>
      </c>
      <c r="B238" s="10" t="s">
        <v>2763</v>
      </c>
      <c r="C238" s="10" t="s">
        <v>166</v>
      </c>
      <c r="D238" s="10" t="s">
        <v>3032</v>
      </c>
      <c r="E238" s="8" t="s">
        <v>3033</v>
      </c>
      <c r="F238" s="8" t="s">
        <v>3034</v>
      </c>
      <c r="G238" s="10" t="s">
        <v>29</v>
      </c>
      <c r="H238" s="8" t="s">
        <v>3035</v>
      </c>
      <c r="I238" s="10" t="s">
        <v>2768</v>
      </c>
      <c r="J238" s="8" t="s">
        <v>2769</v>
      </c>
      <c r="K238" s="8" t="s">
        <v>29</v>
      </c>
      <c r="L238" s="8" t="s">
        <v>29</v>
      </c>
      <c r="M238" s="10" t="s">
        <v>29</v>
      </c>
      <c r="N238" s="8" t="s">
        <v>29</v>
      </c>
      <c r="O238" s="10" t="s">
        <v>19</v>
      </c>
      <c r="P238" s="8" t="s">
        <v>2981</v>
      </c>
      <c r="Q238" s="10" t="s">
        <v>174</v>
      </c>
      <c r="R238" s="10" t="s">
        <v>1387</v>
      </c>
      <c r="S238" s="8" t="s">
        <v>3036</v>
      </c>
      <c r="T238" s="10" t="s">
        <v>2772</v>
      </c>
      <c r="U238" s="10" t="s">
        <v>29</v>
      </c>
    </row>
    <row r="239" spans="1:21" s="10" customFormat="1" x14ac:dyDescent="0.25">
      <c r="A239" s="10" t="s">
        <v>3037</v>
      </c>
      <c r="B239" s="10" t="s">
        <v>2763</v>
      </c>
      <c r="C239" s="10" t="s">
        <v>166</v>
      </c>
      <c r="D239" s="10" t="s">
        <v>3038</v>
      </c>
      <c r="E239" s="8" t="s">
        <v>3039</v>
      </c>
      <c r="F239" s="8" t="s">
        <v>3040</v>
      </c>
      <c r="G239" s="10" t="s">
        <v>29</v>
      </c>
      <c r="H239" s="8" t="s">
        <v>3041</v>
      </c>
      <c r="I239" s="10" t="s">
        <v>2768</v>
      </c>
      <c r="J239" s="8" t="s">
        <v>2769</v>
      </c>
      <c r="K239" s="8" t="s">
        <v>29</v>
      </c>
      <c r="L239" s="8" t="s">
        <v>29</v>
      </c>
      <c r="M239" s="10" t="s">
        <v>29</v>
      </c>
      <c r="N239" s="8" t="s">
        <v>29</v>
      </c>
      <c r="O239" s="10" t="s">
        <v>19</v>
      </c>
      <c r="P239" s="8" t="s">
        <v>2981</v>
      </c>
      <c r="Q239" s="10" t="s">
        <v>174</v>
      </c>
      <c r="R239" s="10" t="s">
        <v>1387</v>
      </c>
      <c r="S239" s="8" t="s">
        <v>3042</v>
      </c>
      <c r="T239" s="10" t="s">
        <v>2772</v>
      </c>
      <c r="U239" s="10" t="s">
        <v>29</v>
      </c>
    </row>
    <row r="240" spans="1:21" s="10" customFormat="1" x14ac:dyDescent="0.25">
      <c r="A240" s="10" t="s">
        <v>3043</v>
      </c>
      <c r="B240" s="10" t="s">
        <v>2763</v>
      </c>
      <c r="C240" s="10" t="s">
        <v>166</v>
      </c>
      <c r="D240" s="10" t="s">
        <v>3044</v>
      </c>
      <c r="E240" s="8" t="s">
        <v>3045</v>
      </c>
      <c r="F240" s="8" t="s">
        <v>3046</v>
      </c>
      <c r="G240" s="10" t="s">
        <v>29</v>
      </c>
      <c r="H240" s="8" t="s">
        <v>3047</v>
      </c>
      <c r="I240" s="10" t="s">
        <v>2791</v>
      </c>
      <c r="J240" s="8" t="s">
        <v>2769</v>
      </c>
      <c r="K240" s="8" t="s">
        <v>29</v>
      </c>
      <c r="L240" s="8" t="s">
        <v>29</v>
      </c>
      <c r="M240" s="10" t="s">
        <v>29</v>
      </c>
      <c r="N240" s="8" t="s">
        <v>29</v>
      </c>
      <c r="O240" s="10" t="s">
        <v>19</v>
      </c>
      <c r="P240" s="8" t="s">
        <v>3048</v>
      </c>
      <c r="Q240" s="10" t="s">
        <v>190</v>
      </c>
      <c r="R240" s="10" t="s">
        <v>1387</v>
      </c>
      <c r="S240" s="8" t="s">
        <v>3049</v>
      </c>
      <c r="T240" s="10" t="s">
        <v>2772</v>
      </c>
      <c r="U240" s="10" t="s">
        <v>29</v>
      </c>
    </row>
    <row r="241" spans="1:21" s="10" customFormat="1" x14ac:dyDescent="0.25">
      <c r="A241" s="10" t="s">
        <v>3050</v>
      </c>
      <c r="B241" s="10" t="s">
        <v>2763</v>
      </c>
      <c r="C241" s="10" t="s">
        <v>166</v>
      </c>
      <c r="D241" s="10" t="s">
        <v>3051</v>
      </c>
      <c r="E241" s="8" t="s">
        <v>3052</v>
      </c>
      <c r="F241" s="8" t="s">
        <v>3053</v>
      </c>
      <c r="G241" s="10" t="s">
        <v>29</v>
      </c>
      <c r="H241" s="8" t="s">
        <v>3054</v>
      </c>
      <c r="I241" s="10" t="s">
        <v>2791</v>
      </c>
      <c r="J241" s="8" t="s">
        <v>2769</v>
      </c>
      <c r="K241" s="8" t="s">
        <v>29</v>
      </c>
      <c r="L241" s="8" t="s">
        <v>29</v>
      </c>
      <c r="M241" s="10" t="s">
        <v>29</v>
      </c>
      <c r="N241" s="8" t="s">
        <v>29</v>
      </c>
      <c r="O241" s="10" t="s">
        <v>19</v>
      </c>
      <c r="P241" s="8" t="s">
        <v>3055</v>
      </c>
      <c r="Q241" s="10" t="s">
        <v>190</v>
      </c>
      <c r="R241" s="10" t="s">
        <v>1387</v>
      </c>
      <c r="S241" s="8" t="s">
        <v>3056</v>
      </c>
      <c r="T241" s="10" t="s">
        <v>2772</v>
      </c>
      <c r="U241" s="10" t="s">
        <v>29</v>
      </c>
    </row>
    <row r="242" spans="1:21" s="10" customFormat="1" x14ac:dyDescent="0.25">
      <c r="A242" s="10" t="s">
        <v>3057</v>
      </c>
      <c r="B242" s="10" t="s">
        <v>2763</v>
      </c>
      <c r="C242" s="11" t="s">
        <v>297</v>
      </c>
      <c r="D242" s="10" t="s">
        <v>3058</v>
      </c>
      <c r="E242" s="8" t="s">
        <v>3059</v>
      </c>
      <c r="F242" s="8" t="s">
        <v>3060</v>
      </c>
      <c r="G242" s="10" t="s">
        <v>29</v>
      </c>
      <c r="H242" s="8" t="s">
        <v>3061</v>
      </c>
      <c r="I242" s="10" t="s">
        <v>2768</v>
      </c>
      <c r="J242" s="8" t="s">
        <v>3062</v>
      </c>
      <c r="K242" s="8" t="s">
        <v>29</v>
      </c>
      <c r="L242" s="8" t="s">
        <v>29</v>
      </c>
      <c r="M242" s="10" t="s">
        <v>29</v>
      </c>
      <c r="N242" s="8" t="s">
        <v>29</v>
      </c>
      <c r="O242" s="10" t="s">
        <v>19</v>
      </c>
      <c r="P242" s="8" t="s">
        <v>3063</v>
      </c>
      <c r="Q242" s="10" t="s">
        <v>190</v>
      </c>
      <c r="R242" s="10" t="s">
        <v>1387</v>
      </c>
      <c r="S242" s="8" t="s">
        <v>3064</v>
      </c>
      <c r="T242" s="10" t="s">
        <v>2772</v>
      </c>
      <c r="U242" s="10" t="s">
        <v>29</v>
      </c>
    </row>
    <row r="243" spans="1:21" s="10" customFormat="1" x14ac:dyDescent="0.25">
      <c r="A243" s="10" t="s">
        <v>3065</v>
      </c>
      <c r="B243" s="10" t="s">
        <v>2763</v>
      </c>
      <c r="C243" s="10" t="s">
        <v>166</v>
      </c>
      <c r="D243" s="10" t="s">
        <v>3066</v>
      </c>
      <c r="E243" s="8" t="s">
        <v>3067</v>
      </c>
      <c r="F243" s="8" t="s">
        <v>3068</v>
      </c>
      <c r="G243" s="10" t="s">
        <v>29</v>
      </c>
      <c r="H243" s="8" t="s">
        <v>3069</v>
      </c>
      <c r="I243" s="10" t="s">
        <v>430</v>
      </c>
      <c r="J243" s="8" t="s">
        <v>2769</v>
      </c>
      <c r="K243" s="8" t="s">
        <v>29</v>
      </c>
      <c r="L243" s="8" t="s">
        <v>29</v>
      </c>
      <c r="M243" s="10" t="s">
        <v>29</v>
      </c>
      <c r="N243" s="8" t="s">
        <v>29</v>
      </c>
      <c r="O243" s="10" t="s">
        <v>19</v>
      </c>
      <c r="P243" s="8" t="s">
        <v>3070</v>
      </c>
      <c r="Q243" s="10" t="s">
        <v>174</v>
      </c>
      <c r="R243" s="10" t="s">
        <v>1387</v>
      </c>
      <c r="S243" s="8" t="s">
        <v>3071</v>
      </c>
      <c r="T243" s="10" t="s">
        <v>2772</v>
      </c>
      <c r="U243" s="10" t="s">
        <v>29</v>
      </c>
    </row>
    <row r="244" spans="1:21" s="10" customFormat="1" x14ac:dyDescent="0.25">
      <c r="A244" s="10" t="s">
        <v>3072</v>
      </c>
      <c r="B244" s="10" t="s">
        <v>2763</v>
      </c>
      <c r="C244" s="10" t="s">
        <v>166</v>
      </c>
      <c r="D244" s="10" t="s">
        <v>3073</v>
      </c>
      <c r="E244" s="8" t="s">
        <v>3074</v>
      </c>
      <c r="F244" s="8" t="s">
        <v>3075</v>
      </c>
      <c r="G244" s="10" t="s">
        <v>29</v>
      </c>
      <c r="H244" s="8" t="s">
        <v>3076</v>
      </c>
      <c r="I244" s="10" t="s">
        <v>430</v>
      </c>
      <c r="J244" s="8" t="s">
        <v>2769</v>
      </c>
      <c r="K244" s="8" t="s">
        <v>29</v>
      </c>
      <c r="L244" s="8" t="s">
        <v>29</v>
      </c>
      <c r="M244" s="10" t="s">
        <v>29</v>
      </c>
      <c r="N244" s="8" t="s">
        <v>29</v>
      </c>
      <c r="O244" s="10" t="s">
        <v>19</v>
      </c>
      <c r="P244" s="8" t="s">
        <v>3077</v>
      </c>
      <c r="Q244" s="10" t="s">
        <v>174</v>
      </c>
      <c r="R244" s="10" t="s">
        <v>1387</v>
      </c>
      <c r="S244" s="8" t="s">
        <v>3078</v>
      </c>
      <c r="T244" s="10" t="s">
        <v>2772</v>
      </c>
      <c r="U244" s="10" t="s">
        <v>29</v>
      </c>
    </row>
    <row r="245" spans="1:21" s="10" customFormat="1" x14ac:dyDescent="0.25">
      <c r="A245" s="10" t="s">
        <v>3079</v>
      </c>
      <c r="B245" s="10" t="s">
        <v>2763</v>
      </c>
      <c r="C245" s="10" t="s">
        <v>166</v>
      </c>
      <c r="D245" s="10" t="s">
        <v>3080</v>
      </c>
      <c r="E245" s="8" t="s">
        <v>3081</v>
      </c>
      <c r="F245" s="8" t="s">
        <v>3082</v>
      </c>
      <c r="G245" s="10" t="s">
        <v>29</v>
      </c>
      <c r="H245" s="8" t="s">
        <v>3083</v>
      </c>
      <c r="I245" s="10" t="s">
        <v>3084</v>
      </c>
      <c r="J245" s="8" t="s">
        <v>2769</v>
      </c>
      <c r="K245" s="8" t="s">
        <v>29</v>
      </c>
      <c r="L245" s="8" t="s">
        <v>29</v>
      </c>
      <c r="M245" s="10" t="s">
        <v>29</v>
      </c>
      <c r="N245" s="8" t="s">
        <v>29</v>
      </c>
      <c r="O245" s="10" t="s">
        <v>19</v>
      </c>
      <c r="P245" s="8" t="s">
        <v>3085</v>
      </c>
      <c r="Q245" s="10" t="s">
        <v>1399</v>
      </c>
      <c r="R245" s="10" t="s">
        <v>1387</v>
      </c>
      <c r="S245" s="8" t="s">
        <v>3086</v>
      </c>
      <c r="T245" s="10" t="s">
        <v>2772</v>
      </c>
      <c r="U245" s="10" t="s">
        <v>29</v>
      </c>
    </row>
    <row r="246" spans="1:21" s="10" customFormat="1" x14ac:dyDescent="0.25">
      <c r="A246" s="10" t="s">
        <v>3087</v>
      </c>
      <c r="B246" s="10" t="s">
        <v>2763</v>
      </c>
      <c r="C246" s="10" t="s">
        <v>166</v>
      </c>
      <c r="D246" s="10" t="s">
        <v>3088</v>
      </c>
      <c r="E246" s="8" t="s">
        <v>3089</v>
      </c>
      <c r="F246" s="8" t="s">
        <v>3090</v>
      </c>
      <c r="G246" s="10" t="s">
        <v>29</v>
      </c>
      <c r="H246" s="8" t="s">
        <v>3091</v>
      </c>
      <c r="I246" s="10" t="s">
        <v>3092</v>
      </c>
      <c r="J246" s="8" t="s">
        <v>2769</v>
      </c>
      <c r="K246" s="8" t="s">
        <v>29</v>
      </c>
      <c r="L246" s="8" t="s">
        <v>29</v>
      </c>
      <c r="M246" s="10" t="s">
        <v>29</v>
      </c>
      <c r="N246" s="8" t="s">
        <v>29</v>
      </c>
      <c r="O246" s="10" t="s">
        <v>19</v>
      </c>
      <c r="P246" s="8" t="s">
        <v>3093</v>
      </c>
      <c r="Q246" s="10" t="s">
        <v>174</v>
      </c>
      <c r="R246" s="10" t="s">
        <v>1387</v>
      </c>
      <c r="S246" s="8" t="s">
        <v>3094</v>
      </c>
      <c r="T246" s="10" t="s">
        <v>2772</v>
      </c>
      <c r="U246" s="10" t="s">
        <v>29</v>
      </c>
    </row>
    <row r="247" spans="1:21" s="10" customFormat="1" x14ac:dyDescent="0.25">
      <c r="A247" s="10" t="s">
        <v>3095</v>
      </c>
      <c r="B247" s="10" t="s">
        <v>2763</v>
      </c>
      <c r="C247" s="11" t="s">
        <v>297</v>
      </c>
      <c r="D247" s="10" t="s">
        <v>3096</v>
      </c>
      <c r="E247" s="8" t="s">
        <v>3097</v>
      </c>
      <c r="F247" s="8" t="s">
        <v>3098</v>
      </c>
      <c r="G247" s="10" t="s">
        <v>29</v>
      </c>
      <c r="H247" s="8" t="s">
        <v>3099</v>
      </c>
      <c r="I247" s="10" t="s">
        <v>3092</v>
      </c>
      <c r="J247" s="8" t="s">
        <v>2769</v>
      </c>
      <c r="K247" s="8" t="s">
        <v>29</v>
      </c>
      <c r="L247" s="8" t="s">
        <v>29</v>
      </c>
      <c r="M247" s="10" t="s">
        <v>29</v>
      </c>
      <c r="N247" s="8" t="s">
        <v>29</v>
      </c>
      <c r="O247" s="10" t="s">
        <v>19</v>
      </c>
      <c r="P247" s="8" t="s">
        <v>3100</v>
      </c>
      <c r="Q247" s="10" t="s">
        <v>197</v>
      </c>
      <c r="R247" s="10" t="s">
        <v>1387</v>
      </c>
      <c r="S247" s="8" t="s">
        <v>3101</v>
      </c>
      <c r="T247" s="10" t="s">
        <v>2772</v>
      </c>
      <c r="U247" s="10" t="s">
        <v>29</v>
      </c>
    </row>
    <row r="248" spans="1:21" s="10" customFormat="1" x14ac:dyDescent="0.25">
      <c r="A248" s="10" t="s">
        <v>3102</v>
      </c>
      <c r="B248" s="10" t="s">
        <v>2763</v>
      </c>
      <c r="C248" s="11" t="s">
        <v>297</v>
      </c>
      <c r="D248" s="10" t="s">
        <v>3103</v>
      </c>
      <c r="E248" s="8" t="s">
        <v>3104</v>
      </c>
      <c r="F248" s="8" t="s">
        <v>3105</v>
      </c>
      <c r="G248" s="10" t="s">
        <v>29</v>
      </c>
      <c r="H248" s="8" t="s">
        <v>3106</v>
      </c>
      <c r="I248" s="10" t="s">
        <v>3092</v>
      </c>
      <c r="J248" s="8" t="s">
        <v>2769</v>
      </c>
      <c r="K248" s="8" t="s">
        <v>29</v>
      </c>
      <c r="L248" s="8" t="s">
        <v>29</v>
      </c>
      <c r="M248" s="10" t="s">
        <v>29</v>
      </c>
      <c r="N248" s="8" t="s">
        <v>29</v>
      </c>
      <c r="O248" s="10" t="s">
        <v>19</v>
      </c>
      <c r="P248" s="8" t="s">
        <v>3107</v>
      </c>
      <c r="Q248" s="10" t="s">
        <v>197</v>
      </c>
      <c r="R248" s="10" t="s">
        <v>1387</v>
      </c>
      <c r="S248" s="8" t="s">
        <v>3108</v>
      </c>
      <c r="T248" s="10" t="s">
        <v>2772</v>
      </c>
      <c r="U248" s="10" t="s">
        <v>29</v>
      </c>
    </row>
    <row r="249" spans="1:21" s="10" customFormat="1" x14ac:dyDescent="0.25">
      <c r="A249" s="10" t="s">
        <v>3109</v>
      </c>
      <c r="B249" s="10" t="s">
        <v>2763</v>
      </c>
      <c r="C249" s="10" t="s">
        <v>166</v>
      </c>
      <c r="D249" s="10" t="s">
        <v>3110</v>
      </c>
      <c r="E249" s="8" t="s">
        <v>3111</v>
      </c>
      <c r="F249" s="8" t="s">
        <v>3112</v>
      </c>
      <c r="G249" s="10" t="s">
        <v>29</v>
      </c>
      <c r="H249" s="8" t="s">
        <v>3113</v>
      </c>
      <c r="I249" s="10" t="s">
        <v>430</v>
      </c>
      <c r="J249" s="8" t="s">
        <v>2769</v>
      </c>
      <c r="K249" s="8" t="s">
        <v>29</v>
      </c>
      <c r="L249" s="8" t="s">
        <v>29</v>
      </c>
      <c r="M249" s="10" t="s">
        <v>29</v>
      </c>
      <c r="N249" s="8" t="s">
        <v>29</v>
      </c>
      <c r="O249" s="10" t="s">
        <v>19</v>
      </c>
      <c r="P249" s="8" t="s">
        <v>3114</v>
      </c>
      <c r="Q249" s="10" t="s">
        <v>197</v>
      </c>
      <c r="R249" s="10" t="s">
        <v>1387</v>
      </c>
      <c r="S249" s="8" t="s">
        <v>3115</v>
      </c>
      <c r="T249" s="10" t="s">
        <v>2772</v>
      </c>
      <c r="U249" s="10" t="s">
        <v>29</v>
      </c>
    </row>
    <row r="250" spans="1:21" s="10" customFormat="1" x14ac:dyDescent="0.25">
      <c r="A250" s="10" t="s">
        <v>3116</v>
      </c>
      <c r="B250" s="10" t="s">
        <v>2763</v>
      </c>
      <c r="C250" s="10" t="s">
        <v>166</v>
      </c>
      <c r="D250" s="10" t="s">
        <v>3117</v>
      </c>
      <c r="E250" s="8" t="s">
        <v>3118</v>
      </c>
      <c r="F250" s="8" t="s">
        <v>3119</v>
      </c>
      <c r="G250" s="10" t="s">
        <v>29</v>
      </c>
      <c r="H250" s="8" t="s">
        <v>3120</v>
      </c>
      <c r="I250" s="10" t="s">
        <v>430</v>
      </c>
      <c r="J250" s="8" t="s">
        <v>2769</v>
      </c>
      <c r="K250" s="8" t="s">
        <v>29</v>
      </c>
      <c r="L250" s="8" t="s">
        <v>29</v>
      </c>
      <c r="M250" s="10" t="s">
        <v>29</v>
      </c>
      <c r="N250" s="8" t="s">
        <v>29</v>
      </c>
      <c r="O250" s="10" t="s">
        <v>19</v>
      </c>
      <c r="P250" s="8" t="s">
        <v>3121</v>
      </c>
      <c r="Q250" s="10" t="s">
        <v>197</v>
      </c>
      <c r="R250" s="10" t="s">
        <v>1387</v>
      </c>
      <c r="S250" s="8" t="s">
        <v>3122</v>
      </c>
      <c r="T250" s="10" t="s">
        <v>2772</v>
      </c>
      <c r="U250" s="10" t="s">
        <v>29</v>
      </c>
    </row>
    <row r="251" spans="1:21" s="10" customFormat="1" x14ac:dyDescent="0.25">
      <c r="A251" s="10" t="s">
        <v>3123</v>
      </c>
      <c r="B251" s="10" t="s">
        <v>2763</v>
      </c>
      <c r="C251" s="11" t="s">
        <v>297</v>
      </c>
      <c r="D251" s="10" t="s">
        <v>3124</v>
      </c>
      <c r="E251" s="8" t="s">
        <v>3125</v>
      </c>
      <c r="F251" s="8" t="s">
        <v>3126</v>
      </c>
      <c r="G251" s="10" t="s">
        <v>29</v>
      </c>
      <c r="H251" s="8" t="s">
        <v>3127</v>
      </c>
      <c r="I251" s="10" t="s">
        <v>3128</v>
      </c>
      <c r="J251" s="8" t="s">
        <v>2769</v>
      </c>
      <c r="K251" s="8" t="s">
        <v>29</v>
      </c>
      <c r="L251" s="8" t="s">
        <v>29</v>
      </c>
      <c r="M251" s="10" t="s">
        <v>29</v>
      </c>
      <c r="N251" s="8" t="s">
        <v>29</v>
      </c>
      <c r="O251" s="10" t="s">
        <v>19</v>
      </c>
      <c r="P251" s="8" t="s">
        <v>3129</v>
      </c>
      <c r="Q251" s="10" t="s">
        <v>197</v>
      </c>
      <c r="R251" s="10" t="s">
        <v>1387</v>
      </c>
      <c r="S251" s="8" t="s">
        <v>3130</v>
      </c>
      <c r="T251" s="10" t="s">
        <v>2772</v>
      </c>
      <c r="U251" s="10" t="s">
        <v>29</v>
      </c>
    </row>
    <row r="252" spans="1:21" s="10" customFormat="1" x14ac:dyDescent="0.25">
      <c r="A252" s="10" t="s">
        <v>3131</v>
      </c>
      <c r="B252" s="10" t="s">
        <v>2763</v>
      </c>
      <c r="C252" s="11" t="s">
        <v>297</v>
      </c>
      <c r="D252" s="10" t="s">
        <v>3132</v>
      </c>
      <c r="E252" s="8" t="s">
        <v>3133</v>
      </c>
      <c r="F252" s="8" t="s">
        <v>3134</v>
      </c>
      <c r="G252" s="10" t="s">
        <v>29</v>
      </c>
      <c r="H252" s="8" t="s">
        <v>3135</v>
      </c>
      <c r="I252" s="10" t="s">
        <v>2791</v>
      </c>
      <c r="J252" s="8" t="s">
        <v>1615</v>
      </c>
      <c r="K252" s="8" t="s">
        <v>29</v>
      </c>
      <c r="L252" s="8" t="s">
        <v>29</v>
      </c>
      <c r="M252" s="10" t="s">
        <v>29</v>
      </c>
      <c r="N252" s="8" t="s">
        <v>29</v>
      </c>
      <c r="O252" s="10" t="s">
        <v>19</v>
      </c>
      <c r="P252" s="8" t="s">
        <v>3136</v>
      </c>
      <c r="Q252" s="10" t="s">
        <v>776</v>
      </c>
      <c r="R252" s="10" t="s">
        <v>1617</v>
      </c>
      <c r="S252" s="8" t="s">
        <v>1618</v>
      </c>
      <c r="T252" s="10" t="s">
        <v>2772</v>
      </c>
      <c r="U252" s="10" t="s">
        <v>29</v>
      </c>
    </row>
    <row r="253" spans="1:21" s="10" customFormat="1" x14ac:dyDescent="0.25">
      <c r="A253" s="10" t="s">
        <v>3137</v>
      </c>
      <c r="B253" s="10" t="s">
        <v>2763</v>
      </c>
      <c r="C253" s="11" t="s">
        <v>297</v>
      </c>
      <c r="D253" s="10" t="s">
        <v>3138</v>
      </c>
      <c r="E253" s="8" t="s">
        <v>3139</v>
      </c>
      <c r="F253" s="8" t="s">
        <v>3140</v>
      </c>
      <c r="G253" s="10" t="s">
        <v>29</v>
      </c>
      <c r="H253" s="8" t="s">
        <v>3141</v>
      </c>
      <c r="I253" s="10" t="s">
        <v>430</v>
      </c>
      <c r="J253" s="8" t="s">
        <v>1615</v>
      </c>
      <c r="K253" s="8" t="s">
        <v>29</v>
      </c>
      <c r="L253" s="8" t="s">
        <v>29</v>
      </c>
      <c r="M253" s="10" t="s">
        <v>29</v>
      </c>
      <c r="N253" s="8" t="s">
        <v>29</v>
      </c>
      <c r="O253" s="10" t="s">
        <v>19</v>
      </c>
      <c r="P253" s="8" t="s">
        <v>3142</v>
      </c>
      <c r="Q253" s="10" t="s">
        <v>776</v>
      </c>
      <c r="R253" s="10" t="s">
        <v>2122</v>
      </c>
      <c r="S253" s="8" t="s">
        <v>1618</v>
      </c>
      <c r="T253" s="10" t="s">
        <v>2772</v>
      </c>
      <c r="U253" s="10" t="s">
        <v>29</v>
      </c>
    </row>
    <row r="254" spans="1:21" s="10" customFormat="1" x14ac:dyDescent="0.25">
      <c r="A254" s="10" t="s">
        <v>3143</v>
      </c>
      <c r="B254" s="10" t="s">
        <v>2763</v>
      </c>
      <c r="C254" s="11" t="s">
        <v>297</v>
      </c>
      <c r="D254" s="10" t="s">
        <v>3144</v>
      </c>
      <c r="E254" s="8" t="s">
        <v>3145</v>
      </c>
      <c r="F254" s="8" t="s">
        <v>3146</v>
      </c>
      <c r="G254" s="10" t="s">
        <v>29</v>
      </c>
      <c r="H254" s="8" t="s">
        <v>1604</v>
      </c>
      <c r="I254" s="10" t="s">
        <v>3147</v>
      </c>
      <c r="J254" s="8" t="s">
        <v>1606</v>
      </c>
      <c r="K254" s="8" t="s">
        <v>29</v>
      </c>
      <c r="L254" s="8" t="s">
        <v>29</v>
      </c>
      <c r="M254" s="10" t="s">
        <v>29</v>
      </c>
      <c r="N254" s="8" t="s">
        <v>29</v>
      </c>
      <c r="O254" s="10" t="s">
        <v>19</v>
      </c>
      <c r="P254" s="8" t="s">
        <v>3148</v>
      </c>
      <c r="Q254" s="10" t="s">
        <v>1399</v>
      </c>
      <c r="R254" s="10" t="s">
        <v>1608</v>
      </c>
      <c r="S254" s="8" t="s">
        <v>3149</v>
      </c>
      <c r="T254" s="10" t="s">
        <v>2772</v>
      </c>
      <c r="U254" s="10" t="s">
        <v>29</v>
      </c>
    </row>
    <row r="255" spans="1:21" s="10" customFormat="1" x14ac:dyDescent="0.25">
      <c r="A255" s="10" t="s">
        <v>3150</v>
      </c>
      <c r="B255" s="10" t="s">
        <v>2763</v>
      </c>
      <c r="C255" s="11" t="s">
        <v>297</v>
      </c>
      <c r="D255" s="10" t="s">
        <v>3151</v>
      </c>
      <c r="E255" s="8" t="s">
        <v>3152</v>
      </c>
      <c r="F255" s="8" t="s">
        <v>3153</v>
      </c>
      <c r="G255" s="10" t="s">
        <v>29</v>
      </c>
      <c r="H255" s="8" t="s">
        <v>3154</v>
      </c>
      <c r="I255" s="10" t="s">
        <v>430</v>
      </c>
      <c r="J255" s="8" t="s">
        <v>2769</v>
      </c>
      <c r="K255" s="8" t="s">
        <v>29</v>
      </c>
      <c r="L255" s="8" t="s">
        <v>29</v>
      </c>
      <c r="M255" s="10" t="s">
        <v>29</v>
      </c>
      <c r="N255" s="8" t="s">
        <v>29</v>
      </c>
      <c r="O255" s="10" t="s">
        <v>19</v>
      </c>
      <c r="P255" s="8" t="s">
        <v>3155</v>
      </c>
      <c r="Q255" s="10" t="s">
        <v>174</v>
      </c>
      <c r="R255" s="10" t="s">
        <v>1387</v>
      </c>
      <c r="S255" s="8" t="s">
        <v>3156</v>
      </c>
      <c r="T255" s="10" t="s">
        <v>2772</v>
      </c>
      <c r="U255" s="10" t="s">
        <v>29</v>
      </c>
    </row>
    <row r="256" spans="1:21" s="10" customFormat="1" x14ac:dyDescent="0.25">
      <c r="A256" s="10" t="s">
        <v>3157</v>
      </c>
      <c r="B256" s="10" t="s">
        <v>2763</v>
      </c>
      <c r="C256" s="10" t="s">
        <v>335</v>
      </c>
      <c r="D256" s="10" t="s">
        <v>3158</v>
      </c>
      <c r="E256" s="8" t="s">
        <v>3159</v>
      </c>
      <c r="F256" s="8" t="s">
        <v>3160</v>
      </c>
      <c r="G256" s="10" t="s">
        <v>29</v>
      </c>
      <c r="H256" s="8" t="s">
        <v>3161</v>
      </c>
      <c r="I256" s="10" t="s">
        <v>430</v>
      </c>
      <c r="J256" s="8" t="s">
        <v>2769</v>
      </c>
      <c r="K256" s="8" t="s">
        <v>29</v>
      </c>
      <c r="L256" s="8" t="s">
        <v>29</v>
      </c>
      <c r="M256" s="10" t="s">
        <v>29</v>
      </c>
      <c r="N256" s="8" t="s">
        <v>29</v>
      </c>
      <c r="O256" s="10" t="s">
        <v>19</v>
      </c>
      <c r="P256" s="8" t="s">
        <v>3162</v>
      </c>
      <c r="Q256" s="10" t="s">
        <v>174</v>
      </c>
      <c r="R256" s="10" t="s">
        <v>1387</v>
      </c>
      <c r="S256" s="8" t="s">
        <v>3163</v>
      </c>
      <c r="T256" s="10" t="s">
        <v>2772</v>
      </c>
      <c r="U256" s="10" t="s">
        <v>29</v>
      </c>
    </row>
    <row r="257" spans="1:21" s="10" customFormat="1" x14ac:dyDescent="0.25">
      <c r="A257" s="10" t="s">
        <v>3164</v>
      </c>
      <c r="B257" s="10" t="s">
        <v>2763</v>
      </c>
      <c r="C257" s="10" t="s">
        <v>166</v>
      </c>
      <c r="D257" s="10" t="s">
        <v>3165</v>
      </c>
      <c r="E257" s="8" t="s">
        <v>3166</v>
      </c>
      <c r="F257" s="8" t="s">
        <v>3167</v>
      </c>
      <c r="G257" s="10" t="s">
        <v>29</v>
      </c>
      <c r="H257" s="8" t="s">
        <v>2767</v>
      </c>
      <c r="I257" s="10" t="s">
        <v>430</v>
      </c>
      <c r="J257" s="8" t="s">
        <v>2769</v>
      </c>
      <c r="K257" s="8" t="s">
        <v>29</v>
      </c>
      <c r="L257" s="8" t="s">
        <v>29</v>
      </c>
      <c r="M257" s="10" t="s">
        <v>29</v>
      </c>
      <c r="N257" s="8" t="s">
        <v>29</v>
      </c>
      <c r="O257" s="10" t="s">
        <v>19</v>
      </c>
      <c r="P257" s="8" t="s">
        <v>3168</v>
      </c>
      <c r="Q257" s="10" t="s">
        <v>174</v>
      </c>
      <c r="R257" s="10" t="s">
        <v>1387</v>
      </c>
      <c r="S257" s="8" t="s">
        <v>1599</v>
      </c>
      <c r="T257" s="10" t="s">
        <v>2772</v>
      </c>
      <c r="U257" s="10" t="s">
        <v>29</v>
      </c>
    </row>
    <row r="258" spans="1:21" s="10" customFormat="1" x14ac:dyDescent="0.25">
      <c r="A258" s="10" t="s">
        <v>3169</v>
      </c>
      <c r="B258" s="10" t="s">
        <v>2763</v>
      </c>
      <c r="C258" s="10" t="s">
        <v>166</v>
      </c>
      <c r="D258" s="10" t="s">
        <v>3170</v>
      </c>
      <c r="E258" s="8" t="s">
        <v>3171</v>
      </c>
      <c r="F258" s="8" t="s">
        <v>3172</v>
      </c>
      <c r="G258" s="10" t="s">
        <v>29</v>
      </c>
      <c r="H258" s="8" t="s">
        <v>3173</v>
      </c>
      <c r="I258" s="10" t="s">
        <v>3174</v>
      </c>
      <c r="J258" s="8" t="s">
        <v>1529</v>
      </c>
      <c r="K258" s="8" t="s">
        <v>29</v>
      </c>
      <c r="L258" s="8" t="s">
        <v>29</v>
      </c>
      <c r="M258" s="10" t="s">
        <v>29</v>
      </c>
      <c r="N258" s="8" t="s">
        <v>29</v>
      </c>
      <c r="O258" s="10" t="s">
        <v>19</v>
      </c>
      <c r="P258" s="8" t="s">
        <v>3175</v>
      </c>
      <c r="Q258" s="10" t="s">
        <v>174</v>
      </c>
      <c r="R258" s="10" t="s">
        <v>1387</v>
      </c>
      <c r="S258" s="8" t="s">
        <v>3176</v>
      </c>
      <c r="T258" s="10" t="s">
        <v>3177</v>
      </c>
      <c r="U258" s="10" t="s">
        <v>29</v>
      </c>
    </row>
    <row r="259" spans="1:21" s="10" customFormat="1" x14ac:dyDescent="0.25">
      <c r="A259" s="10" t="s">
        <v>3178</v>
      </c>
      <c r="B259" s="10" t="s">
        <v>2763</v>
      </c>
      <c r="C259" s="10" t="s">
        <v>335</v>
      </c>
      <c r="D259" s="10" t="s">
        <v>3179</v>
      </c>
      <c r="E259" s="8" t="s">
        <v>3180</v>
      </c>
      <c r="F259" s="8" t="s">
        <v>3181</v>
      </c>
      <c r="G259" s="10" t="s">
        <v>29</v>
      </c>
      <c r="H259" s="8" t="s">
        <v>3182</v>
      </c>
      <c r="I259" s="10" t="s">
        <v>3183</v>
      </c>
      <c r="J259" s="8" t="s">
        <v>1529</v>
      </c>
      <c r="K259" s="8" t="s">
        <v>29</v>
      </c>
      <c r="L259" s="8" t="s">
        <v>29</v>
      </c>
      <c r="M259" s="10" t="s">
        <v>29</v>
      </c>
      <c r="N259" s="8" t="s">
        <v>29</v>
      </c>
      <c r="O259" s="10" t="s">
        <v>19</v>
      </c>
      <c r="P259" s="8" t="s">
        <v>3184</v>
      </c>
      <c r="Q259" s="10" t="s">
        <v>174</v>
      </c>
      <c r="R259" s="10" t="s">
        <v>1387</v>
      </c>
      <c r="S259" s="8" t="s">
        <v>3185</v>
      </c>
      <c r="T259" s="10" t="s">
        <v>3177</v>
      </c>
      <c r="U259" s="10" t="s">
        <v>29</v>
      </c>
    </row>
    <row r="260" spans="1:21" s="10" customFormat="1" x14ac:dyDescent="0.25">
      <c r="A260" s="10" t="s">
        <v>3186</v>
      </c>
      <c r="B260" s="10" t="s">
        <v>2763</v>
      </c>
      <c r="C260" s="10" t="s">
        <v>335</v>
      </c>
      <c r="D260" s="10" t="s">
        <v>3187</v>
      </c>
      <c r="E260" s="8" t="s">
        <v>3188</v>
      </c>
      <c r="F260" s="8" t="s">
        <v>3189</v>
      </c>
      <c r="G260" s="10" t="s">
        <v>29</v>
      </c>
      <c r="H260" s="8" t="s">
        <v>2777</v>
      </c>
      <c r="I260" s="10" t="s">
        <v>1102</v>
      </c>
      <c r="J260" s="8" t="s">
        <v>1529</v>
      </c>
      <c r="K260" s="8" t="s">
        <v>29</v>
      </c>
      <c r="L260" s="8" t="s">
        <v>29</v>
      </c>
      <c r="M260" s="10" t="s">
        <v>29</v>
      </c>
      <c r="N260" s="8" t="s">
        <v>29</v>
      </c>
      <c r="O260" s="10" t="s">
        <v>19</v>
      </c>
      <c r="P260" s="8" t="s">
        <v>3190</v>
      </c>
      <c r="Q260" s="10" t="s">
        <v>174</v>
      </c>
      <c r="R260" s="10" t="s">
        <v>1387</v>
      </c>
      <c r="S260" s="8" t="s">
        <v>1388</v>
      </c>
      <c r="T260" s="10" t="s">
        <v>3177</v>
      </c>
      <c r="U260" s="10" t="s">
        <v>29</v>
      </c>
    </row>
    <row r="261" spans="1:21" s="10" customFormat="1" x14ac:dyDescent="0.25">
      <c r="A261" s="10" t="s">
        <v>3191</v>
      </c>
      <c r="B261" s="10" t="s">
        <v>2763</v>
      </c>
      <c r="C261" s="11" t="s">
        <v>297</v>
      </c>
      <c r="D261" s="10" t="s">
        <v>3192</v>
      </c>
      <c r="E261" s="8" t="s">
        <v>3193</v>
      </c>
      <c r="F261" s="8" t="s">
        <v>3194</v>
      </c>
      <c r="G261" s="10" t="s">
        <v>29</v>
      </c>
      <c r="H261" s="8" t="s">
        <v>3195</v>
      </c>
      <c r="I261" s="10" t="s">
        <v>1419</v>
      </c>
      <c r="J261" s="8" t="s">
        <v>1529</v>
      </c>
      <c r="K261" s="8" t="s">
        <v>29</v>
      </c>
      <c r="L261" s="8" t="s">
        <v>29</v>
      </c>
      <c r="M261" s="10" t="s">
        <v>29</v>
      </c>
      <c r="N261" s="8" t="s">
        <v>29</v>
      </c>
      <c r="O261" s="10" t="s">
        <v>19</v>
      </c>
      <c r="P261" s="8" t="s">
        <v>3196</v>
      </c>
      <c r="Q261" s="10" t="s">
        <v>174</v>
      </c>
      <c r="R261" s="10" t="s">
        <v>1387</v>
      </c>
      <c r="S261" s="8" t="s">
        <v>3197</v>
      </c>
      <c r="T261" s="10" t="s">
        <v>3177</v>
      </c>
      <c r="U261" s="10" t="s">
        <v>29</v>
      </c>
    </row>
    <row r="262" spans="1:21" s="10" customFormat="1" x14ac:dyDescent="0.25">
      <c r="A262" s="10" t="s">
        <v>3198</v>
      </c>
      <c r="B262" s="10" t="s">
        <v>2763</v>
      </c>
      <c r="C262" s="10" t="s">
        <v>335</v>
      </c>
      <c r="D262" s="10" t="s">
        <v>3199</v>
      </c>
      <c r="E262" s="8" t="s">
        <v>3200</v>
      </c>
      <c r="F262" s="8" t="s">
        <v>3201</v>
      </c>
      <c r="G262" s="10" t="s">
        <v>29</v>
      </c>
      <c r="H262" s="8" t="s">
        <v>3202</v>
      </c>
      <c r="I262" s="10" t="s">
        <v>3203</v>
      </c>
      <c r="J262" s="8" t="s">
        <v>1529</v>
      </c>
      <c r="K262" s="8" t="s">
        <v>29</v>
      </c>
      <c r="L262" s="8" t="s">
        <v>29</v>
      </c>
      <c r="M262" s="10" t="s">
        <v>29</v>
      </c>
      <c r="N262" s="8" t="s">
        <v>29</v>
      </c>
      <c r="O262" s="10" t="s">
        <v>19</v>
      </c>
      <c r="P262" s="8" t="s">
        <v>3204</v>
      </c>
      <c r="Q262" s="10" t="s">
        <v>174</v>
      </c>
      <c r="R262" s="10" t="s">
        <v>1387</v>
      </c>
      <c r="S262" s="8" t="s">
        <v>3205</v>
      </c>
      <c r="T262" s="10" t="s">
        <v>3177</v>
      </c>
      <c r="U262" s="10" t="s">
        <v>29</v>
      </c>
    </row>
    <row r="263" spans="1:21" s="10" customFormat="1" x14ac:dyDescent="0.25">
      <c r="A263" s="10" t="s">
        <v>3206</v>
      </c>
      <c r="B263" s="10" t="s">
        <v>2763</v>
      </c>
      <c r="C263" s="10" t="s">
        <v>335</v>
      </c>
      <c r="D263" s="10" t="s">
        <v>3207</v>
      </c>
      <c r="E263" s="8" t="s">
        <v>3208</v>
      </c>
      <c r="F263" s="8" t="s">
        <v>3209</v>
      </c>
      <c r="G263" s="10" t="s">
        <v>29</v>
      </c>
      <c r="H263" s="8" t="s">
        <v>3210</v>
      </c>
      <c r="I263" s="10" t="s">
        <v>3203</v>
      </c>
      <c r="J263" s="8" t="s">
        <v>1529</v>
      </c>
      <c r="K263" s="8" t="s">
        <v>29</v>
      </c>
      <c r="L263" s="8" t="s">
        <v>29</v>
      </c>
      <c r="M263" s="10" t="s">
        <v>29</v>
      </c>
      <c r="N263" s="8" t="s">
        <v>29</v>
      </c>
      <c r="O263" s="10" t="s">
        <v>19</v>
      </c>
      <c r="P263" s="8" t="s">
        <v>3211</v>
      </c>
      <c r="Q263" s="10" t="s">
        <v>197</v>
      </c>
      <c r="R263" s="10" t="s">
        <v>1387</v>
      </c>
      <c r="S263" s="8" t="s">
        <v>3212</v>
      </c>
      <c r="T263" s="10" t="s">
        <v>3177</v>
      </c>
      <c r="U263" s="10" t="s">
        <v>29</v>
      </c>
    </row>
    <row r="264" spans="1:21" s="10" customFormat="1" x14ac:dyDescent="0.25">
      <c r="A264" s="10" t="s">
        <v>3213</v>
      </c>
      <c r="B264" s="10" t="s">
        <v>2763</v>
      </c>
      <c r="C264" s="10" t="s">
        <v>166</v>
      </c>
      <c r="D264" s="10" t="s">
        <v>3214</v>
      </c>
      <c r="E264" s="8" t="s">
        <v>3215</v>
      </c>
      <c r="F264" s="8" t="s">
        <v>3216</v>
      </c>
      <c r="G264" s="10" t="s">
        <v>29</v>
      </c>
      <c r="H264" s="8" t="s">
        <v>3217</v>
      </c>
      <c r="I264" s="10" t="s">
        <v>1102</v>
      </c>
      <c r="J264" s="8" t="s">
        <v>1529</v>
      </c>
      <c r="K264" s="8" t="s">
        <v>29</v>
      </c>
      <c r="L264" s="8" t="s">
        <v>29</v>
      </c>
      <c r="M264" s="10" t="s">
        <v>29</v>
      </c>
      <c r="N264" s="8" t="s">
        <v>29</v>
      </c>
      <c r="O264" s="10" t="s">
        <v>19</v>
      </c>
      <c r="P264" s="8" t="s">
        <v>3218</v>
      </c>
      <c r="Q264" s="10" t="s">
        <v>190</v>
      </c>
      <c r="R264" s="10" t="s">
        <v>1387</v>
      </c>
      <c r="S264" s="8" t="s">
        <v>3219</v>
      </c>
      <c r="T264" s="10" t="s">
        <v>3177</v>
      </c>
      <c r="U264" s="10" t="s">
        <v>29</v>
      </c>
    </row>
    <row r="265" spans="1:21" s="10" customFormat="1" x14ac:dyDescent="0.25">
      <c r="A265" s="10" t="s">
        <v>3220</v>
      </c>
      <c r="B265" s="10" t="s">
        <v>2763</v>
      </c>
      <c r="C265" s="10" t="s">
        <v>166</v>
      </c>
      <c r="D265" s="10" t="s">
        <v>3221</v>
      </c>
      <c r="E265" s="8" t="s">
        <v>3222</v>
      </c>
      <c r="F265" s="8" t="s">
        <v>3223</v>
      </c>
      <c r="G265" s="10" t="s">
        <v>29</v>
      </c>
      <c r="H265" s="8" t="s">
        <v>3224</v>
      </c>
      <c r="I265" s="10" t="s">
        <v>3183</v>
      </c>
      <c r="J265" s="8" t="s">
        <v>1529</v>
      </c>
      <c r="K265" s="8" t="s">
        <v>29</v>
      </c>
      <c r="L265" s="8" t="s">
        <v>29</v>
      </c>
      <c r="M265" s="10" t="s">
        <v>29</v>
      </c>
      <c r="N265" s="8" t="s">
        <v>29</v>
      </c>
      <c r="O265" s="10" t="s">
        <v>19</v>
      </c>
      <c r="P265" s="8" t="s">
        <v>3225</v>
      </c>
      <c r="Q265" s="10" t="s">
        <v>190</v>
      </c>
      <c r="R265" s="10" t="s">
        <v>1387</v>
      </c>
      <c r="S265" s="8" t="s">
        <v>3226</v>
      </c>
      <c r="T265" s="10" t="s">
        <v>3177</v>
      </c>
      <c r="U265" s="10" t="s">
        <v>29</v>
      </c>
    </row>
    <row r="266" spans="1:21" s="10" customFormat="1" x14ac:dyDescent="0.25">
      <c r="A266" s="10" t="s">
        <v>3227</v>
      </c>
      <c r="B266" s="10" t="s">
        <v>2763</v>
      </c>
      <c r="C266" s="10" t="s">
        <v>166</v>
      </c>
      <c r="D266" s="10" t="s">
        <v>3228</v>
      </c>
      <c r="E266" s="8" t="s">
        <v>3229</v>
      </c>
      <c r="F266" s="8" t="s">
        <v>3230</v>
      </c>
      <c r="G266" s="10" t="s">
        <v>29</v>
      </c>
      <c r="H266" s="8" t="s">
        <v>3231</v>
      </c>
      <c r="I266" s="10" t="s">
        <v>3203</v>
      </c>
      <c r="J266" s="8" t="s">
        <v>1529</v>
      </c>
      <c r="K266" s="8" t="s">
        <v>29</v>
      </c>
      <c r="L266" s="8" t="s">
        <v>29</v>
      </c>
      <c r="M266" s="10" t="s">
        <v>29</v>
      </c>
      <c r="N266" s="8" t="s">
        <v>29</v>
      </c>
      <c r="O266" s="10" t="s">
        <v>19</v>
      </c>
      <c r="P266" s="8" t="s">
        <v>3232</v>
      </c>
      <c r="Q266" s="10" t="s">
        <v>190</v>
      </c>
      <c r="R266" s="10" t="s">
        <v>1387</v>
      </c>
      <c r="S266" s="8" t="s">
        <v>3233</v>
      </c>
      <c r="T266" s="10" t="s">
        <v>3177</v>
      </c>
      <c r="U266" s="10" t="s">
        <v>29</v>
      </c>
    </row>
    <row r="267" spans="1:21" s="10" customFormat="1" x14ac:dyDescent="0.25">
      <c r="A267" s="10" t="s">
        <v>3234</v>
      </c>
      <c r="B267" s="10" t="s">
        <v>2763</v>
      </c>
      <c r="C267" s="11" t="s">
        <v>297</v>
      </c>
      <c r="D267" s="10" t="s">
        <v>3235</v>
      </c>
      <c r="E267" s="8" t="s">
        <v>3236</v>
      </c>
      <c r="F267" s="8" t="s">
        <v>3237</v>
      </c>
      <c r="G267" s="10" t="s">
        <v>29</v>
      </c>
      <c r="H267" s="8" t="s">
        <v>3238</v>
      </c>
      <c r="I267" s="10" t="s">
        <v>3239</v>
      </c>
      <c r="J267" s="8" t="s">
        <v>3240</v>
      </c>
      <c r="K267" s="8" t="s">
        <v>29</v>
      </c>
      <c r="L267" s="8" t="s">
        <v>29</v>
      </c>
      <c r="M267" s="10" t="s">
        <v>29</v>
      </c>
      <c r="N267" s="8" t="s">
        <v>29</v>
      </c>
      <c r="O267" s="10" t="s">
        <v>19</v>
      </c>
      <c r="P267" s="8" t="s">
        <v>3241</v>
      </c>
      <c r="Q267" s="10" t="s">
        <v>1399</v>
      </c>
      <c r="R267" s="10" t="s">
        <v>1387</v>
      </c>
      <c r="S267" s="8" t="s">
        <v>3242</v>
      </c>
      <c r="T267" s="10" t="s">
        <v>3177</v>
      </c>
      <c r="U267" s="10" t="s">
        <v>29</v>
      </c>
    </row>
    <row r="268" spans="1:21" s="10" customFormat="1" x14ac:dyDescent="0.25">
      <c r="A268" s="10" t="s">
        <v>3243</v>
      </c>
      <c r="B268" s="10" t="s">
        <v>2763</v>
      </c>
      <c r="C268" s="10" t="s">
        <v>166</v>
      </c>
      <c r="D268" s="10" t="s">
        <v>3244</v>
      </c>
      <c r="E268" s="8" t="s">
        <v>3245</v>
      </c>
      <c r="F268" s="8" t="s">
        <v>3246</v>
      </c>
      <c r="G268" s="10" t="s">
        <v>29</v>
      </c>
      <c r="H268" s="8" t="s">
        <v>3247</v>
      </c>
      <c r="I268" s="10" t="s">
        <v>3248</v>
      </c>
      <c r="J268" s="8" t="s">
        <v>3249</v>
      </c>
      <c r="K268" s="8" t="s">
        <v>29</v>
      </c>
      <c r="L268" s="8" t="s">
        <v>29</v>
      </c>
      <c r="M268" s="10" t="s">
        <v>29</v>
      </c>
      <c r="N268" s="8" t="s">
        <v>29</v>
      </c>
      <c r="O268" s="10" t="s">
        <v>19</v>
      </c>
      <c r="P268" s="8" t="s">
        <v>3250</v>
      </c>
      <c r="Q268" s="10" t="s">
        <v>174</v>
      </c>
      <c r="R268" s="10" t="s">
        <v>1387</v>
      </c>
      <c r="S268" s="8" t="s">
        <v>3251</v>
      </c>
      <c r="T268" s="10" t="s">
        <v>3177</v>
      </c>
      <c r="U268" s="10" t="s">
        <v>29</v>
      </c>
    </row>
    <row r="269" spans="1:21" s="10" customFormat="1" x14ac:dyDescent="0.25">
      <c r="A269" s="10" t="s">
        <v>3252</v>
      </c>
      <c r="B269" s="10" t="s">
        <v>2763</v>
      </c>
      <c r="C269" s="10" t="s">
        <v>166</v>
      </c>
      <c r="D269" s="10" t="s">
        <v>3253</v>
      </c>
      <c r="E269" s="8" t="s">
        <v>3254</v>
      </c>
      <c r="F269" s="8" t="s">
        <v>3255</v>
      </c>
      <c r="G269" s="10" t="s">
        <v>29</v>
      </c>
      <c r="H269" s="8" t="s">
        <v>3256</v>
      </c>
      <c r="I269" s="10" t="s">
        <v>3248</v>
      </c>
      <c r="J269" s="8" t="s">
        <v>3257</v>
      </c>
      <c r="K269" s="8" t="s">
        <v>29</v>
      </c>
      <c r="L269" s="8" t="s">
        <v>29</v>
      </c>
      <c r="M269" s="10" t="s">
        <v>29</v>
      </c>
      <c r="N269" s="8" t="s">
        <v>29</v>
      </c>
      <c r="O269" s="10" t="s">
        <v>19</v>
      </c>
      <c r="P269" s="8" t="s">
        <v>3250</v>
      </c>
      <c r="Q269" s="10" t="s">
        <v>174</v>
      </c>
      <c r="R269" s="10" t="s">
        <v>1387</v>
      </c>
      <c r="S269" s="8" t="s">
        <v>3258</v>
      </c>
      <c r="T269" s="10" t="s">
        <v>3177</v>
      </c>
      <c r="U269" s="10" t="s">
        <v>29</v>
      </c>
    </row>
    <row r="270" spans="1:21" s="10" customFormat="1" x14ac:dyDescent="0.25">
      <c r="A270" s="10" t="s">
        <v>3259</v>
      </c>
      <c r="B270" s="10" t="s">
        <v>2763</v>
      </c>
      <c r="C270" s="10" t="s">
        <v>166</v>
      </c>
      <c r="D270" s="10" t="s">
        <v>3260</v>
      </c>
      <c r="E270" s="8" t="s">
        <v>3261</v>
      </c>
      <c r="F270" s="8" t="s">
        <v>3262</v>
      </c>
      <c r="G270" s="10" t="s">
        <v>29</v>
      </c>
      <c r="H270" s="8" t="s">
        <v>3263</v>
      </c>
      <c r="I270" s="10" t="s">
        <v>3248</v>
      </c>
      <c r="J270" s="8" t="s">
        <v>3264</v>
      </c>
      <c r="K270" s="8" t="s">
        <v>29</v>
      </c>
      <c r="L270" s="8" t="s">
        <v>29</v>
      </c>
      <c r="M270" s="10" t="s">
        <v>29</v>
      </c>
      <c r="N270" s="8" t="s">
        <v>29</v>
      </c>
      <c r="O270" s="10" t="s">
        <v>19</v>
      </c>
      <c r="P270" s="8" t="s">
        <v>3250</v>
      </c>
      <c r="Q270" s="10" t="s">
        <v>174</v>
      </c>
      <c r="R270" s="10" t="s">
        <v>1387</v>
      </c>
      <c r="S270" s="8" t="s">
        <v>3265</v>
      </c>
      <c r="T270" s="10" t="s">
        <v>3177</v>
      </c>
      <c r="U270" s="10" t="s">
        <v>29</v>
      </c>
    </row>
    <row r="271" spans="1:21" s="10" customFormat="1" x14ac:dyDescent="0.25">
      <c r="A271" s="10" t="s">
        <v>3266</v>
      </c>
      <c r="B271" s="10" t="s">
        <v>2763</v>
      </c>
      <c r="C271" s="10" t="s">
        <v>166</v>
      </c>
      <c r="D271" s="10" t="s">
        <v>3267</v>
      </c>
      <c r="E271" s="8" t="s">
        <v>3268</v>
      </c>
      <c r="F271" s="8" t="s">
        <v>3269</v>
      </c>
      <c r="G271" s="10" t="s">
        <v>29</v>
      </c>
      <c r="H271" s="8" t="s">
        <v>3270</v>
      </c>
      <c r="I271" s="10" t="s">
        <v>3248</v>
      </c>
      <c r="J271" s="8" t="s">
        <v>3271</v>
      </c>
      <c r="K271" s="8" t="s">
        <v>29</v>
      </c>
      <c r="L271" s="8" t="s">
        <v>29</v>
      </c>
      <c r="M271" s="10" t="s">
        <v>29</v>
      </c>
      <c r="N271" s="8" t="s">
        <v>29</v>
      </c>
      <c r="O271" s="10" t="s">
        <v>19</v>
      </c>
      <c r="P271" s="8" t="s">
        <v>3250</v>
      </c>
      <c r="Q271" s="10" t="s">
        <v>174</v>
      </c>
      <c r="R271" s="10" t="s">
        <v>1387</v>
      </c>
      <c r="S271" s="8" t="s">
        <v>3272</v>
      </c>
      <c r="T271" s="10" t="s">
        <v>3177</v>
      </c>
      <c r="U271" s="10" t="s">
        <v>29</v>
      </c>
    </row>
    <row r="272" spans="1:21" s="10" customFormat="1" x14ac:dyDescent="0.25">
      <c r="A272" s="10" t="s">
        <v>3273</v>
      </c>
      <c r="B272" s="10" t="s">
        <v>2763</v>
      </c>
      <c r="C272" s="10" t="s">
        <v>166</v>
      </c>
      <c r="D272" s="10" t="s">
        <v>3274</v>
      </c>
      <c r="E272" s="8" t="s">
        <v>3275</v>
      </c>
      <c r="F272" s="8" t="s">
        <v>3276</v>
      </c>
      <c r="G272" s="10" t="s">
        <v>29</v>
      </c>
      <c r="H272" s="8" t="s">
        <v>3277</v>
      </c>
      <c r="I272" s="10" t="s">
        <v>3278</v>
      </c>
      <c r="J272" s="8" t="s">
        <v>3279</v>
      </c>
      <c r="K272" s="8" t="s">
        <v>29</v>
      </c>
      <c r="L272" s="8" t="s">
        <v>29</v>
      </c>
      <c r="M272" s="10" t="s">
        <v>29</v>
      </c>
      <c r="N272" s="8" t="s">
        <v>29</v>
      </c>
      <c r="O272" s="10" t="s">
        <v>19</v>
      </c>
      <c r="P272" s="8" t="s">
        <v>3280</v>
      </c>
      <c r="Q272" s="10" t="s">
        <v>174</v>
      </c>
      <c r="R272" s="10" t="s">
        <v>1387</v>
      </c>
      <c r="S272" s="8" t="s">
        <v>3281</v>
      </c>
      <c r="T272" s="10" t="s">
        <v>3177</v>
      </c>
      <c r="U272" s="10" t="s">
        <v>29</v>
      </c>
    </row>
    <row r="273" spans="1:21" s="10" customFormat="1" x14ac:dyDescent="0.25">
      <c r="A273" s="10" t="s">
        <v>3282</v>
      </c>
      <c r="B273" s="10" t="s">
        <v>2763</v>
      </c>
      <c r="C273" s="10" t="s">
        <v>166</v>
      </c>
      <c r="D273" s="10" t="s">
        <v>3283</v>
      </c>
      <c r="E273" s="8" t="s">
        <v>3284</v>
      </c>
      <c r="F273" s="8" t="s">
        <v>3285</v>
      </c>
      <c r="G273" s="10" t="s">
        <v>29</v>
      </c>
      <c r="H273" s="8" t="s">
        <v>3286</v>
      </c>
      <c r="I273" s="10" t="s">
        <v>3287</v>
      </c>
      <c r="J273" s="8" t="s">
        <v>3288</v>
      </c>
      <c r="K273" s="8" t="s">
        <v>29</v>
      </c>
      <c r="L273" s="8" t="s">
        <v>29</v>
      </c>
      <c r="M273" s="10" t="s">
        <v>29</v>
      </c>
      <c r="N273" s="8" t="s">
        <v>29</v>
      </c>
      <c r="O273" s="10" t="s">
        <v>19</v>
      </c>
      <c r="P273" s="8" t="s">
        <v>3289</v>
      </c>
      <c r="Q273" s="10" t="s">
        <v>190</v>
      </c>
      <c r="R273" s="10" t="s">
        <v>1387</v>
      </c>
      <c r="S273" s="8" t="s">
        <v>3290</v>
      </c>
      <c r="T273" s="10" t="s">
        <v>3177</v>
      </c>
      <c r="U273" s="10" t="s">
        <v>29</v>
      </c>
    </row>
    <row r="274" spans="1:21" s="10" customFormat="1" x14ac:dyDescent="0.25">
      <c r="A274" s="10" t="s">
        <v>3291</v>
      </c>
      <c r="B274" s="10" t="s">
        <v>2763</v>
      </c>
      <c r="C274" s="11" t="s">
        <v>297</v>
      </c>
      <c r="D274" s="10" t="s">
        <v>3292</v>
      </c>
      <c r="E274" s="8" t="s">
        <v>3293</v>
      </c>
      <c r="F274" s="8" t="s">
        <v>3294</v>
      </c>
      <c r="G274" s="10" t="s">
        <v>29</v>
      </c>
      <c r="H274" s="8" t="s">
        <v>3295</v>
      </c>
      <c r="I274" s="10" t="s">
        <v>1419</v>
      </c>
      <c r="J274" s="8" t="s">
        <v>1529</v>
      </c>
      <c r="K274" s="8" t="s">
        <v>29</v>
      </c>
      <c r="L274" s="8" t="s">
        <v>29</v>
      </c>
      <c r="M274" s="10" t="s">
        <v>29</v>
      </c>
      <c r="N274" s="8" t="s">
        <v>29</v>
      </c>
      <c r="O274" s="10" t="s">
        <v>19</v>
      </c>
      <c r="P274" s="8" t="s">
        <v>3296</v>
      </c>
      <c r="Q274" s="10" t="s">
        <v>174</v>
      </c>
      <c r="R274" s="10" t="s">
        <v>1387</v>
      </c>
      <c r="S274" s="8" t="s">
        <v>3297</v>
      </c>
      <c r="T274" s="10" t="s">
        <v>3177</v>
      </c>
      <c r="U274" s="10" t="s">
        <v>29</v>
      </c>
    </row>
    <row r="275" spans="1:21" s="10" customFormat="1" x14ac:dyDescent="0.25">
      <c r="A275" s="10" t="s">
        <v>3298</v>
      </c>
      <c r="B275" s="10" t="s">
        <v>2763</v>
      </c>
      <c r="C275" s="10" t="s">
        <v>166</v>
      </c>
      <c r="D275" s="10" t="s">
        <v>3299</v>
      </c>
      <c r="E275" s="8" t="s">
        <v>3300</v>
      </c>
      <c r="F275" s="8" t="s">
        <v>3301</v>
      </c>
      <c r="G275" s="10" t="s">
        <v>29</v>
      </c>
      <c r="H275" s="8" t="s">
        <v>3302</v>
      </c>
      <c r="I275" s="10" t="s">
        <v>3303</v>
      </c>
      <c r="J275" s="8" t="s">
        <v>1529</v>
      </c>
      <c r="K275" s="8" t="s">
        <v>29</v>
      </c>
      <c r="L275" s="8" t="s">
        <v>29</v>
      </c>
      <c r="M275" s="10" t="s">
        <v>29</v>
      </c>
      <c r="N275" s="8" t="s">
        <v>29</v>
      </c>
      <c r="O275" s="10" t="s">
        <v>19</v>
      </c>
      <c r="P275" s="8" t="s">
        <v>3304</v>
      </c>
      <c r="Q275" s="10" t="s">
        <v>174</v>
      </c>
      <c r="R275" s="10" t="s">
        <v>1387</v>
      </c>
      <c r="S275" s="8" t="s">
        <v>3305</v>
      </c>
      <c r="T275" s="10" t="s">
        <v>3177</v>
      </c>
      <c r="U275" s="10" t="s">
        <v>29</v>
      </c>
    </row>
    <row r="276" spans="1:21" s="10" customFormat="1" x14ac:dyDescent="0.25">
      <c r="A276" s="10" t="s">
        <v>3306</v>
      </c>
      <c r="B276" s="10" t="s">
        <v>2763</v>
      </c>
      <c r="C276" s="10" t="s">
        <v>166</v>
      </c>
      <c r="D276" s="10" t="s">
        <v>3307</v>
      </c>
      <c r="E276" s="8" t="s">
        <v>3308</v>
      </c>
      <c r="F276" s="8" t="s">
        <v>3309</v>
      </c>
      <c r="G276" s="10" t="s">
        <v>29</v>
      </c>
      <c r="H276" s="8" t="s">
        <v>3302</v>
      </c>
      <c r="I276" s="10" t="s">
        <v>3183</v>
      </c>
      <c r="J276" s="8" t="s">
        <v>1529</v>
      </c>
      <c r="K276" s="8" t="s">
        <v>29</v>
      </c>
      <c r="L276" s="8" t="s">
        <v>29</v>
      </c>
      <c r="M276" s="10" t="s">
        <v>29</v>
      </c>
      <c r="N276" s="8" t="s">
        <v>29</v>
      </c>
      <c r="O276" s="10" t="s">
        <v>19</v>
      </c>
      <c r="P276" s="8" t="s">
        <v>3310</v>
      </c>
      <c r="Q276" s="10" t="s">
        <v>174</v>
      </c>
      <c r="R276" s="10" t="s">
        <v>1387</v>
      </c>
      <c r="S276" s="8" t="s">
        <v>3311</v>
      </c>
      <c r="T276" s="10" t="s">
        <v>3177</v>
      </c>
      <c r="U276" s="10" t="s">
        <v>29</v>
      </c>
    </row>
    <row r="277" spans="1:21" s="10" customFormat="1" x14ac:dyDescent="0.25">
      <c r="A277" s="10" t="s">
        <v>3312</v>
      </c>
      <c r="B277" s="10" t="s">
        <v>2763</v>
      </c>
      <c r="C277" s="10" t="s">
        <v>166</v>
      </c>
      <c r="D277" s="10" t="s">
        <v>3313</v>
      </c>
      <c r="E277" s="8" t="s">
        <v>3314</v>
      </c>
      <c r="F277" s="8" t="s">
        <v>3315</v>
      </c>
      <c r="G277" s="10" t="s">
        <v>29</v>
      </c>
      <c r="H277" s="8" t="s">
        <v>3302</v>
      </c>
      <c r="I277" s="10" t="s">
        <v>3183</v>
      </c>
      <c r="J277" s="8" t="s">
        <v>1529</v>
      </c>
      <c r="K277" s="8" t="s">
        <v>29</v>
      </c>
      <c r="L277" s="8" t="s">
        <v>29</v>
      </c>
      <c r="M277" s="10" t="s">
        <v>29</v>
      </c>
      <c r="N277" s="8" t="s">
        <v>29</v>
      </c>
      <c r="O277" s="10" t="s">
        <v>19</v>
      </c>
      <c r="P277" s="8" t="s">
        <v>3316</v>
      </c>
      <c r="Q277" s="10" t="s">
        <v>197</v>
      </c>
      <c r="R277" s="10" t="s">
        <v>1387</v>
      </c>
      <c r="S277" s="8" t="s">
        <v>3317</v>
      </c>
      <c r="T277" s="10" t="s">
        <v>3177</v>
      </c>
      <c r="U277" s="10" t="s">
        <v>29</v>
      </c>
    </row>
    <row r="278" spans="1:21" s="10" customFormat="1" x14ac:dyDescent="0.25">
      <c r="A278" s="10" t="s">
        <v>3318</v>
      </c>
      <c r="B278" s="10" t="s">
        <v>2763</v>
      </c>
      <c r="C278" s="11" t="s">
        <v>297</v>
      </c>
      <c r="D278" s="10" t="s">
        <v>3319</v>
      </c>
      <c r="E278" s="8" t="s">
        <v>3320</v>
      </c>
      <c r="F278" s="8" t="s">
        <v>3321</v>
      </c>
      <c r="G278" s="10" t="s">
        <v>29</v>
      </c>
      <c r="H278" s="8" t="s">
        <v>3322</v>
      </c>
      <c r="I278" s="10" t="s">
        <v>3278</v>
      </c>
      <c r="J278" s="8" t="s">
        <v>3323</v>
      </c>
      <c r="K278" s="8" t="s">
        <v>29</v>
      </c>
      <c r="L278" s="8" t="s">
        <v>29</v>
      </c>
      <c r="M278" s="10" t="s">
        <v>29</v>
      </c>
      <c r="N278" s="8" t="s">
        <v>29</v>
      </c>
      <c r="O278" s="10" t="s">
        <v>19</v>
      </c>
      <c r="P278" s="8" t="s">
        <v>3324</v>
      </c>
      <c r="Q278" s="10" t="s">
        <v>190</v>
      </c>
      <c r="R278" s="10" t="s">
        <v>1387</v>
      </c>
      <c r="S278" s="8" t="s">
        <v>3325</v>
      </c>
      <c r="T278" s="10" t="s">
        <v>3177</v>
      </c>
      <c r="U278" s="10" t="s">
        <v>29</v>
      </c>
    </row>
    <row r="279" spans="1:21" s="10" customFormat="1" x14ac:dyDescent="0.25">
      <c r="A279" s="10" t="s">
        <v>3326</v>
      </c>
      <c r="B279" s="10" t="s">
        <v>2763</v>
      </c>
      <c r="C279" s="10" t="s">
        <v>166</v>
      </c>
      <c r="D279" s="10" t="s">
        <v>3327</v>
      </c>
      <c r="E279" s="8" t="s">
        <v>3328</v>
      </c>
      <c r="F279" s="8" t="s">
        <v>3329</v>
      </c>
      <c r="G279" s="10" t="s">
        <v>29</v>
      </c>
      <c r="H279" s="8" t="s">
        <v>3302</v>
      </c>
      <c r="I279" s="10" t="s">
        <v>1102</v>
      </c>
      <c r="J279" s="8" t="s">
        <v>1529</v>
      </c>
      <c r="K279" s="8" t="s">
        <v>29</v>
      </c>
      <c r="L279" s="8" t="s">
        <v>29</v>
      </c>
      <c r="M279" s="10" t="s">
        <v>29</v>
      </c>
      <c r="N279" s="8" t="s">
        <v>29</v>
      </c>
      <c r="O279" s="10" t="s">
        <v>19</v>
      </c>
      <c r="P279" s="8" t="s">
        <v>3330</v>
      </c>
      <c r="Q279" s="10" t="s">
        <v>174</v>
      </c>
      <c r="R279" s="10" t="s">
        <v>1387</v>
      </c>
      <c r="S279" s="8" t="s">
        <v>3331</v>
      </c>
      <c r="T279" s="10" t="s">
        <v>3177</v>
      </c>
      <c r="U279" s="10" t="s">
        <v>29</v>
      </c>
    </row>
    <row r="280" spans="1:21" s="10" customFormat="1" x14ac:dyDescent="0.25">
      <c r="A280" s="10" t="s">
        <v>3332</v>
      </c>
      <c r="B280" s="10" t="s">
        <v>2763</v>
      </c>
      <c r="C280" s="11" t="s">
        <v>297</v>
      </c>
      <c r="D280" s="10" t="s">
        <v>3333</v>
      </c>
      <c r="E280" s="8" t="s">
        <v>3334</v>
      </c>
      <c r="F280" s="8" t="s">
        <v>3335</v>
      </c>
      <c r="G280" s="10" t="s">
        <v>29</v>
      </c>
      <c r="H280" s="8" t="s">
        <v>1604</v>
      </c>
      <c r="I280" s="10" t="s">
        <v>3336</v>
      </c>
      <c r="J280" s="8" t="s">
        <v>1606</v>
      </c>
      <c r="K280" s="8" t="s">
        <v>29</v>
      </c>
      <c r="L280" s="8" t="s">
        <v>29</v>
      </c>
      <c r="M280" s="10" t="s">
        <v>29</v>
      </c>
      <c r="N280" s="8" t="s">
        <v>29</v>
      </c>
      <c r="O280" s="10" t="s">
        <v>19</v>
      </c>
      <c r="P280" s="8" t="s">
        <v>3337</v>
      </c>
      <c r="Q280" s="10" t="s">
        <v>1399</v>
      </c>
      <c r="R280" s="10" t="s">
        <v>1608</v>
      </c>
      <c r="S280" s="8" t="s">
        <v>3338</v>
      </c>
      <c r="T280" s="10" t="s">
        <v>3177</v>
      </c>
      <c r="U280" s="10" t="s">
        <v>29</v>
      </c>
    </row>
    <row r="281" spans="1:21" s="10" customFormat="1" x14ac:dyDescent="0.25">
      <c r="A281" s="10" t="s">
        <v>3339</v>
      </c>
      <c r="B281" s="10" t="s">
        <v>2763</v>
      </c>
      <c r="C281" s="11" t="s">
        <v>297</v>
      </c>
      <c r="D281" s="10" t="s">
        <v>3340</v>
      </c>
      <c r="E281" s="8" t="s">
        <v>3341</v>
      </c>
      <c r="F281" s="8" t="s">
        <v>3342</v>
      </c>
      <c r="G281" s="10" t="s">
        <v>29</v>
      </c>
      <c r="H281" s="8" t="s">
        <v>2120</v>
      </c>
      <c r="I281" s="10" t="s">
        <v>1102</v>
      </c>
      <c r="J281" s="8" t="s">
        <v>1615</v>
      </c>
      <c r="K281" s="8" t="s">
        <v>29</v>
      </c>
      <c r="L281" s="8" t="s">
        <v>29</v>
      </c>
      <c r="M281" s="10" t="s">
        <v>29</v>
      </c>
      <c r="N281" s="8" t="s">
        <v>29</v>
      </c>
      <c r="O281" s="10" t="s">
        <v>19</v>
      </c>
      <c r="P281" s="8" t="s">
        <v>3343</v>
      </c>
      <c r="Q281" s="10" t="s">
        <v>776</v>
      </c>
      <c r="R281" s="10" t="s">
        <v>2122</v>
      </c>
      <c r="S281" s="8" t="s">
        <v>1618</v>
      </c>
      <c r="T281" s="10" t="s">
        <v>3177</v>
      </c>
      <c r="U281" s="10" t="s">
        <v>29</v>
      </c>
    </row>
    <row r="282" spans="1:21" s="10" customFormat="1" x14ac:dyDescent="0.25">
      <c r="A282" s="10" t="s">
        <v>3344</v>
      </c>
      <c r="B282" s="10" t="s">
        <v>2763</v>
      </c>
      <c r="C282" s="10" t="s">
        <v>166</v>
      </c>
      <c r="D282" s="10" t="s">
        <v>3345</v>
      </c>
      <c r="E282" s="8" t="s">
        <v>3346</v>
      </c>
      <c r="F282" s="8" t="s">
        <v>3347</v>
      </c>
      <c r="G282" s="10" t="s">
        <v>29</v>
      </c>
      <c r="H282" s="8" t="s">
        <v>3348</v>
      </c>
      <c r="I282" s="10" t="s">
        <v>3349</v>
      </c>
      <c r="J282" s="8" t="s">
        <v>2769</v>
      </c>
      <c r="K282" s="8" t="s">
        <v>29</v>
      </c>
      <c r="L282" s="8" t="s">
        <v>29</v>
      </c>
      <c r="M282" s="10" t="s">
        <v>29</v>
      </c>
      <c r="N282" s="8" t="s">
        <v>29</v>
      </c>
      <c r="O282" s="10" t="s">
        <v>19</v>
      </c>
      <c r="P282" s="8" t="s">
        <v>3350</v>
      </c>
      <c r="Q282" s="10" t="s">
        <v>174</v>
      </c>
      <c r="R282" s="10" t="s">
        <v>1387</v>
      </c>
      <c r="S282" s="8" t="s">
        <v>3351</v>
      </c>
      <c r="T282" s="10" t="s">
        <v>3352</v>
      </c>
      <c r="U282" s="10" t="s">
        <v>29</v>
      </c>
    </row>
    <row r="283" spans="1:21" s="10" customFormat="1" x14ac:dyDescent="0.25">
      <c r="A283" s="10" t="s">
        <v>3353</v>
      </c>
      <c r="B283" s="10" t="s">
        <v>2763</v>
      </c>
      <c r="C283" s="10" t="s">
        <v>335</v>
      </c>
      <c r="D283" s="10" t="s">
        <v>3354</v>
      </c>
      <c r="E283" s="8" t="s">
        <v>3355</v>
      </c>
      <c r="F283" s="8" t="s">
        <v>3356</v>
      </c>
      <c r="G283" s="10" t="s">
        <v>29</v>
      </c>
      <c r="H283" s="8" t="s">
        <v>3357</v>
      </c>
      <c r="I283" s="10" t="s">
        <v>3358</v>
      </c>
      <c r="J283" s="8" t="s">
        <v>2769</v>
      </c>
      <c r="K283" s="8" t="s">
        <v>29</v>
      </c>
      <c r="L283" s="8" t="s">
        <v>29</v>
      </c>
      <c r="M283" s="10" t="s">
        <v>29</v>
      </c>
      <c r="N283" s="8" t="s">
        <v>29</v>
      </c>
      <c r="O283" s="10" t="s">
        <v>19</v>
      </c>
      <c r="P283" s="8" t="s">
        <v>3359</v>
      </c>
      <c r="Q283" s="10" t="s">
        <v>174</v>
      </c>
      <c r="R283" s="10" t="s">
        <v>1387</v>
      </c>
      <c r="S283" s="8" t="s">
        <v>3360</v>
      </c>
      <c r="T283" s="10" t="s">
        <v>3352</v>
      </c>
      <c r="U283" s="10" t="s">
        <v>29</v>
      </c>
    </row>
    <row r="284" spans="1:21" s="10" customFormat="1" x14ac:dyDescent="0.25">
      <c r="A284" s="10" t="s">
        <v>3361</v>
      </c>
      <c r="B284" s="10" t="s">
        <v>2763</v>
      </c>
      <c r="C284" s="10" t="s">
        <v>335</v>
      </c>
      <c r="D284" s="10" t="s">
        <v>3362</v>
      </c>
      <c r="E284" s="8" t="s">
        <v>3363</v>
      </c>
      <c r="F284" s="8" t="s">
        <v>3364</v>
      </c>
      <c r="G284" s="10" t="s">
        <v>29</v>
      </c>
      <c r="H284" s="8" t="s">
        <v>3365</v>
      </c>
      <c r="I284" s="10" t="s">
        <v>819</v>
      </c>
      <c r="J284" s="8" t="s">
        <v>2769</v>
      </c>
      <c r="K284" s="8" t="s">
        <v>29</v>
      </c>
      <c r="L284" s="8" t="s">
        <v>29</v>
      </c>
      <c r="M284" s="10" t="s">
        <v>29</v>
      </c>
      <c r="N284" s="8" t="s">
        <v>29</v>
      </c>
      <c r="O284" s="10" t="s">
        <v>19</v>
      </c>
      <c r="P284" s="8" t="s">
        <v>3366</v>
      </c>
      <c r="Q284" s="10" t="s">
        <v>174</v>
      </c>
      <c r="R284" s="10" t="s">
        <v>1387</v>
      </c>
      <c r="S284" s="8" t="s">
        <v>1388</v>
      </c>
      <c r="T284" s="10" t="s">
        <v>3352</v>
      </c>
      <c r="U284" s="10" t="s">
        <v>29</v>
      </c>
    </row>
    <row r="285" spans="1:21" s="10" customFormat="1" x14ac:dyDescent="0.25">
      <c r="A285" s="10" t="s">
        <v>3367</v>
      </c>
      <c r="B285" s="10" t="s">
        <v>2763</v>
      </c>
      <c r="C285" s="11" t="s">
        <v>297</v>
      </c>
      <c r="D285" s="10" t="s">
        <v>3368</v>
      </c>
      <c r="E285" s="8" t="s">
        <v>3369</v>
      </c>
      <c r="F285" s="8" t="s">
        <v>3370</v>
      </c>
      <c r="G285" s="10" t="s">
        <v>29</v>
      </c>
      <c r="H285" s="8" t="s">
        <v>3371</v>
      </c>
      <c r="I285" s="10" t="s">
        <v>3349</v>
      </c>
      <c r="J285" s="8" t="s">
        <v>2769</v>
      </c>
      <c r="K285" s="8" t="s">
        <v>29</v>
      </c>
      <c r="L285" s="8" t="s">
        <v>29</v>
      </c>
      <c r="M285" s="10" t="s">
        <v>29</v>
      </c>
      <c r="N285" s="8" t="s">
        <v>29</v>
      </c>
      <c r="O285" s="10" t="s">
        <v>19</v>
      </c>
      <c r="P285" s="8" t="s">
        <v>3372</v>
      </c>
      <c r="Q285" s="10" t="s">
        <v>174</v>
      </c>
      <c r="R285" s="10" t="s">
        <v>1387</v>
      </c>
      <c r="S285" s="8" t="s">
        <v>3373</v>
      </c>
      <c r="T285" s="10" t="s">
        <v>3352</v>
      </c>
      <c r="U285" s="10" t="s">
        <v>29</v>
      </c>
    </row>
    <row r="286" spans="1:21" s="10" customFormat="1" x14ac:dyDescent="0.25">
      <c r="A286" s="10" t="s">
        <v>3374</v>
      </c>
      <c r="B286" s="10" t="s">
        <v>2763</v>
      </c>
      <c r="C286" s="11" t="s">
        <v>297</v>
      </c>
      <c r="D286" s="10" t="s">
        <v>3375</v>
      </c>
      <c r="E286" s="8" t="s">
        <v>3376</v>
      </c>
      <c r="F286" s="8" t="s">
        <v>3377</v>
      </c>
      <c r="G286" s="10" t="s">
        <v>29</v>
      </c>
      <c r="H286" s="8" t="s">
        <v>3378</v>
      </c>
      <c r="I286" s="10" t="s">
        <v>3379</v>
      </c>
      <c r="J286" s="8" t="s">
        <v>2769</v>
      </c>
      <c r="K286" s="8" t="s">
        <v>29</v>
      </c>
      <c r="L286" s="8" t="s">
        <v>29</v>
      </c>
      <c r="M286" s="10" t="s">
        <v>29</v>
      </c>
      <c r="N286" s="8" t="s">
        <v>29</v>
      </c>
      <c r="O286" s="10" t="s">
        <v>19</v>
      </c>
      <c r="P286" s="8" t="s">
        <v>3380</v>
      </c>
      <c r="Q286" s="10" t="s">
        <v>197</v>
      </c>
      <c r="R286" s="10" t="s">
        <v>1387</v>
      </c>
      <c r="S286" s="8" t="s">
        <v>3381</v>
      </c>
      <c r="T286" s="10" t="s">
        <v>3352</v>
      </c>
      <c r="U286" s="10" t="s">
        <v>29</v>
      </c>
    </row>
    <row r="287" spans="1:21" s="10" customFormat="1" x14ac:dyDescent="0.25">
      <c r="A287" s="10" t="s">
        <v>3382</v>
      </c>
      <c r="B287" s="10" t="s">
        <v>2763</v>
      </c>
      <c r="C287" s="10" t="s">
        <v>166</v>
      </c>
      <c r="D287" s="10" t="s">
        <v>3383</v>
      </c>
      <c r="E287" s="8" t="s">
        <v>3384</v>
      </c>
      <c r="F287" s="8" t="s">
        <v>3385</v>
      </c>
      <c r="G287" s="10" t="s">
        <v>29</v>
      </c>
      <c r="H287" s="8" t="s">
        <v>3386</v>
      </c>
      <c r="I287" s="10" t="s">
        <v>3387</v>
      </c>
      <c r="J287" s="8" t="s">
        <v>2769</v>
      </c>
      <c r="K287" s="8" t="s">
        <v>29</v>
      </c>
      <c r="L287" s="8" t="s">
        <v>29</v>
      </c>
      <c r="M287" s="10" t="s">
        <v>29</v>
      </c>
      <c r="N287" s="8" t="s">
        <v>29</v>
      </c>
      <c r="O287" s="10" t="s">
        <v>19</v>
      </c>
      <c r="P287" s="8" t="s">
        <v>3388</v>
      </c>
      <c r="Q287" s="10" t="s">
        <v>174</v>
      </c>
      <c r="R287" s="10" t="s">
        <v>1387</v>
      </c>
      <c r="S287" s="8" t="s">
        <v>3389</v>
      </c>
      <c r="T287" s="10" t="s">
        <v>3352</v>
      </c>
      <c r="U287" s="10" t="s">
        <v>29</v>
      </c>
    </row>
    <row r="288" spans="1:21" s="10" customFormat="1" x14ac:dyDescent="0.25">
      <c r="A288" s="10" t="s">
        <v>3390</v>
      </c>
      <c r="B288" s="10" t="s">
        <v>2763</v>
      </c>
      <c r="C288" s="10" t="s">
        <v>166</v>
      </c>
      <c r="D288" s="10" t="s">
        <v>3391</v>
      </c>
      <c r="E288" s="8" t="s">
        <v>3392</v>
      </c>
      <c r="F288" s="8" t="s">
        <v>3393</v>
      </c>
      <c r="G288" s="10" t="s">
        <v>29</v>
      </c>
      <c r="H288" s="8" t="s">
        <v>3394</v>
      </c>
      <c r="I288" s="10" t="s">
        <v>819</v>
      </c>
      <c r="J288" s="8" t="s">
        <v>2769</v>
      </c>
      <c r="K288" s="8" t="s">
        <v>29</v>
      </c>
      <c r="L288" s="8" t="s">
        <v>29</v>
      </c>
      <c r="M288" s="10" t="s">
        <v>29</v>
      </c>
      <c r="N288" s="8" t="s">
        <v>29</v>
      </c>
      <c r="O288" s="10" t="s">
        <v>19</v>
      </c>
      <c r="P288" s="8" t="s">
        <v>3395</v>
      </c>
      <c r="Q288" s="10" t="s">
        <v>190</v>
      </c>
      <c r="R288" s="10" t="s">
        <v>1387</v>
      </c>
      <c r="S288" s="8" t="s">
        <v>3396</v>
      </c>
      <c r="T288" s="10" t="s">
        <v>3352</v>
      </c>
      <c r="U288" s="10" t="s">
        <v>29</v>
      </c>
    </row>
    <row r="289" spans="1:21" s="10" customFormat="1" x14ac:dyDescent="0.25">
      <c r="A289" s="10" t="s">
        <v>3397</v>
      </c>
      <c r="B289" s="10" t="s">
        <v>2763</v>
      </c>
      <c r="C289" s="10" t="s">
        <v>166</v>
      </c>
      <c r="D289" s="10" t="s">
        <v>3398</v>
      </c>
      <c r="E289" s="8" t="s">
        <v>3399</v>
      </c>
      <c r="F289" s="8" t="s">
        <v>3400</v>
      </c>
      <c r="G289" s="10" t="s">
        <v>29</v>
      </c>
      <c r="H289" s="8" t="s">
        <v>3401</v>
      </c>
      <c r="I289" s="10" t="s">
        <v>3387</v>
      </c>
      <c r="J289" s="8" t="s">
        <v>2769</v>
      </c>
      <c r="K289" s="8" t="s">
        <v>29</v>
      </c>
      <c r="L289" s="8" t="s">
        <v>29</v>
      </c>
      <c r="M289" s="10" t="s">
        <v>29</v>
      </c>
      <c r="N289" s="8" t="s">
        <v>29</v>
      </c>
      <c r="O289" s="10" t="s">
        <v>19</v>
      </c>
      <c r="P289" s="8" t="s">
        <v>3402</v>
      </c>
      <c r="Q289" s="10" t="s">
        <v>190</v>
      </c>
      <c r="R289" s="10" t="s">
        <v>1387</v>
      </c>
      <c r="S289" s="8" t="s">
        <v>3403</v>
      </c>
      <c r="T289" s="10" t="s">
        <v>3352</v>
      </c>
      <c r="U289" s="10" t="s">
        <v>29</v>
      </c>
    </row>
    <row r="290" spans="1:21" s="10" customFormat="1" x14ac:dyDescent="0.25">
      <c r="A290" s="10" t="s">
        <v>3404</v>
      </c>
      <c r="B290" s="10" t="s">
        <v>2763</v>
      </c>
      <c r="C290" s="10" t="s">
        <v>166</v>
      </c>
      <c r="D290" s="10" t="s">
        <v>3405</v>
      </c>
      <c r="E290" s="8" t="s">
        <v>3406</v>
      </c>
      <c r="F290" s="8" t="s">
        <v>3407</v>
      </c>
      <c r="G290" s="10" t="s">
        <v>29</v>
      </c>
      <c r="H290" s="8" t="s">
        <v>3408</v>
      </c>
      <c r="I290" s="10" t="s">
        <v>3358</v>
      </c>
      <c r="J290" s="8" t="s">
        <v>2769</v>
      </c>
      <c r="K290" s="8" t="s">
        <v>29</v>
      </c>
      <c r="L290" s="8" t="s">
        <v>29</v>
      </c>
      <c r="M290" s="10" t="s">
        <v>29</v>
      </c>
      <c r="N290" s="8" t="s">
        <v>29</v>
      </c>
      <c r="O290" s="10" t="s">
        <v>19</v>
      </c>
      <c r="P290" s="8" t="s">
        <v>3409</v>
      </c>
      <c r="Q290" s="10" t="s">
        <v>190</v>
      </c>
      <c r="R290" s="10" t="s">
        <v>1387</v>
      </c>
      <c r="S290" s="8" t="s">
        <v>3410</v>
      </c>
      <c r="T290" s="10" t="s">
        <v>3352</v>
      </c>
      <c r="U290" s="10" t="s">
        <v>29</v>
      </c>
    </row>
    <row r="291" spans="1:21" s="10" customFormat="1" x14ac:dyDescent="0.25">
      <c r="A291" s="10" t="s">
        <v>3411</v>
      </c>
      <c r="B291" s="10" t="s">
        <v>2763</v>
      </c>
      <c r="C291" s="10" t="s">
        <v>166</v>
      </c>
      <c r="D291" s="10" t="s">
        <v>3412</v>
      </c>
      <c r="E291" s="8" t="s">
        <v>3413</v>
      </c>
      <c r="F291" s="8" t="s">
        <v>3414</v>
      </c>
      <c r="G291" s="10" t="s">
        <v>29</v>
      </c>
      <c r="H291" s="8" t="s">
        <v>3415</v>
      </c>
      <c r="I291" s="10" t="s">
        <v>3358</v>
      </c>
      <c r="J291" s="8" t="s">
        <v>2769</v>
      </c>
      <c r="K291" s="8" t="s">
        <v>29</v>
      </c>
      <c r="L291" s="8" t="s">
        <v>29</v>
      </c>
      <c r="M291" s="10" t="s">
        <v>29</v>
      </c>
      <c r="N291" s="8" t="s">
        <v>29</v>
      </c>
      <c r="O291" s="10" t="s">
        <v>19</v>
      </c>
      <c r="P291" s="8" t="s">
        <v>3416</v>
      </c>
      <c r="Q291" s="10" t="s">
        <v>190</v>
      </c>
      <c r="R291" s="10" t="s">
        <v>1387</v>
      </c>
      <c r="S291" s="8" t="s">
        <v>3417</v>
      </c>
      <c r="T291" s="10" t="s">
        <v>3352</v>
      </c>
      <c r="U291" s="10" t="s">
        <v>29</v>
      </c>
    </row>
    <row r="292" spans="1:21" s="10" customFormat="1" x14ac:dyDescent="0.25">
      <c r="A292" s="10" t="s">
        <v>3418</v>
      </c>
      <c r="B292" s="10" t="s">
        <v>2763</v>
      </c>
      <c r="C292" s="11" t="s">
        <v>297</v>
      </c>
      <c r="D292" s="10" t="s">
        <v>3419</v>
      </c>
      <c r="E292" s="8" t="s">
        <v>3420</v>
      </c>
      <c r="F292" s="8" t="s">
        <v>3421</v>
      </c>
      <c r="G292" s="10" t="s">
        <v>29</v>
      </c>
      <c r="H292" s="8" t="s">
        <v>3422</v>
      </c>
      <c r="I292" s="10" t="s">
        <v>3379</v>
      </c>
      <c r="J292" s="8" t="s">
        <v>2769</v>
      </c>
      <c r="K292" s="8" t="s">
        <v>29</v>
      </c>
      <c r="L292" s="8" t="s">
        <v>29</v>
      </c>
      <c r="M292" s="10" t="s">
        <v>29</v>
      </c>
      <c r="N292" s="8" t="s">
        <v>29</v>
      </c>
      <c r="O292" s="10" t="s">
        <v>19</v>
      </c>
      <c r="P292" s="8" t="s">
        <v>3423</v>
      </c>
      <c r="Q292" s="10" t="s">
        <v>197</v>
      </c>
      <c r="R292" s="10" t="s">
        <v>1387</v>
      </c>
      <c r="S292" s="8" t="s">
        <v>3424</v>
      </c>
      <c r="T292" s="10" t="s">
        <v>3352</v>
      </c>
      <c r="U292" s="10" t="s">
        <v>29</v>
      </c>
    </row>
    <row r="293" spans="1:21" s="10" customFormat="1" x14ac:dyDescent="0.25">
      <c r="A293" s="10" t="s">
        <v>3425</v>
      </c>
      <c r="B293" s="10" t="s">
        <v>2763</v>
      </c>
      <c r="C293" s="10" t="s">
        <v>166</v>
      </c>
      <c r="D293" s="10" t="s">
        <v>3426</v>
      </c>
      <c r="E293" s="8" t="s">
        <v>3427</v>
      </c>
      <c r="F293" s="8" t="s">
        <v>3428</v>
      </c>
      <c r="G293" s="10" t="s">
        <v>29</v>
      </c>
      <c r="H293" s="8" t="s">
        <v>3429</v>
      </c>
      <c r="I293" s="10" t="s">
        <v>3387</v>
      </c>
      <c r="J293" s="8" t="s">
        <v>2769</v>
      </c>
      <c r="K293" s="8" t="s">
        <v>29</v>
      </c>
      <c r="L293" s="8" t="s">
        <v>29</v>
      </c>
      <c r="M293" s="10" t="s">
        <v>29</v>
      </c>
      <c r="N293" s="8" t="s">
        <v>29</v>
      </c>
      <c r="O293" s="10" t="s">
        <v>19</v>
      </c>
      <c r="P293" s="8" t="s">
        <v>3430</v>
      </c>
      <c r="Q293" s="10" t="s">
        <v>190</v>
      </c>
      <c r="R293" s="10" t="s">
        <v>1387</v>
      </c>
      <c r="S293" s="8" t="s">
        <v>3431</v>
      </c>
      <c r="T293" s="10" t="s">
        <v>3352</v>
      </c>
      <c r="U293" s="10" t="s">
        <v>29</v>
      </c>
    </row>
    <row r="294" spans="1:21" s="10" customFormat="1" x14ac:dyDescent="0.25">
      <c r="A294" s="10" t="s">
        <v>3432</v>
      </c>
      <c r="B294" s="10" t="s">
        <v>2763</v>
      </c>
      <c r="C294" s="10" t="s">
        <v>335</v>
      </c>
      <c r="D294" s="10" t="s">
        <v>3433</v>
      </c>
      <c r="E294" s="8" t="s">
        <v>3434</v>
      </c>
      <c r="F294" s="8" t="s">
        <v>3435</v>
      </c>
      <c r="G294" s="10" t="s">
        <v>29</v>
      </c>
      <c r="H294" s="8" t="s">
        <v>3436</v>
      </c>
      <c r="I294" s="10" t="s">
        <v>819</v>
      </c>
      <c r="J294" s="8" t="s">
        <v>2769</v>
      </c>
      <c r="K294" s="8" t="s">
        <v>29</v>
      </c>
      <c r="L294" s="8" t="s">
        <v>29</v>
      </c>
      <c r="M294" s="10" t="s">
        <v>29</v>
      </c>
      <c r="N294" s="8" t="s">
        <v>29</v>
      </c>
      <c r="O294" s="10" t="s">
        <v>19</v>
      </c>
      <c r="P294" s="8" t="s">
        <v>3437</v>
      </c>
      <c r="Q294" s="10" t="s">
        <v>174</v>
      </c>
      <c r="R294" s="10" t="s">
        <v>1387</v>
      </c>
      <c r="S294" s="8" t="s">
        <v>3438</v>
      </c>
      <c r="T294" s="10" t="s">
        <v>3352</v>
      </c>
      <c r="U294" s="10" t="s">
        <v>29</v>
      </c>
    </row>
    <row r="295" spans="1:21" s="10" customFormat="1" x14ac:dyDescent="0.25">
      <c r="A295" s="10" t="s">
        <v>3439</v>
      </c>
      <c r="B295" s="10" t="s">
        <v>2763</v>
      </c>
      <c r="C295" s="10" t="s">
        <v>166</v>
      </c>
      <c r="D295" s="10" t="s">
        <v>3440</v>
      </c>
      <c r="E295" s="8" t="s">
        <v>3441</v>
      </c>
      <c r="F295" s="8" t="s">
        <v>3442</v>
      </c>
      <c r="G295" s="10" t="s">
        <v>29</v>
      </c>
      <c r="H295" s="8" t="s">
        <v>3443</v>
      </c>
      <c r="I295" s="10" t="s">
        <v>3387</v>
      </c>
      <c r="J295" s="8" t="s">
        <v>2769</v>
      </c>
      <c r="K295" s="8" t="s">
        <v>29</v>
      </c>
      <c r="L295" s="8" t="s">
        <v>29</v>
      </c>
      <c r="M295" s="10" t="s">
        <v>29</v>
      </c>
      <c r="N295" s="8" t="s">
        <v>29</v>
      </c>
      <c r="O295" s="10" t="s">
        <v>19</v>
      </c>
      <c r="P295" s="8" t="s">
        <v>3444</v>
      </c>
      <c r="Q295" s="10" t="s">
        <v>174</v>
      </c>
      <c r="R295" s="10" t="s">
        <v>1387</v>
      </c>
      <c r="S295" s="8" t="s">
        <v>3445</v>
      </c>
      <c r="T295" s="10" t="s">
        <v>3352</v>
      </c>
      <c r="U295" s="10" t="s">
        <v>29</v>
      </c>
    </row>
    <row r="296" spans="1:21" s="10" customFormat="1" x14ac:dyDescent="0.25">
      <c r="A296" s="10" t="s">
        <v>3446</v>
      </c>
      <c r="B296" s="10" t="s">
        <v>2763</v>
      </c>
      <c r="C296" s="10" t="s">
        <v>166</v>
      </c>
      <c r="D296" s="10" t="s">
        <v>3447</v>
      </c>
      <c r="E296" s="8" t="s">
        <v>3448</v>
      </c>
      <c r="F296" s="8" t="s">
        <v>3449</v>
      </c>
      <c r="G296" s="10" t="s">
        <v>29</v>
      </c>
      <c r="H296" s="8" t="s">
        <v>3450</v>
      </c>
      <c r="I296" s="10" t="s">
        <v>3358</v>
      </c>
      <c r="J296" s="8" t="s">
        <v>2769</v>
      </c>
      <c r="K296" s="8" t="s">
        <v>29</v>
      </c>
      <c r="L296" s="8" t="s">
        <v>29</v>
      </c>
      <c r="M296" s="10" t="s">
        <v>29</v>
      </c>
      <c r="N296" s="8" t="s">
        <v>29</v>
      </c>
      <c r="O296" s="10" t="s">
        <v>19</v>
      </c>
      <c r="P296" s="8" t="s">
        <v>3451</v>
      </c>
      <c r="Q296" s="10" t="s">
        <v>174</v>
      </c>
      <c r="R296" s="10" t="s">
        <v>1387</v>
      </c>
      <c r="S296" s="8" t="s">
        <v>3452</v>
      </c>
      <c r="T296" s="10" t="s">
        <v>3352</v>
      </c>
      <c r="U296" s="10" t="s">
        <v>29</v>
      </c>
    </row>
    <row r="297" spans="1:21" s="10" customFormat="1" x14ac:dyDescent="0.25">
      <c r="A297" s="10" t="s">
        <v>3453</v>
      </c>
      <c r="B297" s="10" t="s">
        <v>2763</v>
      </c>
      <c r="C297" s="10" t="s">
        <v>166</v>
      </c>
      <c r="D297" s="10" t="s">
        <v>3454</v>
      </c>
      <c r="E297" s="8" t="s">
        <v>3455</v>
      </c>
      <c r="F297" s="8" t="s">
        <v>3456</v>
      </c>
      <c r="G297" s="10" t="s">
        <v>29</v>
      </c>
      <c r="H297" s="8" t="s">
        <v>3450</v>
      </c>
      <c r="I297" s="10" t="s">
        <v>819</v>
      </c>
      <c r="J297" s="8" t="s">
        <v>2769</v>
      </c>
      <c r="K297" s="8" t="s">
        <v>29</v>
      </c>
      <c r="L297" s="8" t="s">
        <v>29</v>
      </c>
      <c r="M297" s="10" t="s">
        <v>29</v>
      </c>
      <c r="N297" s="8" t="s">
        <v>29</v>
      </c>
      <c r="O297" s="10" t="s">
        <v>19</v>
      </c>
      <c r="P297" s="8" t="s">
        <v>3457</v>
      </c>
      <c r="Q297" s="10" t="s">
        <v>174</v>
      </c>
      <c r="R297" s="10" t="s">
        <v>1387</v>
      </c>
      <c r="S297" s="8" t="s">
        <v>3458</v>
      </c>
      <c r="T297" s="10" t="s">
        <v>3352</v>
      </c>
      <c r="U297" s="10" t="s">
        <v>29</v>
      </c>
    </row>
    <row r="298" spans="1:21" s="10" customFormat="1" x14ac:dyDescent="0.25">
      <c r="A298" s="10" t="s">
        <v>3459</v>
      </c>
      <c r="B298" s="10" t="s">
        <v>2763</v>
      </c>
      <c r="C298" s="10" t="s">
        <v>166</v>
      </c>
      <c r="D298" s="10" t="s">
        <v>3460</v>
      </c>
      <c r="E298" s="8" t="s">
        <v>3461</v>
      </c>
      <c r="F298" s="8" t="s">
        <v>3462</v>
      </c>
      <c r="G298" s="10" t="s">
        <v>29</v>
      </c>
      <c r="H298" s="8" t="s">
        <v>3386</v>
      </c>
      <c r="I298" s="10" t="s">
        <v>819</v>
      </c>
      <c r="J298" s="8" t="s">
        <v>2769</v>
      </c>
      <c r="K298" s="8" t="s">
        <v>29</v>
      </c>
      <c r="L298" s="8" t="s">
        <v>29</v>
      </c>
      <c r="M298" s="10" t="s">
        <v>29</v>
      </c>
      <c r="N298" s="8" t="s">
        <v>29</v>
      </c>
      <c r="O298" s="10" t="s">
        <v>19</v>
      </c>
      <c r="P298" s="8" t="s">
        <v>3463</v>
      </c>
      <c r="Q298" s="10" t="s">
        <v>174</v>
      </c>
      <c r="R298" s="10" t="s">
        <v>1387</v>
      </c>
      <c r="S298" s="8" t="s">
        <v>3464</v>
      </c>
      <c r="T298" s="10" t="s">
        <v>3352</v>
      </c>
      <c r="U298" s="10" t="s">
        <v>29</v>
      </c>
    </row>
    <row r="299" spans="1:21" s="10" customFormat="1" x14ac:dyDescent="0.25">
      <c r="A299" s="10" t="s">
        <v>3465</v>
      </c>
      <c r="B299" s="10" t="s">
        <v>2763</v>
      </c>
      <c r="C299" s="11" t="s">
        <v>297</v>
      </c>
      <c r="D299" s="10" t="s">
        <v>3466</v>
      </c>
      <c r="E299" s="8" t="s">
        <v>3467</v>
      </c>
      <c r="F299" s="8" t="s">
        <v>3468</v>
      </c>
      <c r="G299" s="10" t="s">
        <v>29</v>
      </c>
      <c r="H299" s="8" t="s">
        <v>3371</v>
      </c>
      <c r="I299" s="10" t="s">
        <v>3358</v>
      </c>
      <c r="J299" s="8" t="s">
        <v>2769</v>
      </c>
      <c r="K299" s="8" t="s">
        <v>29</v>
      </c>
      <c r="L299" s="8" t="s">
        <v>29</v>
      </c>
      <c r="M299" s="10" t="s">
        <v>29</v>
      </c>
      <c r="N299" s="8" t="s">
        <v>29</v>
      </c>
      <c r="O299" s="10" t="s">
        <v>19</v>
      </c>
      <c r="P299" s="8" t="s">
        <v>3469</v>
      </c>
      <c r="Q299" s="10" t="s">
        <v>174</v>
      </c>
      <c r="R299" s="10" t="s">
        <v>1387</v>
      </c>
      <c r="S299" s="8" t="s">
        <v>3438</v>
      </c>
      <c r="T299" s="10" t="s">
        <v>3352</v>
      </c>
      <c r="U299" s="10" t="s">
        <v>29</v>
      </c>
    </row>
    <row r="300" spans="1:21" s="10" customFormat="1" x14ac:dyDescent="0.25">
      <c r="A300" s="10" t="s">
        <v>3470</v>
      </c>
      <c r="B300" s="10" t="s">
        <v>2763</v>
      </c>
      <c r="C300" s="10" t="s">
        <v>335</v>
      </c>
      <c r="D300" s="10" t="s">
        <v>3471</v>
      </c>
      <c r="E300" s="8" t="s">
        <v>3472</v>
      </c>
      <c r="F300" s="8" t="s">
        <v>3473</v>
      </c>
      <c r="G300" s="10" t="s">
        <v>29</v>
      </c>
      <c r="H300" s="8" t="s">
        <v>3474</v>
      </c>
      <c r="I300" s="10" t="s">
        <v>3358</v>
      </c>
      <c r="J300" s="8" t="s">
        <v>2769</v>
      </c>
      <c r="K300" s="8" t="s">
        <v>29</v>
      </c>
      <c r="L300" s="8" t="s">
        <v>29</v>
      </c>
      <c r="M300" s="10" t="s">
        <v>29</v>
      </c>
      <c r="N300" s="8" t="s">
        <v>29</v>
      </c>
      <c r="O300" s="10" t="s">
        <v>19</v>
      </c>
      <c r="P300" s="8" t="s">
        <v>3475</v>
      </c>
      <c r="Q300" s="10" t="s">
        <v>174</v>
      </c>
      <c r="R300" s="10" t="s">
        <v>1387</v>
      </c>
      <c r="S300" s="8" t="s">
        <v>3476</v>
      </c>
      <c r="T300" s="10" t="s">
        <v>3352</v>
      </c>
      <c r="U300" s="10" t="s">
        <v>29</v>
      </c>
    </row>
    <row r="301" spans="1:21" s="10" customFormat="1" x14ac:dyDescent="0.25">
      <c r="A301" s="10" t="s">
        <v>3477</v>
      </c>
      <c r="B301" s="10" t="s">
        <v>2763</v>
      </c>
      <c r="C301" s="11" t="s">
        <v>297</v>
      </c>
      <c r="D301" s="10" t="s">
        <v>3478</v>
      </c>
      <c r="E301" s="8" t="s">
        <v>3479</v>
      </c>
      <c r="F301" s="8" t="s">
        <v>3480</v>
      </c>
      <c r="G301" s="10" t="s">
        <v>29</v>
      </c>
      <c r="H301" s="8" t="s">
        <v>1604</v>
      </c>
      <c r="I301" s="10" t="s">
        <v>3481</v>
      </c>
      <c r="J301" s="8" t="s">
        <v>1606</v>
      </c>
      <c r="K301" s="8" t="s">
        <v>29</v>
      </c>
      <c r="L301" s="8" t="s">
        <v>29</v>
      </c>
      <c r="M301" s="10" t="s">
        <v>29</v>
      </c>
      <c r="N301" s="8" t="s">
        <v>29</v>
      </c>
      <c r="O301" s="10" t="s">
        <v>19</v>
      </c>
      <c r="P301" s="8" t="s">
        <v>3482</v>
      </c>
      <c r="Q301" s="10" t="s">
        <v>1399</v>
      </c>
      <c r="R301" s="10" t="s">
        <v>1608</v>
      </c>
      <c r="S301" s="8" t="s">
        <v>3483</v>
      </c>
      <c r="T301" s="10" t="s">
        <v>3352</v>
      </c>
      <c r="U301" s="10" t="s">
        <v>29</v>
      </c>
    </row>
    <row r="302" spans="1:21" s="10" customFormat="1" x14ac:dyDescent="0.25">
      <c r="A302" s="10" t="s">
        <v>3484</v>
      </c>
      <c r="B302" s="10" t="s">
        <v>2763</v>
      </c>
      <c r="C302" s="11" t="s">
        <v>297</v>
      </c>
      <c r="D302" s="10" t="s">
        <v>3485</v>
      </c>
      <c r="E302" s="8" t="s">
        <v>3486</v>
      </c>
      <c r="F302" s="8" t="s">
        <v>1613</v>
      </c>
      <c r="G302" s="10" t="s">
        <v>29</v>
      </c>
      <c r="H302" s="8" t="s">
        <v>1614</v>
      </c>
      <c r="I302" s="10" t="s">
        <v>3358</v>
      </c>
      <c r="J302" s="8" t="s">
        <v>1615</v>
      </c>
      <c r="K302" s="8" t="s">
        <v>29</v>
      </c>
      <c r="L302" s="8" t="s">
        <v>29</v>
      </c>
      <c r="M302" s="10" t="s">
        <v>29</v>
      </c>
      <c r="N302" s="8" t="s">
        <v>29</v>
      </c>
      <c r="O302" s="10" t="s">
        <v>19</v>
      </c>
      <c r="P302" s="8" t="s">
        <v>3487</v>
      </c>
      <c r="Q302" s="10" t="s">
        <v>776</v>
      </c>
      <c r="R302" s="10" t="s">
        <v>1617</v>
      </c>
      <c r="S302" s="8" t="s">
        <v>1618</v>
      </c>
      <c r="T302" s="10" t="s">
        <v>3352</v>
      </c>
      <c r="U302" s="10" t="s">
        <v>29</v>
      </c>
    </row>
    <row r="303" spans="1:21" s="10" customFormat="1" x14ac:dyDescent="0.25">
      <c r="A303" s="10" t="s">
        <v>3488</v>
      </c>
      <c r="B303" s="10" t="s">
        <v>2763</v>
      </c>
      <c r="C303" s="10" t="s">
        <v>166</v>
      </c>
      <c r="D303" s="10" t="s">
        <v>3489</v>
      </c>
      <c r="E303" s="8" t="s">
        <v>3490</v>
      </c>
      <c r="F303" s="8" t="s">
        <v>3491</v>
      </c>
      <c r="G303" s="10" t="s">
        <v>29</v>
      </c>
      <c r="H303" s="8" t="s">
        <v>3450</v>
      </c>
      <c r="I303" s="10" t="s">
        <v>819</v>
      </c>
      <c r="J303" s="8" t="s">
        <v>2769</v>
      </c>
      <c r="K303" s="8" t="s">
        <v>29</v>
      </c>
      <c r="L303" s="8" t="s">
        <v>29</v>
      </c>
      <c r="M303" s="10" t="s">
        <v>29</v>
      </c>
      <c r="N303" s="8" t="s">
        <v>29</v>
      </c>
      <c r="O303" s="10" t="s">
        <v>19</v>
      </c>
      <c r="P303" s="8" t="s">
        <v>3492</v>
      </c>
      <c r="Q303" s="10" t="s">
        <v>174</v>
      </c>
      <c r="R303" s="10" t="s">
        <v>1387</v>
      </c>
      <c r="S303" s="8" t="s">
        <v>1599</v>
      </c>
      <c r="T303" s="10" t="s">
        <v>3352</v>
      </c>
      <c r="U303" s="10" t="s">
        <v>29</v>
      </c>
    </row>
    <row r="304" spans="1:21" s="10" customFormat="1" x14ac:dyDescent="0.25">
      <c r="A304" s="10" t="s">
        <v>3493</v>
      </c>
      <c r="B304" s="10" t="s">
        <v>2763</v>
      </c>
      <c r="C304" s="10" t="s">
        <v>166</v>
      </c>
      <c r="D304" s="10" t="s">
        <v>3494</v>
      </c>
      <c r="E304" s="8" t="s">
        <v>3495</v>
      </c>
      <c r="F304" s="8" t="s">
        <v>3496</v>
      </c>
      <c r="G304" s="10" t="s">
        <v>29</v>
      </c>
      <c r="H304" s="8" t="s">
        <v>3497</v>
      </c>
      <c r="I304" s="10" t="s">
        <v>3498</v>
      </c>
      <c r="J304" s="8" t="s">
        <v>2769</v>
      </c>
      <c r="K304" s="8" t="s">
        <v>29</v>
      </c>
      <c r="L304" s="8" t="s">
        <v>29</v>
      </c>
      <c r="M304" s="10" t="s">
        <v>29</v>
      </c>
      <c r="N304" s="8" t="s">
        <v>29</v>
      </c>
      <c r="O304" s="10" t="s">
        <v>19</v>
      </c>
      <c r="P304" s="8" t="s">
        <v>3499</v>
      </c>
      <c r="Q304" s="10" t="s">
        <v>174</v>
      </c>
      <c r="R304" s="10" t="s">
        <v>1387</v>
      </c>
      <c r="S304" s="8" t="s">
        <v>3500</v>
      </c>
      <c r="T304" s="10" t="s">
        <v>3501</v>
      </c>
      <c r="U304" s="10" t="s">
        <v>29</v>
      </c>
    </row>
    <row r="305" spans="1:21" s="10" customFormat="1" x14ac:dyDescent="0.25">
      <c r="A305" s="10" t="s">
        <v>3502</v>
      </c>
      <c r="B305" s="10" t="s">
        <v>2763</v>
      </c>
      <c r="C305" s="10" t="s">
        <v>335</v>
      </c>
      <c r="D305" s="10" t="s">
        <v>3503</v>
      </c>
      <c r="E305" s="8" t="s">
        <v>3504</v>
      </c>
      <c r="F305" s="8" t="s">
        <v>3505</v>
      </c>
      <c r="G305" s="10" t="s">
        <v>29</v>
      </c>
      <c r="H305" s="8" t="s">
        <v>3506</v>
      </c>
      <c r="I305" s="10" t="s">
        <v>3507</v>
      </c>
      <c r="J305" s="8" t="s">
        <v>2769</v>
      </c>
      <c r="K305" s="8" t="s">
        <v>29</v>
      </c>
      <c r="L305" s="8" t="s">
        <v>29</v>
      </c>
      <c r="M305" s="10" t="s">
        <v>29</v>
      </c>
      <c r="N305" s="8" t="s">
        <v>29</v>
      </c>
      <c r="O305" s="10" t="s">
        <v>19</v>
      </c>
      <c r="P305" s="8" t="s">
        <v>3508</v>
      </c>
      <c r="Q305" s="10" t="s">
        <v>174</v>
      </c>
      <c r="R305" s="10" t="s">
        <v>1387</v>
      </c>
      <c r="S305" s="8" t="s">
        <v>3509</v>
      </c>
      <c r="T305" s="10" t="s">
        <v>3501</v>
      </c>
      <c r="U305" s="10" t="s">
        <v>29</v>
      </c>
    </row>
    <row r="306" spans="1:21" s="10" customFormat="1" x14ac:dyDescent="0.25">
      <c r="A306" s="10" t="s">
        <v>3510</v>
      </c>
      <c r="B306" s="10" t="s">
        <v>2763</v>
      </c>
      <c r="C306" s="11" t="s">
        <v>297</v>
      </c>
      <c r="D306" s="10" t="s">
        <v>3511</v>
      </c>
      <c r="E306" s="8" t="s">
        <v>3512</v>
      </c>
      <c r="F306" s="8" t="s">
        <v>3513</v>
      </c>
      <c r="G306" s="10" t="s">
        <v>29</v>
      </c>
      <c r="H306" s="8" t="s">
        <v>3514</v>
      </c>
      <c r="I306" s="10" t="s">
        <v>3515</v>
      </c>
      <c r="J306" s="8" t="s">
        <v>2769</v>
      </c>
      <c r="K306" s="8" t="s">
        <v>29</v>
      </c>
      <c r="L306" s="8" t="s">
        <v>29</v>
      </c>
      <c r="M306" s="10" t="s">
        <v>29</v>
      </c>
      <c r="N306" s="8" t="s">
        <v>29</v>
      </c>
      <c r="O306" s="10" t="s">
        <v>19</v>
      </c>
      <c r="P306" s="8" t="s">
        <v>3516</v>
      </c>
      <c r="Q306" s="10" t="s">
        <v>174</v>
      </c>
      <c r="R306" s="10" t="s">
        <v>1387</v>
      </c>
      <c r="S306" s="8" t="s">
        <v>3517</v>
      </c>
      <c r="T306" s="10" t="s">
        <v>3501</v>
      </c>
      <c r="U306" s="10" t="s">
        <v>29</v>
      </c>
    </row>
    <row r="307" spans="1:21" s="10" customFormat="1" x14ac:dyDescent="0.25">
      <c r="A307" s="10" t="s">
        <v>3518</v>
      </c>
      <c r="B307" s="10" t="s">
        <v>2763</v>
      </c>
      <c r="C307" s="10" t="s">
        <v>166</v>
      </c>
      <c r="D307" s="10" t="s">
        <v>3519</v>
      </c>
      <c r="E307" s="8" t="s">
        <v>3520</v>
      </c>
      <c r="F307" s="8" t="s">
        <v>3521</v>
      </c>
      <c r="G307" s="10" t="s">
        <v>29</v>
      </c>
      <c r="H307" s="8" t="s">
        <v>3522</v>
      </c>
      <c r="I307" s="10" t="s">
        <v>824</v>
      </c>
      <c r="J307" s="8" t="s">
        <v>2769</v>
      </c>
      <c r="K307" s="8" t="s">
        <v>29</v>
      </c>
      <c r="L307" s="8" t="s">
        <v>29</v>
      </c>
      <c r="M307" s="10" t="s">
        <v>29</v>
      </c>
      <c r="N307" s="8" t="s">
        <v>29</v>
      </c>
      <c r="O307" s="10" t="s">
        <v>19</v>
      </c>
      <c r="P307" s="8" t="s">
        <v>3523</v>
      </c>
      <c r="Q307" s="10" t="s">
        <v>190</v>
      </c>
      <c r="R307" s="10" t="s">
        <v>1387</v>
      </c>
      <c r="S307" s="8" t="s">
        <v>3524</v>
      </c>
      <c r="T307" s="10" t="s">
        <v>3501</v>
      </c>
      <c r="U307" s="10" t="s">
        <v>29</v>
      </c>
    </row>
    <row r="308" spans="1:21" s="10" customFormat="1" x14ac:dyDescent="0.25">
      <c r="A308" s="10" t="s">
        <v>3525</v>
      </c>
      <c r="B308" s="10" t="s">
        <v>2763</v>
      </c>
      <c r="C308" s="10" t="s">
        <v>166</v>
      </c>
      <c r="D308" s="10" t="s">
        <v>3526</v>
      </c>
      <c r="E308" s="8" t="s">
        <v>3527</v>
      </c>
      <c r="F308" s="8" t="s">
        <v>3528</v>
      </c>
      <c r="G308" s="10" t="s">
        <v>29</v>
      </c>
      <c r="H308" s="8" t="s">
        <v>3529</v>
      </c>
      <c r="I308" s="10" t="s">
        <v>824</v>
      </c>
      <c r="J308" s="8" t="s">
        <v>2769</v>
      </c>
      <c r="K308" s="8" t="s">
        <v>29</v>
      </c>
      <c r="L308" s="8" t="s">
        <v>29</v>
      </c>
      <c r="M308" s="10" t="s">
        <v>29</v>
      </c>
      <c r="N308" s="8" t="s">
        <v>29</v>
      </c>
      <c r="O308" s="10" t="s">
        <v>19</v>
      </c>
      <c r="P308" s="8" t="s">
        <v>3530</v>
      </c>
      <c r="Q308" s="10" t="s">
        <v>190</v>
      </c>
      <c r="R308" s="10" t="s">
        <v>1387</v>
      </c>
      <c r="S308" s="8" t="s">
        <v>3531</v>
      </c>
      <c r="T308" s="10" t="s">
        <v>3501</v>
      </c>
      <c r="U308" s="10" t="s">
        <v>29</v>
      </c>
    </row>
    <row r="309" spans="1:21" s="10" customFormat="1" x14ac:dyDescent="0.25">
      <c r="A309" s="10" t="s">
        <v>3532</v>
      </c>
      <c r="B309" s="10" t="s">
        <v>2763</v>
      </c>
      <c r="C309" s="11" t="s">
        <v>297</v>
      </c>
      <c r="D309" s="10" t="s">
        <v>3533</v>
      </c>
      <c r="E309" s="8" t="s">
        <v>3534</v>
      </c>
      <c r="F309" s="8" t="s">
        <v>3528</v>
      </c>
      <c r="G309" s="10" t="s">
        <v>29</v>
      </c>
      <c r="H309" s="8" t="s">
        <v>3535</v>
      </c>
      <c r="I309" s="10" t="s">
        <v>2570</v>
      </c>
      <c r="J309" s="8" t="s">
        <v>2769</v>
      </c>
      <c r="K309" s="8" t="s">
        <v>29</v>
      </c>
      <c r="L309" s="8" t="s">
        <v>29</v>
      </c>
      <c r="M309" s="10" t="s">
        <v>29</v>
      </c>
      <c r="N309" s="8" t="s">
        <v>29</v>
      </c>
      <c r="O309" s="10" t="s">
        <v>19</v>
      </c>
      <c r="P309" s="8" t="s">
        <v>3536</v>
      </c>
      <c r="Q309" s="10" t="s">
        <v>190</v>
      </c>
      <c r="R309" s="10" t="s">
        <v>1387</v>
      </c>
      <c r="S309" s="8" t="s">
        <v>3537</v>
      </c>
      <c r="T309" s="10" t="s">
        <v>3501</v>
      </c>
      <c r="U309" s="10" t="s">
        <v>29</v>
      </c>
    </row>
    <row r="310" spans="1:21" s="10" customFormat="1" x14ac:dyDescent="0.25">
      <c r="A310" s="10" t="s">
        <v>3538</v>
      </c>
      <c r="B310" s="10" t="s">
        <v>2763</v>
      </c>
      <c r="C310" s="11" t="s">
        <v>297</v>
      </c>
      <c r="D310" s="10" t="s">
        <v>3539</v>
      </c>
      <c r="E310" s="8" t="s">
        <v>3540</v>
      </c>
      <c r="F310" s="8" t="s">
        <v>3541</v>
      </c>
      <c r="G310" s="10" t="s">
        <v>29</v>
      </c>
      <c r="H310" s="8" t="s">
        <v>3542</v>
      </c>
      <c r="I310" s="10" t="s">
        <v>2570</v>
      </c>
      <c r="J310" s="8" t="s">
        <v>2769</v>
      </c>
      <c r="K310" s="8" t="s">
        <v>29</v>
      </c>
      <c r="L310" s="8" t="s">
        <v>29</v>
      </c>
      <c r="M310" s="10" t="s">
        <v>29</v>
      </c>
      <c r="N310" s="8" t="s">
        <v>29</v>
      </c>
      <c r="O310" s="10" t="s">
        <v>19</v>
      </c>
      <c r="P310" s="8" t="s">
        <v>3543</v>
      </c>
      <c r="Q310" s="10" t="s">
        <v>190</v>
      </c>
      <c r="R310" s="10" t="s">
        <v>1387</v>
      </c>
      <c r="S310" s="8" t="s">
        <v>3544</v>
      </c>
      <c r="T310" s="10" t="s">
        <v>3501</v>
      </c>
      <c r="U310" s="10" t="s">
        <v>29</v>
      </c>
    </row>
    <row r="311" spans="1:21" s="10" customFormat="1" x14ac:dyDescent="0.25">
      <c r="A311" s="10" t="s">
        <v>3545</v>
      </c>
      <c r="B311" s="10" t="s">
        <v>2763</v>
      </c>
      <c r="C311" s="10" t="s">
        <v>166</v>
      </c>
      <c r="D311" s="10" t="s">
        <v>3546</v>
      </c>
      <c r="E311" s="8" t="s">
        <v>3547</v>
      </c>
      <c r="F311" s="8" t="s">
        <v>3548</v>
      </c>
      <c r="G311" s="10" t="s">
        <v>29</v>
      </c>
      <c r="H311" s="8" t="s">
        <v>3549</v>
      </c>
      <c r="I311" s="10" t="s">
        <v>2570</v>
      </c>
      <c r="J311" s="8" t="s">
        <v>2769</v>
      </c>
      <c r="K311" s="8" t="s">
        <v>29</v>
      </c>
      <c r="L311" s="8" t="s">
        <v>29</v>
      </c>
      <c r="M311" s="10" t="s">
        <v>29</v>
      </c>
      <c r="N311" s="8" t="s">
        <v>29</v>
      </c>
      <c r="O311" s="10" t="s">
        <v>19</v>
      </c>
      <c r="P311" s="8" t="s">
        <v>3550</v>
      </c>
      <c r="Q311" s="10" t="s">
        <v>197</v>
      </c>
      <c r="R311" s="10" t="s">
        <v>1387</v>
      </c>
      <c r="S311" s="8" t="s">
        <v>3551</v>
      </c>
      <c r="T311" s="10" t="s">
        <v>3501</v>
      </c>
      <c r="U311" s="10" t="s">
        <v>29</v>
      </c>
    </row>
    <row r="312" spans="1:21" s="10" customFormat="1" x14ac:dyDescent="0.25">
      <c r="A312" s="10" t="s">
        <v>3552</v>
      </c>
      <c r="B312" s="10" t="s">
        <v>2763</v>
      </c>
      <c r="C312" s="10" t="s">
        <v>335</v>
      </c>
      <c r="D312" s="10" t="s">
        <v>3553</v>
      </c>
      <c r="E312" s="8" t="s">
        <v>3554</v>
      </c>
      <c r="F312" s="8" t="s">
        <v>3555</v>
      </c>
      <c r="G312" s="10" t="s">
        <v>29</v>
      </c>
      <c r="H312" s="8" t="s">
        <v>3556</v>
      </c>
      <c r="I312" s="10" t="s">
        <v>824</v>
      </c>
      <c r="J312" s="8" t="s">
        <v>2769</v>
      </c>
      <c r="K312" s="8" t="s">
        <v>29</v>
      </c>
      <c r="L312" s="8" t="s">
        <v>29</v>
      </c>
      <c r="M312" s="10" t="s">
        <v>29</v>
      </c>
      <c r="N312" s="8" t="s">
        <v>29</v>
      </c>
      <c r="O312" s="10" t="s">
        <v>19</v>
      </c>
      <c r="P312" s="8" t="s">
        <v>3557</v>
      </c>
      <c r="Q312" s="10" t="s">
        <v>197</v>
      </c>
      <c r="R312" s="10" t="s">
        <v>1387</v>
      </c>
      <c r="S312" s="8" t="s">
        <v>3558</v>
      </c>
      <c r="T312" s="10" t="s">
        <v>3501</v>
      </c>
      <c r="U312" s="10" t="s">
        <v>29</v>
      </c>
    </row>
    <row r="313" spans="1:21" s="10" customFormat="1" x14ac:dyDescent="0.25">
      <c r="A313" s="10" t="s">
        <v>3559</v>
      </c>
      <c r="B313" s="10" t="s">
        <v>2763</v>
      </c>
      <c r="C313" s="10" t="s">
        <v>166</v>
      </c>
      <c r="D313" s="10" t="s">
        <v>3560</v>
      </c>
      <c r="E313" s="8" t="s">
        <v>3561</v>
      </c>
      <c r="F313" s="8" t="s">
        <v>3562</v>
      </c>
      <c r="G313" s="10" t="s">
        <v>29</v>
      </c>
      <c r="H313" s="8" t="s">
        <v>3563</v>
      </c>
      <c r="I313" s="10" t="s">
        <v>3507</v>
      </c>
      <c r="J313" s="8" t="s">
        <v>2769</v>
      </c>
      <c r="K313" s="8" t="s">
        <v>29</v>
      </c>
      <c r="L313" s="8" t="s">
        <v>29</v>
      </c>
      <c r="M313" s="10" t="s">
        <v>29</v>
      </c>
      <c r="N313" s="8" t="s">
        <v>29</v>
      </c>
      <c r="O313" s="10" t="s">
        <v>19</v>
      </c>
      <c r="P313" s="8" t="s">
        <v>3564</v>
      </c>
      <c r="Q313" s="10" t="s">
        <v>174</v>
      </c>
      <c r="R313" s="10" t="s">
        <v>1387</v>
      </c>
      <c r="S313" s="8" t="s">
        <v>3565</v>
      </c>
      <c r="T313" s="10" t="s">
        <v>3501</v>
      </c>
      <c r="U313" s="10" t="s">
        <v>29</v>
      </c>
    </row>
    <row r="314" spans="1:21" s="10" customFormat="1" x14ac:dyDescent="0.25">
      <c r="A314" s="10" t="s">
        <v>3566</v>
      </c>
      <c r="B314" s="10" t="s">
        <v>2763</v>
      </c>
      <c r="C314" s="10" t="s">
        <v>166</v>
      </c>
      <c r="D314" s="10" t="s">
        <v>3567</v>
      </c>
      <c r="E314" s="8" t="s">
        <v>3568</v>
      </c>
      <c r="F314" s="8" t="s">
        <v>3569</v>
      </c>
      <c r="G314" s="10" t="s">
        <v>29</v>
      </c>
      <c r="H314" s="8" t="s">
        <v>3570</v>
      </c>
      <c r="I314" s="10" t="s">
        <v>3507</v>
      </c>
      <c r="J314" s="8" t="s">
        <v>2769</v>
      </c>
      <c r="K314" s="8" t="s">
        <v>29</v>
      </c>
      <c r="L314" s="8" t="s">
        <v>29</v>
      </c>
      <c r="M314" s="10" t="s">
        <v>29</v>
      </c>
      <c r="N314" s="8" t="s">
        <v>29</v>
      </c>
      <c r="O314" s="10" t="s">
        <v>19</v>
      </c>
      <c r="P314" s="8" t="s">
        <v>3571</v>
      </c>
      <c r="Q314" s="10" t="s">
        <v>197</v>
      </c>
      <c r="R314" s="10" t="s">
        <v>1387</v>
      </c>
      <c r="S314" s="8" t="s">
        <v>3572</v>
      </c>
      <c r="T314" s="10" t="s">
        <v>3501</v>
      </c>
      <c r="U314" s="10" t="s">
        <v>29</v>
      </c>
    </row>
    <row r="315" spans="1:21" s="10" customFormat="1" x14ac:dyDescent="0.25">
      <c r="A315" s="10" t="s">
        <v>3573</v>
      </c>
      <c r="B315" s="10" t="s">
        <v>2763</v>
      </c>
      <c r="C315" s="10" t="s">
        <v>166</v>
      </c>
      <c r="D315" s="10" t="s">
        <v>3574</v>
      </c>
      <c r="E315" s="8" t="s">
        <v>3575</v>
      </c>
      <c r="F315" s="8" t="s">
        <v>3576</v>
      </c>
      <c r="G315" s="10" t="s">
        <v>29</v>
      </c>
      <c r="H315" s="8" t="s">
        <v>3563</v>
      </c>
      <c r="I315" s="10" t="s">
        <v>1945</v>
      </c>
      <c r="J315" s="8" t="s">
        <v>2769</v>
      </c>
      <c r="K315" s="8" t="s">
        <v>29</v>
      </c>
      <c r="L315" s="8" t="s">
        <v>29</v>
      </c>
      <c r="M315" s="10" t="s">
        <v>29</v>
      </c>
      <c r="N315" s="8" t="s">
        <v>29</v>
      </c>
      <c r="O315" s="10" t="s">
        <v>19</v>
      </c>
      <c r="P315" s="8" t="s">
        <v>3577</v>
      </c>
      <c r="Q315" s="10" t="s">
        <v>174</v>
      </c>
      <c r="R315" s="10" t="s">
        <v>1387</v>
      </c>
      <c r="S315" s="8" t="s">
        <v>3578</v>
      </c>
      <c r="T315" s="10" t="s">
        <v>3501</v>
      </c>
      <c r="U315" s="10" t="s">
        <v>29</v>
      </c>
    </row>
    <row r="316" spans="1:21" s="10" customFormat="1" x14ac:dyDescent="0.25">
      <c r="A316" s="10" t="s">
        <v>3579</v>
      </c>
      <c r="B316" s="10" t="s">
        <v>2763</v>
      </c>
      <c r="C316" s="10" t="s">
        <v>166</v>
      </c>
      <c r="D316" s="10" t="s">
        <v>3580</v>
      </c>
      <c r="E316" s="8" t="s">
        <v>3581</v>
      </c>
      <c r="F316" s="8" t="s">
        <v>3582</v>
      </c>
      <c r="G316" s="10" t="s">
        <v>29</v>
      </c>
      <c r="H316" s="8" t="s">
        <v>3583</v>
      </c>
      <c r="I316" s="10" t="s">
        <v>824</v>
      </c>
      <c r="J316" s="8" t="s">
        <v>2769</v>
      </c>
      <c r="K316" s="8" t="s">
        <v>29</v>
      </c>
      <c r="L316" s="8" t="s">
        <v>29</v>
      </c>
      <c r="M316" s="10" t="s">
        <v>29</v>
      </c>
      <c r="N316" s="8" t="s">
        <v>29</v>
      </c>
      <c r="O316" s="10" t="s">
        <v>19</v>
      </c>
      <c r="P316" s="8" t="s">
        <v>3584</v>
      </c>
      <c r="Q316" s="10" t="s">
        <v>174</v>
      </c>
      <c r="R316" s="10" t="s">
        <v>1387</v>
      </c>
      <c r="S316" s="8" t="s">
        <v>3585</v>
      </c>
      <c r="T316" s="10" t="s">
        <v>3501</v>
      </c>
      <c r="U316" s="10" t="s">
        <v>29</v>
      </c>
    </row>
    <row r="317" spans="1:21" s="10" customFormat="1" x14ac:dyDescent="0.25">
      <c r="A317" s="10" t="s">
        <v>3586</v>
      </c>
      <c r="B317" s="10" t="s">
        <v>2763</v>
      </c>
      <c r="C317" s="10" t="s">
        <v>166</v>
      </c>
      <c r="D317" s="10" t="s">
        <v>3587</v>
      </c>
      <c r="E317" s="8" t="s">
        <v>3588</v>
      </c>
      <c r="F317" s="8" t="s">
        <v>3589</v>
      </c>
      <c r="G317" s="10" t="s">
        <v>29</v>
      </c>
      <c r="H317" s="8" t="s">
        <v>3497</v>
      </c>
      <c r="I317" s="10" t="s">
        <v>2570</v>
      </c>
      <c r="J317" s="8" t="s">
        <v>2769</v>
      </c>
      <c r="K317" s="8" t="s">
        <v>29</v>
      </c>
      <c r="L317" s="8" t="s">
        <v>29</v>
      </c>
      <c r="M317" s="10" t="s">
        <v>29</v>
      </c>
      <c r="N317" s="8" t="s">
        <v>29</v>
      </c>
      <c r="O317" s="10" t="s">
        <v>19</v>
      </c>
      <c r="P317" s="8" t="s">
        <v>3590</v>
      </c>
      <c r="Q317" s="10" t="s">
        <v>174</v>
      </c>
      <c r="R317" s="10" t="s">
        <v>1387</v>
      </c>
      <c r="S317" s="8" t="s">
        <v>3591</v>
      </c>
      <c r="T317" s="10" t="s">
        <v>3501</v>
      </c>
      <c r="U317" s="10" t="s">
        <v>29</v>
      </c>
    </row>
    <row r="318" spans="1:21" s="10" customFormat="1" x14ac:dyDescent="0.25">
      <c r="A318" s="10" t="s">
        <v>3592</v>
      </c>
      <c r="B318" s="10" t="s">
        <v>2763</v>
      </c>
      <c r="C318" s="10" t="s">
        <v>166</v>
      </c>
      <c r="D318" s="10" t="s">
        <v>3593</v>
      </c>
      <c r="E318" s="8" t="s">
        <v>3594</v>
      </c>
      <c r="F318" s="8" t="s">
        <v>3595</v>
      </c>
      <c r="G318" s="10" t="s">
        <v>29</v>
      </c>
      <c r="H318" s="8" t="s">
        <v>3596</v>
      </c>
      <c r="I318" s="10" t="s">
        <v>3507</v>
      </c>
      <c r="J318" s="8" t="s">
        <v>2769</v>
      </c>
      <c r="K318" s="8" t="s">
        <v>29</v>
      </c>
      <c r="L318" s="8" t="s">
        <v>29</v>
      </c>
      <c r="M318" s="10" t="s">
        <v>29</v>
      </c>
      <c r="N318" s="8" t="s">
        <v>29</v>
      </c>
      <c r="O318" s="10" t="s">
        <v>19</v>
      </c>
      <c r="P318" s="8" t="s">
        <v>3597</v>
      </c>
      <c r="Q318" s="10" t="s">
        <v>190</v>
      </c>
      <c r="R318" s="10" t="s">
        <v>1387</v>
      </c>
      <c r="S318" s="8" t="s">
        <v>3598</v>
      </c>
      <c r="T318" s="10" t="s">
        <v>3501</v>
      </c>
      <c r="U318" s="10" t="s">
        <v>29</v>
      </c>
    </row>
    <row r="319" spans="1:21" s="10" customFormat="1" x14ac:dyDescent="0.25">
      <c r="A319" s="10" t="s">
        <v>3599</v>
      </c>
      <c r="B319" s="10" t="s">
        <v>2763</v>
      </c>
      <c r="C319" s="11" t="s">
        <v>297</v>
      </c>
      <c r="D319" s="10" t="s">
        <v>3600</v>
      </c>
      <c r="E319" s="8" t="s">
        <v>3601</v>
      </c>
      <c r="F319" s="8" t="s">
        <v>3602</v>
      </c>
      <c r="G319" s="10" t="s">
        <v>29</v>
      </c>
      <c r="H319" s="8" t="s">
        <v>3497</v>
      </c>
      <c r="I319" s="10" t="s">
        <v>824</v>
      </c>
      <c r="J319" s="8" t="s">
        <v>2769</v>
      </c>
      <c r="K319" s="8" t="s">
        <v>29</v>
      </c>
      <c r="L319" s="8" t="s">
        <v>29</v>
      </c>
      <c r="M319" s="10" t="s">
        <v>29</v>
      </c>
      <c r="N319" s="8" t="s">
        <v>29</v>
      </c>
      <c r="O319" s="10" t="s">
        <v>19</v>
      </c>
      <c r="P319" s="8" t="s">
        <v>3603</v>
      </c>
      <c r="Q319" s="10" t="s">
        <v>174</v>
      </c>
      <c r="R319" s="10" t="s">
        <v>1387</v>
      </c>
      <c r="S319" s="8" t="s">
        <v>3604</v>
      </c>
      <c r="T319" s="10" t="s">
        <v>3501</v>
      </c>
      <c r="U319" s="10" t="s">
        <v>29</v>
      </c>
    </row>
    <row r="320" spans="1:21" s="10" customFormat="1" x14ac:dyDescent="0.25">
      <c r="A320" s="10" t="s">
        <v>3605</v>
      </c>
      <c r="B320" s="10" t="s">
        <v>2763</v>
      </c>
      <c r="C320" s="11" t="s">
        <v>297</v>
      </c>
      <c r="D320" s="10" t="s">
        <v>3606</v>
      </c>
      <c r="E320" s="8" t="s">
        <v>3607</v>
      </c>
      <c r="F320" s="8" t="s">
        <v>3608</v>
      </c>
      <c r="G320" s="10" t="s">
        <v>29</v>
      </c>
      <c r="H320" s="8" t="s">
        <v>1604</v>
      </c>
      <c r="I320" s="10" t="s">
        <v>2600</v>
      </c>
      <c r="J320" s="8" t="s">
        <v>1606</v>
      </c>
      <c r="K320" s="8" t="s">
        <v>29</v>
      </c>
      <c r="L320" s="8" t="s">
        <v>29</v>
      </c>
      <c r="M320" s="10" t="s">
        <v>29</v>
      </c>
      <c r="N320" s="8" t="s">
        <v>29</v>
      </c>
      <c r="O320" s="10" t="s">
        <v>19</v>
      </c>
      <c r="P320" s="8" t="s">
        <v>3609</v>
      </c>
      <c r="Q320" s="10" t="s">
        <v>1399</v>
      </c>
      <c r="R320" s="10" t="s">
        <v>1608</v>
      </c>
      <c r="S320" s="8" t="s">
        <v>3610</v>
      </c>
      <c r="T320" s="10" t="s">
        <v>3501</v>
      </c>
      <c r="U320" s="10" t="s">
        <v>29</v>
      </c>
    </row>
    <row r="321" spans="1:21" s="10" customFormat="1" x14ac:dyDescent="0.25">
      <c r="A321" s="10" t="s">
        <v>3611</v>
      </c>
      <c r="B321" s="10" t="s">
        <v>2763</v>
      </c>
      <c r="C321" s="11" t="s">
        <v>297</v>
      </c>
      <c r="D321" s="10" t="s">
        <v>3612</v>
      </c>
      <c r="E321" s="8" t="s">
        <v>3613</v>
      </c>
      <c r="F321" s="8" t="s">
        <v>3614</v>
      </c>
      <c r="G321" s="10" t="s">
        <v>29</v>
      </c>
      <c r="H321" s="8" t="s">
        <v>2120</v>
      </c>
      <c r="I321" s="10" t="s">
        <v>2570</v>
      </c>
      <c r="J321" s="8" t="s">
        <v>1615</v>
      </c>
      <c r="K321" s="8" t="s">
        <v>29</v>
      </c>
      <c r="L321" s="8" t="s">
        <v>29</v>
      </c>
      <c r="M321" s="10" t="s">
        <v>29</v>
      </c>
      <c r="N321" s="8" t="s">
        <v>29</v>
      </c>
      <c r="O321" s="10" t="s">
        <v>19</v>
      </c>
      <c r="P321" s="8" t="s">
        <v>3615</v>
      </c>
      <c r="Q321" s="10" t="s">
        <v>776</v>
      </c>
      <c r="R321" s="10" t="s">
        <v>2122</v>
      </c>
      <c r="S321" s="8" t="s">
        <v>1618</v>
      </c>
      <c r="T321" s="10" t="s">
        <v>3501</v>
      </c>
      <c r="U321" s="10" t="s">
        <v>29</v>
      </c>
    </row>
    <row r="322" spans="1:21" s="10" customFormat="1" x14ac:dyDescent="0.25">
      <c r="A322" s="10" t="s">
        <v>3616</v>
      </c>
      <c r="B322" s="10" t="s">
        <v>2763</v>
      </c>
      <c r="C322" s="10" t="s">
        <v>166</v>
      </c>
      <c r="D322" s="10" t="s">
        <v>3617</v>
      </c>
      <c r="E322" s="8" t="s">
        <v>3618</v>
      </c>
      <c r="F322" s="8" t="s">
        <v>3619</v>
      </c>
      <c r="G322" s="10" t="s">
        <v>29</v>
      </c>
      <c r="H322" s="8" t="s">
        <v>3620</v>
      </c>
      <c r="I322" s="10" t="s">
        <v>308</v>
      </c>
      <c r="J322" s="8" t="s">
        <v>2769</v>
      </c>
      <c r="K322" s="8" t="s">
        <v>29</v>
      </c>
      <c r="L322" s="8" t="s">
        <v>29</v>
      </c>
      <c r="M322" s="10" t="s">
        <v>29</v>
      </c>
      <c r="N322" s="8" t="s">
        <v>29</v>
      </c>
      <c r="O322" s="10" t="s">
        <v>19</v>
      </c>
      <c r="P322" s="8" t="s">
        <v>3621</v>
      </c>
      <c r="Q322" s="10" t="s">
        <v>174</v>
      </c>
      <c r="R322" s="10" t="s">
        <v>1387</v>
      </c>
      <c r="S322" s="8" t="s">
        <v>3622</v>
      </c>
      <c r="T322" s="10" t="s">
        <v>3623</v>
      </c>
      <c r="U322" s="10" t="s">
        <v>29</v>
      </c>
    </row>
    <row r="323" spans="1:21" s="10" customFormat="1" x14ac:dyDescent="0.25">
      <c r="A323" s="10" t="s">
        <v>3624</v>
      </c>
      <c r="B323" s="10" t="s">
        <v>2763</v>
      </c>
      <c r="C323" s="10" t="s">
        <v>335</v>
      </c>
      <c r="D323" s="10" t="s">
        <v>3625</v>
      </c>
      <c r="E323" s="8" t="s">
        <v>3626</v>
      </c>
      <c r="F323" s="8" t="s">
        <v>3627</v>
      </c>
      <c r="G323" s="10" t="s">
        <v>29</v>
      </c>
      <c r="H323" s="8" t="s">
        <v>3628</v>
      </c>
      <c r="I323" s="10" t="s">
        <v>308</v>
      </c>
      <c r="J323" s="8" t="s">
        <v>2769</v>
      </c>
      <c r="K323" s="8" t="s">
        <v>29</v>
      </c>
      <c r="L323" s="8" t="s">
        <v>29</v>
      </c>
      <c r="M323" s="10" t="s">
        <v>29</v>
      </c>
      <c r="N323" s="8" t="s">
        <v>29</v>
      </c>
      <c r="O323" s="10" t="s">
        <v>19</v>
      </c>
      <c r="P323" s="8" t="s">
        <v>3629</v>
      </c>
      <c r="Q323" s="10" t="s">
        <v>174</v>
      </c>
      <c r="R323" s="10" t="s">
        <v>1387</v>
      </c>
      <c r="S323" s="8" t="s">
        <v>1388</v>
      </c>
      <c r="T323" s="10" t="s">
        <v>3623</v>
      </c>
      <c r="U323" s="10" t="s">
        <v>29</v>
      </c>
    </row>
    <row r="324" spans="1:21" s="10" customFormat="1" x14ac:dyDescent="0.25">
      <c r="A324" s="10" t="s">
        <v>3630</v>
      </c>
      <c r="B324" s="10" t="s">
        <v>2763</v>
      </c>
      <c r="C324" s="10" t="s">
        <v>166</v>
      </c>
      <c r="D324" s="10" t="s">
        <v>3631</v>
      </c>
      <c r="E324" s="8" t="s">
        <v>3632</v>
      </c>
      <c r="F324" s="8" t="s">
        <v>3633</v>
      </c>
      <c r="G324" s="10" t="s">
        <v>29</v>
      </c>
      <c r="H324" s="8" t="s">
        <v>3634</v>
      </c>
      <c r="I324" s="10" t="s">
        <v>1508</v>
      </c>
      <c r="J324" s="8" t="s">
        <v>2769</v>
      </c>
      <c r="K324" s="8" t="s">
        <v>29</v>
      </c>
      <c r="L324" s="8" t="s">
        <v>29</v>
      </c>
      <c r="M324" s="10" t="s">
        <v>29</v>
      </c>
      <c r="N324" s="8" t="s">
        <v>29</v>
      </c>
      <c r="O324" s="10" t="s">
        <v>19</v>
      </c>
      <c r="P324" s="8" t="s">
        <v>3635</v>
      </c>
      <c r="Q324" s="10" t="s">
        <v>174</v>
      </c>
      <c r="R324" s="10" t="s">
        <v>1387</v>
      </c>
      <c r="S324" s="8" t="s">
        <v>3636</v>
      </c>
      <c r="T324" s="10" t="s">
        <v>3623</v>
      </c>
      <c r="U324" s="10" t="s">
        <v>29</v>
      </c>
    </row>
    <row r="325" spans="1:21" s="10" customFormat="1" x14ac:dyDescent="0.25">
      <c r="A325" s="10" t="s">
        <v>3637</v>
      </c>
      <c r="B325" s="10" t="s">
        <v>2763</v>
      </c>
      <c r="C325" s="10" t="s">
        <v>335</v>
      </c>
      <c r="D325" s="10" t="s">
        <v>3638</v>
      </c>
      <c r="E325" s="8" t="s">
        <v>3639</v>
      </c>
      <c r="F325" s="8" t="s">
        <v>3640</v>
      </c>
      <c r="G325" s="10" t="s">
        <v>29</v>
      </c>
      <c r="H325" s="8" t="s">
        <v>3641</v>
      </c>
      <c r="I325" s="10" t="s">
        <v>308</v>
      </c>
      <c r="J325" s="8" t="s">
        <v>2769</v>
      </c>
      <c r="K325" s="8" t="s">
        <v>29</v>
      </c>
      <c r="L325" s="8" t="s">
        <v>29</v>
      </c>
      <c r="M325" s="10" t="s">
        <v>29</v>
      </c>
      <c r="N325" s="8" t="s">
        <v>29</v>
      </c>
      <c r="O325" s="10" t="s">
        <v>19</v>
      </c>
      <c r="P325" s="8" t="s">
        <v>3642</v>
      </c>
      <c r="Q325" s="10" t="s">
        <v>190</v>
      </c>
      <c r="R325" s="10" t="s">
        <v>1387</v>
      </c>
      <c r="S325" s="8" t="s">
        <v>1388</v>
      </c>
      <c r="T325" s="10" t="s">
        <v>3623</v>
      </c>
      <c r="U325" s="10" t="s">
        <v>29</v>
      </c>
    </row>
    <row r="326" spans="1:21" s="10" customFormat="1" x14ac:dyDescent="0.25">
      <c r="A326" s="10" t="s">
        <v>3643</v>
      </c>
      <c r="B326" s="10" t="s">
        <v>2763</v>
      </c>
      <c r="C326" s="11" t="s">
        <v>297</v>
      </c>
      <c r="D326" s="10" t="s">
        <v>3644</v>
      </c>
      <c r="E326" s="8" t="s">
        <v>3645</v>
      </c>
      <c r="F326" s="8" t="s">
        <v>3646</v>
      </c>
      <c r="G326" s="10" t="s">
        <v>29</v>
      </c>
      <c r="H326" s="8" t="s">
        <v>3647</v>
      </c>
      <c r="I326" s="10" t="s">
        <v>3648</v>
      </c>
      <c r="J326" s="8" t="s">
        <v>2769</v>
      </c>
      <c r="K326" s="8" t="s">
        <v>29</v>
      </c>
      <c r="L326" s="8" t="s">
        <v>29</v>
      </c>
      <c r="M326" s="10" t="s">
        <v>29</v>
      </c>
      <c r="N326" s="8" t="s">
        <v>29</v>
      </c>
      <c r="O326" s="10" t="s">
        <v>19</v>
      </c>
      <c r="P326" s="8" t="s">
        <v>3649</v>
      </c>
      <c r="Q326" s="10" t="s">
        <v>174</v>
      </c>
      <c r="R326" s="10" t="s">
        <v>1387</v>
      </c>
      <c r="S326" s="8" t="s">
        <v>3650</v>
      </c>
      <c r="T326" s="10" t="s">
        <v>3623</v>
      </c>
      <c r="U326" s="10" t="s">
        <v>29</v>
      </c>
    </row>
    <row r="327" spans="1:21" s="10" customFormat="1" x14ac:dyDescent="0.25">
      <c r="A327" s="10" t="s">
        <v>3651</v>
      </c>
      <c r="B327" s="10" t="s">
        <v>2763</v>
      </c>
      <c r="C327" s="11" t="s">
        <v>297</v>
      </c>
      <c r="D327" s="10" t="s">
        <v>3652</v>
      </c>
      <c r="E327" s="8" t="s">
        <v>3653</v>
      </c>
      <c r="F327" s="8" t="s">
        <v>3654</v>
      </c>
      <c r="G327" s="10" t="s">
        <v>29</v>
      </c>
      <c r="H327" s="8" t="s">
        <v>3655</v>
      </c>
      <c r="I327" s="10" t="s">
        <v>3648</v>
      </c>
      <c r="J327" s="8" t="s">
        <v>2769</v>
      </c>
      <c r="K327" s="8" t="s">
        <v>29</v>
      </c>
      <c r="L327" s="8" t="s">
        <v>29</v>
      </c>
      <c r="M327" s="10" t="s">
        <v>29</v>
      </c>
      <c r="N327" s="8" t="s">
        <v>29</v>
      </c>
      <c r="O327" s="10" t="s">
        <v>19</v>
      </c>
      <c r="P327" s="8" t="s">
        <v>3656</v>
      </c>
      <c r="Q327" s="10" t="s">
        <v>174</v>
      </c>
      <c r="R327" s="10" t="s">
        <v>1387</v>
      </c>
      <c r="S327" s="8" t="s">
        <v>3657</v>
      </c>
      <c r="T327" s="10" t="s">
        <v>3623</v>
      </c>
      <c r="U327" s="10" t="s">
        <v>29</v>
      </c>
    </row>
    <row r="328" spans="1:21" s="10" customFormat="1" x14ac:dyDescent="0.25">
      <c r="A328" s="10" t="s">
        <v>3658</v>
      </c>
      <c r="B328" s="10" t="s">
        <v>2763</v>
      </c>
      <c r="C328" s="10" t="s">
        <v>166</v>
      </c>
      <c r="D328" s="10" t="s">
        <v>3659</v>
      </c>
      <c r="E328" s="8" t="s">
        <v>3660</v>
      </c>
      <c r="F328" s="8" t="s">
        <v>3661</v>
      </c>
      <c r="G328" s="10" t="s">
        <v>29</v>
      </c>
      <c r="H328" s="8" t="s">
        <v>3662</v>
      </c>
      <c r="I328" s="10" t="s">
        <v>3663</v>
      </c>
      <c r="J328" s="8" t="s">
        <v>2769</v>
      </c>
      <c r="K328" s="8" t="s">
        <v>29</v>
      </c>
      <c r="L328" s="8" t="s">
        <v>29</v>
      </c>
      <c r="M328" s="10" t="s">
        <v>29</v>
      </c>
      <c r="N328" s="8" t="s">
        <v>29</v>
      </c>
      <c r="O328" s="10" t="s">
        <v>19</v>
      </c>
      <c r="P328" s="8" t="s">
        <v>3664</v>
      </c>
      <c r="Q328" s="10" t="s">
        <v>190</v>
      </c>
      <c r="R328" s="10" t="s">
        <v>1387</v>
      </c>
      <c r="S328" s="8" t="s">
        <v>3665</v>
      </c>
      <c r="T328" s="10" t="s">
        <v>3623</v>
      </c>
      <c r="U328" s="10" t="s">
        <v>29</v>
      </c>
    </row>
    <row r="329" spans="1:21" s="10" customFormat="1" x14ac:dyDescent="0.25">
      <c r="A329" s="10" t="s">
        <v>3666</v>
      </c>
      <c r="B329" s="10" t="s">
        <v>2763</v>
      </c>
      <c r="C329" s="10" t="s">
        <v>166</v>
      </c>
      <c r="D329" s="10" t="s">
        <v>3667</v>
      </c>
      <c r="E329" s="8" t="s">
        <v>3668</v>
      </c>
      <c r="F329" s="8" t="s">
        <v>3669</v>
      </c>
      <c r="G329" s="10" t="s">
        <v>29</v>
      </c>
      <c r="H329" s="8" t="s">
        <v>3670</v>
      </c>
      <c r="I329" s="10" t="s">
        <v>3663</v>
      </c>
      <c r="J329" s="8" t="s">
        <v>2769</v>
      </c>
      <c r="K329" s="8" t="s">
        <v>29</v>
      </c>
      <c r="L329" s="8" t="s">
        <v>29</v>
      </c>
      <c r="M329" s="10" t="s">
        <v>29</v>
      </c>
      <c r="N329" s="8" t="s">
        <v>29</v>
      </c>
      <c r="O329" s="10" t="s">
        <v>19</v>
      </c>
      <c r="P329" s="8" t="s">
        <v>3671</v>
      </c>
      <c r="Q329" s="10" t="s">
        <v>190</v>
      </c>
      <c r="R329" s="10" t="s">
        <v>1387</v>
      </c>
      <c r="S329" s="8" t="s">
        <v>3672</v>
      </c>
      <c r="T329" s="10" t="s">
        <v>3623</v>
      </c>
      <c r="U329" s="10" t="s">
        <v>29</v>
      </c>
    </row>
    <row r="330" spans="1:21" s="10" customFormat="1" x14ac:dyDescent="0.25">
      <c r="A330" s="10" t="s">
        <v>3673</v>
      </c>
      <c r="B330" s="10" t="s">
        <v>2763</v>
      </c>
      <c r="C330" s="10" t="s">
        <v>335</v>
      </c>
      <c r="D330" s="10" t="s">
        <v>3674</v>
      </c>
      <c r="E330" s="8" t="s">
        <v>3675</v>
      </c>
      <c r="F330" s="8" t="s">
        <v>3676</v>
      </c>
      <c r="G330" s="10" t="s">
        <v>29</v>
      </c>
      <c r="H330" s="8" t="s">
        <v>3677</v>
      </c>
      <c r="I330" s="10" t="s">
        <v>3663</v>
      </c>
      <c r="J330" s="8" t="s">
        <v>2769</v>
      </c>
      <c r="K330" s="8" t="s">
        <v>29</v>
      </c>
      <c r="L330" s="8" t="s">
        <v>29</v>
      </c>
      <c r="M330" s="10" t="s">
        <v>29</v>
      </c>
      <c r="N330" s="8" t="s">
        <v>29</v>
      </c>
      <c r="O330" s="10" t="s">
        <v>19</v>
      </c>
      <c r="P330" s="8" t="s">
        <v>3678</v>
      </c>
      <c r="Q330" s="10" t="s">
        <v>197</v>
      </c>
      <c r="R330" s="10" t="s">
        <v>1387</v>
      </c>
      <c r="S330" s="8" t="s">
        <v>3679</v>
      </c>
      <c r="T330" s="10" t="s">
        <v>3623</v>
      </c>
      <c r="U330" s="10" t="s">
        <v>29</v>
      </c>
    </row>
    <row r="331" spans="1:21" s="10" customFormat="1" x14ac:dyDescent="0.25">
      <c r="A331" s="10" t="s">
        <v>3680</v>
      </c>
      <c r="B331" s="10" t="s">
        <v>2763</v>
      </c>
      <c r="C331" s="10" t="s">
        <v>335</v>
      </c>
      <c r="D331" s="10" t="s">
        <v>3681</v>
      </c>
      <c r="E331" s="8" t="s">
        <v>3682</v>
      </c>
      <c r="F331" s="8" t="s">
        <v>3683</v>
      </c>
      <c r="G331" s="10" t="s">
        <v>29</v>
      </c>
      <c r="H331" s="8" t="s">
        <v>3684</v>
      </c>
      <c r="I331" s="10" t="s">
        <v>3663</v>
      </c>
      <c r="J331" s="8" t="s">
        <v>2769</v>
      </c>
      <c r="K331" s="8" t="s">
        <v>29</v>
      </c>
      <c r="L331" s="8" t="s">
        <v>29</v>
      </c>
      <c r="M331" s="10" t="s">
        <v>29</v>
      </c>
      <c r="N331" s="8" t="s">
        <v>29</v>
      </c>
      <c r="O331" s="10" t="s">
        <v>19</v>
      </c>
      <c r="P331" s="8" t="s">
        <v>3685</v>
      </c>
      <c r="Q331" s="10" t="s">
        <v>174</v>
      </c>
      <c r="R331" s="10" t="s">
        <v>1387</v>
      </c>
      <c r="S331" s="8" t="s">
        <v>3686</v>
      </c>
      <c r="T331" s="10" t="s">
        <v>3623</v>
      </c>
      <c r="U331" s="10" t="s">
        <v>29</v>
      </c>
    </row>
    <row r="332" spans="1:21" s="10" customFormat="1" x14ac:dyDescent="0.25">
      <c r="A332" s="10" t="s">
        <v>3687</v>
      </c>
      <c r="B332" s="10" t="s">
        <v>2763</v>
      </c>
      <c r="C332" s="10" t="s">
        <v>166</v>
      </c>
      <c r="D332" s="10" t="s">
        <v>3688</v>
      </c>
      <c r="E332" s="8" t="s">
        <v>3689</v>
      </c>
      <c r="F332" s="8" t="s">
        <v>3690</v>
      </c>
      <c r="G332" s="10" t="s">
        <v>29</v>
      </c>
      <c r="H332" s="8" t="s">
        <v>3691</v>
      </c>
      <c r="I332" s="10" t="s">
        <v>3663</v>
      </c>
      <c r="J332" s="8" t="s">
        <v>2769</v>
      </c>
      <c r="K332" s="8" t="s">
        <v>29</v>
      </c>
      <c r="L332" s="8" t="s">
        <v>29</v>
      </c>
      <c r="M332" s="10" t="s">
        <v>29</v>
      </c>
      <c r="N332" s="8" t="s">
        <v>29</v>
      </c>
      <c r="O332" s="10" t="s">
        <v>19</v>
      </c>
      <c r="P332" s="8" t="s">
        <v>3692</v>
      </c>
      <c r="Q332" s="10" t="s">
        <v>190</v>
      </c>
      <c r="R332" s="10" t="s">
        <v>1387</v>
      </c>
      <c r="S332" s="8" t="s">
        <v>3693</v>
      </c>
      <c r="T332" s="10" t="s">
        <v>3623</v>
      </c>
      <c r="U332" s="10" t="s">
        <v>29</v>
      </c>
    </row>
    <row r="333" spans="1:21" s="10" customFormat="1" x14ac:dyDescent="0.25">
      <c r="A333" s="10" t="s">
        <v>3694</v>
      </c>
      <c r="B333" s="10" t="s">
        <v>2763</v>
      </c>
      <c r="C333" s="10" t="s">
        <v>335</v>
      </c>
      <c r="D333" s="10" t="s">
        <v>3695</v>
      </c>
      <c r="E333" s="8" t="s">
        <v>3696</v>
      </c>
      <c r="F333" s="8" t="s">
        <v>3697</v>
      </c>
      <c r="G333" s="10" t="s">
        <v>29</v>
      </c>
      <c r="H333" s="8" t="s">
        <v>3698</v>
      </c>
      <c r="I333" s="10" t="s">
        <v>3699</v>
      </c>
      <c r="J333" s="8" t="s">
        <v>2769</v>
      </c>
      <c r="K333" s="8" t="s">
        <v>29</v>
      </c>
      <c r="L333" s="8" t="s">
        <v>29</v>
      </c>
      <c r="M333" s="10" t="s">
        <v>29</v>
      </c>
      <c r="N333" s="8" t="s">
        <v>29</v>
      </c>
      <c r="O333" s="10" t="s">
        <v>19</v>
      </c>
      <c r="P333" s="8" t="s">
        <v>3700</v>
      </c>
      <c r="Q333" s="10" t="s">
        <v>197</v>
      </c>
      <c r="R333" s="10" t="s">
        <v>1387</v>
      </c>
      <c r="S333" s="8" t="s">
        <v>3701</v>
      </c>
      <c r="T333" s="10" t="s">
        <v>3623</v>
      </c>
      <c r="U333" s="10" t="s">
        <v>29</v>
      </c>
    </row>
    <row r="334" spans="1:21" s="10" customFormat="1" x14ac:dyDescent="0.25">
      <c r="A334" s="10" t="s">
        <v>3702</v>
      </c>
      <c r="B334" s="10" t="s">
        <v>2763</v>
      </c>
      <c r="C334" s="10" t="s">
        <v>166</v>
      </c>
      <c r="D334" s="10" t="s">
        <v>3703</v>
      </c>
      <c r="E334" s="8" t="s">
        <v>3704</v>
      </c>
      <c r="F334" s="8" t="s">
        <v>3705</v>
      </c>
      <c r="G334" s="10" t="s">
        <v>29</v>
      </c>
      <c r="H334" s="8" t="s">
        <v>3706</v>
      </c>
      <c r="I334" s="10" t="s">
        <v>3663</v>
      </c>
      <c r="J334" s="8" t="s">
        <v>2769</v>
      </c>
      <c r="K334" s="8" t="s">
        <v>29</v>
      </c>
      <c r="L334" s="8" t="s">
        <v>29</v>
      </c>
      <c r="M334" s="10" t="s">
        <v>29</v>
      </c>
      <c r="N334" s="8" t="s">
        <v>29</v>
      </c>
      <c r="O334" s="10" t="s">
        <v>19</v>
      </c>
      <c r="P334" s="8" t="s">
        <v>3707</v>
      </c>
      <c r="Q334" s="10" t="s">
        <v>174</v>
      </c>
      <c r="R334" s="10" t="s">
        <v>1387</v>
      </c>
      <c r="S334" s="8" t="s">
        <v>3708</v>
      </c>
      <c r="T334" s="10" t="s">
        <v>3623</v>
      </c>
      <c r="U334" s="10" t="s">
        <v>29</v>
      </c>
    </row>
    <row r="335" spans="1:21" s="10" customFormat="1" x14ac:dyDescent="0.25">
      <c r="A335" s="10" t="s">
        <v>3709</v>
      </c>
      <c r="B335" s="10" t="s">
        <v>2763</v>
      </c>
      <c r="C335" s="11" t="s">
        <v>297</v>
      </c>
      <c r="D335" s="10" t="s">
        <v>3710</v>
      </c>
      <c r="E335" s="8" t="s">
        <v>3711</v>
      </c>
      <c r="F335" s="8" t="s">
        <v>3712</v>
      </c>
      <c r="G335" s="10" t="s">
        <v>29</v>
      </c>
      <c r="H335" s="8" t="s">
        <v>3647</v>
      </c>
      <c r="I335" s="10" t="s">
        <v>3663</v>
      </c>
      <c r="J335" s="8" t="s">
        <v>3713</v>
      </c>
      <c r="K335" s="8" t="s">
        <v>29</v>
      </c>
      <c r="L335" s="8" t="s">
        <v>29</v>
      </c>
      <c r="M335" s="10" t="s">
        <v>29</v>
      </c>
      <c r="N335" s="8" t="s">
        <v>29</v>
      </c>
      <c r="O335" s="10" t="s">
        <v>19</v>
      </c>
      <c r="P335" s="8" t="s">
        <v>3714</v>
      </c>
      <c r="Q335" s="10" t="s">
        <v>1399</v>
      </c>
      <c r="R335" s="10" t="s">
        <v>1387</v>
      </c>
      <c r="S335" s="8" t="s">
        <v>3715</v>
      </c>
      <c r="T335" s="10" t="s">
        <v>3623</v>
      </c>
      <c r="U335" s="10" t="s">
        <v>29</v>
      </c>
    </row>
    <row r="336" spans="1:21" s="10" customFormat="1" x14ac:dyDescent="0.25">
      <c r="A336" s="10" t="s">
        <v>3716</v>
      </c>
      <c r="B336" s="10" t="s">
        <v>2763</v>
      </c>
      <c r="C336" s="11" t="s">
        <v>297</v>
      </c>
      <c r="D336" s="10" t="s">
        <v>3717</v>
      </c>
      <c r="E336" s="8" t="s">
        <v>3718</v>
      </c>
      <c r="F336" s="8" t="s">
        <v>3719</v>
      </c>
      <c r="G336" s="10" t="s">
        <v>29</v>
      </c>
      <c r="H336" s="8" t="s">
        <v>3720</v>
      </c>
      <c r="I336" s="10" t="s">
        <v>870</v>
      </c>
      <c r="J336" s="8" t="s">
        <v>2769</v>
      </c>
      <c r="K336" s="8" t="s">
        <v>29</v>
      </c>
      <c r="L336" s="8" t="s">
        <v>29</v>
      </c>
      <c r="M336" s="10" t="s">
        <v>29</v>
      </c>
      <c r="N336" s="8" t="s">
        <v>29</v>
      </c>
      <c r="O336" s="10" t="s">
        <v>19</v>
      </c>
      <c r="P336" s="8" t="s">
        <v>3721</v>
      </c>
      <c r="Q336" s="10" t="s">
        <v>1399</v>
      </c>
      <c r="R336" s="10" t="s">
        <v>1387</v>
      </c>
      <c r="S336" s="8" t="s">
        <v>3722</v>
      </c>
      <c r="T336" s="10" t="s">
        <v>3623</v>
      </c>
      <c r="U336" s="10" t="s">
        <v>29</v>
      </c>
    </row>
    <row r="337" spans="1:21" s="10" customFormat="1" x14ac:dyDescent="0.25">
      <c r="A337" s="10" t="s">
        <v>3723</v>
      </c>
      <c r="B337" s="10" t="s">
        <v>2763</v>
      </c>
      <c r="C337" s="11" t="s">
        <v>297</v>
      </c>
      <c r="D337" s="10" t="s">
        <v>3724</v>
      </c>
      <c r="E337" s="8" t="s">
        <v>3725</v>
      </c>
      <c r="F337" s="8" t="s">
        <v>3726</v>
      </c>
      <c r="G337" s="10" t="s">
        <v>29</v>
      </c>
      <c r="H337" s="8" t="s">
        <v>3238</v>
      </c>
      <c r="I337" s="10" t="s">
        <v>3727</v>
      </c>
      <c r="J337" s="8" t="s">
        <v>2769</v>
      </c>
      <c r="K337" s="8" t="s">
        <v>29</v>
      </c>
      <c r="L337" s="8" t="s">
        <v>29</v>
      </c>
      <c r="M337" s="10" t="s">
        <v>29</v>
      </c>
      <c r="N337" s="8" t="s">
        <v>29</v>
      </c>
      <c r="O337" s="10" t="s">
        <v>19</v>
      </c>
      <c r="P337" s="8" t="s">
        <v>3728</v>
      </c>
      <c r="Q337" s="10" t="s">
        <v>1399</v>
      </c>
      <c r="R337" s="10" t="s">
        <v>1387</v>
      </c>
      <c r="S337" s="8" t="s">
        <v>3729</v>
      </c>
      <c r="T337" s="10" t="s">
        <v>3623</v>
      </c>
      <c r="U337" s="10" t="s">
        <v>29</v>
      </c>
    </row>
    <row r="338" spans="1:21" s="10" customFormat="1" x14ac:dyDescent="0.25">
      <c r="A338" s="10" t="s">
        <v>3730</v>
      </c>
      <c r="B338" s="10" t="s">
        <v>2763</v>
      </c>
      <c r="C338" s="11" t="s">
        <v>297</v>
      </c>
      <c r="D338" s="10" t="s">
        <v>3731</v>
      </c>
      <c r="E338" s="8" t="s">
        <v>3732</v>
      </c>
      <c r="F338" s="8" t="s">
        <v>3733</v>
      </c>
      <c r="G338" s="10" t="s">
        <v>29</v>
      </c>
      <c r="H338" s="8" t="s">
        <v>3734</v>
      </c>
      <c r="I338" s="10" t="s">
        <v>3663</v>
      </c>
      <c r="J338" s="8" t="s">
        <v>2769</v>
      </c>
      <c r="K338" s="8" t="s">
        <v>29</v>
      </c>
      <c r="L338" s="8" t="s">
        <v>29</v>
      </c>
      <c r="M338" s="10" t="s">
        <v>29</v>
      </c>
      <c r="N338" s="8" t="s">
        <v>29</v>
      </c>
      <c r="O338" s="10" t="s">
        <v>19</v>
      </c>
      <c r="P338" s="8" t="s">
        <v>3735</v>
      </c>
      <c r="Q338" s="10" t="s">
        <v>174</v>
      </c>
      <c r="R338" s="10" t="s">
        <v>1387</v>
      </c>
      <c r="S338" s="8" t="s">
        <v>3736</v>
      </c>
      <c r="T338" s="10" t="s">
        <v>3623</v>
      </c>
      <c r="U338" s="10" t="s">
        <v>29</v>
      </c>
    </row>
    <row r="339" spans="1:21" s="10" customFormat="1" x14ac:dyDescent="0.25">
      <c r="A339" s="10" t="s">
        <v>3737</v>
      </c>
      <c r="B339" s="10" t="s">
        <v>2763</v>
      </c>
      <c r="C339" s="11" t="s">
        <v>297</v>
      </c>
      <c r="D339" s="10" t="s">
        <v>3738</v>
      </c>
      <c r="E339" s="8" t="s">
        <v>3739</v>
      </c>
      <c r="F339" s="8" t="s">
        <v>3740</v>
      </c>
      <c r="G339" s="10" t="s">
        <v>29</v>
      </c>
      <c r="H339" s="8" t="s">
        <v>1604</v>
      </c>
      <c r="I339" s="10" t="s">
        <v>1605</v>
      </c>
      <c r="J339" s="8" t="s">
        <v>1606</v>
      </c>
      <c r="K339" s="8" t="s">
        <v>29</v>
      </c>
      <c r="L339" s="8" t="s">
        <v>29</v>
      </c>
      <c r="M339" s="10" t="s">
        <v>29</v>
      </c>
      <c r="N339" s="8" t="s">
        <v>29</v>
      </c>
      <c r="O339" s="10" t="s">
        <v>19</v>
      </c>
      <c r="P339" s="8" t="s">
        <v>3741</v>
      </c>
      <c r="Q339" s="10" t="s">
        <v>1399</v>
      </c>
      <c r="R339" s="10" t="s">
        <v>1608</v>
      </c>
      <c r="S339" s="8" t="s">
        <v>3742</v>
      </c>
      <c r="T339" s="10" t="s">
        <v>3623</v>
      </c>
      <c r="U339" s="10" t="s">
        <v>29</v>
      </c>
    </row>
    <row r="340" spans="1:21" s="10" customFormat="1" x14ac:dyDescent="0.25">
      <c r="A340" s="10" t="s">
        <v>3743</v>
      </c>
      <c r="B340" s="10" t="s">
        <v>2763</v>
      </c>
      <c r="C340" s="11" t="s">
        <v>297</v>
      </c>
      <c r="D340" s="10" t="s">
        <v>3744</v>
      </c>
      <c r="E340" s="8" t="s">
        <v>3745</v>
      </c>
      <c r="F340" s="8" t="s">
        <v>1613</v>
      </c>
      <c r="G340" s="10" t="s">
        <v>29</v>
      </c>
      <c r="H340" s="8" t="s">
        <v>1614</v>
      </c>
      <c r="I340" s="10" t="s">
        <v>308</v>
      </c>
      <c r="J340" s="8" t="s">
        <v>1615</v>
      </c>
      <c r="K340" s="8" t="s">
        <v>29</v>
      </c>
      <c r="L340" s="8" t="s">
        <v>29</v>
      </c>
      <c r="M340" s="10" t="s">
        <v>29</v>
      </c>
      <c r="N340" s="8" t="s">
        <v>29</v>
      </c>
      <c r="O340" s="10" t="s">
        <v>19</v>
      </c>
      <c r="P340" s="8" t="s">
        <v>3746</v>
      </c>
      <c r="Q340" s="10" t="s">
        <v>776</v>
      </c>
      <c r="R340" s="10" t="s">
        <v>1617</v>
      </c>
      <c r="S340" s="8" t="s">
        <v>1618</v>
      </c>
      <c r="T340" s="10" t="s">
        <v>3623</v>
      </c>
      <c r="U340" s="10" t="s">
        <v>29</v>
      </c>
    </row>
    <row r="341" spans="1:21" s="10" customFormat="1" x14ac:dyDescent="0.25">
      <c r="A341" s="10" t="s">
        <v>3747</v>
      </c>
      <c r="B341" s="10" t="s">
        <v>2763</v>
      </c>
      <c r="C341" s="10" t="s">
        <v>166</v>
      </c>
      <c r="D341" s="10" t="s">
        <v>3748</v>
      </c>
      <c r="E341" s="8" t="s">
        <v>3749</v>
      </c>
      <c r="F341" s="8" t="s">
        <v>3750</v>
      </c>
      <c r="G341" s="10" t="s">
        <v>29</v>
      </c>
      <c r="H341" s="8" t="s">
        <v>3620</v>
      </c>
      <c r="I341" s="10" t="s">
        <v>308</v>
      </c>
      <c r="J341" s="8" t="s">
        <v>2769</v>
      </c>
      <c r="K341" s="8" t="s">
        <v>29</v>
      </c>
      <c r="L341" s="8" t="s">
        <v>29</v>
      </c>
      <c r="M341" s="10" t="s">
        <v>29</v>
      </c>
      <c r="N341" s="8" t="s">
        <v>29</v>
      </c>
      <c r="O341" s="10" t="s">
        <v>19</v>
      </c>
      <c r="P341" s="8" t="s">
        <v>3751</v>
      </c>
      <c r="Q341" s="10" t="s">
        <v>174</v>
      </c>
      <c r="R341" s="10" t="s">
        <v>1387</v>
      </c>
      <c r="S341" s="8" t="s">
        <v>1599</v>
      </c>
      <c r="T341" s="10" t="s">
        <v>3623</v>
      </c>
      <c r="U341" s="10" t="s">
        <v>29</v>
      </c>
    </row>
    <row r="342" spans="1:21" s="10" customFormat="1" x14ac:dyDescent="0.25">
      <c r="A342" s="10" t="s">
        <v>3752</v>
      </c>
      <c r="B342" s="10" t="s">
        <v>2763</v>
      </c>
      <c r="C342" s="10" t="s">
        <v>166</v>
      </c>
      <c r="D342" s="10" t="s">
        <v>3753</v>
      </c>
      <c r="E342" s="8" t="s">
        <v>3754</v>
      </c>
      <c r="F342" s="8" t="s">
        <v>3755</v>
      </c>
      <c r="G342" s="10" t="s">
        <v>29</v>
      </c>
      <c r="H342" s="8" t="s">
        <v>3756</v>
      </c>
      <c r="I342" s="10" t="s">
        <v>3757</v>
      </c>
      <c r="J342" s="8" t="s">
        <v>2769</v>
      </c>
      <c r="K342" s="8" t="s">
        <v>29</v>
      </c>
      <c r="L342" s="8" t="s">
        <v>29</v>
      </c>
      <c r="M342" s="10" t="s">
        <v>29</v>
      </c>
      <c r="N342" s="8" t="s">
        <v>29</v>
      </c>
      <c r="O342" s="10" t="s">
        <v>19</v>
      </c>
      <c r="P342" s="8" t="s">
        <v>3758</v>
      </c>
      <c r="Q342" s="10" t="s">
        <v>174</v>
      </c>
      <c r="R342" s="10" t="s">
        <v>1387</v>
      </c>
      <c r="S342" s="8" t="s">
        <v>3759</v>
      </c>
      <c r="T342" s="10" t="s">
        <v>3623</v>
      </c>
      <c r="U342" s="10" t="s">
        <v>29</v>
      </c>
    </row>
    <row r="343" spans="1:21" s="10" customFormat="1" x14ac:dyDescent="0.25">
      <c r="A343" s="10" t="s">
        <v>3760</v>
      </c>
      <c r="B343" s="10" t="s">
        <v>2763</v>
      </c>
      <c r="C343" s="11" t="s">
        <v>297</v>
      </c>
      <c r="D343" s="10" t="s">
        <v>3761</v>
      </c>
      <c r="E343" s="8" t="s">
        <v>3762</v>
      </c>
      <c r="F343" s="8" t="s">
        <v>3763</v>
      </c>
      <c r="G343" s="10" t="s">
        <v>29</v>
      </c>
      <c r="H343" s="8" t="s">
        <v>3764</v>
      </c>
      <c r="I343" s="10" t="s">
        <v>3648</v>
      </c>
      <c r="J343" s="8" t="s">
        <v>2769</v>
      </c>
      <c r="K343" s="8" t="s">
        <v>29</v>
      </c>
      <c r="L343" s="8" t="s">
        <v>29</v>
      </c>
      <c r="M343" s="10" t="s">
        <v>29</v>
      </c>
      <c r="N343" s="8" t="s">
        <v>29</v>
      </c>
      <c r="O343" s="10" t="s">
        <v>19</v>
      </c>
      <c r="P343" s="8" t="s">
        <v>3765</v>
      </c>
      <c r="Q343" s="10" t="s">
        <v>174</v>
      </c>
      <c r="R343" s="10" t="s">
        <v>1387</v>
      </c>
      <c r="S343" s="8" t="s">
        <v>3766</v>
      </c>
      <c r="T343" s="10" t="s">
        <v>3623</v>
      </c>
      <c r="U343" s="10" t="s">
        <v>29</v>
      </c>
    </row>
    <row r="344" spans="1:21" s="10" customFormat="1" x14ac:dyDescent="0.25">
      <c r="A344" s="10" t="s">
        <v>3767</v>
      </c>
      <c r="B344" s="10" t="s">
        <v>2763</v>
      </c>
      <c r="C344" s="10" t="s">
        <v>166</v>
      </c>
      <c r="D344" s="10" t="s">
        <v>3768</v>
      </c>
      <c r="E344" s="8" t="s">
        <v>3769</v>
      </c>
      <c r="F344" s="8" t="s">
        <v>3770</v>
      </c>
      <c r="G344" s="10" t="s">
        <v>29</v>
      </c>
      <c r="H344" s="8" t="s">
        <v>3771</v>
      </c>
      <c r="I344" s="10" t="s">
        <v>1456</v>
      </c>
      <c r="J344" s="8" t="s">
        <v>2769</v>
      </c>
      <c r="K344" s="8" t="s">
        <v>29</v>
      </c>
      <c r="L344" s="8" t="s">
        <v>29</v>
      </c>
      <c r="M344" s="10" t="s">
        <v>29</v>
      </c>
      <c r="N344" s="8" t="s">
        <v>29</v>
      </c>
      <c r="O344" s="10" t="s">
        <v>19</v>
      </c>
      <c r="P344" s="8" t="s">
        <v>3772</v>
      </c>
      <c r="Q344" s="10" t="s">
        <v>174</v>
      </c>
      <c r="R344" s="10" t="s">
        <v>1387</v>
      </c>
      <c r="S344" s="8" t="s">
        <v>3773</v>
      </c>
      <c r="T344" s="10" t="s">
        <v>3623</v>
      </c>
      <c r="U344" s="10" t="s">
        <v>29</v>
      </c>
    </row>
    <row r="345" spans="1:21" s="10" customFormat="1" x14ac:dyDescent="0.25">
      <c r="A345" s="10" t="s">
        <v>3774</v>
      </c>
      <c r="B345" s="10" t="s">
        <v>2763</v>
      </c>
      <c r="C345" s="11" t="s">
        <v>297</v>
      </c>
      <c r="D345" s="10" t="s">
        <v>3775</v>
      </c>
      <c r="E345" s="8" t="s">
        <v>3776</v>
      </c>
      <c r="F345" s="8" t="s">
        <v>3777</v>
      </c>
      <c r="G345" s="10" t="s">
        <v>29</v>
      </c>
      <c r="H345" s="8" t="s">
        <v>3778</v>
      </c>
      <c r="I345" s="10" t="s">
        <v>3648</v>
      </c>
      <c r="J345" s="8" t="s">
        <v>2769</v>
      </c>
      <c r="K345" s="8" t="s">
        <v>29</v>
      </c>
      <c r="L345" s="8" t="s">
        <v>29</v>
      </c>
      <c r="M345" s="10" t="s">
        <v>29</v>
      </c>
      <c r="N345" s="8" t="s">
        <v>29</v>
      </c>
      <c r="O345" s="10" t="s">
        <v>19</v>
      </c>
      <c r="P345" s="8" t="s">
        <v>3779</v>
      </c>
      <c r="Q345" s="10" t="s">
        <v>174</v>
      </c>
      <c r="R345" s="10" t="s">
        <v>1387</v>
      </c>
      <c r="S345" s="8" t="s">
        <v>3780</v>
      </c>
      <c r="T345" s="10" t="s">
        <v>3623</v>
      </c>
      <c r="U345" s="10" t="s">
        <v>29</v>
      </c>
    </row>
    <row r="346" spans="1:21" s="10" customFormat="1" x14ac:dyDescent="0.25">
      <c r="A346" s="10" t="s">
        <v>3781</v>
      </c>
      <c r="B346" s="10" t="s">
        <v>2763</v>
      </c>
      <c r="C346" s="11" t="s">
        <v>297</v>
      </c>
      <c r="D346" s="10" t="s">
        <v>3782</v>
      </c>
      <c r="E346" s="8" t="s">
        <v>3783</v>
      </c>
      <c r="F346" s="8" t="s">
        <v>3784</v>
      </c>
      <c r="G346" s="10" t="s">
        <v>29</v>
      </c>
      <c r="H346" s="8" t="s">
        <v>3785</v>
      </c>
      <c r="I346" s="10" t="s">
        <v>3648</v>
      </c>
      <c r="J346" s="8" t="s">
        <v>2769</v>
      </c>
      <c r="K346" s="8" t="s">
        <v>29</v>
      </c>
      <c r="L346" s="8" t="s">
        <v>29</v>
      </c>
      <c r="M346" s="10" t="s">
        <v>29</v>
      </c>
      <c r="N346" s="8" t="s">
        <v>29</v>
      </c>
      <c r="O346" s="10" t="s">
        <v>19</v>
      </c>
      <c r="P346" s="8" t="s">
        <v>3786</v>
      </c>
      <c r="Q346" s="10" t="s">
        <v>174</v>
      </c>
      <c r="R346" s="10" t="s">
        <v>1387</v>
      </c>
      <c r="S346" s="8" t="s">
        <v>3787</v>
      </c>
      <c r="T346" s="10" t="s">
        <v>3623</v>
      </c>
      <c r="U346" s="10" t="s">
        <v>29</v>
      </c>
    </row>
    <row r="347" spans="1:21" s="10" customFormat="1" x14ac:dyDescent="0.25">
      <c r="A347" s="10" t="s">
        <v>3788</v>
      </c>
      <c r="B347" s="10" t="s">
        <v>2763</v>
      </c>
      <c r="C347" s="10" t="s">
        <v>166</v>
      </c>
      <c r="D347" s="10" t="s">
        <v>3789</v>
      </c>
      <c r="E347" s="8" t="s">
        <v>3790</v>
      </c>
      <c r="F347" s="8" t="s">
        <v>3791</v>
      </c>
      <c r="G347" s="10" t="s">
        <v>29</v>
      </c>
      <c r="H347" s="8" t="s">
        <v>3792</v>
      </c>
      <c r="I347" s="10" t="s">
        <v>3793</v>
      </c>
      <c r="J347" s="8" t="s">
        <v>2769</v>
      </c>
      <c r="K347" s="8" t="s">
        <v>29</v>
      </c>
      <c r="L347" s="8" t="s">
        <v>29</v>
      </c>
      <c r="M347" s="10" t="s">
        <v>29</v>
      </c>
      <c r="N347" s="8" t="s">
        <v>29</v>
      </c>
      <c r="O347" s="10" t="s">
        <v>19</v>
      </c>
      <c r="P347" s="8" t="s">
        <v>3794</v>
      </c>
      <c r="Q347" s="10" t="s">
        <v>174</v>
      </c>
      <c r="R347" s="10" t="s">
        <v>1387</v>
      </c>
      <c r="S347" s="8" t="s">
        <v>3795</v>
      </c>
      <c r="T347" s="10" t="s">
        <v>3623</v>
      </c>
      <c r="U347" s="10" t="s">
        <v>29</v>
      </c>
    </row>
    <row r="348" spans="1:21" s="10" customFormat="1" x14ac:dyDescent="0.25">
      <c r="A348" s="10" t="s">
        <v>3796</v>
      </c>
      <c r="B348" s="10" t="s">
        <v>2763</v>
      </c>
      <c r="C348" s="10" t="s">
        <v>166</v>
      </c>
      <c r="D348" s="10" t="s">
        <v>3797</v>
      </c>
      <c r="E348" s="8" t="s">
        <v>3798</v>
      </c>
      <c r="F348" s="8" t="s">
        <v>3799</v>
      </c>
      <c r="G348" s="10" t="s">
        <v>29</v>
      </c>
      <c r="H348" s="8" t="s">
        <v>3800</v>
      </c>
      <c r="I348" s="10" t="s">
        <v>3801</v>
      </c>
      <c r="J348" s="8" t="s">
        <v>2769</v>
      </c>
      <c r="K348" s="8" t="s">
        <v>29</v>
      </c>
      <c r="L348" s="8" t="s">
        <v>29</v>
      </c>
      <c r="M348" s="10" t="s">
        <v>29</v>
      </c>
      <c r="N348" s="8" t="s">
        <v>29</v>
      </c>
      <c r="O348" s="10" t="s">
        <v>19</v>
      </c>
      <c r="P348" s="8" t="s">
        <v>3802</v>
      </c>
      <c r="Q348" s="10" t="s">
        <v>174</v>
      </c>
      <c r="R348" s="10" t="s">
        <v>1387</v>
      </c>
      <c r="S348" s="8" t="s">
        <v>3803</v>
      </c>
      <c r="T348" s="10" t="s">
        <v>3623</v>
      </c>
      <c r="U348" s="10" t="s">
        <v>29</v>
      </c>
    </row>
    <row r="349" spans="1:21" s="10" customFormat="1" x14ac:dyDescent="0.25">
      <c r="A349" s="10" t="s">
        <v>3804</v>
      </c>
      <c r="B349" s="10" t="s">
        <v>2763</v>
      </c>
      <c r="C349" s="10" t="s">
        <v>166</v>
      </c>
      <c r="D349" s="10" t="s">
        <v>3805</v>
      </c>
      <c r="E349" s="8" t="s">
        <v>3806</v>
      </c>
      <c r="F349" s="8" t="s">
        <v>3807</v>
      </c>
      <c r="G349" s="10" t="s">
        <v>29</v>
      </c>
      <c r="H349" s="8" t="s">
        <v>3808</v>
      </c>
      <c r="I349" s="10" t="s">
        <v>951</v>
      </c>
      <c r="J349" s="8" t="s">
        <v>2769</v>
      </c>
      <c r="K349" s="8" t="s">
        <v>29</v>
      </c>
      <c r="L349" s="8" t="s">
        <v>29</v>
      </c>
      <c r="M349" s="10" t="s">
        <v>29</v>
      </c>
      <c r="N349" s="8" t="s">
        <v>29</v>
      </c>
      <c r="O349" s="10" t="s">
        <v>19</v>
      </c>
      <c r="P349" s="8" t="s">
        <v>3809</v>
      </c>
      <c r="Q349" s="10" t="s">
        <v>174</v>
      </c>
      <c r="R349" s="10" t="s">
        <v>1387</v>
      </c>
      <c r="S349" s="8" t="s">
        <v>3810</v>
      </c>
      <c r="T349" s="10" t="s">
        <v>3623</v>
      </c>
      <c r="U349" s="10" t="s">
        <v>29</v>
      </c>
    </row>
    <row r="350" spans="1:21" s="10" customFormat="1" x14ac:dyDescent="0.25">
      <c r="A350" s="10" t="s">
        <v>3811</v>
      </c>
      <c r="B350" s="10" t="s">
        <v>2763</v>
      </c>
      <c r="C350" s="10" t="s">
        <v>166</v>
      </c>
      <c r="D350" s="10" t="s">
        <v>3812</v>
      </c>
      <c r="E350" s="8" t="s">
        <v>3813</v>
      </c>
      <c r="F350" s="8" t="s">
        <v>3814</v>
      </c>
      <c r="G350" s="10" t="s">
        <v>29</v>
      </c>
      <c r="H350" s="8" t="s">
        <v>3815</v>
      </c>
      <c r="I350" s="10" t="s">
        <v>3816</v>
      </c>
      <c r="J350" s="8" t="s">
        <v>2769</v>
      </c>
      <c r="K350" s="8" t="s">
        <v>29</v>
      </c>
      <c r="L350" s="8" t="s">
        <v>29</v>
      </c>
      <c r="M350" s="10" t="s">
        <v>29</v>
      </c>
      <c r="N350" s="8" t="s">
        <v>29</v>
      </c>
      <c r="O350" s="10" t="s">
        <v>19</v>
      </c>
      <c r="P350" s="8" t="s">
        <v>3817</v>
      </c>
      <c r="Q350" s="10" t="s">
        <v>174</v>
      </c>
      <c r="R350" s="10" t="s">
        <v>1387</v>
      </c>
      <c r="S350" s="8" t="s">
        <v>3818</v>
      </c>
      <c r="T350" s="10" t="s">
        <v>3623</v>
      </c>
      <c r="U350" s="10" t="s">
        <v>29</v>
      </c>
    </row>
    <row r="351" spans="1:21" s="10" customFormat="1" x14ac:dyDescent="0.25">
      <c r="A351" s="10" t="s">
        <v>3819</v>
      </c>
      <c r="B351" s="10" t="s">
        <v>2763</v>
      </c>
      <c r="C351" s="10" t="s">
        <v>166</v>
      </c>
      <c r="D351" s="10" t="s">
        <v>3820</v>
      </c>
      <c r="E351" s="8" t="s">
        <v>3821</v>
      </c>
      <c r="F351" s="8" t="s">
        <v>3822</v>
      </c>
      <c r="G351" s="10" t="s">
        <v>29</v>
      </c>
      <c r="H351" s="8" t="s">
        <v>3823</v>
      </c>
      <c r="I351" s="10" t="s">
        <v>3824</v>
      </c>
      <c r="J351" s="8" t="s">
        <v>2769</v>
      </c>
      <c r="K351" s="8" t="s">
        <v>29</v>
      </c>
      <c r="L351" s="8" t="s">
        <v>29</v>
      </c>
      <c r="M351" s="10" t="s">
        <v>29</v>
      </c>
      <c r="N351" s="8" t="s">
        <v>29</v>
      </c>
      <c r="O351" s="10" t="s">
        <v>19</v>
      </c>
      <c r="P351" s="8" t="s">
        <v>3825</v>
      </c>
      <c r="Q351" s="10" t="s">
        <v>174</v>
      </c>
      <c r="R351" s="10" t="s">
        <v>1387</v>
      </c>
      <c r="S351" s="8" t="s">
        <v>3826</v>
      </c>
      <c r="T351" s="10" t="s">
        <v>3623</v>
      </c>
      <c r="U351" s="10" t="s">
        <v>29</v>
      </c>
    </row>
    <row r="352" spans="1:21" s="10" customFormat="1" x14ac:dyDescent="0.25">
      <c r="A352" s="10" t="s">
        <v>3827</v>
      </c>
      <c r="B352" s="10" t="s">
        <v>2763</v>
      </c>
      <c r="C352" s="10" t="s">
        <v>166</v>
      </c>
      <c r="D352" s="10" t="s">
        <v>3828</v>
      </c>
      <c r="E352" s="8" t="s">
        <v>3829</v>
      </c>
      <c r="F352" s="8" t="s">
        <v>3830</v>
      </c>
      <c r="G352" s="10" t="s">
        <v>29</v>
      </c>
      <c r="H352" s="8" t="s">
        <v>3831</v>
      </c>
      <c r="I352" s="10" t="s">
        <v>819</v>
      </c>
      <c r="J352" s="8" t="s">
        <v>2769</v>
      </c>
      <c r="K352" s="8" t="s">
        <v>29</v>
      </c>
      <c r="L352" s="8" t="s">
        <v>29</v>
      </c>
      <c r="M352" s="10" t="s">
        <v>29</v>
      </c>
      <c r="N352" s="8" t="s">
        <v>29</v>
      </c>
      <c r="O352" s="10" t="s">
        <v>19</v>
      </c>
      <c r="P352" s="8" t="s">
        <v>3832</v>
      </c>
      <c r="Q352" s="10" t="s">
        <v>174</v>
      </c>
      <c r="R352" s="10" t="s">
        <v>1387</v>
      </c>
      <c r="S352" s="8" t="s">
        <v>3833</v>
      </c>
      <c r="T352" s="10" t="s">
        <v>3623</v>
      </c>
      <c r="U352" s="10" t="s">
        <v>29</v>
      </c>
    </row>
    <row r="353" spans="1:21" s="10" customFormat="1" x14ac:dyDescent="0.25">
      <c r="A353" s="10" t="s">
        <v>3834</v>
      </c>
      <c r="B353" s="10" t="s">
        <v>2763</v>
      </c>
      <c r="C353" s="10" t="s">
        <v>166</v>
      </c>
      <c r="D353" s="10" t="s">
        <v>3835</v>
      </c>
      <c r="E353" s="8" t="s">
        <v>3836</v>
      </c>
      <c r="F353" s="8" t="s">
        <v>3837</v>
      </c>
      <c r="G353" s="10" t="s">
        <v>29</v>
      </c>
      <c r="H353" s="8" t="s">
        <v>3838</v>
      </c>
      <c r="I353" s="10" t="s">
        <v>819</v>
      </c>
      <c r="J353" s="8" t="s">
        <v>2769</v>
      </c>
      <c r="K353" s="8" t="s">
        <v>29</v>
      </c>
      <c r="L353" s="8" t="s">
        <v>29</v>
      </c>
      <c r="M353" s="10" t="s">
        <v>29</v>
      </c>
      <c r="N353" s="8" t="s">
        <v>29</v>
      </c>
      <c r="O353" s="10" t="s">
        <v>19</v>
      </c>
      <c r="P353" s="8" t="s">
        <v>3839</v>
      </c>
      <c r="Q353" s="10" t="s">
        <v>174</v>
      </c>
      <c r="R353" s="10" t="s">
        <v>1387</v>
      </c>
      <c r="S353" s="8" t="s">
        <v>3840</v>
      </c>
      <c r="T353" s="10" t="s">
        <v>3623</v>
      </c>
      <c r="U353" s="10" t="s">
        <v>29</v>
      </c>
    </row>
    <row r="354" spans="1:21" s="10" customFormat="1" x14ac:dyDescent="0.25">
      <c r="A354" s="10" t="s">
        <v>3841</v>
      </c>
      <c r="B354" s="10" t="s">
        <v>2763</v>
      </c>
      <c r="C354" s="10" t="s">
        <v>166</v>
      </c>
      <c r="D354" s="10" t="s">
        <v>3842</v>
      </c>
      <c r="E354" s="8" t="s">
        <v>3843</v>
      </c>
      <c r="F354" s="8" t="s">
        <v>3844</v>
      </c>
      <c r="G354" s="10" t="s">
        <v>29</v>
      </c>
      <c r="H354" s="8" t="s">
        <v>3845</v>
      </c>
      <c r="I354" s="10" t="s">
        <v>944</v>
      </c>
      <c r="J354" s="8" t="s">
        <v>2769</v>
      </c>
      <c r="K354" s="8" t="s">
        <v>29</v>
      </c>
      <c r="L354" s="8" t="s">
        <v>29</v>
      </c>
      <c r="M354" s="10" t="s">
        <v>29</v>
      </c>
      <c r="N354" s="8" t="s">
        <v>29</v>
      </c>
      <c r="O354" s="10" t="s">
        <v>19</v>
      </c>
      <c r="P354" s="8" t="s">
        <v>3846</v>
      </c>
      <c r="Q354" s="10" t="s">
        <v>174</v>
      </c>
      <c r="R354" s="10" t="s">
        <v>1387</v>
      </c>
      <c r="S354" s="8" t="s">
        <v>3847</v>
      </c>
      <c r="T354" s="10" t="s">
        <v>3623</v>
      </c>
      <c r="U354" s="10" t="s">
        <v>29</v>
      </c>
    </row>
    <row r="355" spans="1:21" s="10" customFormat="1" x14ac:dyDescent="0.25">
      <c r="A355" s="10" t="s">
        <v>3848</v>
      </c>
      <c r="B355" s="10" t="s">
        <v>2763</v>
      </c>
      <c r="C355" s="10" t="s">
        <v>166</v>
      </c>
      <c r="D355" s="10" t="s">
        <v>3849</v>
      </c>
      <c r="E355" s="8" t="s">
        <v>3850</v>
      </c>
      <c r="F355" s="8" t="s">
        <v>3851</v>
      </c>
      <c r="G355" s="10" t="s">
        <v>29</v>
      </c>
      <c r="H355" s="8" t="s">
        <v>3852</v>
      </c>
      <c r="I355" s="10" t="s">
        <v>3853</v>
      </c>
      <c r="J355" s="8" t="s">
        <v>2769</v>
      </c>
      <c r="K355" s="8" t="s">
        <v>29</v>
      </c>
      <c r="L355" s="8" t="s">
        <v>29</v>
      </c>
      <c r="M355" s="10" t="s">
        <v>29</v>
      </c>
      <c r="N355" s="8" t="s">
        <v>29</v>
      </c>
      <c r="O355" s="10" t="s">
        <v>19</v>
      </c>
      <c r="P355" s="8" t="s">
        <v>3854</v>
      </c>
      <c r="Q355" s="10" t="s">
        <v>174</v>
      </c>
      <c r="R355" s="10" t="s">
        <v>1387</v>
      </c>
      <c r="S355" s="8" t="s">
        <v>3855</v>
      </c>
      <c r="T355" s="10" t="s">
        <v>3623</v>
      </c>
      <c r="U355" s="10" t="s">
        <v>29</v>
      </c>
    </row>
    <row r="356" spans="1:21" s="10" customFormat="1" x14ac:dyDescent="0.25">
      <c r="A356" s="10" t="s">
        <v>3856</v>
      </c>
      <c r="B356" s="10" t="s">
        <v>2763</v>
      </c>
      <c r="C356" s="10" t="s">
        <v>166</v>
      </c>
      <c r="D356" s="10" t="s">
        <v>3857</v>
      </c>
      <c r="E356" s="8" t="s">
        <v>3858</v>
      </c>
      <c r="F356" s="8" t="s">
        <v>3859</v>
      </c>
      <c r="G356" s="10" t="s">
        <v>29</v>
      </c>
      <c r="H356" s="8" t="s">
        <v>3860</v>
      </c>
      <c r="I356" s="10" t="s">
        <v>944</v>
      </c>
      <c r="J356" s="8" t="s">
        <v>2769</v>
      </c>
      <c r="K356" s="8" t="s">
        <v>29</v>
      </c>
      <c r="L356" s="8" t="s">
        <v>29</v>
      </c>
      <c r="M356" s="10" t="s">
        <v>29</v>
      </c>
      <c r="N356" s="8" t="s">
        <v>29</v>
      </c>
      <c r="O356" s="10" t="s">
        <v>19</v>
      </c>
      <c r="P356" s="8" t="s">
        <v>3861</v>
      </c>
      <c r="Q356" s="10" t="s">
        <v>174</v>
      </c>
      <c r="R356" s="10" t="s">
        <v>1387</v>
      </c>
      <c r="S356" s="8" t="s">
        <v>3862</v>
      </c>
      <c r="T356" s="10" t="s">
        <v>3623</v>
      </c>
      <c r="U356" s="10" t="s">
        <v>29</v>
      </c>
    </row>
    <row r="357" spans="1:21" s="10" customFormat="1" x14ac:dyDescent="0.25">
      <c r="A357" s="10" t="s">
        <v>3863</v>
      </c>
      <c r="B357" s="10" t="s">
        <v>2763</v>
      </c>
      <c r="C357" s="10" t="s">
        <v>166</v>
      </c>
      <c r="D357" s="10" t="s">
        <v>3864</v>
      </c>
      <c r="E357" s="8" t="s">
        <v>3865</v>
      </c>
      <c r="F357" s="8" t="s">
        <v>3866</v>
      </c>
      <c r="G357" s="10" t="s">
        <v>29</v>
      </c>
      <c r="H357" s="8" t="s">
        <v>3867</v>
      </c>
      <c r="I357" s="10" t="s">
        <v>944</v>
      </c>
      <c r="J357" s="8" t="s">
        <v>2769</v>
      </c>
      <c r="K357" s="8" t="s">
        <v>29</v>
      </c>
      <c r="L357" s="8" t="s">
        <v>29</v>
      </c>
      <c r="M357" s="10" t="s">
        <v>29</v>
      </c>
      <c r="N357" s="8" t="s">
        <v>29</v>
      </c>
      <c r="O357" s="10" t="s">
        <v>19</v>
      </c>
      <c r="P357" s="8" t="s">
        <v>3868</v>
      </c>
      <c r="Q357" s="10" t="s">
        <v>174</v>
      </c>
      <c r="R357" s="10" t="s">
        <v>1387</v>
      </c>
      <c r="S357" s="8" t="s">
        <v>3869</v>
      </c>
      <c r="T357" s="10" t="s">
        <v>3623</v>
      </c>
      <c r="U357" s="10" t="s">
        <v>29</v>
      </c>
    </row>
    <row r="358" spans="1:21" s="10" customFormat="1" x14ac:dyDescent="0.25">
      <c r="A358" s="10" t="s">
        <v>3870</v>
      </c>
      <c r="B358" s="10" t="s">
        <v>2763</v>
      </c>
      <c r="C358" s="10" t="s">
        <v>166</v>
      </c>
      <c r="D358" s="10" t="s">
        <v>3871</v>
      </c>
      <c r="E358" s="8" t="s">
        <v>3872</v>
      </c>
      <c r="F358" s="8" t="s">
        <v>3873</v>
      </c>
      <c r="G358" s="10" t="s">
        <v>29</v>
      </c>
      <c r="H358" s="8" t="s">
        <v>3874</v>
      </c>
      <c r="I358" s="10" t="s">
        <v>870</v>
      </c>
      <c r="J358" s="8" t="s">
        <v>2769</v>
      </c>
      <c r="K358" s="8" t="s">
        <v>29</v>
      </c>
      <c r="L358" s="8" t="s">
        <v>29</v>
      </c>
      <c r="M358" s="10" t="s">
        <v>29</v>
      </c>
      <c r="N358" s="8" t="s">
        <v>29</v>
      </c>
      <c r="O358" s="10" t="s">
        <v>19</v>
      </c>
      <c r="P358" s="8" t="s">
        <v>3875</v>
      </c>
      <c r="Q358" s="10" t="s">
        <v>174</v>
      </c>
      <c r="R358" s="10" t="s">
        <v>1387</v>
      </c>
      <c r="S358" s="8" t="s">
        <v>3876</v>
      </c>
      <c r="T358" s="10" t="s">
        <v>3623</v>
      </c>
      <c r="U358" s="10" t="s">
        <v>29</v>
      </c>
    </row>
    <row r="359" spans="1:21" s="10" customFormat="1" x14ac:dyDescent="0.25">
      <c r="A359" s="10" t="s">
        <v>3877</v>
      </c>
      <c r="B359" s="10" t="s">
        <v>2763</v>
      </c>
      <c r="C359" s="10" t="s">
        <v>166</v>
      </c>
      <c r="D359" s="10" t="s">
        <v>3878</v>
      </c>
      <c r="E359" s="8" t="s">
        <v>3879</v>
      </c>
      <c r="F359" s="8" t="s">
        <v>3880</v>
      </c>
      <c r="G359" s="10" t="s">
        <v>29</v>
      </c>
      <c r="H359" s="8" t="s">
        <v>3881</v>
      </c>
      <c r="I359" s="10" t="s">
        <v>870</v>
      </c>
      <c r="J359" s="8" t="s">
        <v>2769</v>
      </c>
      <c r="K359" s="8" t="s">
        <v>29</v>
      </c>
      <c r="L359" s="8" t="s">
        <v>29</v>
      </c>
      <c r="M359" s="10" t="s">
        <v>29</v>
      </c>
      <c r="N359" s="8" t="s">
        <v>29</v>
      </c>
      <c r="O359" s="10" t="s">
        <v>19</v>
      </c>
      <c r="P359" s="8" t="s">
        <v>3882</v>
      </c>
      <c r="Q359" s="10" t="s">
        <v>174</v>
      </c>
      <c r="R359" s="10" t="s">
        <v>1387</v>
      </c>
      <c r="S359" s="8" t="s">
        <v>3883</v>
      </c>
      <c r="T359" s="10" t="s">
        <v>3623</v>
      </c>
      <c r="U359" s="10" t="s">
        <v>29</v>
      </c>
    </row>
    <row r="360" spans="1:21" s="10" customFormat="1" x14ac:dyDescent="0.25">
      <c r="A360" s="10" t="s">
        <v>3884</v>
      </c>
      <c r="B360" s="10" t="s">
        <v>2763</v>
      </c>
      <c r="C360" s="10" t="s">
        <v>166</v>
      </c>
      <c r="D360" s="10" t="s">
        <v>3885</v>
      </c>
      <c r="E360" s="8" t="s">
        <v>3886</v>
      </c>
      <c r="F360" s="8" t="s">
        <v>3887</v>
      </c>
      <c r="G360" s="10" t="s">
        <v>29</v>
      </c>
      <c r="H360" s="8" t="s">
        <v>3888</v>
      </c>
      <c r="I360" s="10" t="s">
        <v>3889</v>
      </c>
      <c r="J360" s="8" t="s">
        <v>2769</v>
      </c>
      <c r="K360" s="8" t="s">
        <v>29</v>
      </c>
      <c r="L360" s="8" t="s">
        <v>29</v>
      </c>
      <c r="M360" s="10" t="s">
        <v>29</v>
      </c>
      <c r="N360" s="8" t="s">
        <v>29</v>
      </c>
      <c r="O360" s="10" t="s">
        <v>19</v>
      </c>
      <c r="P360" s="8" t="s">
        <v>3890</v>
      </c>
      <c r="Q360" s="10" t="s">
        <v>174</v>
      </c>
      <c r="R360" s="10" t="s">
        <v>1387</v>
      </c>
      <c r="S360" s="8" t="s">
        <v>3891</v>
      </c>
      <c r="T360" s="10" t="s">
        <v>3623</v>
      </c>
      <c r="U360" s="10" t="s">
        <v>29</v>
      </c>
    </row>
    <row r="361" spans="1:21" s="10" customFormat="1" x14ac:dyDescent="0.25">
      <c r="A361" s="10" t="s">
        <v>3892</v>
      </c>
      <c r="B361" s="10" t="s">
        <v>2763</v>
      </c>
      <c r="C361" s="10" t="s">
        <v>166</v>
      </c>
      <c r="D361" s="10" t="s">
        <v>3893</v>
      </c>
      <c r="E361" s="8" t="s">
        <v>3894</v>
      </c>
      <c r="F361" s="8" t="s">
        <v>3895</v>
      </c>
      <c r="G361" s="10" t="s">
        <v>29</v>
      </c>
      <c r="H361" s="8" t="s">
        <v>3896</v>
      </c>
      <c r="I361" s="10" t="s">
        <v>3889</v>
      </c>
      <c r="J361" s="8" t="s">
        <v>2769</v>
      </c>
      <c r="K361" s="8" t="s">
        <v>29</v>
      </c>
      <c r="L361" s="8" t="s">
        <v>29</v>
      </c>
      <c r="M361" s="10" t="s">
        <v>29</v>
      </c>
      <c r="N361" s="8" t="s">
        <v>29</v>
      </c>
      <c r="O361" s="10" t="s">
        <v>19</v>
      </c>
      <c r="P361" s="8" t="s">
        <v>3897</v>
      </c>
      <c r="Q361" s="10" t="s">
        <v>174</v>
      </c>
      <c r="R361" s="10" t="s">
        <v>1387</v>
      </c>
      <c r="S361" s="8" t="s">
        <v>3898</v>
      </c>
      <c r="T361" s="10" t="s">
        <v>3623</v>
      </c>
      <c r="U361" s="10" t="s">
        <v>29</v>
      </c>
    </row>
    <row r="362" spans="1:21" s="10" customFormat="1" x14ac:dyDescent="0.25">
      <c r="A362" s="10" t="s">
        <v>3899</v>
      </c>
      <c r="B362" s="10" t="s">
        <v>2763</v>
      </c>
      <c r="C362" s="10" t="s">
        <v>166</v>
      </c>
      <c r="D362" s="10" t="s">
        <v>3900</v>
      </c>
      <c r="E362" s="8" t="s">
        <v>3901</v>
      </c>
      <c r="F362" s="8" t="s">
        <v>3902</v>
      </c>
      <c r="G362" s="10" t="s">
        <v>29</v>
      </c>
      <c r="H362" s="8" t="s">
        <v>3903</v>
      </c>
      <c r="I362" s="10" t="s">
        <v>3904</v>
      </c>
      <c r="J362" s="8" t="s">
        <v>2769</v>
      </c>
      <c r="K362" s="8" t="s">
        <v>29</v>
      </c>
      <c r="L362" s="8" t="s">
        <v>29</v>
      </c>
      <c r="M362" s="10" t="s">
        <v>29</v>
      </c>
      <c r="N362" s="8" t="s">
        <v>29</v>
      </c>
      <c r="O362" s="10" t="s">
        <v>19</v>
      </c>
      <c r="P362" s="8" t="s">
        <v>3905</v>
      </c>
      <c r="Q362" s="10" t="s">
        <v>174</v>
      </c>
      <c r="R362" s="10" t="s">
        <v>1387</v>
      </c>
      <c r="S362" s="8" t="s">
        <v>3906</v>
      </c>
      <c r="T362" s="10" t="s">
        <v>3623</v>
      </c>
      <c r="U362" s="10" t="s">
        <v>29</v>
      </c>
    </row>
    <row r="363" spans="1:21" s="10" customFormat="1" x14ac:dyDescent="0.25">
      <c r="A363" s="10" t="s">
        <v>3907</v>
      </c>
      <c r="B363" s="10" t="s">
        <v>2763</v>
      </c>
      <c r="C363" s="10" t="s">
        <v>166</v>
      </c>
      <c r="D363" s="10" t="s">
        <v>3908</v>
      </c>
      <c r="E363" s="8" t="s">
        <v>3909</v>
      </c>
      <c r="F363" s="8" t="s">
        <v>3910</v>
      </c>
      <c r="G363" s="10" t="s">
        <v>29</v>
      </c>
      <c r="H363" s="8" t="s">
        <v>3911</v>
      </c>
      <c r="I363" s="10" t="s">
        <v>3912</v>
      </c>
      <c r="J363" s="8" t="s">
        <v>2769</v>
      </c>
      <c r="K363" s="8" t="s">
        <v>29</v>
      </c>
      <c r="L363" s="8" t="s">
        <v>29</v>
      </c>
      <c r="M363" s="10" t="s">
        <v>29</v>
      </c>
      <c r="N363" s="8" t="s">
        <v>29</v>
      </c>
      <c r="O363" s="10" t="s">
        <v>19</v>
      </c>
      <c r="P363" s="8" t="s">
        <v>3913</v>
      </c>
      <c r="Q363" s="10" t="s">
        <v>174</v>
      </c>
      <c r="R363" s="10" t="s">
        <v>1387</v>
      </c>
      <c r="S363" s="8" t="s">
        <v>3914</v>
      </c>
      <c r="T363" s="10" t="s">
        <v>3623</v>
      </c>
      <c r="U363" s="10" t="s">
        <v>29</v>
      </c>
    </row>
    <row r="364" spans="1:21" s="10" customFormat="1" x14ac:dyDescent="0.25">
      <c r="A364" s="10" t="s">
        <v>3915</v>
      </c>
      <c r="B364" s="10" t="s">
        <v>2763</v>
      </c>
      <c r="C364" s="11" t="s">
        <v>297</v>
      </c>
      <c r="D364" s="10" t="s">
        <v>3916</v>
      </c>
      <c r="E364" s="8" t="s">
        <v>3917</v>
      </c>
      <c r="F364" s="8" t="s">
        <v>3918</v>
      </c>
      <c r="G364" s="10" t="s">
        <v>29</v>
      </c>
      <c r="H364" s="8" t="s">
        <v>3919</v>
      </c>
      <c r="I364" s="10" t="s">
        <v>3727</v>
      </c>
      <c r="J364" s="8" t="s">
        <v>2769</v>
      </c>
      <c r="K364" s="8" t="s">
        <v>29</v>
      </c>
      <c r="L364" s="8" t="s">
        <v>29</v>
      </c>
      <c r="M364" s="10" t="s">
        <v>29</v>
      </c>
      <c r="N364" s="8" t="s">
        <v>29</v>
      </c>
      <c r="O364" s="10" t="s">
        <v>19</v>
      </c>
      <c r="P364" s="8" t="s">
        <v>3920</v>
      </c>
      <c r="Q364" s="10" t="s">
        <v>174</v>
      </c>
      <c r="R364" s="10" t="s">
        <v>1387</v>
      </c>
      <c r="S364" s="8" t="s">
        <v>3921</v>
      </c>
      <c r="T364" s="10" t="s">
        <v>3623</v>
      </c>
      <c r="U364" s="10" t="s">
        <v>29</v>
      </c>
    </row>
    <row r="365" spans="1:21" s="10" customFormat="1" x14ac:dyDescent="0.25">
      <c r="A365" s="10" t="s">
        <v>3922</v>
      </c>
      <c r="B365" s="10" t="s">
        <v>3923</v>
      </c>
      <c r="C365" s="10" t="s">
        <v>166</v>
      </c>
      <c r="D365" s="10" t="s">
        <v>3924</v>
      </c>
      <c r="E365" s="8" t="s">
        <v>3925</v>
      </c>
      <c r="F365" s="8" t="s">
        <v>3926</v>
      </c>
      <c r="G365" s="10" t="s">
        <v>29</v>
      </c>
      <c r="H365" s="8" t="s">
        <v>2478</v>
      </c>
      <c r="I365" s="10" t="s">
        <v>3927</v>
      </c>
      <c r="J365" s="8" t="s">
        <v>3928</v>
      </c>
      <c r="K365" s="8" t="s">
        <v>29</v>
      </c>
      <c r="L365" s="8" t="s">
        <v>29</v>
      </c>
      <c r="M365" s="10" t="s">
        <v>29</v>
      </c>
      <c r="N365" s="8" t="s">
        <v>29</v>
      </c>
      <c r="O365" s="10" t="s">
        <v>19</v>
      </c>
      <c r="P365" s="8" t="s">
        <v>3929</v>
      </c>
      <c r="Q365" s="10" t="s">
        <v>174</v>
      </c>
      <c r="R365" s="10" t="s">
        <v>1387</v>
      </c>
      <c r="S365" s="8" t="s">
        <v>3930</v>
      </c>
      <c r="T365" s="10" t="s">
        <v>3931</v>
      </c>
      <c r="U365" s="10" t="s">
        <v>29</v>
      </c>
    </row>
    <row r="366" spans="1:21" s="10" customFormat="1" x14ac:dyDescent="0.25">
      <c r="A366" s="10" t="s">
        <v>3932</v>
      </c>
      <c r="B366" s="10" t="s">
        <v>3923</v>
      </c>
      <c r="C366" s="10" t="s">
        <v>335</v>
      </c>
      <c r="D366" s="10" t="s">
        <v>3933</v>
      </c>
      <c r="E366" s="8" t="s">
        <v>3934</v>
      </c>
      <c r="F366" s="8" t="s">
        <v>3935</v>
      </c>
      <c r="G366" s="10" t="s">
        <v>29</v>
      </c>
      <c r="H366" s="8" t="s">
        <v>2777</v>
      </c>
      <c r="I366" s="10" t="s">
        <v>819</v>
      </c>
      <c r="J366" s="8" t="s">
        <v>3928</v>
      </c>
      <c r="K366" s="8" t="s">
        <v>29</v>
      </c>
      <c r="L366" s="8" t="s">
        <v>29</v>
      </c>
      <c r="M366" s="10" t="s">
        <v>29</v>
      </c>
      <c r="N366" s="8" t="s">
        <v>29</v>
      </c>
      <c r="O366" s="10" t="s">
        <v>19</v>
      </c>
      <c r="P366" s="8" t="s">
        <v>3936</v>
      </c>
      <c r="Q366" s="10" t="s">
        <v>174</v>
      </c>
      <c r="R366" s="10" t="s">
        <v>1387</v>
      </c>
      <c r="S366" s="8" t="s">
        <v>1388</v>
      </c>
      <c r="T366" s="10" t="s">
        <v>3931</v>
      </c>
      <c r="U366" s="10" t="s">
        <v>29</v>
      </c>
    </row>
    <row r="367" spans="1:21" s="10" customFormat="1" x14ac:dyDescent="0.25">
      <c r="A367" s="10" t="s">
        <v>3937</v>
      </c>
      <c r="B367" s="10" t="s">
        <v>3923</v>
      </c>
      <c r="C367" s="11" t="s">
        <v>297</v>
      </c>
      <c r="D367" s="10" t="s">
        <v>3938</v>
      </c>
      <c r="E367" s="8" t="s">
        <v>3939</v>
      </c>
      <c r="F367" s="8" t="s">
        <v>3940</v>
      </c>
      <c r="G367" s="10" t="s">
        <v>29</v>
      </c>
      <c r="H367" s="8" t="s">
        <v>3941</v>
      </c>
      <c r="I367" s="10" t="s">
        <v>3942</v>
      </c>
      <c r="J367" s="8" t="s">
        <v>3928</v>
      </c>
      <c r="K367" s="8" t="s">
        <v>29</v>
      </c>
      <c r="L367" s="8" t="s">
        <v>29</v>
      </c>
      <c r="M367" s="10" t="s">
        <v>29</v>
      </c>
      <c r="N367" s="8" t="s">
        <v>29</v>
      </c>
      <c r="O367" s="10" t="s">
        <v>19</v>
      </c>
      <c r="P367" s="8" t="s">
        <v>3943</v>
      </c>
      <c r="Q367" s="10" t="s">
        <v>174</v>
      </c>
      <c r="R367" s="10" t="s">
        <v>1387</v>
      </c>
      <c r="S367" s="8" t="s">
        <v>3944</v>
      </c>
      <c r="T367" s="10" t="s">
        <v>3931</v>
      </c>
      <c r="U367" s="10" t="s">
        <v>29</v>
      </c>
    </row>
    <row r="368" spans="1:21" s="10" customFormat="1" x14ac:dyDescent="0.25">
      <c r="A368" s="10" t="s">
        <v>3945</v>
      </c>
      <c r="B368" s="10" t="s">
        <v>3923</v>
      </c>
      <c r="C368" s="11" t="s">
        <v>297</v>
      </c>
      <c r="D368" s="10" t="s">
        <v>3946</v>
      </c>
      <c r="E368" s="8" t="s">
        <v>3947</v>
      </c>
      <c r="F368" s="8" t="s">
        <v>3948</v>
      </c>
      <c r="G368" s="10" t="s">
        <v>29</v>
      </c>
      <c r="H368" s="8" t="s">
        <v>3949</v>
      </c>
      <c r="I368" s="10" t="s">
        <v>3950</v>
      </c>
      <c r="J368" s="8" t="s">
        <v>3928</v>
      </c>
      <c r="K368" s="8" t="s">
        <v>29</v>
      </c>
      <c r="L368" s="8" t="s">
        <v>29</v>
      </c>
      <c r="M368" s="10" t="s">
        <v>29</v>
      </c>
      <c r="N368" s="8" t="s">
        <v>29</v>
      </c>
      <c r="O368" s="10" t="s">
        <v>19</v>
      </c>
      <c r="P368" s="8" t="s">
        <v>3951</v>
      </c>
      <c r="Q368" s="10" t="s">
        <v>1399</v>
      </c>
      <c r="R368" s="10" t="s">
        <v>1387</v>
      </c>
      <c r="S368" s="8" t="s">
        <v>3952</v>
      </c>
      <c r="T368" s="10" t="s">
        <v>3931</v>
      </c>
      <c r="U368" s="10" t="s">
        <v>29</v>
      </c>
    </row>
    <row r="369" spans="1:21" s="10" customFormat="1" x14ac:dyDescent="0.25">
      <c r="A369" s="10" t="s">
        <v>3953</v>
      </c>
      <c r="B369" s="10" t="s">
        <v>3923</v>
      </c>
      <c r="C369" s="11" t="s">
        <v>297</v>
      </c>
      <c r="D369" s="10" t="s">
        <v>3954</v>
      </c>
      <c r="E369" s="8" t="s">
        <v>3955</v>
      </c>
      <c r="F369" s="8" t="s">
        <v>3956</v>
      </c>
      <c r="G369" s="10" t="s">
        <v>29</v>
      </c>
      <c r="H369" s="8" t="s">
        <v>3957</v>
      </c>
      <c r="I369" s="10" t="s">
        <v>3950</v>
      </c>
      <c r="J369" s="8" t="s">
        <v>3928</v>
      </c>
      <c r="K369" s="8" t="s">
        <v>29</v>
      </c>
      <c r="L369" s="8" t="s">
        <v>29</v>
      </c>
      <c r="M369" s="10" t="s">
        <v>29</v>
      </c>
      <c r="N369" s="8" t="s">
        <v>29</v>
      </c>
      <c r="O369" s="10" t="s">
        <v>19</v>
      </c>
      <c r="P369" s="8" t="s">
        <v>3958</v>
      </c>
      <c r="Q369" s="10" t="s">
        <v>1399</v>
      </c>
      <c r="R369" s="10" t="s">
        <v>1387</v>
      </c>
      <c r="S369" s="8" t="s">
        <v>3959</v>
      </c>
      <c r="T369" s="10" t="s">
        <v>3931</v>
      </c>
      <c r="U369" s="10" t="s">
        <v>29</v>
      </c>
    </row>
    <row r="370" spans="1:21" s="10" customFormat="1" x14ac:dyDescent="0.25">
      <c r="A370" s="10" t="s">
        <v>3960</v>
      </c>
      <c r="B370" s="10" t="s">
        <v>3923</v>
      </c>
      <c r="C370" s="11" t="s">
        <v>297</v>
      </c>
      <c r="D370" s="10" t="s">
        <v>3961</v>
      </c>
      <c r="E370" s="8" t="s">
        <v>3962</v>
      </c>
      <c r="F370" s="8" t="s">
        <v>3963</v>
      </c>
      <c r="G370" s="10" t="s">
        <v>29</v>
      </c>
      <c r="H370" s="8" t="s">
        <v>3964</v>
      </c>
      <c r="I370" s="10" t="s">
        <v>3965</v>
      </c>
      <c r="J370" s="8" t="s">
        <v>3928</v>
      </c>
      <c r="K370" s="8" t="s">
        <v>29</v>
      </c>
      <c r="L370" s="8" t="s">
        <v>29</v>
      </c>
      <c r="M370" s="10" t="s">
        <v>29</v>
      </c>
      <c r="N370" s="8" t="s">
        <v>29</v>
      </c>
      <c r="O370" s="10" t="s">
        <v>19</v>
      </c>
      <c r="P370" s="8" t="s">
        <v>3966</v>
      </c>
      <c r="Q370" s="10" t="s">
        <v>1399</v>
      </c>
      <c r="R370" s="10" t="s">
        <v>1387</v>
      </c>
      <c r="S370" s="8" t="s">
        <v>3967</v>
      </c>
      <c r="T370" s="10" t="s">
        <v>3931</v>
      </c>
      <c r="U370" s="10" t="s">
        <v>29</v>
      </c>
    </row>
    <row r="371" spans="1:21" s="10" customFormat="1" x14ac:dyDescent="0.25">
      <c r="A371" s="10" t="s">
        <v>3968</v>
      </c>
      <c r="B371" s="10" t="s">
        <v>3923</v>
      </c>
      <c r="C371" s="10" t="s">
        <v>166</v>
      </c>
      <c r="D371" s="10" t="s">
        <v>3969</v>
      </c>
      <c r="E371" s="8" t="s">
        <v>3970</v>
      </c>
      <c r="F371" s="8" t="s">
        <v>3971</v>
      </c>
      <c r="G371" s="10" t="s">
        <v>29</v>
      </c>
      <c r="H371" s="8" t="s">
        <v>3972</v>
      </c>
      <c r="I371" s="10" t="s">
        <v>3278</v>
      </c>
      <c r="J371" s="8" t="s">
        <v>3928</v>
      </c>
      <c r="K371" s="8" t="s">
        <v>29</v>
      </c>
      <c r="L371" s="8" t="s">
        <v>29</v>
      </c>
      <c r="M371" s="10" t="s">
        <v>29</v>
      </c>
      <c r="N371" s="8" t="s">
        <v>29</v>
      </c>
      <c r="O371" s="10" t="s">
        <v>19</v>
      </c>
      <c r="P371" s="8" t="s">
        <v>3973</v>
      </c>
      <c r="Q371" s="10" t="s">
        <v>190</v>
      </c>
      <c r="R371" s="10" t="s">
        <v>1387</v>
      </c>
      <c r="S371" s="8" t="s">
        <v>3974</v>
      </c>
      <c r="T371" s="10" t="s">
        <v>3931</v>
      </c>
      <c r="U371" s="10" t="s">
        <v>29</v>
      </c>
    </row>
    <row r="372" spans="1:21" s="10" customFormat="1" x14ac:dyDescent="0.25">
      <c r="A372" s="10" t="s">
        <v>3975</v>
      </c>
      <c r="B372" s="10" t="s">
        <v>3923</v>
      </c>
      <c r="C372" s="10" t="s">
        <v>166</v>
      </c>
      <c r="D372" s="10" t="s">
        <v>3976</v>
      </c>
      <c r="E372" s="8" t="s">
        <v>3977</v>
      </c>
      <c r="F372" s="8" t="s">
        <v>3971</v>
      </c>
      <c r="G372" s="10" t="s">
        <v>29</v>
      </c>
      <c r="H372" s="8" t="s">
        <v>3978</v>
      </c>
      <c r="I372" s="10" t="s">
        <v>819</v>
      </c>
      <c r="J372" s="8" t="s">
        <v>3928</v>
      </c>
      <c r="K372" s="8" t="s">
        <v>29</v>
      </c>
      <c r="L372" s="8" t="s">
        <v>29</v>
      </c>
      <c r="M372" s="10" t="s">
        <v>29</v>
      </c>
      <c r="N372" s="8" t="s">
        <v>29</v>
      </c>
      <c r="O372" s="10" t="s">
        <v>19</v>
      </c>
      <c r="P372" s="8" t="s">
        <v>3979</v>
      </c>
      <c r="Q372" s="10" t="s">
        <v>190</v>
      </c>
      <c r="R372" s="10" t="s">
        <v>1387</v>
      </c>
      <c r="S372" s="8" t="s">
        <v>3980</v>
      </c>
      <c r="T372" s="10" t="s">
        <v>3931</v>
      </c>
      <c r="U372" s="10" t="s">
        <v>29</v>
      </c>
    </row>
    <row r="373" spans="1:21" s="10" customFormat="1" x14ac:dyDescent="0.25">
      <c r="A373" s="10" t="s">
        <v>3981</v>
      </c>
      <c r="B373" s="10" t="s">
        <v>3923</v>
      </c>
      <c r="C373" s="10" t="s">
        <v>166</v>
      </c>
      <c r="D373" s="10" t="s">
        <v>3982</v>
      </c>
      <c r="E373" s="8" t="s">
        <v>3983</v>
      </c>
      <c r="F373" s="8" t="s">
        <v>3984</v>
      </c>
      <c r="G373" s="10" t="s">
        <v>29</v>
      </c>
      <c r="H373" s="8" t="s">
        <v>3985</v>
      </c>
      <c r="I373" s="10" t="s">
        <v>3986</v>
      </c>
      <c r="J373" s="8" t="s">
        <v>3928</v>
      </c>
      <c r="K373" s="8" t="s">
        <v>29</v>
      </c>
      <c r="L373" s="8" t="s">
        <v>29</v>
      </c>
      <c r="M373" s="10" t="s">
        <v>29</v>
      </c>
      <c r="N373" s="8" t="s">
        <v>29</v>
      </c>
      <c r="O373" s="10" t="s">
        <v>19</v>
      </c>
      <c r="P373" s="8" t="s">
        <v>3987</v>
      </c>
      <c r="Q373" s="10" t="s">
        <v>190</v>
      </c>
      <c r="R373" s="10" t="s">
        <v>1387</v>
      </c>
      <c r="S373" s="8" t="s">
        <v>3988</v>
      </c>
      <c r="T373" s="10" t="s">
        <v>3931</v>
      </c>
      <c r="U373" s="10" t="s">
        <v>29</v>
      </c>
    </row>
    <row r="374" spans="1:21" s="10" customFormat="1" x14ac:dyDescent="0.25">
      <c r="A374" s="10" t="s">
        <v>3989</v>
      </c>
      <c r="B374" s="10" t="s">
        <v>3923</v>
      </c>
      <c r="C374" s="10" t="s">
        <v>166</v>
      </c>
      <c r="D374" s="10" t="s">
        <v>3990</v>
      </c>
      <c r="E374" s="8" t="s">
        <v>3991</v>
      </c>
      <c r="F374" s="8" t="s">
        <v>3984</v>
      </c>
      <c r="G374" s="10" t="s">
        <v>29</v>
      </c>
      <c r="H374" s="8" t="s">
        <v>3992</v>
      </c>
      <c r="I374" s="10" t="s">
        <v>3986</v>
      </c>
      <c r="J374" s="8" t="s">
        <v>3928</v>
      </c>
      <c r="K374" s="8" t="s">
        <v>29</v>
      </c>
      <c r="L374" s="8" t="s">
        <v>29</v>
      </c>
      <c r="M374" s="10" t="s">
        <v>29</v>
      </c>
      <c r="N374" s="8" t="s">
        <v>29</v>
      </c>
      <c r="O374" s="10" t="s">
        <v>19</v>
      </c>
      <c r="P374" s="8" t="s">
        <v>3993</v>
      </c>
      <c r="Q374" s="10" t="s">
        <v>190</v>
      </c>
      <c r="R374" s="10" t="s">
        <v>1387</v>
      </c>
      <c r="S374" s="8" t="s">
        <v>3994</v>
      </c>
      <c r="T374" s="10" t="s">
        <v>3931</v>
      </c>
      <c r="U374" s="10" t="s">
        <v>29</v>
      </c>
    </row>
    <row r="375" spans="1:21" s="10" customFormat="1" x14ac:dyDescent="0.25">
      <c r="A375" s="10" t="s">
        <v>3995</v>
      </c>
      <c r="B375" s="10" t="s">
        <v>3923</v>
      </c>
      <c r="C375" s="10" t="s">
        <v>166</v>
      </c>
      <c r="D375" s="10" t="s">
        <v>3996</v>
      </c>
      <c r="E375" s="8" t="s">
        <v>3997</v>
      </c>
      <c r="F375" s="8" t="s">
        <v>3998</v>
      </c>
      <c r="G375" s="10" t="s">
        <v>29</v>
      </c>
      <c r="H375" s="8" t="s">
        <v>3999</v>
      </c>
      <c r="I375" s="10" t="s">
        <v>4000</v>
      </c>
      <c r="J375" s="8" t="s">
        <v>3928</v>
      </c>
      <c r="K375" s="8" t="s">
        <v>29</v>
      </c>
      <c r="L375" s="8" t="s">
        <v>29</v>
      </c>
      <c r="M375" s="10" t="s">
        <v>29</v>
      </c>
      <c r="N375" s="8" t="s">
        <v>29</v>
      </c>
      <c r="O375" s="10" t="s">
        <v>19</v>
      </c>
      <c r="P375" s="8" t="s">
        <v>4001</v>
      </c>
      <c r="Q375" s="10" t="s">
        <v>190</v>
      </c>
      <c r="R375" s="10" t="s">
        <v>1387</v>
      </c>
      <c r="S375" s="8" t="s">
        <v>4002</v>
      </c>
      <c r="T375" s="10" t="s">
        <v>3931</v>
      </c>
      <c r="U375" s="10" t="s">
        <v>29</v>
      </c>
    </row>
    <row r="376" spans="1:21" s="10" customFormat="1" x14ac:dyDescent="0.25">
      <c r="A376" s="10" t="s">
        <v>4003</v>
      </c>
      <c r="B376" s="10" t="s">
        <v>3923</v>
      </c>
      <c r="C376" s="11" t="s">
        <v>297</v>
      </c>
      <c r="D376" s="10" t="s">
        <v>4004</v>
      </c>
      <c r="E376" s="8" t="s">
        <v>4005</v>
      </c>
      <c r="F376" s="8" t="s">
        <v>4006</v>
      </c>
      <c r="G376" s="10" t="s">
        <v>29</v>
      </c>
      <c r="H376" s="8" t="s">
        <v>4007</v>
      </c>
      <c r="I376" s="10" t="s">
        <v>4000</v>
      </c>
      <c r="J376" s="8" t="s">
        <v>3928</v>
      </c>
      <c r="K376" s="8" t="s">
        <v>29</v>
      </c>
      <c r="L376" s="8" t="s">
        <v>29</v>
      </c>
      <c r="M376" s="10" t="s">
        <v>29</v>
      </c>
      <c r="N376" s="8" t="s">
        <v>29</v>
      </c>
      <c r="O376" s="10" t="s">
        <v>19</v>
      </c>
      <c r="P376" s="8" t="s">
        <v>4008</v>
      </c>
      <c r="Q376" s="10" t="s">
        <v>190</v>
      </c>
      <c r="R376" s="10" t="s">
        <v>1387</v>
      </c>
      <c r="S376" s="8" t="s">
        <v>4009</v>
      </c>
      <c r="T376" s="10" t="s">
        <v>3931</v>
      </c>
      <c r="U376" s="10" t="s">
        <v>29</v>
      </c>
    </row>
    <row r="377" spans="1:21" s="10" customFormat="1" x14ac:dyDescent="0.25">
      <c r="A377" s="10" t="s">
        <v>4010</v>
      </c>
      <c r="B377" s="10" t="s">
        <v>3923</v>
      </c>
      <c r="C377" s="11" t="s">
        <v>297</v>
      </c>
      <c r="D377" s="10" t="s">
        <v>4011</v>
      </c>
      <c r="E377" s="8" t="s">
        <v>4012</v>
      </c>
      <c r="F377" s="8" t="s">
        <v>4013</v>
      </c>
      <c r="G377" s="10" t="s">
        <v>29</v>
      </c>
      <c r="H377" s="8" t="s">
        <v>4014</v>
      </c>
      <c r="I377" s="10" t="s">
        <v>4015</v>
      </c>
      <c r="J377" s="8" t="s">
        <v>3928</v>
      </c>
      <c r="K377" s="8" t="s">
        <v>29</v>
      </c>
      <c r="L377" s="8" t="s">
        <v>29</v>
      </c>
      <c r="M377" s="10" t="s">
        <v>29</v>
      </c>
      <c r="N377" s="8" t="s">
        <v>29</v>
      </c>
      <c r="O377" s="10" t="s">
        <v>19</v>
      </c>
      <c r="P377" s="8" t="s">
        <v>4016</v>
      </c>
      <c r="Q377" s="10" t="s">
        <v>197</v>
      </c>
      <c r="R377" s="10" t="s">
        <v>1387</v>
      </c>
      <c r="S377" s="8" t="s">
        <v>4017</v>
      </c>
      <c r="T377" s="10" t="s">
        <v>3931</v>
      </c>
      <c r="U377" s="10" t="s">
        <v>29</v>
      </c>
    </row>
    <row r="378" spans="1:21" s="10" customFormat="1" x14ac:dyDescent="0.25">
      <c r="A378" s="10" t="s">
        <v>4018</v>
      </c>
      <c r="B378" s="10" t="s">
        <v>3923</v>
      </c>
      <c r="C378" s="10" t="s">
        <v>166</v>
      </c>
      <c r="D378" s="10" t="s">
        <v>4019</v>
      </c>
      <c r="E378" s="8" t="s">
        <v>4020</v>
      </c>
      <c r="F378" s="8" t="s">
        <v>4021</v>
      </c>
      <c r="G378" s="10" t="s">
        <v>29</v>
      </c>
      <c r="H378" s="8" t="s">
        <v>1614</v>
      </c>
      <c r="I378" s="10" t="s">
        <v>4022</v>
      </c>
      <c r="J378" s="8" t="s">
        <v>3928</v>
      </c>
      <c r="K378" s="8" t="s">
        <v>29</v>
      </c>
      <c r="L378" s="8" t="s">
        <v>29</v>
      </c>
      <c r="M378" s="10" t="s">
        <v>29</v>
      </c>
      <c r="N378" s="8" t="s">
        <v>29</v>
      </c>
      <c r="O378" s="10" t="s">
        <v>19</v>
      </c>
      <c r="P378" s="8" t="s">
        <v>4023</v>
      </c>
      <c r="Q378" s="10" t="s">
        <v>174</v>
      </c>
      <c r="R378" s="10" t="s">
        <v>1387</v>
      </c>
      <c r="S378" s="8" t="s">
        <v>4024</v>
      </c>
      <c r="T378" s="10" t="s">
        <v>3931</v>
      </c>
      <c r="U378" s="10" t="s">
        <v>29</v>
      </c>
    </row>
    <row r="379" spans="1:21" s="10" customFormat="1" x14ac:dyDescent="0.25">
      <c r="A379" s="10" t="s">
        <v>4025</v>
      </c>
      <c r="B379" s="10" t="s">
        <v>3923</v>
      </c>
      <c r="C379" s="10" t="s">
        <v>166</v>
      </c>
      <c r="D379" s="10" t="s">
        <v>4026</v>
      </c>
      <c r="E379" s="8" t="s">
        <v>4027</v>
      </c>
      <c r="F379" s="8" t="s">
        <v>4028</v>
      </c>
      <c r="G379" s="10" t="s">
        <v>29</v>
      </c>
      <c r="H379" s="8" t="s">
        <v>4029</v>
      </c>
      <c r="I379" s="10" t="s">
        <v>4030</v>
      </c>
      <c r="J379" s="8" t="s">
        <v>3928</v>
      </c>
      <c r="K379" s="8" t="s">
        <v>29</v>
      </c>
      <c r="L379" s="8" t="s">
        <v>29</v>
      </c>
      <c r="M379" s="10" t="s">
        <v>29</v>
      </c>
      <c r="N379" s="8" t="s">
        <v>29</v>
      </c>
      <c r="O379" s="10" t="s">
        <v>19</v>
      </c>
      <c r="P379" s="8" t="s">
        <v>4031</v>
      </c>
      <c r="Q379" s="10" t="s">
        <v>174</v>
      </c>
      <c r="R379" s="10" t="s">
        <v>1387</v>
      </c>
      <c r="S379" s="8" t="s">
        <v>4032</v>
      </c>
      <c r="T379" s="10" t="s">
        <v>3931</v>
      </c>
      <c r="U379" s="10" t="s">
        <v>29</v>
      </c>
    </row>
    <row r="380" spans="1:21" s="10" customFormat="1" x14ac:dyDescent="0.25">
      <c r="A380" s="10" t="s">
        <v>4033</v>
      </c>
      <c r="B380" s="10" t="s">
        <v>3923</v>
      </c>
      <c r="C380" s="10" t="s">
        <v>335</v>
      </c>
      <c r="D380" s="10" t="s">
        <v>4034</v>
      </c>
      <c r="E380" s="8" t="s">
        <v>4035</v>
      </c>
      <c r="F380" s="8" t="s">
        <v>4036</v>
      </c>
      <c r="G380" s="10" t="s">
        <v>29</v>
      </c>
      <c r="H380" s="8" t="s">
        <v>4037</v>
      </c>
      <c r="I380" s="10" t="s">
        <v>4038</v>
      </c>
      <c r="J380" s="8" t="s">
        <v>3928</v>
      </c>
      <c r="K380" s="8" t="s">
        <v>29</v>
      </c>
      <c r="L380" s="8" t="s">
        <v>29</v>
      </c>
      <c r="M380" s="10" t="s">
        <v>29</v>
      </c>
      <c r="N380" s="8" t="s">
        <v>29</v>
      </c>
      <c r="O380" s="10" t="s">
        <v>19</v>
      </c>
      <c r="P380" s="8" t="s">
        <v>4039</v>
      </c>
      <c r="Q380" s="10" t="s">
        <v>174</v>
      </c>
      <c r="R380" s="10" t="s">
        <v>1387</v>
      </c>
      <c r="S380" s="8" t="s">
        <v>4040</v>
      </c>
      <c r="T380" s="10" t="s">
        <v>3931</v>
      </c>
      <c r="U380" s="10" t="s">
        <v>29</v>
      </c>
    </row>
    <row r="381" spans="1:21" s="10" customFormat="1" x14ac:dyDescent="0.25">
      <c r="A381" s="10" t="s">
        <v>4041</v>
      </c>
      <c r="B381" s="10" t="s">
        <v>3923</v>
      </c>
      <c r="C381" s="10" t="s">
        <v>166</v>
      </c>
      <c r="D381" s="10" t="s">
        <v>4042</v>
      </c>
      <c r="E381" s="8" t="s">
        <v>4043</v>
      </c>
      <c r="F381" s="8" t="s">
        <v>4044</v>
      </c>
      <c r="G381" s="10" t="s">
        <v>29</v>
      </c>
      <c r="H381" s="8" t="s">
        <v>4045</v>
      </c>
      <c r="I381" s="10" t="s">
        <v>3942</v>
      </c>
      <c r="J381" s="8" t="s">
        <v>4046</v>
      </c>
      <c r="K381" s="8" t="s">
        <v>29</v>
      </c>
      <c r="L381" s="8" t="s">
        <v>29</v>
      </c>
      <c r="M381" s="10" t="s">
        <v>29</v>
      </c>
      <c r="N381" s="8" t="s">
        <v>29</v>
      </c>
      <c r="O381" s="10" t="s">
        <v>19</v>
      </c>
      <c r="P381" s="8" t="s">
        <v>4047</v>
      </c>
      <c r="Q381" s="10" t="s">
        <v>174</v>
      </c>
      <c r="R381" s="10" t="s">
        <v>1387</v>
      </c>
      <c r="S381" s="8" t="s">
        <v>4048</v>
      </c>
      <c r="T381" s="10" t="s">
        <v>3931</v>
      </c>
      <c r="U381" s="10" t="s">
        <v>29</v>
      </c>
    </row>
    <row r="382" spans="1:21" s="10" customFormat="1" x14ac:dyDescent="0.25">
      <c r="A382" s="10" t="s">
        <v>4049</v>
      </c>
      <c r="B382" s="10" t="s">
        <v>3923</v>
      </c>
      <c r="C382" s="11" t="s">
        <v>297</v>
      </c>
      <c r="D382" s="10" t="s">
        <v>4050</v>
      </c>
      <c r="E382" s="8" t="s">
        <v>4051</v>
      </c>
      <c r="F382" s="8" t="s">
        <v>4052</v>
      </c>
      <c r="G382" s="10" t="s">
        <v>29</v>
      </c>
      <c r="H382" s="8" t="s">
        <v>4053</v>
      </c>
      <c r="I382" s="10" t="s">
        <v>3481</v>
      </c>
      <c r="J382" s="8" t="s">
        <v>3928</v>
      </c>
      <c r="K382" s="8" t="s">
        <v>29</v>
      </c>
      <c r="L382" s="8" t="s">
        <v>29</v>
      </c>
      <c r="M382" s="10" t="s">
        <v>29</v>
      </c>
      <c r="N382" s="8" t="s">
        <v>29</v>
      </c>
      <c r="O382" s="10" t="s">
        <v>19</v>
      </c>
      <c r="P382" s="8" t="s">
        <v>4054</v>
      </c>
      <c r="Q382" s="10" t="s">
        <v>190</v>
      </c>
      <c r="R382" s="10" t="s">
        <v>1387</v>
      </c>
      <c r="S382" s="8" t="s">
        <v>4055</v>
      </c>
      <c r="T382" s="10" t="s">
        <v>3931</v>
      </c>
      <c r="U382" s="10" t="s">
        <v>29</v>
      </c>
    </row>
    <row r="383" spans="1:21" s="10" customFormat="1" x14ac:dyDescent="0.25">
      <c r="A383" s="10" t="s">
        <v>4056</v>
      </c>
      <c r="B383" s="10" t="s">
        <v>3923</v>
      </c>
      <c r="C383" s="10" t="s">
        <v>166</v>
      </c>
      <c r="D383" s="10" t="s">
        <v>4057</v>
      </c>
      <c r="E383" s="8" t="s">
        <v>4058</v>
      </c>
      <c r="F383" s="8" t="s">
        <v>4059</v>
      </c>
      <c r="G383" s="10" t="s">
        <v>29</v>
      </c>
      <c r="H383" s="8" t="s">
        <v>4060</v>
      </c>
      <c r="I383" s="10" t="s">
        <v>3387</v>
      </c>
      <c r="J383" s="8" t="s">
        <v>3928</v>
      </c>
      <c r="K383" s="8" t="s">
        <v>29</v>
      </c>
      <c r="L383" s="8" t="s">
        <v>29</v>
      </c>
      <c r="M383" s="10" t="s">
        <v>29</v>
      </c>
      <c r="N383" s="8" t="s">
        <v>29</v>
      </c>
      <c r="O383" s="10" t="s">
        <v>19</v>
      </c>
      <c r="P383" s="8" t="s">
        <v>4061</v>
      </c>
      <c r="Q383" s="10" t="s">
        <v>174</v>
      </c>
      <c r="R383" s="10" t="s">
        <v>1387</v>
      </c>
      <c r="S383" s="8" t="s">
        <v>4062</v>
      </c>
      <c r="T383" s="10" t="s">
        <v>3931</v>
      </c>
      <c r="U383" s="10" t="s">
        <v>29</v>
      </c>
    </row>
    <row r="384" spans="1:21" s="10" customFormat="1" x14ac:dyDescent="0.25">
      <c r="A384" s="10" t="s">
        <v>4063</v>
      </c>
      <c r="B384" s="10" t="s">
        <v>3923</v>
      </c>
      <c r="C384" s="10" t="s">
        <v>166</v>
      </c>
      <c r="D384" s="10" t="s">
        <v>4064</v>
      </c>
      <c r="E384" s="8" t="s">
        <v>4065</v>
      </c>
      <c r="F384" s="8" t="s">
        <v>4066</v>
      </c>
      <c r="G384" s="10" t="s">
        <v>29</v>
      </c>
      <c r="H384" s="8" t="s">
        <v>4067</v>
      </c>
      <c r="I384" s="10" t="s">
        <v>4068</v>
      </c>
      <c r="J384" s="8" t="s">
        <v>3928</v>
      </c>
      <c r="K384" s="8" t="s">
        <v>29</v>
      </c>
      <c r="L384" s="8" t="s">
        <v>29</v>
      </c>
      <c r="M384" s="10" t="s">
        <v>29</v>
      </c>
      <c r="N384" s="8" t="s">
        <v>29</v>
      </c>
      <c r="O384" s="10" t="s">
        <v>19</v>
      </c>
      <c r="P384" s="8" t="s">
        <v>4069</v>
      </c>
      <c r="Q384" s="10" t="s">
        <v>174</v>
      </c>
      <c r="R384" s="10" t="s">
        <v>1387</v>
      </c>
      <c r="S384" s="8" t="s">
        <v>4070</v>
      </c>
      <c r="T384" s="10" t="s">
        <v>3931</v>
      </c>
      <c r="U384" s="10" t="s">
        <v>29</v>
      </c>
    </row>
    <row r="385" spans="1:21" s="10" customFormat="1" x14ac:dyDescent="0.25">
      <c r="A385" s="10" t="s">
        <v>4071</v>
      </c>
      <c r="B385" s="10" t="s">
        <v>3923</v>
      </c>
      <c r="C385" s="10" t="s">
        <v>335</v>
      </c>
      <c r="D385" s="10" t="s">
        <v>4072</v>
      </c>
      <c r="E385" s="8" t="s">
        <v>4073</v>
      </c>
      <c r="F385" s="8" t="s">
        <v>4074</v>
      </c>
      <c r="G385" s="10" t="s">
        <v>29</v>
      </c>
      <c r="H385" s="8" t="s">
        <v>1643</v>
      </c>
      <c r="I385" s="10" t="s">
        <v>3387</v>
      </c>
      <c r="J385" s="8" t="s">
        <v>3928</v>
      </c>
      <c r="K385" s="8" t="s">
        <v>29</v>
      </c>
      <c r="L385" s="8" t="s">
        <v>29</v>
      </c>
      <c r="M385" s="10" t="s">
        <v>29</v>
      </c>
      <c r="N385" s="8" t="s">
        <v>29</v>
      </c>
      <c r="O385" s="10" t="s">
        <v>19</v>
      </c>
      <c r="P385" s="8" t="s">
        <v>4075</v>
      </c>
      <c r="Q385" s="10" t="s">
        <v>174</v>
      </c>
      <c r="R385" s="10" t="s">
        <v>1387</v>
      </c>
      <c r="S385" s="8" t="s">
        <v>4076</v>
      </c>
      <c r="T385" s="10" t="s">
        <v>3931</v>
      </c>
      <c r="U385" s="10" t="s">
        <v>29</v>
      </c>
    </row>
    <row r="386" spans="1:21" s="10" customFormat="1" x14ac:dyDescent="0.25">
      <c r="A386" s="10" t="s">
        <v>4077</v>
      </c>
      <c r="B386" s="10" t="s">
        <v>3923</v>
      </c>
      <c r="C386" s="10" t="s">
        <v>166</v>
      </c>
      <c r="D386" s="10" t="s">
        <v>4078</v>
      </c>
      <c r="E386" s="8" t="s">
        <v>4079</v>
      </c>
      <c r="F386" s="8" t="s">
        <v>4080</v>
      </c>
      <c r="G386" s="10" t="s">
        <v>29</v>
      </c>
      <c r="H386" s="8" t="s">
        <v>4081</v>
      </c>
      <c r="I386" s="10" t="s">
        <v>3950</v>
      </c>
      <c r="J386" s="8" t="s">
        <v>3928</v>
      </c>
      <c r="K386" s="8" t="s">
        <v>29</v>
      </c>
      <c r="L386" s="8" t="s">
        <v>29</v>
      </c>
      <c r="M386" s="10" t="s">
        <v>29</v>
      </c>
      <c r="N386" s="8" t="s">
        <v>29</v>
      </c>
      <c r="O386" s="10" t="s">
        <v>19</v>
      </c>
      <c r="P386" s="8" t="s">
        <v>4082</v>
      </c>
      <c r="Q386" s="10" t="s">
        <v>190</v>
      </c>
      <c r="R386" s="10" t="s">
        <v>1387</v>
      </c>
      <c r="S386" s="8" t="s">
        <v>4083</v>
      </c>
      <c r="T386" s="10" t="s">
        <v>3931</v>
      </c>
      <c r="U386" s="10" t="s">
        <v>29</v>
      </c>
    </row>
    <row r="387" spans="1:21" s="10" customFormat="1" x14ac:dyDescent="0.25">
      <c r="A387" s="10" t="s">
        <v>4084</v>
      </c>
      <c r="B387" s="10" t="s">
        <v>3923</v>
      </c>
      <c r="C387" s="10" t="s">
        <v>166</v>
      </c>
      <c r="D387" s="10" t="s">
        <v>4085</v>
      </c>
      <c r="E387" s="8" t="s">
        <v>4086</v>
      </c>
      <c r="F387" s="8" t="s">
        <v>4087</v>
      </c>
      <c r="G387" s="10" t="s">
        <v>29</v>
      </c>
      <c r="H387" s="8" t="s">
        <v>4088</v>
      </c>
      <c r="I387" s="10" t="s">
        <v>3950</v>
      </c>
      <c r="J387" s="8" t="s">
        <v>3928</v>
      </c>
      <c r="K387" s="8" t="s">
        <v>29</v>
      </c>
      <c r="L387" s="8" t="s">
        <v>29</v>
      </c>
      <c r="M387" s="10" t="s">
        <v>29</v>
      </c>
      <c r="N387" s="8" t="s">
        <v>29</v>
      </c>
      <c r="O387" s="10" t="s">
        <v>19</v>
      </c>
      <c r="P387" s="8" t="s">
        <v>4089</v>
      </c>
      <c r="Q387" s="10" t="s">
        <v>197</v>
      </c>
      <c r="R387" s="10" t="s">
        <v>1387</v>
      </c>
      <c r="S387" s="8" t="s">
        <v>4090</v>
      </c>
      <c r="T387" s="10" t="s">
        <v>3931</v>
      </c>
      <c r="U387" s="10" t="s">
        <v>29</v>
      </c>
    </row>
    <row r="388" spans="1:21" s="10" customFormat="1" x14ac:dyDescent="0.25">
      <c r="A388" s="10" t="s">
        <v>4091</v>
      </c>
      <c r="B388" s="10" t="s">
        <v>3923</v>
      </c>
      <c r="C388" s="10" t="s">
        <v>166</v>
      </c>
      <c r="D388" s="10" t="s">
        <v>4092</v>
      </c>
      <c r="E388" s="8" t="s">
        <v>4093</v>
      </c>
      <c r="F388" s="8" t="s">
        <v>4094</v>
      </c>
      <c r="G388" s="10" t="s">
        <v>29</v>
      </c>
      <c r="H388" s="8" t="s">
        <v>4095</v>
      </c>
      <c r="I388" s="10" t="s">
        <v>4096</v>
      </c>
      <c r="J388" s="8" t="s">
        <v>3928</v>
      </c>
      <c r="K388" s="8" t="s">
        <v>29</v>
      </c>
      <c r="L388" s="8" t="s">
        <v>29</v>
      </c>
      <c r="M388" s="10" t="s">
        <v>29</v>
      </c>
      <c r="N388" s="8" t="s">
        <v>29</v>
      </c>
      <c r="O388" s="10" t="s">
        <v>19</v>
      </c>
      <c r="P388" s="8" t="s">
        <v>4097</v>
      </c>
      <c r="Q388" s="10" t="s">
        <v>174</v>
      </c>
      <c r="R388" s="10" t="s">
        <v>1387</v>
      </c>
      <c r="S388" s="8" t="s">
        <v>4098</v>
      </c>
      <c r="T388" s="10" t="s">
        <v>3931</v>
      </c>
      <c r="U388" s="10" t="s">
        <v>29</v>
      </c>
    </row>
    <row r="389" spans="1:21" s="10" customFormat="1" x14ac:dyDescent="0.25">
      <c r="A389" s="10" t="s">
        <v>4099</v>
      </c>
      <c r="B389" s="10" t="s">
        <v>3923</v>
      </c>
      <c r="C389" s="10" t="s">
        <v>166</v>
      </c>
      <c r="D389" s="10" t="s">
        <v>4100</v>
      </c>
      <c r="E389" s="8" t="s">
        <v>4101</v>
      </c>
      <c r="F389" s="8" t="s">
        <v>4102</v>
      </c>
      <c r="G389" s="10" t="s">
        <v>29</v>
      </c>
      <c r="H389" s="8" t="s">
        <v>4103</v>
      </c>
      <c r="I389" s="10" t="s">
        <v>3986</v>
      </c>
      <c r="J389" s="8" t="s">
        <v>3928</v>
      </c>
      <c r="K389" s="8" t="s">
        <v>29</v>
      </c>
      <c r="L389" s="8" t="s">
        <v>29</v>
      </c>
      <c r="M389" s="10" t="s">
        <v>29</v>
      </c>
      <c r="N389" s="8" t="s">
        <v>29</v>
      </c>
      <c r="O389" s="10" t="s">
        <v>19</v>
      </c>
      <c r="P389" s="8" t="s">
        <v>4104</v>
      </c>
      <c r="Q389" s="10" t="s">
        <v>174</v>
      </c>
      <c r="R389" s="10" t="s">
        <v>1387</v>
      </c>
      <c r="S389" s="8" t="s">
        <v>4105</v>
      </c>
      <c r="T389" s="10" t="s">
        <v>3931</v>
      </c>
      <c r="U389" s="10" t="s">
        <v>29</v>
      </c>
    </row>
    <row r="390" spans="1:21" s="10" customFormat="1" x14ac:dyDescent="0.25">
      <c r="A390" s="10" t="s">
        <v>4106</v>
      </c>
      <c r="B390" s="10" t="s">
        <v>3923</v>
      </c>
      <c r="C390" s="11" t="s">
        <v>297</v>
      </c>
      <c r="D390" s="10" t="s">
        <v>4107</v>
      </c>
      <c r="E390" s="8" t="s">
        <v>4108</v>
      </c>
      <c r="F390" s="8" t="s">
        <v>4109</v>
      </c>
      <c r="G390" s="10" t="s">
        <v>29</v>
      </c>
      <c r="H390" s="8" t="s">
        <v>4103</v>
      </c>
      <c r="I390" s="10" t="s">
        <v>4110</v>
      </c>
      <c r="J390" s="8" t="s">
        <v>3928</v>
      </c>
      <c r="K390" s="8" t="s">
        <v>29</v>
      </c>
      <c r="L390" s="8" t="s">
        <v>29</v>
      </c>
      <c r="M390" s="10" t="s">
        <v>29</v>
      </c>
      <c r="N390" s="8" t="s">
        <v>29</v>
      </c>
      <c r="O390" s="10" t="s">
        <v>19</v>
      </c>
      <c r="P390" s="8" t="s">
        <v>4111</v>
      </c>
      <c r="Q390" s="10" t="s">
        <v>174</v>
      </c>
      <c r="R390" s="10" t="s">
        <v>1387</v>
      </c>
      <c r="S390" s="8" t="s">
        <v>4112</v>
      </c>
      <c r="T390" s="10" t="s">
        <v>3931</v>
      </c>
      <c r="U390" s="10" t="s">
        <v>29</v>
      </c>
    </row>
    <row r="391" spans="1:21" s="10" customFormat="1" x14ac:dyDescent="0.25">
      <c r="A391" s="10" t="s">
        <v>4113</v>
      </c>
      <c r="B391" s="10" t="s">
        <v>3923</v>
      </c>
      <c r="C391" s="11" t="s">
        <v>297</v>
      </c>
      <c r="D391" s="10" t="s">
        <v>4114</v>
      </c>
      <c r="E391" s="8" t="s">
        <v>4115</v>
      </c>
      <c r="F391" s="8" t="s">
        <v>4116</v>
      </c>
      <c r="G391" s="10" t="s">
        <v>29</v>
      </c>
      <c r="H391" s="8" t="s">
        <v>4117</v>
      </c>
      <c r="I391" s="10" t="s">
        <v>4118</v>
      </c>
      <c r="J391" s="8" t="s">
        <v>3928</v>
      </c>
      <c r="K391" s="8" t="s">
        <v>29</v>
      </c>
      <c r="L391" s="8" t="s">
        <v>29</v>
      </c>
      <c r="M391" s="10" t="s">
        <v>29</v>
      </c>
      <c r="N391" s="8" t="s">
        <v>29</v>
      </c>
      <c r="O391" s="10" t="s">
        <v>19</v>
      </c>
      <c r="P391" s="8" t="s">
        <v>4119</v>
      </c>
      <c r="Q391" s="10" t="s">
        <v>1399</v>
      </c>
      <c r="R391" s="10" t="s">
        <v>1387</v>
      </c>
      <c r="S391" s="8" t="s">
        <v>4120</v>
      </c>
      <c r="T391" s="10" t="s">
        <v>3931</v>
      </c>
      <c r="U391" s="10" t="s">
        <v>29</v>
      </c>
    </row>
    <row r="392" spans="1:21" s="10" customFormat="1" x14ac:dyDescent="0.25">
      <c r="A392" s="10" t="s">
        <v>4121</v>
      </c>
      <c r="B392" s="10" t="s">
        <v>3923</v>
      </c>
      <c r="C392" s="11" t="s">
        <v>297</v>
      </c>
      <c r="D392" s="10" t="s">
        <v>4122</v>
      </c>
      <c r="E392" s="8" t="s">
        <v>4123</v>
      </c>
      <c r="F392" s="8" t="s">
        <v>4124</v>
      </c>
      <c r="G392" s="10" t="s">
        <v>29</v>
      </c>
      <c r="H392" s="8" t="s">
        <v>4117</v>
      </c>
      <c r="I392" s="10" t="s">
        <v>4125</v>
      </c>
      <c r="J392" s="8" t="s">
        <v>3928</v>
      </c>
      <c r="K392" s="8" t="s">
        <v>29</v>
      </c>
      <c r="L392" s="8" t="s">
        <v>29</v>
      </c>
      <c r="M392" s="10" t="s">
        <v>29</v>
      </c>
      <c r="N392" s="8" t="s">
        <v>29</v>
      </c>
      <c r="O392" s="10" t="s">
        <v>19</v>
      </c>
      <c r="P392" s="8" t="s">
        <v>4126</v>
      </c>
      <c r="Q392" s="10" t="s">
        <v>1399</v>
      </c>
      <c r="R392" s="10" t="s">
        <v>4127</v>
      </c>
      <c r="S392" s="8" t="s">
        <v>4128</v>
      </c>
      <c r="T392" s="10" t="s">
        <v>3931</v>
      </c>
      <c r="U392" s="10" t="s">
        <v>29</v>
      </c>
    </row>
    <row r="393" spans="1:21" s="10" customFormat="1" x14ac:dyDescent="0.25">
      <c r="A393" s="10" t="s">
        <v>4129</v>
      </c>
      <c r="B393" s="10" t="s">
        <v>3923</v>
      </c>
      <c r="C393" s="10" t="s">
        <v>166</v>
      </c>
      <c r="D393" s="10" t="s">
        <v>4130</v>
      </c>
      <c r="E393" s="8" t="s">
        <v>4131</v>
      </c>
      <c r="F393" s="8" t="s">
        <v>4132</v>
      </c>
      <c r="G393" s="10" t="s">
        <v>29</v>
      </c>
      <c r="H393" s="8" t="s">
        <v>4103</v>
      </c>
      <c r="I393" s="10" t="s">
        <v>3278</v>
      </c>
      <c r="J393" s="8" t="s">
        <v>3928</v>
      </c>
      <c r="K393" s="8" t="s">
        <v>29</v>
      </c>
      <c r="L393" s="8" t="s">
        <v>29</v>
      </c>
      <c r="M393" s="10" t="s">
        <v>29</v>
      </c>
      <c r="N393" s="8" t="s">
        <v>29</v>
      </c>
      <c r="O393" s="10" t="s">
        <v>19</v>
      </c>
      <c r="P393" s="8" t="s">
        <v>4133</v>
      </c>
      <c r="Q393" s="10" t="s">
        <v>174</v>
      </c>
      <c r="R393" s="10" t="s">
        <v>1387</v>
      </c>
      <c r="S393" s="8" t="s">
        <v>4134</v>
      </c>
      <c r="T393" s="10" t="s">
        <v>3931</v>
      </c>
      <c r="U393" s="10" t="s">
        <v>29</v>
      </c>
    </row>
    <row r="394" spans="1:21" s="10" customFormat="1" x14ac:dyDescent="0.25">
      <c r="A394" s="10" t="s">
        <v>4135</v>
      </c>
      <c r="B394" s="10" t="s">
        <v>3923</v>
      </c>
      <c r="C394" s="10" t="s">
        <v>166</v>
      </c>
      <c r="D394" s="10" t="s">
        <v>4136</v>
      </c>
      <c r="E394" s="8" t="s">
        <v>4137</v>
      </c>
      <c r="F394" s="8" t="s">
        <v>4138</v>
      </c>
      <c r="G394" s="10" t="s">
        <v>29</v>
      </c>
      <c r="H394" s="8" t="s">
        <v>4139</v>
      </c>
      <c r="I394" s="10" t="s">
        <v>4000</v>
      </c>
      <c r="J394" s="8" t="s">
        <v>3928</v>
      </c>
      <c r="K394" s="8" t="s">
        <v>29</v>
      </c>
      <c r="L394" s="8" t="s">
        <v>29</v>
      </c>
      <c r="M394" s="10" t="s">
        <v>29</v>
      </c>
      <c r="N394" s="8" t="s">
        <v>29</v>
      </c>
      <c r="O394" s="10" t="s">
        <v>19</v>
      </c>
      <c r="P394" s="8" t="s">
        <v>4140</v>
      </c>
      <c r="Q394" s="10" t="s">
        <v>174</v>
      </c>
      <c r="R394" s="10" t="s">
        <v>1387</v>
      </c>
      <c r="S394" s="8" t="s">
        <v>4141</v>
      </c>
      <c r="T394" s="10" t="s">
        <v>3931</v>
      </c>
      <c r="U394" s="10" t="s">
        <v>29</v>
      </c>
    </row>
    <row r="395" spans="1:21" s="10" customFormat="1" x14ac:dyDescent="0.25">
      <c r="A395" s="10" t="s">
        <v>4142</v>
      </c>
      <c r="B395" s="10" t="s">
        <v>3923</v>
      </c>
      <c r="C395" s="11" t="s">
        <v>297</v>
      </c>
      <c r="D395" s="10" t="s">
        <v>4143</v>
      </c>
      <c r="E395" s="8" t="s">
        <v>4144</v>
      </c>
      <c r="F395" s="8" t="s">
        <v>4145</v>
      </c>
      <c r="G395" s="10" t="s">
        <v>29</v>
      </c>
      <c r="H395" s="8" t="s">
        <v>4146</v>
      </c>
      <c r="I395" s="10" t="s">
        <v>4147</v>
      </c>
      <c r="J395" s="8" t="s">
        <v>3928</v>
      </c>
      <c r="K395" s="8" t="s">
        <v>29</v>
      </c>
      <c r="L395" s="8" t="s">
        <v>29</v>
      </c>
      <c r="M395" s="10" t="s">
        <v>29</v>
      </c>
      <c r="N395" s="8" t="s">
        <v>29</v>
      </c>
      <c r="O395" s="10" t="s">
        <v>19</v>
      </c>
      <c r="P395" s="8" t="s">
        <v>4148</v>
      </c>
      <c r="Q395" s="10" t="s">
        <v>174</v>
      </c>
      <c r="R395" s="10" t="s">
        <v>1387</v>
      </c>
      <c r="S395" s="8" t="s">
        <v>4149</v>
      </c>
      <c r="T395" s="10" t="s">
        <v>3931</v>
      </c>
      <c r="U395" s="10" t="s">
        <v>29</v>
      </c>
    </row>
    <row r="396" spans="1:21" s="10" customFormat="1" x14ac:dyDescent="0.25">
      <c r="A396" s="10" t="s">
        <v>4150</v>
      </c>
      <c r="B396" s="10" t="s">
        <v>3923</v>
      </c>
      <c r="C396" s="11" t="s">
        <v>297</v>
      </c>
      <c r="D396" s="10" t="s">
        <v>4151</v>
      </c>
      <c r="E396" s="8" t="s">
        <v>4152</v>
      </c>
      <c r="F396" s="8" t="s">
        <v>4153</v>
      </c>
      <c r="G396" s="10" t="s">
        <v>29</v>
      </c>
      <c r="H396" s="8" t="s">
        <v>4154</v>
      </c>
      <c r="I396" s="10" t="s">
        <v>4155</v>
      </c>
      <c r="J396" s="8" t="s">
        <v>1606</v>
      </c>
      <c r="K396" s="8" t="s">
        <v>29</v>
      </c>
      <c r="L396" s="8" t="s">
        <v>29</v>
      </c>
      <c r="M396" s="10" t="s">
        <v>29</v>
      </c>
      <c r="N396" s="8" t="s">
        <v>29</v>
      </c>
      <c r="O396" s="10" t="s">
        <v>19</v>
      </c>
      <c r="P396" s="8" t="s">
        <v>4156</v>
      </c>
      <c r="Q396" s="10" t="s">
        <v>1399</v>
      </c>
      <c r="R396" s="10" t="s">
        <v>1608</v>
      </c>
      <c r="S396" s="8" t="s">
        <v>4157</v>
      </c>
      <c r="T396" s="10" t="s">
        <v>3931</v>
      </c>
      <c r="U396" s="10" t="s">
        <v>29</v>
      </c>
    </row>
    <row r="397" spans="1:21" s="10" customFormat="1" x14ac:dyDescent="0.25">
      <c r="A397" s="10" t="s">
        <v>4158</v>
      </c>
      <c r="B397" s="10" t="s">
        <v>3923</v>
      </c>
      <c r="C397" s="11" t="s">
        <v>297</v>
      </c>
      <c r="D397" s="10" t="s">
        <v>4159</v>
      </c>
      <c r="E397" s="8" t="s">
        <v>4160</v>
      </c>
      <c r="F397" s="8" t="s">
        <v>4161</v>
      </c>
      <c r="G397" s="10" t="s">
        <v>29</v>
      </c>
      <c r="H397" s="8" t="s">
        <v>1614</v>
      </c>
      <c r="I397" s="10" t="s">
        <v>4162</v>
      </c>
      <c r="J397" s="8" t="s">
        <v>1615</v>
      </c>
      <c r="K397" s="8" t="s">
        <v>29</v>
      </c>
      <c r="L397" s="8" t="s">
        <v>29</v>
      </c>
      <c r="M397" s="10" t="s">
        <v>29</v>
      </c>
      <c r="N397" s="8" t="s">
        <v>29</v>
      </c>
      <c r="O397" s="10" t="s">
        <v>19</v>
      </c>
      <c r="P397" s="8" t="s">
        <v>4163</v>
      </c>
      <c r="Q397" s="10" t="s">
        <v>776</v>
      </c>
      <c r="R397" s="10" t="s">
        <v>1617</v>
      </c>
      <c r="S397" s="8" t="s">
        <v>1618</v>
      </c>
      <c r="T397" s="10" t="s">
        <v>3931</v>
      </c>
      <c r="U397" s="10" t="s">
        <v>29</v>
      </c>
    </row>
    <row r="398" spans="1:21" s="10" customFormat="1" x14ac:dyDescent="0.25">
      <c r="A398" s="10" t="s">
        <v>4164</v>
      </c>
      <c r="B398" s="10" t="s">
        <v>3923</v>
      </c>
      <c r="C398" s="10" t="s">
        <v>166</v>
      </c>
      <c r="D398" s="10" t="s">
        <v>4165</v>
      </c>
      <c r="E398" s="8" t="s">
        <v>4166</v>
      </c>
      <c r="F398" s="8" t="s">
        <v>4167</v>
      </c>
      <c r="G398" s="10" t="s">
        <v>29</v>
      </c>
      <c r="H398" s="8" t="s">
        <v>4103</v>
      </c>
      <c r="I398" s="10" t="s">
        <v>4147</v>
      </c>
      <c r="J398" s="8" t="s">
        <v>3928</v>
      </c>
      <c r="K398" s="8" t="s">
        <v>29</v>
      </c>
      <c r="L398" s="8" t="s">
        <v>29</v>
      </c>
      <c r="M398" s="10" t="s">
        <v>29</v>
      </c>
      <c r="N398" s="8" t="s">
        <v>29</v>
      </c>
      <c r="O398" s="10" t="s">
        <v>19</v>
      </c>
      <c r="P398" s="8" t="s">
        <v>4168</v>
      </c>
      <c r="Q398" s="10" t="s">
        <v>174</v>
      </c>
      <c r="R398" s="10" t="s">
        <v>1387</v>
      </c>
      <c r="S398" s="8" t="s">
        <v>1599</v>
      </c>
      <c r="T398" s="10" t="s">
        <v>3931</v>
      </c>
      <c r="U398" s="10" t="s">
        <v>29</v>
      </c>
    </row>
    <row r="399" spans="1:21" s="10" customFormat="1" x14ac:dyDescent="0.25">
      <c r="A399" s="10" t="s">
        <v>4169</v>
      </c>
      <c r="B399" s="10" t="s">
        <v>3923</v>
      </c>
      <c r="C399" s="10" t="s">
        <v>166</v>
      </c>
      <c r="D399" s="10" t="s">
        <v>4170</v>
      </c>
      <c r="E399" s="8" t="s">
        <v>4171</v>
      </c>
      <c r="F399" s="8" t="s">
        <v>4172</v>
      </c>
      <c r="G399" s="10" t="s">
        <v>29</v>
      </c>
      <c r="H399" s="8" t="s">
        <v>4173</v>
      </c>
      <c r="I399" s="10" t="s">
        <v>4174</v>
      </c>
      <c r="J399" s="8" t="s">
        <v>3928</v>
      </c>
      <c r="K399" s="8" t="s">
        <v>29</v>
      </c>
      <c r="L399" s="8" t="s">
        <v>29</v>
      </c>
      <c r="M399" s="10" t="s">
        <v>29</v>
      </c>
      <c r="N399" s="8" t="s">
        <v>29</v>
      </c>
      <c r="O399" s="10" t="s">
        <v>19</v>
      </c>
      <c r="P399" s="8" t="s">
        <v>4175</v>
      </c>
      <c r="Q399" s="10" t="s">
        <v>174</v>
      </c>
      <c r="R399" s="10" t="s">
        <v>1387</v>
      </c>
      <c r="S399" s="8" t="s">
        <v>4176</v>
      </c>
      <c r="T399" s="10" t="s">
        <v>4177</v>
      </c>
      <c r="U399" s="10" t="s">
        <v>29</v>
      </c>
    </row>
    <row r="400" spans="1:21" s="10" customFormat="1" x14ac:dyDescent="0.25">
      <c r="A400" s="10" t="s">
        <v>4178</v>
      </c>
      <c r="B400" s="10" t="s">
        <v>3923</v>
      </c>
      <c r="C400" s="11" t="s">
        <v>297</v>
      </c>
      <c r="D400" s="10" t="s">
        <v>4179</v>
      </c>
      <c r="E400" s="8" t="s">
        <v>4180</v>
      </c>
      <c r="F400" s="8" t="s">
        <v>4181</v>
      </c>
      <c r="G400" s="10" t="s">
        <v>29</v>
      </c>
      <c r="H400" s="8" t="s">
        <v>4182</v>
      </c>
      <c r="I400" s="10" t="s">
        <v>4174</v>
      </c>
      <c r="J400" s="8" t="s">
        <v>3928</v>
      </c>
      <c r="K400" s="8" t="s">
        <v>29</v>
      </c>
      <c r="L400" s="8" t="s">
        <v>29</v>
      </c>
      <c r="M400" s="10" t="s">
        <v>29</v>
      </c>
      <c r="N400" s="8" t="s">
        <v>29</v>
      </c>
      <c r="O400" s="10" t="s">
        <v>19</v>
      </c>
      <c r="P400" s="8" t="s">
        <v>4183</v>
      </c>
      <c r="Q400" s="10" t="s">
        <v>174</v>
      </c>
      <c r="R400" s="10" t="s">
        <v>1387</v>
      </c>
      <c r="S400" s="8" t="s">
        <v>4184</v>
      </c>
      <c r="T400" s="10" t="s">
        <v>4177</v>
      </c>
      <c r="U400" s="10" t="s">
        <v>29</v>
      </c>
    </row>
    <row r="401" spans="1:21" s="10" customFormat="1" x14ac:dyDescent="0.25">
      <c r="A401" s="10" t="s">
        <v>4185</v>
      </c>
      <c r="B401" s="10" t="s">
        <v>3923</v>
      </c>
      <c r="C401" s="11" t="s">
        <v>297</v>
      </c>
      <c r="D401" s="10" t="s">
        <v>4186</v>
      </c>
      <c r="E401" s="8" t="s">
        <v>4187</v>
      </c>
      <c r="F401" s="8" t="s">
        <v>4188</v>
      </c>
      <c r="G401" s="10" t="s">
        <v>29</v>
      </c>
      <c r="H401" s="8" t="s">
        <v>2747</v>
      </c>
      <c r="I401" s="10" t="s">
        <v>4189</v>
      </c>
      <c r="J401" s="8" t="s">
        <v>3928</v>
      </c>
      <c r="K401" s="8" t="s">
        <v>29</v>
      </c>
      <c r="L401" s="8" t="s">
        <v>29</v>
      </c>
      <c r="M401" s="10" t="s">
        <v>29</v>
      </c>
      <c r="N401" s="8" t="s">
        <v>29</v>
      </c>
      <c r="O401" s="10" t="s">
        <v>19</v>
      </c>
      <c r="P401" s="8" t="s">
        <v>4190</v>
      </c>
      <c r="Q401" s="10" t="s">
        <v>1399</v>
      </c>
      <c r="R401" s="10" t="s">
        <v>1387</v>
      </c>
      <c r="S401" s="8" t="s">
        <v>4191</v>
      </c>
      <c r="T401" s="10" t="s">
        <v>4177</v>
      </c>
      <c r="U401" s="10" t="s">
        <v>29</v>
      </c>
    </row>
    <row r="402" spans="1:21" s="10" customFormat="1" x14ac:dyDescent="0.25">
      <c r="A402" s="10" t="s">
        <v>4192</v>
      </c>
      <c r="B402" s="10" t="s">
        <v>3923</v>
      </c>
      <c r="C402" s="11" t="s">
        <v>297</v>
      </c>
      <c r="D402" s="10" t="s">
        <v>4193</v>
      </c>
      <c r="E402" s="8" t="s">
        <v>4194</v>
      </c>
      <c r="F402" s="8" t="s">
        <v>4195</v>
      </c>
      <c r="G402" s="10" t="s">
        <v>29</v>
      </c>
      <c r="H402" s="8" t="s">
        <v>4196</v>
      </c>
      <c r="I402" s="10" t="s">
        <v>4197</v>
      </c>
      <c r="J402" s="8" t="s">
        <v>3928</v>
      </c>
      <c r="K402" s="8" t="s">
        <v>29</v>
      </c>
      <c r="L402" s="8" t="s">
        <v>29</v>
      </c>
      <c r="M402" s="10" t="s">
        <v>29</v>
      </c>
      <c r="N402" s="8" t="s">
        <v>29</v>
      </c>
      <c r="O402" s="10" t="s">
        <v>19</v>
      </c>
      <c r="P402" s="8" t="s">
        <v>4198</v>
      </c>
      <c r="Q402" s="10" t="s">
        <v>1399</v>
      </c>
      <c r="R402" s="10" t="s">
        <v>1387</v>
      </c>
      <c r="S402" s="8" t="s">
        <v>4199</v>
      </c>
      <c r="T402" s="10" t="s">
        <v>4177</v>
      </c>
      <c r="U402" s="10" t="s">
        <v>29</v>
      </c>
    </row>
    <row r="403" spans="1:21" s="10" customFormat="1" x14ac:dyDescent="0.25">
      <c r="A403" s="10" t="s">
        <v>4200</v>
      </c>
      <c r="B403" s="10" t="s">
        <v>3923</v>
      </c>
      <c r="C403" s="11" t="s">
        <v>297</v>
      </c>
      <c r="D403" s="10" t="s">
        <v>4201</v>
      </c>
      <c r="E403" s="8" t="s">
        <v>4202</v>
      </c>
      <c r="F403" s="8" t="s">
        <v>4203</v>
      </c>
      <c r="G403" s="10" t="s">
        <v>29</v>
      </c>
      <c r="H403" s="8" t="s">
        <v>4204</v>
      </c>
      <c r="I403" s="10" t="s">
        <v>4205</v>
      </c>
      <c r="J403" s="8" t="s">
        <v>3928</v>
      </c>
      <c r="K403" s="8" t="s">
        <v>29</v>
      </c>
      <c r="L403" s="8" t="s">
        <v>29</v>
      </c>
      <c r="M403" s="10" t="s">
        <v>29</v>
      </c>
      <c r="N403" s="8" t="s">
        <v>29</v>
      </c>
      <c r="O403" s="10" t="s">
        <v>19</v>
      </c>
      <c r="P403" s="8" t="s">
        <v>4206</v>
      </c>
      <c r="Q403" s="10" t="s">
        <v>190</v>
      </c>
      <c r="R403" s="10" t="s">
        <v>1387</v>
      </c>
      <c r="S403" s="8" t="s">
        <v>4207</v>
      </c>
      <c r="T403" s="10" t="s">
        <v>4177</v>
      </c>
      <c r="U403" s="10" t="s">
        <v>29</v>
      </c>
    </row>
    <row r="404" spans="1:21" s="10" customFormat="1" x14ac:dyDescent="0.25">
      <c r="A404" s="10" t="s">
        <v>4208</v>
      </c>
      <c r="B404" s="10" t="s">
        <v>3923</v>
      </c>
      <c r="C404" s="10" t="s">
        <v>166</v>
      </c>
      <c r="D404" s="10" t="s">
        <v>4209</v>
      </c>
      <c r="E404" s="8" t="s">
        <v>4210</v>
      </c>
      <c r="F404" s="8" t="s">
        <v>4211</v>
      </c>
      <c r="G404" s="10" t="s">
        <v>29</v>
      </c>
      <c r="H404" s="8" t="s">
        <v>4212</v>
      </c>
      <c r="I404" s="10" t="s">
        <v>4213</v>
      </c>
      <c r="J404" s="8" t="s">
        <v>3928</v>
      </c>
      <c r="K404" s="8" t="s">
        <v>29</v>
      </c>
      <c r="L404" s="8" t="s">
        <v>29</v>
      </c>
      <c r="M404" s="10" t="s">
        <v>29</v>
      </c>
      <c r="N404" s="8" t="s">
        <v>29</v>
      </c>
      <c r="O404" s="10" t="s">
        <v>19</v>
      </c>
      <c r="P404" s="8" t="s">
        <v>4214</v>
      </c>
      <c r="Q404" s="10" t="s">
        <v>174</v>
      </c>
      <c r="R404" s="10" t="s">
        <v>1387</v>
      </c>
      <c r="S404" s="8" t="s">
        <v>4215</v>
      </c>
      <c r="T404" s="10" t="s">
        <v>4177</v>
      </c>
      <c r="U404" s="10" t="s">
        <v>29</v>
      </c>
    </row>
    <row r="405" spans="1:21" s="10" customFormat="1" x14ac:dyDescent="0.25">
      <c r="A405" s="10" t="s">
        <v>4216</v>
      </c>
      <c r="B405" s="10" t="s">
        <v>3923</v>
      </c>
      <c r="C405" s="10" t="s">
        <v>335</v>
      </c>
      <c r="D405" s="10" t="s">
        <v>4217</v>
      </c>
      <c r="E405" s="8" t="s">
        <v>4218</v>
      </c>
      <c r="F405" s="8" t="s">
        <v>4219</v>
      </c>
      <c r="G405" s="10" t="s">
        <v>29</v>
      </c>
      <c r="H405" s="8" t="s">
        <v>4220</v>
      </c>
      <c r="I405" s="10" t="s">
        <v>4221</v>
      </c>
      <c r="J405" s="8" t="s">
        <v>3928</v>
      </c>
      <c r="K405" s="8" t="s">
        <v>29</v>
      </c>
      <c r="L405" s="8" t="s">
        <v>29</v>
      </c>
      <c r="M405" s="10" t="s">
        <v>29</v>
      </c>
      <c r="N405" s="8" t="s">
        <v>29</v>
      </c>
      <c r="O405" s="10" t="s">
        <v>19</v>
      </c>
      <c r="P405" s="8" t="s">
        <v>4222</v>
      </c>
      <c r="Q405" s="10" t="s">
        <v>174</v>
      </c>
      <c r="R405" s="10" t="s">
        <v>1387</v>
      </c>
      <c r="S405" s="8" t="s">
        <v>4223</v>
      </c>
      <c r="T405" s="10" t="s">
        <v>4177</v>
      </c>
      <c r="U405" s="10" t="s">
        <v>29</v>
      </c>
    </row>
    <row r="406" spans="1:21" s="10" customFormat="1" x14ac:dyDescent="0.25">
      <c r="A406" s="10" t="s">
        <v>4224</v>
      </c>
      <c r="B406" s="10" t="s">
        <v>3923</v>
      </c>
      <c r="C406" s="10" t="s">
        <v>166</v>
      </c>
      <c r="D406" s="10" t="s">
        <v>4225</v>
      </c>
      <c r="E406" s="8" t="s">
        <v>4226</v>
      </c>
      <c r="F406" s="8" t="s">
        <v>4227</v>
      </c>
      <c r="G406" s="10" t="s">
        <v>29</v>
      </c>
      <c r="H406" s="8" t="s">
        <v>4228</v>
      </c>
      <c r="I406" s="10" t="s">
        <v>4229</v>
      </c>
      <c r="J406" s="8" t="s">
        <v>3928</v>
      </c>
      <c r="K406" s="8" t="s">
        <v>29</v>
      </c>
      <c r="L406" s="8" t="s">
        <v>29</v>
      </c>
      <c r="M406" s="10" t="s">
        <v>29</v>
      </c>
      <c r="N406" s="8" t="s">
        <v>29</v>
      </c>
      <c r="O406" s="10" t="s">
        <v>19</v>
      </c>
      <c r="P406" s="8" t="s">
        <v>4230</v>
      </c>
      <c r="Q406" s="10" t="s">
        <v>197</v>
      </c>
      <c r="R406" s="10" t="s">
        <v>1387</v>
      </c>
      <c r="S406" s="8" t="s">
        <v>4231</v>
      </c>
      <c r="T406" s="10" t="s">
        <v>4177</v>
      </c>
      <c r="U406" s="10" t="s">
        <v>29</v>
      </c>
    </row>
    <row r="407" spans="1:21" s="10" customFormat="1" x14ac:dyDescent="0.25">
      <c r="A407" s="10" t="s">
        <v>4232</v>
      </c>
      <c r="B407" s="10" t="s">
        <v>3923</v>
      </c>
      <c r="C407" s="11" t="s">
        <v>297</v>
      </c>
      <c r="D407" s="10" t="s">
        <v>4233</v>
      </c>
      <c r="E407" s="8" t="s">
        <v>4234</v>
      </c>
      <c r="F407" s="8" t="s">
        <v>4235</v>
      </c>
      <c r="G407" s="10" t="s">
        <v>29</v>
      </c>
      <c r="H407" s="8" t="s">
        <v>4236</v>
      </c>
      <c r="I407" s="10" t="s">
        <v>4237</v>
      </c>
      <c r="J407" s="8" t="s">
        <v>3928</v>
      </c>
      <c r="K407" s="8" t="s">
        <v>29</v>
      </c>
      <c r="L407" s="8" t="s">
        <v>29</v>
      </c>
      <c r="M407" s="10" t="s">
        <v>29</v>
      </c>
      <c r="N407" s="8" t="s">
        <v>29</v>
      </c>
      <c r="O407" s="10" t="s">
        <v>19</v>
      </c>
      <c r="P407" s="8" t="s">
        <v>4238</v>
      </c>
      <c r="Q407" s="10" t="s">
        <v>197</v>
      </c>
      <c r="R407" s="10" t="s">
        <v>1387</v>
      </c>
      <c r="S407" s="8" t="s">
        <v>4239</v>
      </c>
      <c r="T407" s="10" t="s">
        <v>4177</v>
      </c>
      <c r="U407" s="10" t="s">
        <v>29</v>
      </c>
    </row>
    <row r="408" spans="1:21" s="10" customFormat="1" x14ac:dyDescent="0.25">
      <c r="A408" s="10" t="s">
        <v>4240</v>
      </c>
      <c r="B408" s="10" t="s">
        <v>3923</v>
      </c>
      <c r="C408" s="10" t="s">
        <v>166</v>
      </c>
      <c r="D408" s="10" t="s">
        <v>4241</v>
      </c>
      <c r="E408" s="8" t="s">
        <v>4242</v>
      </c>
      <c r="F408" s="8" t="s">
        <v>4243</v>
      </c>
      <c r="G408" s="10" t="s">
        <v>29</v>
      </c>
      <c r="H408" s="8" t="s">
        <v>4244</v>
      </c>
      <c r="I408" s="10" t="s">
        <v>4245</v>
      </c>
      <c r="J408" s="8" t="s">
        <v>3928</v>
      </c>
      <c r="K408" s="8" t="s">
        <v>29</v>
      </c>
      <c r="L408" s="8" t="s">
        <v>29</v>
      </c>
      <c r="M408" s="10" t="s">
        <v>29</v>
      </c>
      <c r="N408" s="8" t="s">
        <v>29</v>
      </c>
      <c r="O408" s="10" t="s">
        <v>19</v>
      </c>
      <c r="P408" s="8" t="s">
        <v>4246</v>
      </c>
      <c r="Q408" s="10" t="s">
        <v>174</v>
      </c>
      <c r="R408" s="10" t="s">
        <v>1387</v>
      </c>
      <c r="S408" s="8" t="s">
        <v>4247</v>
      </c>
      <c r="T408" s="10" t="s">
        <v>4177</v>
      </c>
      <c r="U408" s="10" t="s">
        <v>29</v>
      </c>
    </row>
    <row r="409" spans="1:21" s="10" customFormat="1" x14ac:dyDescent="0.25">
      <c r="A409" s="10" t="s">
        <v>4248</v>
      </c>
      <c r="B409" s="10" t="s">
        <v>3923</v>
      </c>
      <c r="C409" s="10" t="s">
        <v>166</v>
      </c>
      <c r="D409" s="10" t="s">
        <v>4249</v>
      </c>
      <c r="E409" s="8" t="s">
        <v>4250</v>
      </c>
      <c r="F409" s="8" t="s">
        <v>4251</v>
      </c>
      <c r="G409" s="10" t="s">
        <v>29</v>
      </c>
      <c r="H409" s="8" t="s">
        <v>4252</v>
      </c>
      <c r="I409" s="10" t="s">
        <v>776</v>
      </c>
      <c r="J409" s="8" t="s">
        <v>3928</v>
      </c>
      <c r="K409" s="8" t="s">
        <v>29</v>
      </c>
      <c r="L409" s="8" t="s">
        <v>29</v>
      </c>
      <c r="M409" s="10" t="s">
        <v>29</v>
      </c>
      <c r="N409" s="8" t="s">
        <v>29</v>
      </c>
      <c r="O409" s="10" t="s">
        <v>19</v>
      </c>
      <c r="P409" s="8" t="s">
        <v>4253</v>
      </c>
      <c r="Q409" s="10" t="s">
        <v>190</v>
      </c>
      <c r="R409" s="10" t="s">
        <v>1387</v>
      </c>
      <c r="S409" s="8" t="s">
        <v>4254</v>
      </c>
      <c r="T409" s="10" t="s">
        <v>4177</v>
      </c>
      <c r="U409" s="10" t="s">
        <v>29</v>
      </c>
    </row>
    <row r="410" spans="1:21" s="10" customFormat="1" x14ac:dyDescent="0.25">
      <c r="A410" s="10" t="s">
        <v>4255</v>
      </c>
      <c r="B410" s="10" t="s">
        <v>3923</v>
      </c>
      <c r="C410" s="10" t="s">
        <v>166</v>
      </c>
      <c r="D410" s="10" t="s">
        <v>4256</v>
      </c>
      <c r="E410" s="8" t="s">
        <v>4257</v>
      </c>
      <c r="F410" s="8" t="s">
        <v>4258</v>
      </c>
      <c r="G410" s="10" t="s">
        <v>29</v>
      </c>
      <c r="H410" s="8" t="s">
        <v>4259</v>
      </c>
      <c r="I410" s="10" t="s">
        <v>776</v>
      </c>
      <c r="J410" s="8" t="s">
        <v>3928</v>
      </c>
      <c r="K410" s="8" t="s">
        <v>29</v>
      </c>
      <c r="L410" s="8" t="s">
        <v>29</v>
      </c>
      <c r="M410" s="10" t="s">
        <v>29</v>
      </c>
      <c r="N410" s="8" t="s">
        <v>29</v>
      </c>
      <c r="O410" s="10" t="s">
        <v>19</v>
      </c>
      <c r="P410" s="8" t="s">
        <v>4260</v>
      </c>
      <c r="Q410" s="10" t="s">
        <v>190</v>
      </c>
      <c r="R410" s="10" t="s">
        <v>1387</v>
      </c>
      <c r="S410" s="8" t="s">
        <v>4261</v>
      </c>
      <c r="T410" s="10" t="s">
        <v>4177</v>
      </c>
      <c r="U410" s="10" t="s">
        <v>29</v>
      </c>
    </row>
    <row r="411" spans="1:21" s="10" customFormat="1" x14ac:dyDescent="0.25">
      <c r="A411" s="10" t="s">
        <v>4262</v>
      </c>
      <c r="B411" s="10" t="s">
        <v>3923</v>
      </c>
      <c r="C411" s="11" t="s">
        <v>297</v>
      </c>
      <c r="D411" s="10" t="s">
        <v>4263</v>
      </c>
      <c r="E411" s="8" t="s">
        <v>4264</v>
      </c>
      <c r="F411" s="8" t="s">
        <v>4265</v>
      </c>
      <c r="G411" s="10" t="s">
        <v>29</v>
      </c>
      <c r="H411" s="8" t="s">
        <v>4266</v>
      </c>
      <c r="I411" s="10" t="s">
        <v>4205</v>
      </c>
      <c r="J411" s="8" t="s">
        <v>3928</v>
      </c>
      <c r="K411" s="8" t="s">
        <v>29</v>
      </c>
      <c r="L411" s="8" t="s">
        <v>29</v>
      </c>
      <c r="M411" s="10" t="s">
        <v>29</v>
      </c>
      <c r="N411" s="8" t="s">
        <v>29</v>
      </c>
      <c r="O411" s="10" t="s">
        <v>19</v>
      </c>
      <c r="P411" s="8" t="s">
        <v>4267</v>
      </c>
      <c r="Q411" s="10" t="s">
        <v>197</v>
      </c>
      <c r="R411" s="10" t="s">
        <v>1387</v>
      </c>
      <c r="S411" s="8" t="s">
        <v>4268</v>
      </c>
      <c r="T411" s="10" t="s">
        <v>4177</v>
      </c>
      <c r="U411" s="10" t="s">
        <v>29</v>
      </c>
    </row>
    <row r="412" spans="1:21" s="10" customFormat="1" x14ac:dyDescent="0.25">
      <c r="A412" s="10" t="s">
        <v>4269</v>
      </c>
      <c r="B412" s="10" t="s">
        <v>3923</v>
      </c>
      <c r="C412" s="11" t="s">
        <v>297</v>
      </c>
      <c r="D412" s="10" t="s">
        <v>4270</v>
      </c>
      <c r="E412" s="8" t="s">
        <v>4271</v>
      </c>
      <c r="F412" s="8" t="s">
        <v>4272</v>
      </c>
      <c r="G412" s="10" t="s">
        <v>29</v>
      </c>
      <c r="H412" s="8" t="s">
        <v>4273</v>
      </c>
      <c r="I412" s="10" t="s">
        <v>4205</v>
      </c>
      <c r="J412" s="8" t="s">
        <v>3928</v>
      </c>
      <c r="K412" s="8" t="s">
        <v>29</v>
      </c>
      <c r="L412" s="8" t="s">
        <v>29</v>
      </c>
      <c r="M412" s="10" t="s">
        <v>29</v>
      </c>
      <c r="N412" s="8" t="s">
        <v>29</v>
      </c>
      <c r="O412" s="10" t="s">
        <v>19</v>
      </c>
      <c r="P412" s="8" t="s">
        <v>4274</v>
      </c>
      <c r="Q412" s="10" t="s">
        <v>190</v>
      </c>
      <c r="R412" s="10" t="s">
        <v>1387</v>
      </c>
      <c r="S412" s="8" t="s">
        <v>4275</v>
      </c>
      <c r="T412" s="10" t="s">
        <v>4177</v>
      </c>
      <c r="U412" s="10" t="s">
        <v>29</v>
      </c>
    </row>
    <row r="413" spans="1:21" s="10" customFormat="1" x14ac:dyDescent="0.25">
      <c r="A413" s="10" t="s">
        <v>4276</v>
      </c>
      <c r="B413" s="10" t="s">
        <v>3923</v>
      </c>
      <c r="C413" s="10" t="s">
        <v>166</v>
      </c>
      <c r="D413" s="10" t="s">
        <v>4277</v>
      </c>
      <c r="E413" s="8" t="s">
        <v>4278</v>
      </c>
      <c r="F413" s="8" t="s">
        <v>4279</v>
      </c>
      <c r="G413" s="10" t="s">
        <v>29</v>
      </c>
      <c r="H413" s="8" t="s">
        <v>4280</v>
      </c>
      <c r="I413" s="10" t="s">
        <v>776</v>
      </c>
      <c r="J413" s="8" t="s">
        <v>3928</v>
      </c>
      <c r="K413" s="8" t="s">
        <v>29</v>
      </c>
      <c r="L413" s="8" t="s">
        <v>29</v>
      </c>
      <c r="M413" s="10" t="s">
        <v>29</v>
      </c>
      <c r="N413" s="8" t="s">
        <v>29</v>
      </c>
      <c r="O413" s="10" t="s">
        <v>19</v>
      </c>
      <c r="P413" s="8" t="s">
        <v>4281</v>
      </c>
      <c r="Q413" s="10" t="s">
        <v>174</v>
      </c>
      <c r="R413" s="10" t="s">
        <v>1387</v>
      </c>
      <c r="S413" s="8" t="s">
        <v>4282</v>
      </c>
      <c r="T413" s="10" t="s">
        <v>4177</v>
      </c>
      <c r="U413" s="10" t="s">
        <v>29</v>
      </c>
    </row>
    <row r="414" spans="1:21" s="10" customFormat="1" x14ac:dyDescent="0.25">
      <c r="A414" s="10" t="s">
        <v>4283</v>
      </c>
      <c r="B414" s="10" t="s">
        <v>3923</v>
      </c>
      <c r="C414" s="11" t="s">
        <v>297</v>
      </c>
      <c r="D414" s="10" t="s">
        <v>4284</v>
      </c>
      <c r="E414" s="8" t="s">
        <v>4285</v>
      </c>
      <c r="F414" s="8" t="s">
        <v>4286</v>
      </c>
      <c r="G414" s="10" t="s">
        <v>29</v>
      </c>
      <c r="H414" s="8" t="s">
        <v>4287</v>
      </c>
      <c r="I414" s="10" t="s">
        <v>4245</v>
      </c>
      <c r="J414" s="8" t="s">
        <v>3928</v>
      </c>
      <c r="K414" s="8" t="s">
        <v>29</v>
      </c>
      <c r="L414" s="8" t="s">
        <v>29</v>
      </c>
      <c r="M414" s="10" t="s">
        <v>29</v>
      </c>
      <c r="N414" s="8" t="s">
        <v>29</v>
      </c>
      <c r="O414" s="10" t="s">
        <v>19</v>
      </c>
      <c r="P414" s="8" t="s">
        <v>4288</v>
      </c>
      <c r="Q414" s="10" t="s">
        <v>197</v>
      </c>
      <c r="R414" s="10" t="s">
        <v>1387</v>
      </c>
      <c r="S414" s="8" t="s">
        <v>4289</v>
      </c>
      <c r="T414" s="10" t="s">
        <v>4177</v>
      </c>
      <c r="U414" s="10" t="s">
        <v>29</v>
      </c>
    </row>
    <row r="415" spans="1:21" s="10" customFormat="1" x14ac:dyDescent="0.25">
      <c r="A415" s="10" t="s">
        <v>4290</v>
      </c>
      <c r="B415" s="10" t="s">
        <v>3923</v>
      </c>
      <c r="C415" s="11" t="s">
        <v>297</v>
      </c>
      <c r="D415" s="10" t="s">
        <v>4291</v>
      </c>
      <c r="E415" s="8" t="s">
        <v>4292</v>
      </c>
      <c r="F415" s="8" t="s">
        <v>4293</v>
      </c>
      <c r="G415" s="10" t="s">
        <v>29</v>
      </c>
      <c r="H415" s="8" t="s">
        <v>1604</v>
      </c>
      <c r="I415" s="10" t="s">
        <v>4294</v>
      </c>
      <c r="J415" s="8" t="s">
        <v>1606</v>
      </c>
      <c r="K415" s="8" t="s">
        <v>29</v>
      </c>
      <c r="L415" s="8" t="s">
        <v>29</v>
      </c>
      <c r="M415" s="10" t="s">
        <v>29</v>
      </c>
      <c r="N415" s="8" t="s">
        <v>29</v>
      </c>
      <c r="O415" s="10" t="s">
        <v>19</v>
      </c>
      <c r="P415" s="8" t="s">
        <v>4295</v>
      </c>
      <c r="Q415" s="10" t="s">
        <v>1399</v>
      </c>
      <c r="R415" s="10" t="s">
        <v>1608</v>
      </c>
      <c r="S415" s="8" t="s">
        <v>4296</v>
      </c>
      <c r="T415" s="10" t="s">
        <v>4177</v>
      </c>
      <c r="U415" s="10" t="s">
        <v>29</v>
      </c>
    </row>
    <row r="416" spans="1:21" s="10" customFormat="1" x14ac:dyDescent="0.25">
      <c r="A416" s="10" t="s">
        <v>4297</v>
      </c>
      <c r="B416" s="10" t="s">
        <v>3923</v>
      </c>
      <c r="C416" s="11" t="s">
        <v>297</v>
      </c>
      <c r="D416" s="10" t="s">
        <v>4298</v>
      </c>
      <c r="E416" s="8" t="s">
        <v>4299</v>
      </c>
      <c r="F416" s="8" t="s">
        <v>1613</v>
      </c>
      <c r="G416" s="10" t="s">
        <v>29</v>
      </c>
      <c r="H416" s="8" t="s">
        <v>2747</v>
      </c>
      <c r="I416" s="10" t="s">
        <v>4205</v>
      </c>
      <c r="J416" s="8" t="s">
        <v>1615</v>
      </c>
      <c r="K416" s="8" t="s">
        <v>29</v>
      </c>
      <c r="L416" s="8" t="s">
        <v>29</v>
      </c>
      <c r="M416" s="10" t="s">
        <v>29</v>
      </c>
      <c r="N416" s="8" t="s">
        <v>29</v>
      </c>
      <c r="O416" s="10" t="s">
        <v>19</v>
      </c>
      <c r="P416" s="8" t="s">
        <v>4300</v>
      </c>
      <c r="Q416" s="10" t="s">
        <v>776</v>
      </c>
      <c r="R416" s="10" t="s">
        <v>2749</v>
      </c>
      <c r="S416" s="8" t="s">
        <v>1618</v>
      </c>
      <c r="T416" s="10" t="s">
        <v>4177</v>
      </c>
      <c r="U416" s="10" t="s">
        <v>29</v>
      </c>
    </row>
    <row r="417" spans="1:21" s="10" customFormat="1" x14ac:dyDescent="0.25">
      <c r="A417" s="10" t="s">
        <v>4301</v>
      </c>
      <c r="B417" s="10" t="s">
        <v>3923</v>
      </c>
      <c r="C417" s="11" t="s">
        <v>297</v>
      </c>
      <c r="D417" s="10" t="s">
        <v>4302</v>
      </c>
      <c r="E417" s="8" t="s">
        <v>4303</v>
      </c>
      <c r="F417" s="8" t="s">
        <v>4304</v>
      </c>
      <c r="G417" s="10" t="s">
        <v>29</v>
      </c>
      <c r="H417" s="8" t="s">
        <v>1614</v>
      </c>
      <c r="I417" s="10" t="s">
        <v>4305</v>
      </c>
      <c r="J417" s="8" t="s">
        <v>1606</v>
      </c>
      <c r="K417" s="8" t="s">
        <v>29</v>
      </c>
      <c r="L417" s="8" t="s">
        <v>29</v>
      </c>
      <c r="M417" s="10" t="s">
        <v>29</v>
      </c>
      <c r="N417" s="8" t="s">
        <v>29</v>
      </c>
      <c r="O417" s="10" t="s">
        <v>19</v>
      </c>
      <c r="P417" s="8" t="s">
        <v>4306</v>
      </c>
      <c r="Q417" s="10" t="s">
        <v>190</v>
      </c>
      <c r="R417" s="10" t="s">
        <v>1617</v>
      </c>
      <c r="S417" s="8" t="s">
        <v>4307</v>
      </c>
      <c r="T417" s="10" t="s">
        <v>4177</v>
      </c>
      <c r="U417" s="10" t="s">
        <v>29</v>
      </c>
    </row>
    <row r="418" spans="1:21" s="10" customFormat="1" x14ac:dyDescent="0.25">
      <c r="A418" s="10" t="s">
        <v>4308</v>
      </c>
      <c r="B418" s="10" t="s">
        <v>3923</v>
      </c>
      <c r="C418" s="10" t="s">
        <v>166</v>
      </c>
      <c r="D418" s="10" t="s">
        <v>4309</v>
      </c>
      <c r="E418" s="8" t="s">
        <v>4310</v>
      </c>
      <c r="F418" s="8" t="s">
        <v>4311</v>
      </c>
      <c r="G418" s="10" t="s">
        <v>29</v>
      </c>
      <c r="H418" s="8" t="s">
        <v>4280</v>
      </c>
      <c r="I418" s="10" t="s">
        <v>4312</v>
      </c>
      <c r="J418" s="8" t="s">
        <v>3928</v>
      </c>
      <c r="K418" s="8" t="s">
        <v>29</v>
      </c>
      <c r="L418" s="8" t="s">
        <v>29</v>
      </c>
      <c r="M418" s="10" t="s">
        <v>29</v>
      </c>
      <c r="N418" s="8" t="s">
        <v>29</v>
      </c>
      <c r="O418" s="10" t="s">
        <v>19</v>
      </c>
      <c r="P418" s="8" t="s">
        <v>4313</v>
      </c>
      <c r="Q418" s="10" t="s">
        <v>174</v>
      </c>
      <c r="R418" s="10" t="s">
        <v>1387</v>
      </c>
      <c r="S418" s="8" t="s">
        <v>1599</v>
      </c>
      <c r="T418" s="10" t="s">
        <v>4177</v>
      </c>
      <c r="U418" s="10" t="s">
        <v>29</v>
      </c>
    </row>
    <row r="419" spans="1:21" s="10" customFormat="1" x14ac:dyDescent="0.25">
      <c r="A419" s="10" t="s">
        <v>4314</v>
      </c>
      <c r="B419" s="10" t="s">
        <v>3923</v>
      </c>
      <c r="C419" s="10" t="s">
        <v>166</v>
      </c>
      <c r="D419" s="10" t="s">
        <v>4315</v>
      </c>
      <c r="E419" s="8" t="s">
        <v>4316</v>
      </c>
      <c r="F419" s="8" t="s">
        <v>4317</v>
      </c>
      <c r="G419" s="10" t="s">
        <v>29</v>
      </c>
      <c r="H419" s="8" t="s">
        <v>4318</v>
      </c>
      <c r="I419" s="10" t="s">
        <v>4319</v>
      </c>
      <c r="J419" s="8" t="s">
        <v>4320</v>
      </c>
      <c r="K419" s="8" t="s">
        <v>29</v>
      </c>
      <c r="L419" s="8" t="s">
        <v>29</v>
      </c>
      <c r="M419" s="10" t="s">
        <v>29</v>
      </c>
      <c r="N419" s="8" t="s">
        <v>29</v>
      </c>
      <c r="O419" s="10" t="s">
        <v>19</v>
      </c>
      <c r="P419" s="8" t="s">
        <v>4321</v>
      </c>
      <c r="Q419" s="10" t="s">
        <v>174</v>
      </c>
      <c r="R419" s="10" t="s">
        <v>1387</v>
      </c>
      <c r="S419" s="8" t="s">
        <v>4322</v>
      </c>
      <c r="T419" s="10" t="s">
        <v>4323</v>
      </c>
      <c r="U419" s="10" t="s">
        <v>29</v>
      </c>
    </row>
    <row r="420" spans="1:21" s="10" customFormat="1" x14ac:dyDescent="0.25">
      <c r="A420" s="10" t="s">
        <v>4324</v>
      </c>
      <c r="B420" s="10" t="s">
        <v>3923</v>
      </c>
      <c r="C420" s="10" t="s">
        <v>335</v>
      </c>
      <c r="D420" s="10" t="s">
        <v>4325</v>
      </c>
      <c r="E420" s="8" t="s">
        <v>4326</v>
      </c>
      <c r="F420" s="8" t="s">
        <v>4327</v>
      </c>
      <c r="G420" s="10" t="s">
        <v>29</v>
      </c>
      <c r="H420" s="8" t="s">
        <v>4328</v>
      </c>
      <c r="I420" s="10" t="s">
        <v>1102</v>
      </c>
      <c r="J420" s="8" t="s">
        <v>3928</v>
      </c>
      <c r="K420" s="8" t="s">
        <v>29</v>
      </c>
      <c r="L420" s="8" t="s">
        <v>29</v>
      </c>
      <c r="M420" s="10" t="s">
        <v>29</v>
      </c>
      <c r="N420" s="8" t="s">
        <v>29</v>
      </c>
      <c r="O420" s="10" t="s">
        <v>19</v>
      </c>
      <c r="P420" s="8" t="s">
        <v>4329</v>
      </c>
      <c r="Q420" s="10" t="s">
        <v>174</v>
      </c>
      <c r="R420" s="10" t="s">
        <v>1387</v>
      </c>
      <c r="S420" s="8" t="s">
        <v>2412</v>
      </c>
      <c r="T420" s="10" t="s">
        <v>4323</v>
      </c>
      <c r="U420" s="10" t="s">
        <v>29</v>
      </c>
    </row>
    <row r="421" spans="1:21" s="10" customFormat="1" x14ac:dyDescent="0.25">
      <c r="A421" s="10" t="s">
        <v>4330</v>
      </c>
      <c r="B421" s="10" t="s">
        <v>3923</v>
      </c>
      <c r="C421" s="11" t="s">
        <v>297</v>
      </c>
      <c r="D421" s="10" t="s">
        <v>4331</v>
      </c>
      <c r="E421" s="8" t="s">
        <v>4332</v>
      </c>
      <c r="F421" s="8" t="s">
        <v>4333</v>
      </c>
      <c r="G421" s="10" t="s">
        <v>29</v>
      </c>
      <c r="H421" s="8" t="s">
        <v>4334</v>
      </c>
      <c r="I421" s="10" t="s">
        <v>4319</v>
      </c>
      <c r="J421" s="8" t="s">
        <v>4320</v>
      </c>
      <c r="K421" s="8" t="s">
        <v>29</v>
      </c>
      <c r="L421" s="8" t="s">
        <v>29</v>
      </c>
      <c r="M421" s="10" t="s">
        <v>29</v>
      </c>
      <c r="N421" s="8" t="s">
        <v>29</v>
      </c>
      <c r="O421" s="10" t="s">
        <v>19</v>
      </c>
      <c r="P421" s="8" t="s">
        <v>4335</v>
      </c>
      <c r="Q421" s="10" t="s">
        <v>174</v>
      </c>
      <c r="R421" s="10" t="s">
        <v>1387</v>
      </c>
      <c r="S421" s="8" t="s">
        <v>4336</v>
      </c>
      <c r="T421" s="10" t="s">
        <v>4323</v>
      </c>
      <c r="U421" s="10" t="s">
        <v>29</v>
      </c>
    </row>
    <row r="422" spans="1:21" s="10" customFormat="1" x14ac:dyDescent="0.25">
      <c r="A422" s="10" t="s">
        <v>4337</v>
      </c>
      <c r="B422" s="10" t="s">
        <v>3923</v>
      </c>
      <c r="C422" s="10" t="s">
        <v>166</v>
      </c>
      <c r="D422" s="10" t="s">
        <v>4338</v>
      </c>
      <c r="E422" s="8" t="s">
        <v>4339</v>
      </c>
      <c r="F422" s="8" t="s">
        <v>4340</v>
      </c>
      <c r="G422" s="10" t="s">
        <v>29</v>
      </c>
      <c r="H422" s="8" t="s">
        <v>4341</v>
      </c>
      <c r="I422" s="10" t="s">
        <v>1102</v>
      </c>
      <c r="J422" s="8" t="s">
        <v>3928</v>
      </c>
      <c r="K422" s="8" t="s">
        <v>29</v>
      </c>
      <c r="L422" s="8" t="s">
        <v>29</v>
      </c>
      <c r="M422" s="10" t="s">
        <v>29</v>
      </c>
      <c r="N422" s="8" t="s">
        <v>29</v>
      </c>
      <c r="O422" s="10" t="s">
        <v>19</v>
      </c>
      <c r="P422" s="8" t="s">
        <v>4342</v>
      </c>
      <c r="Q422" s="10" t="s">
        <v>190</v>
      </c>
      <c r="R422" s="10" t="s">
        <v>1387</v>
      </c>
      <c r="S422" s="8" t="s">
        <v>4343</v>
      </c>
      <c r="T422" s="10" t="s">
        <v>4323</v>
      </c>
      <c r="U422" s="10" t="s">
        <v>29</v>
      </c>
    </row>
    <row r="423" spans="1:21" s="10" customFormat="1" x14ac:dyDescent="0.25">
      <c r="A423" s="10" t="s">
        <v>4344</v>
      </c>
      <c r="B423" s="10" t="s">
        <v>3923</v>
      </c>
      <c r="C423" s="11" t="s">
        <v>297</v>
      </c>
      <c r="D423" s="10" t="s">
        <v>4345</v>
      </c>
      <c r="E423" s="8" t="s">
        <v>4346</v>
      </c>
      <c r="F423" s="8" t="s">
        <v>4347</v>
      </c>
      <c r="G423" s="10" t="s">
        <v>29</v>
      </c>
      <c r="H423" s="8" t="s">
        <v>4348</v>
      </c>
      <c r="I423" s="10" t="s">
        <v>4319</v>
      </c>
      <c r="J423" s="8" t="s">
        <v>3928</v>
      </c>
      <c r="K423" s="8" t="s">
        <v>29</v>
      </c>
      <c r="L423" s="8" t="s">
        <v>29</v>
      </c>
      <c r="M423" s="10" t="s">
        <v>29</v>
      </c>
      <c r="N423" s="8" t="s">
        <v>29</v>
      </c>
      <c r="O423" s="10" t="s">
        <v>19</v>
      </c>
      <c r="P423" s="8" t="s">
        <v>4349</v>
      </c>
      <c r="Q423" s="10" t="s">
        <v>190</v>
      </c>
      <c r="R423" s="10" t="s">
        <v>1387</v>
      </c>
      <c r="S423" s="8" t="s">
        <v>4350</v>
      </c>
      <c r="T423" s="10" t="s">
        <v>4323</v>
      </c>
      <c r="U423" s="10" t="s">
        <v>29</v>
      </c>
    </row>
    <row r="424" spans="1:21" s="10" customFormat="1" x14ac:dyDescent="0.25">
      <c r="A424" s="10" t="s">
        <v>4351</v>
      </c>
      <c r="B424" s="10" t="s">
        <v>3923</v>
      </c>
      <c r="C424" s="10" t="s">
        <v>166</v>
      </c>
      <c r="D424" s="10" t="s">
        <v>4352</v>
      </c>
      <c r="E424" s="8" t="s">
        <v>4353</v>
      </c>
      <c r="F424" s="8" t="s">
        <v>4354</v>
      </c>
      <c r="G424" s="10" t="s">
        <v>29</v>
      </c>
      <c r="H424" s="8" t="s">
        <v>4355</v>
      </c>
      <c r="I424" s="10" t="s">
        <v>1102</v>
      </c>
      <c r="J424" s="8" t="s">
        <v>3928</v>
      </c>
      <c r="K424" s="8" t="s">
        <v>29</v>
      </c>
      <c r="L424" s="8" t="s">
        <v>29</v>
      </c>
      <c r="M424" s="10" t="s">
        <v>29</v>
      </c>
      <c r="N424" s="8" t="s">
        <v>29</v>
      </c>
      <c r="O424" s="10" t="s">
        <v>19</v>
      </c>
      <c r="P424" s="8" t="s">
        <v>4356</v>
      </c>
      <c r="Q424" s="10" t="s">
        <v>197</v>
      </c>
      <c r="R424" s="10" t="s">
        <v>1387</v>
      </c>
      <c r="S424" s="8" t="s">
        <v>4357</v>
      </c>
      <c r="T424" s="10" t="s">
        <v>4323</v>
      </c>
      <c r="U424" s="10" t="s">
        <v>29</v>
      </c>
    </row>
    <row r="425" spans="1:21" s="10" customFormat="1" x14ac:dyDescent="0.25">
      <c r="A425" s="10" t="s">
        <v>4358</v>
      </c>
      <c r="B425" s="10" t="s">
        <v>3923</v>
      </c>
      <c r="C425" s="11" t="s">
        <v>297</v>
      </c>
      <c r="D425" s="10" t="s">
        <v>4359</v>
      </c>
      <c r="E425" s="8" t="s">
        <v>4360</v>
      </c>
      <c r="F425" s="8" t="s">
        <v>4361</v>
      </c>
      <c r="G425" s="10" t="s">
        <v>29</v>
      </c>
      <c r="H425" s="8" t="s">
        <v>4334</v>
      </c>
      <c r="I425" s="10" t="s">
        <v>4319</v>
      </c>
      <c r="J425" s="8" t="s">
        <v>3928</v>
      </c>
      <c r="K425" s="8" t="s">
        <v>29</v>
      </c>
      <c r="L425" s="8" t="s">
        <v>29</v>
      </c>
      <c r="M425" s="10" t="s">
        <v>29</v>
      </c>
      <c r="N425" s="8" t="s">
        <v>29</v>
      </c>
      <c r="O425" s="10" t="s">
        <v>19</v>
      </c>
      <c r="P425" s="8" t="s">
        <v>4362</v>
      </c>
      <c r="Q425" s="10" t="s">
        <v>1399</v>
      </c>
      <c r="R425" s="10" t="s">
        <v>1387</v>
      </c>
      <c r="S425" s="8" t="s">
        <v>4363</v>
      </c>
      <c r="T425" s="10" t="s">
        <v>4323</v>
      </c>
      <c r="U425" s="10" t="s">
        <v>29</v>
      </c>
    </row>
    <row r="426" spans="1:21" s="10" customFormat="1" x14ac:dyDescent="0.25">
      <c r="A426" s="10" t="s">
        <v>4364</v>
      </c>
      <c r="B426" s="10" t="s">
        <v>3923</v>
      </c>
      <c r="C426" s="10" t="s">
        <v>166</v>
      </c>
      <c r="D426" s="10" t="s">
        <v>4365</v>
      </c>
      <c r="E426" s="8" t="s">
        <v>4366</v>
      </c>
      <c r="F426" s="8" t="s">
        <v>4367</v>
      </c>
      <c r="G426" s="10" t="s">
        <v>29</v>
      </c>
      <c r="H426" s="8" t="s">
        <v>4368</v>
      </c>
      <c r="I426" s="10" t="s">
        <v>1102</v>
      </c>
      <c r="J426" s="8" t="s">
        <v>3928</v>
      </c>
      <c r="K426" s="8" t="s">
        <v>29</v>
      </c>
      <c r="L426" s="8" t="s">
        <v>29</v>
      </c>
      <c r="M426" s="10" t="s">
        <v>29</v>
      </c>
      <c r="N426" s="8" t="s">
        <v>29</v>
      </c>
      <c r="O426" s="10" t="s">
        <v>19</v>
      </c>
      <c r="P426" s="8" t="s">
        <v>4369</v>
      </c>
      <c r="Q426" s="10" t="s">
        <v>174</v>
      </c>
      <c r="R426" s="10" t="s">
        <v>1387</v>
      </c>
      <c r="S426" s="8" t="s">
        <v>4370</v>
      </c>
      <c r="T426" s="10" t="s">
        <v>4323</v>
      </c>
      <c r="U426" s="10" t="s">
        <v>29</v>
      </c>
    </row>
    <row r="427" spans="1:21" s="10" customFormat="1" x14ac:dyDescent="0.25">
      <c r="A427" s="10" t="s">
        <v>4371</v>
      </c>
      <c r="B427" s="10" t="s">
        <v>3923</v>
      </c>
      <c r="C427" s="11" t="s">
        <v>297</v>
      </c>
      <c r="D427" s="10" t="s">
        <v>4372</v>
      </c>
      <c r="E427" s="8" t="s">
        <v>4373</v>
      </c>
      <c r="F427" s="8" t="s">
        <v>4374</v>
      </c>
      <c r="G427" s="10" t="s">
        <v>29</v>
      </c>
      <c r="H427" s="8" t="s">
        <v>3949</v>
      </c>
      <c r="I427" s="10" t="s">
        <v>3950</v>
      </c>
      <c r="J427" s="8" t="s">
        <v>3928</v>
      </c>
      <c r="K427" s="8" t="s">
        <v>29</v>
      </c>
      <c r="L427" s="8" t="s">
        <v>29</v>
      </c>
      <c r="M427" s="10" t="s">
        <v>29</v>
      </c>
      <c r="N427" s="8" t="s">
        <v>29</v>
      </c>
      <c r="O427" s="10" t="s">
        <v>19</v>
      </c>
      <c r="P427" s="8" t="s">
        <v>4375</v>
      </c>
      <c r="Q427" s="10" t="s">
        <v>1399</v>
      </c>
      <c r="R427" s="10" t="s">
        <v>1387</v>
      </c>
      <c r="S427" s="8" t="s">
        <v>4376</v>
      </c>
      <c r="T427" s="10" t="s">
        <v>4323</v>
      </c>
      <c r="U427" s="10" t="s">
        <v>29</v>
      </c>
    </row>
    <row r="428" spans="1:21" s="10" customFormat="1" x14ac:dyDescent="0.25">
      <c r="A428" s="10" t="s">
        <v>4377</v>
      </c>
      <c r="B428" s="10" t="s">
        <v>3923</v>
      </c>
      <c r="C428" s="10" t="s">
        <v>166</v>
      </c>
      <c r="D428" s="10" t="s">
        <v>4378</v>
      </c>
      <c r="E428" s="8" t="s">
        <v>4379</v>
      </c>
      <c r="F428" s="8" t="s">
        <v>4380</v>
      </c>
      <c r="G428" s="10" t="s">
        <v>29</v>
      </c>
      <c r="H428" s="8" t="s">
        <v>4381</v>
      </c>
      <c r="I428" s="10" t="s">
        <v>4382</v>
      </c>
      <c r="J428" s="8" t="s">
        <v>3928</v>
      </c>
      <c r="K428" s="8" t="s">
        <v>29</v>
      </c>
      <c r="L428" s="8" t="s">
        <v>29</v>
      </c>
      <c r="M428" s="10" t="s">
        <v>29</v>
      </c>
      <c r="N428" s="8" t="s">
        <v>29</v>
      </c>
      <c r="O428" s="10" t="s">
        <v>19</v>
      </c>
      <c r="P428" s="8" t="s">
        <v>4383</v>
      </c>
      <c r="Q428" s="10" t="s">
        <v>174</v>
      </c>
      <c r="R428" s="10" t="s">
        <v>1387</v>
      </c>
      <c r="S428" s="8" t="s">
        <v>4384</v>
      </c>
      <c r="T428" s="10" t="s">
        <v>4323</v>
      </c>
      <c r="U428" s="10" t="s">
        <v>29</v>
      </c>
    </row>
    <row r="429" spans="1:21" s="10" customFormat="1" x14ac:dyDescent="0.25">
      <c r="A429" s="10" t="s">
        <v>4385</v>
      </c>
      <c r="B429" s="10" t="s">
        <v>3923</v>
      </c>
      <c r="C429" s="10" t="s">
        <v>166</v>
      </c>
      <c r="D429" s="10" t="s">
        <v>4386</v>
      </c>
      <c r="E429" s="8" t="s">
        <v>4387</v>
      </c>
      <c r="F429" s="8" t="s">
        <v>4388</v>
      </c>
      <c r="G429" s="10" t="s">
        <v>29</v>
      </c>
      <c r="H429" s="8" t="s">
        <v>4389</v>
      </c>
      <c r="I429" s="10" t="s">
        <v>4382</v>
      </c>
      <c r="J429" s="8" t="s">
        <v>3928</v>
      </c>
      <c r="K429" s="8" t="s">
        <v>29</v>
      </c>
      <c r="L429" s="8" t="s">
        <v>29</v>
      </c>
      <c r="M429" s="10" t="s">
        <v>29</v>
      </c>
      <c r="N429" s="8" t="s">
        <v>29</v>
      </c>
      <c r="O429" s="10" t="s">
        <v>19</v>
      </c>
      <c r="P429" s="8" t="s">
        <v>4390</v>
      </c>
      <c r="Q429" s="10" t="s">
        <v>197</v>
      </c>
      <c r="R429" s="10" t="s">
        <v>1387</v>
      </c>
      <c r="S429" s="8" t="s">
        <v>4391</v>
      </c>
      <c r="T429" s="10" t="s">
        <v>4323</v>
      </c>
      <c r="U429" s="10" t="s">
        <v>29</v>
      </c>
    </row>
    <row r="430" spans="1:21" s="10" customFormat="1" x14ac:dyDescent="0.25">
      <c r="A430" s="10" t="s">
        <v>4392</v>
      </c>
      <c r="B430" s="10" t="s">
        <v>3923</v>
      </c>
      <c r="C430" s="10" t="s">
        <v>166</v>
      </c>
      <c r="D430" s="10" t="s">
        <v>4393</v>
      </c>
      <c r="E430" s="8" t="s">
        <v>4394</v>
      </c>
      <c r="F430" s="8" t="s">
        <v>4395</v>
      </c>
      <c r="G430" s="10" t="s">
        <v>29</v>
      </c>
      <c r="H430" s="8" t="s">
        <v>4396</v>
      </c>
      <c r="I430" s="10" t="s">
        <v>4118</v>
      </c>
      <c r="J430" s="8" t="s">
        <v>3928</v>
      </c>
      <c r="K430" s="8" t="s">
        <v>29</v>
      </c>
      <c r="L430" s="8" t="s">
        <v>29</v>
      </c>
      <c r="M430" s="10" t="s">
        <v>29</v>
      </c>
      <c r="N430" s="8" t="s">
        <v>29</v>
      </c>
      <c r="O430" s="10" t="s">
        <v>19</v>
      </c>
      <c r="P430" s="8" t="s">
        <v>4397</v>
      </c>
      <c r="Q430" s="10" t="s">
        <v>174</v>
      </c>
      <c r="R430" s="10" t="s">
        <v>1387</v>
      </c>
      <c r="S430" s="8" t="s">
        <v>4398</v>
      </c>
      <c r="T430" s="10" t="s">
        <v>4323</v>
      </c>
      <c r="U430" s="10" t="s">
        <v>29</v>
      </c>
    </row>
    <row r="431" spans="1:21" s="10" customFormat="1" x14ac:dyDescent="0.25">
      <c r="A431" s="10" t="s">
        <v>4399</v>
      </c>
      <c r="B431" s="10" t="s">
        <v>3923</v>
      </c>
      <c r="C431" s="11" t="s">
        <v>297</v>
      </c>
      <c r="D431" s="10" t="s">
        <v>4400</v>
      </c>
      <c r="E431" s="8" t="s">
        <v>4401</v>
      </c>
      <c r="F431" s="8" t="s">
        <v>4402</v>
      </c>
      <c r="G431" s="10" t="s">
        <v>29</v>
      </c>
      <c r="H431" s="8" t="s">
        <v>4403</v>
      </c>
      <c r="I431" s="10" t="s">
        <v>4382</v>
      </c>
      <c r="J431" s="8" t="s">
        <v>3928</v>
      </c>
      <c r="K431" s="8" t="s">
        <v>29</v>
      </c>
      <c r="L431" s="8" t="s">
        <v>29</v>
      </c>
      <c r="M431" s="10" t="s">
        <v>29</v>
      </c>
      <c r="N431" s="8" t="s">
        <v>29</v>
      </c>
      <c r="O431" s="10" t="s">
        <v>19</v>
      </c>
      <c r="P431" s="8" t="s">
        <v>4404</v>
      </c>
      <c r="Q431" s="10" t="s">
        <v>1399</v>
      </c>
      <c r="R431" s="10" t="s">
        <v>1387</v>
      </c>
      <c r="S431" s="8" t="s">
        <v>4405</v>
      </c>
      <c r="T431" s="10" t="s">
        <v>4323</v>
      </c>
      <c r="U431" s="10" t="s">
        <v>29</v>
      </c>
    </row>
    <row r="432" spans="1:21" s="10" customFormat="1" x14ac:dyDescent="0.25">
      <c r="A432" s="10" t="s">
        <v>4406</v>
      </c>
      <c r="B432" s="10" t="s">
        <v>3923</v>
      </c>
      <c r="C432" s="10" t="s">
        <v>166</v>
      </c>
      <c r="D432" s="10" t="s">
        <v>4407</v>
      </c>
      <c r="E432" s="8" t="s">
        <v>4408</v>
      </c>
      <c r="F432" s="8" t="s">
        <v>4409</v>
      </c>
      <c r="G432" s="10" t="s">
        <v>29</v>
      </c>
      <c r="H432" s="8" t="s">
        <v>4410</v>
      </c>
      <c r="I432" s="10" t="s">
        <v>4118</v>
      </c>
      <c r="J432" s="8" t="s">
        <v>3928</v>
      </c>
      <c r="K432" s="8" t="s">
        <v>29</v>
      </c>
      <c r="L432" s="8" t="s">
        <v>29</v>
      </c>
      <c r="M432" s="10" t="s">
        <v>29</v>
      </c>
      <c r="N432" s="8" t="s">
        <v>29</v>
      </c>
      <c r="O432" s="10" t="s">
        <v>19</v>
      </c>
      <c r="P432" s="8" t="s">
        <v>4411</v>
      </c>
      <c r="Q432" s="10" t="s">
        <v>190</v>
      </c>
      <c r="R432" s="10" t="s">
        <v>1387</v>
      </c>
      <c r="S432" s="8" t="s">
        <v>4412</v>
      </c>
      <c r="T432" s="10" t="s">
        <v>4323</v>
      </c>
      <c r="U432" s="10" t="s">
        <v>29</v>
      </c>
    </row>
    <row r="433" spans="1:21" s="10" customFormat="1" x14ac:dyDescent="0.25">
      <c r="A433" s="10" t="s">
        <v>4413</v>
      </c>
      <c r="B433" s="10" t="s">
        <v>3923</v>
      </c>
      <c r="C433" s="10" t="s">
        <v>166</v>
      </c>
      <c r="D433" s="10" t="s">
        <v>4414</v>
      </c>
      <c r="E433" s="8" t="s">
        <v>4415</v>
      </c>
      <c r="F433" s="8" t="s">
        <v>4416</v>
      </c>
      <c r="G433" s="10" t="s">
        <v>29</v>
      </c>
      <c r="H433" s="8" t="s">
        <v>4334</v>
      </c>
      <c r="I433" s="10" t="s">
        <v>1102</v>
      </c>
      <c r="J433" s="8" t="s">
        <v>3928</v>
      </c>
      <c r="K433" s="8" t="s">
        <v>29</v>
      </c>
      <c r="L433" s="8" t="s">
        <v>29</v>
      </c>
      <c r="M433" s="10" t="s">
        <v>29</v>
      </c>
      <c r="N433" s="8" t="s">
        <v>29</v>
      </c>
      <c r="O433" s="10" t="s">
        <v>19</v>
      </c>
      <c r="P433" s="8" t="s">
        <v>4417</v>
      </c>
      <c r="Q433" s="10" t="s">
        <v>174</v>
      </c>
      <c r="R433" s="10" t="s">
        <v>1387</v>
      </c>
      <c r="S433" s="8" t="s">
        <v>4418</v>
      </c>
      <c r="T433" s="10" t="s">
        <v>4323</v>
      </c>
      <c r="U433" s="10" t="s">
        <v>29</v>
      </c>
    </row>
    <row r="434" spans="1:21" s="10" customFormat="1" x14ac:dyDescent="0.25">
      <c r="A434" s="10" t="s">
        <v>4419</v>
      </c>
      <c r="B434" s="10" t="s">
        <v>3923</v>
      </c>
      <c r="C434" s="11" t="s">
        <v>297</v>
      </c>
      <c r="D434" s="10" t="s">
        <v>4420</v>
      </c>
      <c r="E434" s="8" t="s">
        <v>4421</v>
      </c>
      <c r="F434" s="8" t="s">
        <v>4422</v>
      </c>
      <c r="G434" s="10" t="s">
        <v>29</v>
      </c>
      <c r="H434" s="8" t="s">
        <v>1604</v>
      </c>
      <c r="I434" s="10" t="s">
        <v>3336</v>
      </c>
      <c r="J434" s="8" t="s">
        <v>1606</v>
      </c>
      <c r="K434" s="8" t="s">
        <v>29</v>
      </c>
      <c r="L434" s="8" t="s">
        <v>29</v>
      </c>
      <c r="M434" s="10" t="s">
        <v>29</v>
      </c>
      <c r="N434" s="8" t="s">
        <v>29</v>
      </c>
      <c r="O434" s="10" t="s">
        <v>19</v>
      </c>
      <c r="P434" s="8" t="s">
        <v>4423</v>
      </c>
      <c r="Q434" s="10" t="s">
        <v>1399</v>
      </c>
      <c r="R434" s="10" t="s">
        <v>1608</v>
      </c>
      <c r="S434" s="8" t="s">
        <v>4424</v>
      </c>
      <c r="T434" s="10" t="s">
        <v>4323</v>
      </c>
      <c r="U434" s="10" t="s">
        <v>29</v>
      </c>
    </row>
    <row r="435" spans="1:21" s="10" customFormat="1" x14ac:dyDescent="0.25">
      <c r="A435" s="10" t="s">
        <v>4425</v>
      </c>
      <c r="B435" s="10" t="s">
        <v>3923</v>
      </c>
      <c r="C435" s="10" t="s">
        <v>166</v>
      </c>
      <c r="D435" s="10" t="s">
        <v>4426</v>
      </c>
      <c r="E435" s="8" t="s">
        <v>4427</v>
      </c>
      <c r="F435" s="8" t="s">
        <v>1613</v>
      </c>
      <c r="G435" s="10" t="s">
        <v>29</v>
      </c>
      <c r="H435" s="8" t="s">
        <v>2120</v>
      </c>
      <c r="I435" s="10" t="s">
        <v>4118</v>
      </c>
      <c r="J435" s="8" t="s">
        <v>1615</v>
      </c>
      <c r="K435" s="8" t="s">
        <v>29</v>
      </c>
      <c r="L435" s="8" t="s">
        <v>29</v>
      </c>
      <c r="M435" s="10" t="s">
        <v>29</v>
      </c>
      <c r="N435" s="8" t="s">
        <v>29</v>
      </c>
      <c r="O435" s="10" t="s">
        <v>19</v>
      </c>
      <c r="P435" s="8" t="s">
        <v>4428</v>
      </c>
      <c r="Q435" s="10" t="s">
        <v>776</v>
      </c>
      <c r="R435" s="10" t="s">
        <v>2122</v>
      </c>
      <c r="S435" s="8" t="s">
        <v>1618</v>
      </c>
      <c r="T435" s="10" t="s">
        <v>4323</v>
      </c>
      <c r="U435" s="10" t="s">
        <v>29</v>
      </c>
    </row>
    <row r="436" spans="1:21" s="10" customFormat="1" x14ac:dyDescent="0.25">
      <c r="A436" s="10" t="s">
        <v>4429</v>
      </c>
      <c r="B436" s="10" t="s">
        <v>3923</v>
      </c>
      <c r="C436" s="10" t="s">
        <v>166</v>
      </c>
      <c r="D436" s="10" t="s">
        <v>4430</v>
      </c>
      <c r="E436" s="8" t="s">
        <v>4431</v>
      </c>
      <c r="F436" s="8" t="s">
        <v>4432</v>
      </c>
      <c r="G436" s="10" t="s">
        <v>29</v>
      </c>
      <c r="H436" s="8" t="s">
        <v>4334</v>
      </c>
      <c r="I436" s="10" t="s">
        <v>1102</v>
      </c>
      <c r="J436" s="8" t="s">
        <v>3928</v>
      </c>
      <c r="K436" s="8" t="s">
        <v>29</v>
      </c>
      <c r="L436" s="8" t="s">
        <v>29</v>
      </c>
      <c r="M436" s="10" t="s">
        <v>29</v>
      </c>
      <c r="N436" s="8" t="s">
        <v>29</v>
      </c>
      <c r="O436" s="10" t="s">
        <v>19</v>
      </c>
      <c r="P436" s="8" t="s">
        <v>4433</v>
      </c>
      <c r="Q436" s="10" t="s">
        <v>174</v>
      </c>
      <c r="R436" s="10" t="s">
        <v>1387</v>
      </c>
      <c r="S436" s="8" t="s">
        <v>1599</v>
      </c>
      <c r="T436" s="10" t="s">
        <v>4323</v>
      </c>
      <c r="U436" s="10" t="s">
        <v>29</v>
      </c>
    </row>
    <row r="437" spans="1:21" s="10" customFormat="1" x14ac:dyDescent="0.25">
      <c r="A437" s="10" t="s">
        <v>4434</v>
      </c>
      <c r="B437" s="10" t="s">
        <v>4435</v>
      </c>
      <c r="C437" s="10" t="s">
        <v>166</v>
      </c>
      <c r="D437" s="10" t="s">
        <v>4436</v>
      </c>
      <c r="E437" s="8" t="s">
        <v>4437</v>
      </c>
      <c r="F437" s="8" t="s">
        <v>4438</v>
      </c>
      <c r="G437" s="10" t="s">
        <v>29</v>
      </c>
      <c r="H437" s="8" t="s">
        <v>4439</v>
      </c>
      <c r="I437" s="10" t="s">
        <v>4440</v>
      </c>
      <c r="J437" s="8" t="s">
        <v>2769</v>
      </c>
      <c r="K437" s="8" t="s">
        <v>29</v>
      </c>
      <c r="L437" s="8" t="s">
        <v>29</v>
      </c>
      <c r="M437" s="10" t="s">
        <v>29</v>
      </c>
      <c r="N437" s="8" t="s">
        <v>29</v>
      </c>
      <c r="O437" s="10" t="s">
        <v>19</v>
      </c>
      <c r="P437" s="8" t="s">
        <v>4441</v>
      </c>
      <c r="Q437" s="10" t="s">
        <v>174</v>
      </c>
      <c r="R437" s="10" t="s">
        <v>1387</v>
      </c>
      <c r="S437" s="8" t="s">
        <v>4442</v>
      </c>
      <c r="T437" s="10" t="s">
        <v>4443</v>
      </c>
      <c r="U437" s="10" t="s">
        <v>29</v>
      </c>
    </row>
    <row r="438" spans="1:21" s="10" customFormat="1" x14ac:dyDescent="0.25">
      <c r="A438" s="10" t="s">
        <v>4444</v>
      </c>
      <c r="B438" s="10" t="s">
        <v>4435</v>
      </c>
      <c r="C438" s="11" t="s">
        <v>297</v>
      </c>
      <c r="D438" s="10" t="s">
        <v>4445</v>
      </c>
      <c r="E438" s="8" t="s">
        <v>4446</v>
      </c>
      <c r="F438" s="8" t="s">
        <v>4447</v>
      </c>
      <c r="G438" s="10" t="s">
        <v>29</v>
      </c>
      <c r="H438" s="8" t="s">
        <v>4448</v>
      </c>
      <c r="I438" s="10" t="s">
        <v>4449</v>
      </c>
      <c r="J438" s="8" t="s">
        <v>2769</v>
      </c>
      <c r="K438" s="8" t="s">
        <v>29</v>
      </c>
      <c r="L438" s="8" t="s">
        <v>29</v>
      </c>
      <c r="M438" s="10" t="s">
        <v>29</v>
      </c>
      <c r="N438" s="8" t="s">
        <v>29</v>
      </c>
      <c r="O438" s="10" t="s">
        <v>19</v>
      </c>
      <c r="P438" s="8" t="s">
        <v>4450</v>
      </c>
      <c r="Q438" s="10" t="s">
        <v>174</v>
      </c>
      <c r="R438" s="10" t="s">
        <v>1387</v>
      </c>
      <c r="S438" s="8" t="s">
        <v>4451</v>
      </c>
      <c r="T438" s="10" t="s">
        <v>4443</v>
      </c>
      <c r="U438" s="10" t="s">
        <v>29</v>
      </c>
    </row>
    <row r="439" spans="1:21" s="10" customFormat="1" x14ac:dyDescent="0.25">
      <c r="A439" s="10" t="s">
        <v>4452</v>
      </c>
      <c r="B439" s="10" t="s">
        <v>4435</v>
      </c>
      <c r="C439" s="11" t="s">
        <v>297</v>
      </c>
      <c r="D439" s="10" t="s">
        <v>4453</v>
      </c>
      <c r="E439" s="8" t="s">
        <v>4454</v>
      </c>
      <c r="F439" s="8" t="s">
        <v>4455</v>
      </c>
      <c r="G439" s="10" t="s">
        <v>29</v>
      </c>
      <c r="H439" s="8" t="s">
        <v>4456</v>
      </c>
      <c r="I439" s="10" t="s">
        <v>1835</v>
      </c>
      <c r="J439" s="8" t="s">
        <v>4457</v>
      </c>
      <c r="K439" s="8" t="s">
        <v>29</v>
      </c>
      <c r="L439" s="8" t="s">
        <v>29</v>
      </c>
      <c r="M439" s="10" t="s">
        <v>29</v>
      </c>
      <c r="N439" s="8" t="s">
        <v>29</v>
      </c>
      <c r="O439" s="10" t="s">
        <v>19</v>
      </c>
      <c r="P439" s="8" t="s">
        <v>4458</v>
      </c>
      <c r="Q439" s="10" t="s">
        <v>190</v>
      </c>
      <c r="R439" s="10" t="s">
        <v>1387</v>
      </c>
      <c r="S439" s="8" t="s">
        <v>4459</v>
      </c>
      <c r="T439" s="10" t="s">
        <v>4443</v>
      </c>
      <c r="U439" s="10" t="s">
        <v>29</v>
      </c>
    </row>
    <row r="440" spans="1:21" s="10" customFormat="1" x14ac:dyDescent="0.25">
      <c r="A440" s="10" t="s">
        <v>4460</v>
      </c>
      <c r="B440" s="10" t="s">
        <v>4435</v>
      </c>
      <c r="C440" s="10" t="s">
        <v>166</v>
      </c>
      <c r="D440" s="10" t="s">
        <v>4461</v>
      </c>
      <c r="E440" s="8" t="s">
        <v>4462</v>
      </c>
      <c r="F440" s="8" t="s">
        <v>4463</v>
      </c>
      <c r="G440" s="10" t="s">
        <v>29</v>
      </c>
      <c r="H440" s="8" t="s">
        <v>4464</v>
      </c>
      <c r="I440" s="10" t="s">
        <v>490</v>
      </c>
      <c r="J440" s="8" t="s">
        <v>2769</v>
      </c>
      <c r="K440" s="8" t="s">
        <v>29</v>
      </c>
      <c r="L440" s="8" t="s">
        <v>29</v>
      </c>
      <c r="M440" s="10" t="s">
        <v>29</v>
      </c>
      <c r="N440" s="8" t="s">
        <v>29</v>
      </c>
      <c r="O440" s="10" t="s">
        <v>19</v>
      </c>
      <c r="P440" s="8" t="s">
        <v>4465</v>
      </c>
      <c r="Q440" s="10" t="s">
        <v>190</v>
      </c>
      <c r="R440" s="10" t="s">
        <v>1387</v>
      </c>
      <c r="S440" s="8" t="s">
        <v>4466</v>
      </c>
      <c r="T440" s="10" t="s">
        <v>4443</v>
      </c>
      <c r="U440" s="10" t="s">
        <v>29</v>
      </c>
    </row>
    <row r="441" spans="1:21" s="10" customFormat="1" x14ac:dyDescent="0.25">
      <c r="A441" s="10" t="s">
        <v>4467</v>
      </c>
      <c r="B441" s="10" t="s">
        <v>4435</v>
      </c>
      <c r="C441" s="11" t="s">
        <v>297</v>
      </c>
      <c r="D441" s="10" t="s">
        <v>4468</v>
      </c>
      <c r="E441" s="8" t="s">
        <v>4469</v>
      </c>
      <c r="F441" s="8" t="s">
        <v>4470</v>
      </c>
      <c r="G441" s="10" t="s">
        <v>29</v>
      </c>
      <c r="H441" s="8" t="s">
        <v>4471</v>
      </c>
      <c r="I441" s="10" t="s">
        <v>4472</v>
      </c>
      <c r="J441" s="8" t="s">
        <v>2769</v>
      </c>
      <c r="K441" s="8" t="s">
        <v>29</v>
      </c>
      <c r="L441" s="8" t="s">
        <v>29</v>
      </c>
      <c r="M441" s="10" t="s">
        <v>29</v>
      </c>
      <c r="N441" s="8" t="s">
        <v>29</v>
      </c>
      <c r="O441" s="10" t="s">
        <v>19</v>
      </c>
      <c r="P441" s="8" t="s">
        <v>4473</v>
      </c>
      <c r="Q441" s="10" t="s">
        <v>190</v>
      </c>
      <c r="R441" s="10" t="s">
        <v>1387</v>
      </c>
      <c r="S441" s="8" t="s">
        <v>4474</v>
      </c>
      <c r="T441" s="10" t="s">
        <v>4443</v>
      </c>
      <c r="U441" s="10" t="s">
        <v>29</v>
      </c>
    </row>
    <row r="442" spans="1:21" s="10" customFormat="1" x14ac:dyDescent="0.25">
      <c r="A442" s="10" t="s">
        <v>4475</v>
      </c>
      <c r="B442" s="10" t="s">
        <v>4435</v>
      </c>
      <c r="C442" s="10" t="s">
        <v>166</v>
      </c>
      <c r="D442" s="10" t="s">
        <v>4476</v>
      </c>
      <c r="E442" s="8" t="s">
        <v>4477</v>
      </c>
      <c r="F442" s="8" t="s">
        <v>4478</v>
      </c>
      <c r="G442" s="10" t="s">
        <v>29</v>
      </c>
      <c r="H442" s="8" t="s">
        <v>4081</v>
      </c>
      <c r="I442" s="10" t="s">
        <v>490</v>
      </c>
      <c r="J442" s="8" t="s">
        <v>2769</v>
      </c>
      <c r="K442" s="8" t="s">
        <v>29</v>
      </c>
      <c r="L442" s="8" t="s">
        <v>29</v>
      </c>
      <c r="M442" s="10" t="s">
        <v>29</v>
      </c>
      <c r="N442" s="8" t="s">
        <v>29</v>
      </c>
      <c r="O442" s="10" t="s">
        <v>19</v>
      </c>
      <c r="P442" s="8" t="s">
        <v>4479</v>
      </c>
      <c r="Q442" s="10" t="s">
        <v>190</v>
      </c>
      <c r="R442" s="10" t="s">
        <v>1387</v>
      </c>
      <c r="S442" s="8" t="s">
        <v>4480</v>
      </c>
      <c r="T442" s="10" t="s">
        <v>4443</v>
      </c>
      <c r="U442" s="10" t="s">
        <v>29</v>
      </c>
    </row>
    <row r="443" spans="1:21" s="10" customFormat="1" x14ac:dyDescent="0.25">
      <c r="A443" s="10" t="s">
        <v>4481</v>
      </c>
      <c r="B443" s="10" t="s">
        <v>4435</v>
      </c>
      <c r="C443" s="11" t="s">
        <v>297</v>
      </c>
      <c r="D443" s="10" t="s">
        <v>4482</v>
      </c>
      <c r="E443" s="8" t="s">
        <v>4483</v>
      </c>
      <c r="F443" s="8" t="s">
        <v>4484</v>
      </c>
      <c r="G443" s="10" t="s">
        <v>29</v>
      </c>
      <c r="H443" s="8" t="s">
        <v>4485</v>
      </c>
      <c r="I443" s="10" t="s">
        <v>1579</v>
      </c>
      <c r="J443" s="8" t="s">
        <v>2769</v>
      </c>
      <c r="K443" s="8" t="s">
        <v>29</v>
      </c>
      <c r="L443" s="8" t="s">
        <v>29</v>
      </c>
      <c r="M443" s="10" t="s">
        <v>29</v>
      </c>
      <c r="N443" s="8" t="s">
        <v>29</v>
      </c>
      <c r="O443" s="10" t="s">
        <v>19</v>
      </c>
      <c r="P443" s="8" t="s">
        <v>4486</v>
      </c>
      <c r="Q443" s="10" t="s">
        <v>197</v>
      </c>
      <c r="R443" s="10" t="s">
        <v>1387</v>
      </c>
      <c r="S443" s="8" t="s">
        <v>4487</v>
      </c>
      <c r="T443" s="10" t="s">
        <v>4443</v>
      </c>
      <c r="U443" s="10" t="s">
        <v>29</v>
      </c>
    </row>
    <row r="444" spans="1:21" s="10" customFormat="1" x14ac:dyDescent="0.25">
      <c r="A444" s="10" t="s">
        <v>4488</v>
      </c>
      <c r="B444" s="10" t="s">
        <v>4435</v>
      </c>
      <c r="C444" s="10" t="s">
        <v>166</v>
      </c>
      <c r="D444" s="10" t="s">
        <v>4489</v>
      </c>
      <c r="E444" s="8" t="s">
        <v>4490</v>
      </c>
      <c r="F444" s="8" t="s">
        <v>4491</v>
      </c>
      <c r="G444" s="10" t="s">
        <v>29</v>
      </c>
      <c r="H444" s="8" t="s">
        <v>4492</v>
      </c>
      <c r="I444" s="10" t="s">
        <v>4493</v>
      </c>
      <c r="J444" s="8" t="s">
        <v>2769</v>
      </c>
      <c r="K444" s="8" t="s">
        <v>29</v>
      </c>
      <c r="L444" s="8" t="s">
        <v>29</v>
      </c>
      <c r="M444" s="10" t="s">
        <v>29</v>
      </c>
      <c r="N444" s="8" t="s">
        <v>29</v>
      </c>
      <c r="O444" s="10" t="s">
        <v>19</v>
      </c>
      <c r="P444" s="8" t="s">
        <v>4494</v>
      </c>
      <c r="Q444" s="10" t="s">
        <v>197</v>
      </c>
      <c r="R444" s="10" t="s">
        <v>1387</v>
      </c>
      <c r="S444" s="8" t="s">
        <v>4495</v>
      </c>
      <c r="T444" s="10" t="s">
        <v>4443</v>
      </c>
      <c r="U444" s="10" t="s">
        <v>29</v>
      </c>
    </row>
    <row r="445" spans="1:21" s="10" customFormat="1" x14ac:dyDescent="0.25">
      <c r="A445" s="10" t="s">
        <v>4496</v>
      </c>
      <c r="B445" s="10" t="s">
        <v>4435</v>
      </c>
      <c r="C445" s="10" t="s">
        <v>166</v>
      </c>
      <c r="D445" s="10" t="s">
        <v>4497</v>
      </c>
      <c r="E445" s="8" t="s">
        <v>4498</v>
      </c>
      <c r="F445" s="8" t="s">
        <v>4499</v>
      </c>
      <c r="G445" s="10" t="s">
        <v>29</v>
      </c>
      <c r="H445" s="8" t="s">
        <v>4500</v>
      </c>
      <c r="I445" s="10" t="s">
        <v>4501</v>
      </c>
      <c r="J445" s="8" t="s">
        <v>2769</v>
      </c>
      <c r="K445" s="8" t="s">
        <v>29</v>
      </c>
      <c r="L445" s="8" t="s">
        <v>29</v>
      </c>
      <c r="M445" s="10" t="s">
        <v>29</v>
      </c>
      <c r="N445" s="8" t="s">
        <v>29</v>
      </c>
      <c r="O445" s="10" t="s">
        <v>19</v>
      </c>
      <c r="P445" s="8" t="s">
        <v>4502</v>
      </c>
      <c r="Q445" s="10" t="s">
        <v>197</v>
      </c>
      <c r="R445" s="10" t="s">
        <v>1387</v>
      </c>
      <c r="S445" s="8" t="s">
        <v>4503</v>
      </c>
      <c r="T445" s="10" t="s">
        <v>4443</v>
      </c>
      <c r="U445" s="10" t="s">
        <v>29</v>
      </c>
    </row>
    <row r="446" spans="1:21" s="10" customFormat="1" x14ac:dyDescent="0.25">
      <c r="A446" s="10" t="s">
        <v>4504</v>
      </c>
      <c r="B446" s="10" t="s">
        <v>4435</v>
      </c>
      <c r="C446" s="10" t="s">
        <v>166</v>
      </c>
      <c r="D446" s="10" t="s">
        <v>4505</v>
      </c>
      <c r="E446" s="8" t="s">
        <v>4506</v>
      </c>
      <c r="F446" s="8" t="s">
        <v>4507</v>
      </c>
      <c r="G446" s="10" t="s">
        <v>29</v>
      </c>
      <c r="H446" s="8" t="s">
        <v>4508</v>
      </c>
      <c r="I446" s="10" t="s">
        <v>1579</v>
      </c>
      <c r="J446" s="8" t="s">
        <v>2769</v>
      </c>
      <c r="K446" s="8" t="s">
        <v>29</v>
      </c>
      <c r="L446" s="8" t="s">
        <v>29</v>
      </c>
      <c r="M446" s="10" t="s">
        <v>29</v>
      </c>
      <c r="N446" s="8" t="s">
        <v>29</v>
      </c>
      <c r="O446" s="10" t="s">
        <v>19</v>
      </c>
      <c r="P446" s="8" t="s">
        <v>4509</v>
      </c>
      <c r="Q446" s="10" t="s">
        <v>190</v>
      </c>
      <c r="R446" s="10" t="s">
        <v>1387</v>
      </c>
      <c r="S446" s="8" t="s">
        <v>4510</v>
      </c>
      <c r="T446" s="10" t="s">
        <v>4443</v>
      </c>
      <c r="U446" s="10" t="s">
        <v>29</v>
      </c>
    </row>
    <row r="447" spans="1:21" s="10" customFormat="1" x14ac:dyDescent="0.25">
      <c r="A447" s="10" t="s">
        <v>4511</v>
      </c>
      <c r="B447" s="10" t="s">
        <v>4435</v>
      </c>
      <c r="C447" s="11" t="s">
        <v>297</v>
      </c>
      <c r="D447" s="10" t="s">
        <v>4512</v>
      </c>
      <c r="E447" s="8" t="s">
        <v>4513</v>
      </c>
      <c r="F447" s="8" t="s">
        <v>4514</v>
      </c>
      <c r="G447" s="10" t="s">
        <v>29</v>
      </c>
      <c r="H447" s="8" t="s">
        <v>4515</v>
      </c>
      <c r="I447" s="10" t="s">
        <v>4472</v>
      </c>
      <c r="J447" s="8" t="s">
        <v>2769</v>
      </c>
      <c r="K447" s="8" t="s">
        <v>29</v>
      </c>
      <c r="L447" s="8" t="s">
        <v>29</v>
      </c>
      <c r="M447" s="10" t="s">
        <v>29</v>
      </c>
      <c r="N447" s="8" t="s">
        <v>29</v>
      </c>
      <c r="O447" s="10" t="s">
        <v>19</v>
      </c>
      <c r="P447" s="8" t="s">
        <v>4516</v>
      </c>
      <c r="Q447" s="10" t="s">
        <v>174</v>
      </c>
      <c r="R447" s="10" t="s">
        <v>1387</v>
      </c>
      <c r="S447" s="8" t="s">
        <v>4517</v>
      </c>
      <c r="T447" s="10" t="s">
        <v>4443</v>
      </c>
      <c r="U447" s="10" t="s">
        <v>29</v>
      </c>
    </row>
    <row r="448" spans="1:21" s="10" customFormat="1" x14ac:dyDescent="0.25">
      <c r="A448" s="10" t="s">
        <v>4518</v>
      </c>
      <c r="B448" s="10" t="s">
        <v>4435</v>
      </c>
      <c r="C448" s="10" t="s">
        <v>166</v>
      </c>
      <c r="D448" s="10" t="s">
        <v>4519</v>
      </c>
      <c r="E448" s="8" t="s">
        <v>4520</v>
      </c>
      <c r="F448" s="8" t="s">
        <v>4521</v>
      </c>
      <c r="G448" s="10" t="s">
        <v>29</v>
      </c>
      <c r="H448" s="8" t="s">
        <v>4522</v>
      </c>
      <c r="I448" s="10" t="s">
        <v>4472</v>
      </c>
      <c r="J448" s="8" t="s">
        <v>2769</v>
      </c>
      <c r="K448" s="8" t="s">
        <v>29</v>
      </c>
      <c r="L448" s="8" t="s">
        <v>29</v>
      </c>
      <c r="M448" s="10" t="s">
        <v>29</v>
      </c>
      <c r="N448" s="8" t="s">
        <v>29</v>
      </c>
      <c r="O448" s="10" t="s">
        <v>19</v>
      </c>
      <c r="P448" s="8" t="s">
        <v>4523</v>
      </c>
      <c r="Q448" s="10" t="s">
        <v>174</v>
      </c>
      <c r="R448" s="10" t="s">
        <v>1387</v>
      </c>
      <c r="S448" s="8" t="s">
        <v>4524</v>
      </c>
      <c r="T448" s="10" t="s">
        <v>4443</v>
      </c>
      <c r="U448" s="10" t="s">
        <v>29</v>
      </c>
    </row>
    <row r="449" spans="1:21" s="10" customFormat="1" x14ac:dyDescent="0.25">
      <c r="A449" s="10" t="s">
        <v>4525</v>
      </c>
      <c r="B449" s="10" t="s">
        <v>4435</v>
      </c>
      <c r="C449" s="10" t="s">
        <v>166</v>
      </c>
      <c r="D449" s="10" t="s">
        <v>4526</v>
      </c>
      <c r="E449" s="8" t="s">
        <v>4527</v>
      </c>
      <c r="F449" s="8" t="s">
        <v>4528</v>
      </c>
      <c r="G449" s="10" t="s">
        <v>29</v>
      </c>
      <c r="H449" s="8" t="s">
        <v>4529</v>
      </c>
      <c r="I449" s="10" t="s">
        <v>4472</v>
      </c>
      <c r="J449" s="8" t="s">
        <v>2769</v>
      </c>
      <c r="K449" s="8" t="s">
        <v>29</v>
      </c>
      <c r="L449" s="8" t="s">
        <v>29</v>
      </c>
      <c r="M449" s="10" t="s">
        <v>29</v>
      </c>
      <c r="N449" s="8" t="s">
        <v>29</v>
      </c>
      <c r="O449" s="10" t="s">
        <v>19</v>
      </c>
      <c r="P449" s="8" t="s">
        <v>4530</v>
      </c>
      <c r="Q449" s="10" t="s">
        <v>174</v>
      </c>
      <c r="R449" s="10" t="s">
        <v>1387</v>
      </c>
      <c r="S449" s="8" t="s">
        <v>4531</v>
      </c>
      <c r="T449" s="10" t="s">
        <v>4443</v>
      </c>
      <c r="U449" s="10" t="s">
        <v>29</v>
      </c>
    </row>
    <row r="450" spans="1:21" s="10" customFormat="1" x14ac:dyDescent="0.25">
      <c r="A450" s="10" t="s">
        <v>4532</v>
      </c>
      <c r="B450" s="10" t="s">
        <v>4435</v>
      </c>
      <c r="C450" s="10" t="s">
        <v>166</v>
      </c>
      <c r="D450" s="10" t="s">
        <v>4533</v>
      </c>
      <c r="E450" s="8" t="s">
        <v>4534</v>
      </c>
      <c r="F450" s="8" t="s">
        <v>4535</v>
      </c>
      <c r="G450" s="10" t="s">
        <v>29</v>
      </c>
      <c r="H450" s="8" t="s">
        <v>4536</v>
      </c>
      <c r="I450" s="10" t="s">
        <v>4472</v>
      </c>
      <c r="J450" s="8" t="s">
        <v>2769</v>
      </c>
      <c r="K450" s="8" t="s">
        <v>29</v>
      </c>
      <c r="L450" s="8" t="s">
        <v>29</v>
      </c>
      <c r="M450" s="10" t="s">
        <v>29</v>
      </c>
      <c r="N450" s="8" t="s">
        <v>29</v>
      </c>
      <c r="O450" s="10" t="s">
        <v>19</v>
      </c>
      <c r="P450" s="8" t="s">
        <v>4537</v>
      </c>
      <c r="Q450" s="10" t="s">
        <v>174</v>
      </c>
      <c r="R450" s="10" t="s">
        <v>1387</v>
      </c>
      <c r="S450" s="8" t="s">
        <v>4538</v>
      </c>
      <c r="T450" s="10" t="s">
        <v>4443</v>
      </c>
      <c r="U450" s="10" t="s">
        <v>29</v>
      </c>
    </row>
    <row r="451" spans="1:21" s="10" customFormat="1" x14ac:dyDescent="0.25">
      <c r="A451" s="10" t="s">
        <v>4539</v>
      </c>
      <c r="B451" s="10" t="s">
        <v>4435</v>
      </c>
      <c r="C451" s="11" t="s">
        <v>297</v>
      </c>
      <c r="D451" s="10" t="s">
        <v>4540</v>
      </c>
      <c r="E451" s="8" t="s">
        <v>4541</v>
      </c>
      <c r="F451" s="8" t="s">
        <v>4542</v>
      </c>
      <c r="G451" s="10" t="s">
        <v>29</v>
      </c>
      <c r="H451" s="8" t="s">
        <v>4543</v>
      </c>
      <c r="I451" s="10" t="s">
        <v>1827</v>
      </c>
      <c r="J451" s="8" t="s">
        <v>2769</v>
      </c>
      <c r="K451" s="8" t="s">
        <v>29</v>
      </c>
      <c r="L451" s="8" t="s">
        <v>29</v>
      </c>
      <c r="M451" s="10" t="s">
        <v>29</v>
      </c>
      <c r="N451" s="8" t="s">
        <v>29</v>
      </c>
      <c r="O451" s="10" t="s">
        <v>19</v>
      </c>
      <c r="P451" s="8" t="s">
        <v>4544</v>
      </c>
      <c r="Q451" s="10" t="s">
        <v>197</v>
      </c>
      <c r="R451" s="10" t="s">
        <v>1387</v>
      </c>
      <c r="S451" s="8" t="s">
        <v>4545</v>
      </c>
      <c r="T451" s="10" t="s">
        <v>4443</v>
      </c>
      <c r="U451" s="10" t="s">
        <v>29</v>
      </c>
    </row>
    <row r="452" spans="1:21" s="10" customFormat="1" x14ac:dyDescent="0.25">
      <c r="A452" s="10" t="s">
        <v>4546</v>
      </c>
      <c r="B452" s="10" t="s">
        <v>4435</v>
      </c>
      <c r="C452" s="11" t="s">
        <v>297</v>
      </c>
      <c r="D452" s="10" t="s">
        <v>4547</v>
      </c>
      <c r="E452" s="8" t="s">
        <v>4548</v>
      </c>
      <c r="F452" s="8" t="s">
        <v>4549</v>
      </c>
      <c r="G452" s="10" t="s">
        <v>29</v>
      </c>
      <c r="H452" s="8" t="s">
        <v>4550</v>
      </c>
      <c r="I452" s="10" t="s">
        <v>1835</v>
      </c>
      <c r="J452" s="8" t="s">
        <v>2769</v>
      </c>
      <c r="K452" s="8" t="s">
        <v>29</v>
      </c>
      <c r="L452" s="8" t="s">
        <v>29</v>
      </c>
      <c r="M452" s="10" t="s">
        <v>29</v>
      </c>
      <c r="N452" s="8" t="s">
        <v>29</v>
      </c>
      <c r="O452" s="10" t="s">
        <v>19</v>
      </c>
      <c r="P452" s="8" t="s">
        <v>4551</v>
      </c>
      <c r="Q452" s="10" t="s">
        <v>197</v>
      </c>
      <c r="R452" s="10" t="s">
        <v>1387</v>
      </c>
      <c r="S452" s="8" t="s">
        <v>4552</v>
      </c>
      <c r="T452" s="10" t="s">
        <v>4443</v>
      </c>
      <c r="U452" s="10" t="s">
        <v>29</v>
      </c>
    </row>
    <row r="453" spans="1:21" s="10" customFormat="1" x14ac:dyDescent="0.25">
      <c r="A453" s="10" t="s">
        <v>4553</v>
      </c>
      <c r="B453" s="10" t="s">
        <v>4435</v>
      </c>
      <c r="C453" s="10" t="s">
        <v>166</v>
      </c>
      <c r="D453" s="10" t="s">
        <v>4554</v>
      </c>
      <c r="E453" s="8" t="s">
        <v>4555</v>
      </c>
      <c r="F453" s="8" t="s">
        <v>4556</v>
      </c>
      <c r="G453" s="10" t="s">
        <v>29</v>
      </c>
      <c r="H453" s="8" t="s">
        <v>4557</v>
      </c>
      <c r="I453" s="10" t="s">
        <v>1835</v>
      </c>
      <c r="J453" s="8" t="s">
        <v>2769</v>
      </c>
      <c r="K453" s="8" t="s">
        <v>29</v>
      </c>
      <c r="L453" s="8" t="s">
        <v>29</v>
      </c>
      <c r="M453" s="10" t="s">
        <v>29</v>
      </c>
      <c r="N453" s="8" t="s">
        <v>29</v>
      </c>
      <c r="O453" s="10" t="s">
        <v>19</v>
      </c>
      <c r="P453" s="8" t="s">
        <v>4558</v>
      </c>
      <c r="Q453" s="10" t="s">
        <v>197</v>
      </c>
      <c r="R453" s="10" t="s">
        <v>1387</v>
      </c>
      <c r="S453" s="8" t="s">
        <v>4559</v>
      </c>
      <c r="T453" s="10" t="s">
        <v>4443</v>
      </c>
      <c r="U453" s="10" t="s">
        <v>29</v>
      </c>
    </row>
    <row r="454" spans="1:21" s="10" customFormat="1" x14ac:dyDescent="0.25">
      <c r="A454" s="10" t="s">
        <v>4560</v>
      </c>
      <c r="B454" s="10" t="s">
        <v>4435</v>
      </c>
      <c r="C454" s="11" t="s">
        <v>297</v>
      </c>
      <c r="D454" s="10" t="s">
        <v>4561</v>
      </c>
      <c r="E454" s="8" t="s">
        <v>4562</v>
      </c>
      <c r="F454" s="8" t="s">
        <v>4563</v>
      </c>
      <c r="G454" s="10" t="s">
        <v>29</v>
      </c>
      <c r="H454" s="8" t="s">
        <v>4564</v>
      </c>
      <c r="I454" s="10" t="s">
        <v>1835</v>
      </c>
      <c r="J454" s="8" t="s">
        <v>2769</v>
      </c>
      <c r="K454" s="8" t="s">
        <v>29</v>
      </c>
      <c r="L454" s="8" t="s">
        <v>29</v>
      </c>
      <c r="M454" s="10" t="s">
        <v>29</v>
      </c>
      <c r="N454" s="8" t="s">
        <v>29</v>
      </c>
      <c r="O454" s="10" t="s">
        <v>19</v>
      </c>
      <c r="P454" s="8" t="s">
        <v>4565</v>
      </c>
      <c r="Q454" s="10" t="s">
        <v>190</v>
      </c>
      <c r="R454" s="10" t="s">
        <v>1387</v>
      </c>
      <c r="S454" s="8" t="s">
        <v>4566</v>
      </c>
      <c r="T454" s="10" t="s">
        <v>4443</v>
      </c>
      <c r="U454" s="10" t="s">
        <v>29</v>
      </c>
    </row>
    <row r="455" spans="1:21" s="10" customFormat="1" x14ac:dyDescent="0.25">
      <c r="A455" s="10" t="s">
        <v>4567</v>
      </c>
      <c r="B455" s="10" t="s">
        <v>4435</v>
      </c>
      <c r="C455" s="10" t="s">
        <v>166</v>
      </c>
      <c r="D455" s="10" t="s">
        <v>4568</v>
      </c>
      <c r="E455" s="8" t="s">
        <v>4569</v>
      </c>
      <c r="F455" s="8" t="s">
        <v>4570</v>
      </c>
      <c r="G455" s="10" t="s">
        <v>29</v>
      </c>
      <c r="H455" s="8" t="s">
        <v>4571</v>
      </c>
      <c r="I455" s="10" t="s">
        <v>1835</v>
      </c>
      <c r="J455" s="8" t="s">
        <v>2769</v>
      </c>
      <c r="K455" s="8" t="s">
        <v>29</v>
      </c>
      <c r="L455" s="8" t="s">
        <v>29</v>
      </c>
      <c r="M455" s="10" t="s">
        <v>29</v>
      </c>
      <c r="N455" s="8" t="s">
        <v>29</v>
      </c>
      <c r="O455" s="10" t="s">
        <v>19</v>
      </c>
      <c r="P455" s="8" t="s">
        <v>4572</v>
      </c>
      <c r="Q455" s="10" t="s">
        <v>197</v>
      </c>
      <c r="R455" s="10" t="s">
        <v>1387</v>
      </c>
      <c r="S455" s="8" t="s">
        <v>4573</v>
      </c>
      <c r="T455" s="10" t="s">
        <v>4443</v>
      </c>
      <c r="U455" s="10" t="s">
        <v>29</v>
      </c>
    </row>
    <row r="456" spans="1:21" s="10" customFormat="1" x14ac:dyDescent="0.25">
      <c r="A456" s="10" t="s">
        <v>4574</v>
      </c>
      <c r="B456" s="10" t="s">
        <v>4435</v>
      </c>
      <c r="C456" s="11" t="s">
        <v>297</v>
      </c>
      <c r="D456" s="10" t="s">
        <v>4575</v>
      </c>
      <c r="E456" s="8" t="s">
        <v>4576</v>
      </c>
      <c r="F456" s="8" t="s">
        <v>4577</v>
      </c>
      <c r="G456" s="10" t="s">
        <v>29</v>
      </c>
      <c r="H456" s="8" t="s">
        <v>4578</v>
      </c>
      <c r="I456" s="10" t="s">
        <v>4579</v>
      </c>
      <c r="J456" s="8" t="s">
        <v>2769</v>
      </c>
      <c r="K456" s="8" t="s">
        <v>29</v>
      </c>
      <c r="L456" s="8" t="s">
        <v>29</v>
      </c>
      <c r="M456" s="10" t="s">
        <v>29</v>
      </c>
      <c r="N456" s="8" t="s">
        <v>29</v>
      </c>
      <c r="O456" s="10" t="s">
        <v>19</v>
      </c>
      <c r="P456" s="8" t="s">
        <v>4580</v>
      </c>
      <c r="Q456" s="10" t="s">
        <v>174</v>
      </c>
      <c r="R456" s="10" t="s">
        <v>1387</v>
      </c>
      <c r="S456" s="8" t="s">
        <v>4581</v>
      </c>
      <c r="T456" s="10" t="s">
        <v>4443</v>
      </c>
      <c r="U456" s="10" t="s">
        <v>29</v>
      </c>
    </row>
    <row r="457" spans="1:21" s="10" customFormat="1" x14ac:dyDescent="0.25">
      <c r="A457" s="10" t="s">
        <v>4582</v>
      </c>
      <c r="B457" s="10" t="s">
        <v>4435</v>
      </c>
      <c r="C457" s="11" t="s">
        <v>297</v>
      </c>
      <c r="D457" s="10" t="s">
        <v>4583</v>
      </c>
      <c r="E457" s="8" t="s">
        <v>4584</v>
      </c>
      <c r="F457" s="8" t="s">
        <v>4585</v>
      </c>
      <c r="G457" s="10" t="s">
        <v>29</v>
      </c>
      <c r="H457" s="8" t="s">
        <v>4578</v>
      </c>
      <c r="I457" s="10" t="s">
        <v>4586</v>
      </c>
      <c r="J457" s="8" t="s">
        <v>4587</v>
      </c>
      <c r="K457" s="8" t="s">
        <v>29</v>
      </c>
      <c r="L457" s="8" t="s">
        <v>29</v>
      </c>
      <c r="M457" s="10" t="s">
        <v>29</v>
      </c>
      <c r="N457" s="8" t="s">
        <v>29</v>
      </c>
      <c r="O457" s="10" t="s">
        <v>19</v>
      </c>
      <c r="P457" s="8" t="s">
        <v>4588</v>
      </c>
      <c r="Q457" s="10" t="s">
        <v>1399</v>
      </c>
      <c r="R457" s="10" t="s">
        <v>1387</v>
      </c>
      <c r="S457" s="8" t="s">
        <v>4589</v>
      </c>
      <c r="T457" s="10" t="s">
        <v>4443</v>
      </c>
      <c r="U457" s="10" t="s">
        <v>29</v>
      </c>
    </row>
    <row r="458" spans="1:21" s="10" customFormat="1" x14ac:dyDescent="0.25">
      <c r="A458" s="10" t="s">
        <v>4590</v>
      </c>
      <c r="B458" s="10" t="s">
        <v>4435</v>
      </c>
      <c r="C458" s="11" t="s">
        <v>297</v>
      </c>
      <c r="D458" s="10" t="s">
        <v>4591</v>
      </c>
      <c r="E458" s="8" t="s">
        <v>4592</v>
      </c>
      <c r="F458" s="8" t="s">
        <v>4593</v>
      </c>
      <c r="G458" s="10" t="s">
        <v>29</v>
      </c>
      <c r="H458" s="8" t="s">
        <v>4594</v>
      </c>
      <c r="I458" s="10" t="s">
        <v>3950</v>
      </c>
      <c r="J458" s="8" t="s">
        <v>2769</v>
      </c>
      <c r="K458" s="8" t="s">
        <v>29</v>
      </c>
      <c r="L458" s="8" t="s">
        <v>29</v>
      </c>
      <c r="M458" s="10" t="s">
        <v>29</v>
      </c>
      <c r="N458" s="8" t="s">
        <v>29</v>
      </c>
      <c r="O458" s="10" t="s">
        <v>19</v>
      </c>
      <c r="P458" s="8" t="s">
        <v>4595</v>
      </c>
      <c r="Q458" s="10" t="s">
        <v>1399</v>
      </c>
      <c r="R458" s="10" t="s">
        <v>1387</v>
      </c>
      <c r="S458" s="8" t="s">
        <v>4596</v>
      </c>
      <c r="T458" s="10" t="s">
        <v>4443</v>
      </c>
      <c r="U458" s="10" t="s">
        <v>29</v>
      </c>
    </row>
    <row r="459" spans="1:21" s="10" customFormat="1" x14ac:dyDescent="0.25">
      <c r="A459" s="10" t="s">
        <v>4597</v>
      </c>
      <c r="B459" s="10" t="s">
        <v>4435</v>
      </c>
      <c r="C459" s="10" t="s">
        <v>166</v>
      </c>
      <c r="D459" s="10" t="s">
        <v>4598</v>
      </c>
      <c r="E459" s="8" t="s">
        <v>4599</v>
      </c>
      <c r="F459" s="8" t="s">
        <v>4600</v>
      </c>
      <c r="G459" s="10" t="s">
        <v>29</v>
      </c>
      <c r="H459" s="8" t="s">
        <v>4601</v>
      </c>
      <c r="I459" s="10" t="s">
        <v>490</v>
      </c>
      <c r="J459" s="8" t="s">
        <v>2769</v>
      </c>
      <c r="K459" s="8" t="s">
        <v>29</v>
      </c>
      <c r="L459" s="8" t="s">
        <v>29</v>
      </c>
      <c r="M459" s="10" t="s">
        <v>29</v>
      </c>
      <c r="N459" s="8" t="s">
        <v>29</v>
      </c>
      <c r="O459" s="10" t="s">
        <v>19</v>
      </c>
      <c r="P459" s="8" t="s">
        <v>4602</v>
      </c>
      <c r="Q459" s="10" t="s">
        <v>174</v>
      </c>
      <c r="R459" s="10" t="s">
        <v>1387</v>
      </c>
      <c r="S459" s="8" t="s">
        <v>4603</v>
      </c>
      <c r="T459" s="10" t="s">
        <v>4443</v>
      </c>
      <c r="U459" s="10" t="s">
        <v>29</v>
      </c>
    </row>
    <row r="460" spans="1:21" s="10" customFormat="1" x14ac:dyDescent="0.25">
      <c r="A460" s="10" t="s">
        <v>4604</v>
      </c>
      <c r="B460" s="10" t="s">
        <v>4435</v>
      </c>
      <c r="C460" s="11" t="s">
        <v>297</v>
      </c>
      <c r="D460" s="10" t="s">
        <v>4605</v>
      </c>
      <c r="E460" s="8" t="s">
        <v>4606</v>
      </c>
      <c r="F460" s="8" t="s">
        <v>4607</v>
      </c>
      <c r="G460" s="10" t="s">
        <v>29</v>
      </c>
      <c r="H460" s="8" t="s">
        <v>4608</v>
      </c>
      <c r="I460" s="10" t="s">
        <v>2925</v>
      </c>
      <c r="J460" s="8" t="s">
        <v>2769</v>
      </c>
      <c r="K460" s="8" t="s">
        <v>29</v>
      </c>
      <c r="L460" s="8" t="s">
        <v>29</v>
      </c>
      <c r="M460" s="10" t="s">
        <v>29</v>
      </c>
      <c r="N460" s="8" t="s">
        <v>29</v>
      </c>
      <c r="O460" s="10" t="s">
        <v>19</v>
      </c>
      <c r="P460" s="8" t="s">
        <v>4609</v>
      </c>
      <c r="Q460" s="10" t="s">
        <v>1399</v>
      </c>
      <c r="R460" s="10" t="s">
        <v>1387</v>
      </c>
      <c r="S460" s="8" t="s">
        <v>4610</v>
      </c>
      <c r="T460" s="10" t="s">
        <v>4443</v>
      </c>
      <c r="U460" s="10" t="s">
        <v>29</v>
      </c>
    </row>
    <row r="461" spans="1:21" s="10" customFormat="1" x14ac:dyDescent="0.25">
      <c r="A461" s="10" t="s">
        <v>4611</v>
      </c>
      <c r="B461" s="10" t="s">
        <v>4435</v>
      </c>
      <c r="C461" s="11" t="s">
        <v>297</v>
      </c>
      <c r="D461" s="10" t="s">
        <v>4612</v>
      </c>
      <c r="E461" s="8" t="s">
        <v>4613</v>
      </c>
      <c r="F461" s="8" t="s">
        <v>4614</v>
      </c>
      <c r="G461" s="10" t="s">
        <v>29</v>
      </c>
      <c r="H461" s="8" t="s">
        <v>4615</v>
      </c>
      <c r="I461" s="10" t="s">
        <v>1456</v>
      </c>
      <c r="J461" s="8" t="s">
        <v>4616</v>
      </c>
      <c r="K461" s="8" t="s">
        <v>29</v>
      </c>
      <c r="L461" s="8" t="s">
        <v>29</v>
      </c>
      <c r="M461" s="10" t="s">
        <v>29</v>
      </c>
      <c r="N461" s="8" t="s">
        <v>29</v>
      </c>
      <c r="O461" s="10" t="s">
        <v>19</v>
      </c>
      <c r="P461" s="8" t="s">
        <v>4617</v>
      </c>
      <c r="Q461" s="10" t="s">
        <v>1399</v>
      </c>
      <c r="R461" s="10" t="s">
        <v>1387</v>
      </c>
      <c r="S461" s="8" t="s">
        <v>4618</v>
      </c>
      <c r="T461" s="10" t="s">
        <v>4443</v>
      </c>
      <c r="U461" s="10" t="s">
        <v>29</v>
      </c>
    </row>
    <row r="462" spans="1:21" s="10" customFormat="1" x14ac:dyDescent="0.25">
      <c r="A462" s="10" t="s">
        <v>4619</v>
      </c>
      <c r="B462" s="10" t="s">
        <v>4435</v>
      </c>
      <c r="C462" s="10" t="s">
        <v>166</v>
      </c>
      <c r="D462" s="10" t="s">
        <v>4620</v>
      </c>
      <c r="E462" s="8" t="s">
        <v>4621</v>
      </c>
      <c r="F462" s="8" t="s">
        <v>4622</v>
      </c>
      <c r="G462" s="10" t="s">
        <v>29</v>
      </c>
      <c r="H462" s="8" t="s">
        <v>4623</v>
      </c>
      <c r="I462" s="10" t="s">
        <v>4624</v>
      </c>
      <c r="J462" s="8" t="s">
        <v>2769</v>
      </c>
      <c r="K462" s="8" t="s">
        <v>29</v>
      </c>
      <c r="L462" s="8" t="s">
        <v>29</v>
      </c>
      <c r="M462" s="10" t="s">
        <v>29</v>
      </c>
      <c r="N462" s="8" t="s">
        <v>29</v>
      </c>
      <c r="O462" s="10" t="s">
        <v>19</v>
      </c>
      <c r="P462" s="8" t="s">
        <v>4625</v>
      </c>
      <c r="Q462" s="10" t="s">
        <v>174</v>
      </c>
      <c r="R462" s="10" t="s">
        <v>1387</v>
      </c>
      <c r="S462" s="8" t="s">
        <v>4626</v>
      </c>
      <c r="T462" s="10" t="s">
        <v>4443</v>
      </c>
      <c r="U462" s="10" t="s">
        <v>29</v>
      </c>
    </row>
    <row r="463" spans="1:21" s="10" customFormat="1" x14ac:dyDescent="0.25">
      <c r="A463" s="10" t="s">
        <v>4627</v>
      </c>
      <c r="B463" s="10" t="s">
        <v>4435</v>
      </c>
      <c r="C463" s="10" t="s">
        <v>166</v>
      </c>
      <c r="D463" s="10" t="s">
        <v>4628</v>
      </c>
      <c r="E463" s="8" t="s">
        <v>4629</v>
      </c>
      <c r="F463" s="8" t="s">
        <v>4630</v>
      </c>
      <c r="G463" s="10" t="s">
        <v>29</v>
      </c>
      <c r="H463" s="8" t="s">
        <v>4631</v>
      </c>
      <c r="I463" s="10" t="s">
        <v>4632</v>
      </c>
      <c r="J463" s="8" t="s">
        <v>2769</v>
      </c>
      <c r="K463" s="8" t="s">
        <v>29</v>
      </c>
      <c r="L463" s="8" t="s">
        <v>29</v>
      </c>
      <c r="M463" s="10" t="s">
        <v>29</v>
      </c>
      <c r="N463" s="8" t="s">
        <v>29</v>
      </c>
      <c r="O463" s="10" t="s">
        <v>19</v>
      </c>
      <c r="P463" s="8" t="s">
        <v>4633</v>
      </c>
      <c r="Q463" s="10" t="s">
        <v>174</v>
      </c>
      <c r="R463" s="10" t="s">
        <v>1387</v>
      </c>
      <c r="S463" s="8" t="s">
        <v>4634</v>
      </c>
      <c r="T463" s="10" t="s">
        <v>4443</v>
      </c>
      <c r="U463" s="10" t="s">
        <v>29</v>
      </c>
    </row>
    <row r="464" spans="1:21" s="10" customFormat="1" x14ac:dyDescent="0.25">
      <c r="A464" s="10" t="s">
        <v>4635</v>
      </c>
      <c r="B464" s="10" t="s">
        <v>4435</v>
      </c>
      <c r="C464" s="10" t="s">
        <v>166</v>
      </c>
      <c r="D464" s="10" t="s">
        <v>4636</v>
      </c>
      <c r="E464" s="8" t="s">
        <v>4637</v>
      </c>
      <c r="F464" s="8" t="s">
        <v>4638</v>
      </c>
      <c r="G464" s="10" t="s">
        <v>29</v>
      </c>
      <c r="H464" s="8" t="s">
        <v>4639</v>
      </c>
      <c r="I464" s="10" t="s">
        <v>490</v>
      </c>
      <c r="J464" s="8" t="s">
        <v>2769</v>
      </c>
      <c r="K464" s="8" t="s">
        <v>29</v>
      </c>
      <c r="L464" s="8" t="s">
        <v>29</v>
      </c>
      <c r="M464" s="10" t="s">
        <v>29</v>
      </c>
      <c r="N464" s="8" t="s">
        <v>29</v>
      </c>
      <c r="O464" s="10" t="s">
        <v>19</v>
      </c>
      <c r="P464" s="8" t="s">
        <v>4640</v>
      </c>
      <c r="Q464" s="10" t="s">
        <v>174</v>
      </c>
      <c r="R464" s="10" t="s">
        <v>1387</v>
      </c>
      <c r="S464" s="8" t="s">
        <v>4641</v>
      </c>
      <c r="T464" s="10" t="s">
        <v>4443</v>
      </c>
      <c r="U464" s="10" t="s">
        <v>29</v>
      </c>
    </row>
    <row r="465" spans="1:21" s="10" customFormat="1" x14ac:dyDescent="0.25">
      <c r="A465" s="10" t="s">
        <v>4642</v>
      </c>
      <c r="B465" s="10" t="s">
        <v>4435</v>
      </c>
      <c r="C465" s="10" t="s">
        <v>166</v>
      </c>
      <c r="D465" s="10" t="s">
        <v>4643</v>
      </c>
      <c r="E465" s="8" t="s">
        <v>4644</v>
      </c>
      <c r="F465" s="8" t="s">
        <v>4645</v>
      </c>
      <c r="G465" s="10" t="s">
        <v>29</v>
      </c>
      <c r="H465" s="8" t="s">
        <v>4646</v>
      </c>
      <c r="I465" s="10" t="s">
        <v>4579</v>
      </c>
      <c r="J465" s="8" t="s">
        <v>2769</v>
      </c>
      <c r="K465" s="8" t="s">
        <v>29</v>
      </c>
      <c r="L465" s="8" t="s">
        <v>29</v>
      </c>
      <c r="M465" s="10" t="s">
        <v>29</v>
      </c>
      <c r="N465" s="8" t="s">
        <v>29</v>
      </c>
      <c r="O465" s="10" t="s">
        <v>19</v>
      </c>
      <c r="P465" s="8" t="s">
        <v>4647</v>
      </c>
      <c r="Q465" s="10" t="s">
        <v>1399</v>
      </c>
      <c r="R465" s="10" t="s">
        <v>1387</v>
      </c>
      <c r="S465" s="8" t="s">
        <v>4648</v>
      </c>
      <c r="T465" s="10" t="s">
        <v>4443</v>
      </c>
      <c r="U465" s="10" t="s">
        <v>29</v>
      </c>
    </row>
    <row r="466" spans="1:21" s="10" customFormat="1" x14ac:dyDescent="0.25">
      <c r="A466" s="10" t="s">
        <v>4649</v>
      </c>
      <c r="B466" s="10" t="s">
        <v>4435</v>
      </c>
      <c r="C466" s="11" t="s">
        <v>297</v>
      </c>
      <c r="D466" s="10" t="s">
        <v>4650</v>
      </c>
      <c r="E466" s="8" t="s">
        <v>4651</v>
      </c>
      <c r="F466" s="8" t="s">
        <v>4652</v>
      </c>
      <c r="G466" s="10" t="s">
        <v>29</v>
      </c>
      <c r="H466" s="8" t="s">
        <v>4639</v>
      </c>
      <c r="I466" s="10" t="s">
        <v>490</v>
      </c>
      <c r="J466" s="8" t="s">
        <v>2769</v>
      </c>
      <c r="K466" s="8" t="s">
        <v>29</v>
      </c>
      <c r="L466" s="8" t="s">
        <v>29</v>
      </c>
      <c r="M466" s="10" t="s">
        <v>29</v>
      </c>
      <c r="N466" s="8" t="s">
        <v>29</v>
      </c>
      <c r="O466" s="10" t="s">
        <v>19</v>
      </c>
      <c r="P466" s="8" t="s">
        <v>4653</v>
      </c>
      <c r="Q466" s="10" t="s">
        <v>174</v>
      </c>
      <c r="R466" s="10" t="s">
        <v>1387</v>
      </c>
      <c r="S466" s="8" t="s">
        <v>4654</v>
      </c>
      <c r="T466" s="10" t="s">
        <v>4443</v>
      </c>
      <c r="U466" s="10" t="s">
        <v>29</v>
      </c>
    </row>
    <row r="467" spans="1:21" s="10" customFormat="1" x14ac:dyDescent="0.25">
      <c r="A467" s="10" t="s">
        <v>4655</v>
      </c>
      <c r="B467" s="10" t="s">
        <v>4435</v>
      </c>
      <c r="C467" s="11" t="s">
        <v>297</v>
      </c>
      <c r="D467" s="10" t="s">
        <v>4656</v>
      </c>
      <c r="E467" s="8" t="s">
        <v>4657</v>
      </c>
      <c r="F467" s="8" t="s">
        <v>4658</v>
      </c>
      <c r="G467" s="10" t="s">
        <v>29</v>
      </c>
      <c r="H467" s="8" t="s">
        <v>1604</v>
      </c>
      <c r="I467" s="10" t="s">
        <v>4659</v>
      </c>
      <c r="J467" s="8" t="s">
        <v>1606</v>
      </c>
      <c r="K467" s="8" t="s">
        <v>29</v>
      </c>
      <c r="L467" s="8" t="s">
        <v>29</v>
      </c>
      <c r="M467" s="10" t="s">
        <v>29</v>
      </c>
      <c r="N467" s="8" t="s">
        <v>29</v>
      </c>
      <c r="O467" s="10" t="s">
        <v>19</v>
      </c>
      <c r="P467" s="8" t="s">
        <v>4660</v>
      </c>
      <c r="Q467" s="10" t="s">
        <v>1399</v>
      </c>
      <c r="R467" s="10" t="s">
        <v>1608</v>
      </c>
      <c r="S467" s="8" t="s">
        <v>4661</v>
      </c>
      <c r="T467" s="10" t="s">
        <v>4443</v>
      </c>
      <c r="U467" s="10" t="s">
        <v>29</v>
      </c>
    </row>
    <row r="468" spans="1:21" s="10" customFormat="1" x14ac:dyDescent="0.25">
      <c r="A468" s="10" t="s">
        <v>4662</v>
      </c>
      <c r="B468" s="10" t="s">
        <v>4435</v>
      </c>
      <c r="C468" s="11" t="s">
        <v>297</v>
      </c>
      <c r="D468" s="10" t="s">
        <v>4663</v>
      </c>
      <c r="E468" s="8" t="s">
        <v>4664</v>
      </c>
      <c r="F468" s="8" t="s">
        <v>1613</v>
      </c>
      <c r="G468" s="10" t="s">
        <v>29</v>
      </c>
      <c r="H468" s="8" t="s">
        <v>2120</v>
      </c>
      <c r="I468" s="10" t="s">
        <v>490</v>
      </c>
      <c r="J468" s="8" t="s">
        <v>1615</v>
      </c>
      <c r="K468" s="8" t="s">
        <v>29</v>
      </c>
      <c r="L468" s="8" t="s">
        <v>29</v>
      </c>
      <c r="M468" s="10" t="s">
        <v>29</v>
      </c>
      <c r="N468" s="8" t="s">
        <v>29</v>
      </c>
      <c r="O468" s="10" t="s">
        <v>19</v>
      </c>
      <c r="P468" s="8" t="s">
        <v>4665</v>
      </c>
      <c r="Q468" s="10" t="s">
        <v>776</v>
      </c>
      <c r="R468" s="10" t="s">
        <v>2122</v>
      </c>
      <c r="S468" s="8" t="s">
        <v>1618</v>
      </c>
      <c r="T468" s="10" t="s">
        <v>4443</v>
      </c>
      <c r="U468" s="10" t="s">
        <v>29</v>
      </c>
    </row>
    <row r="469" spans="1:21" s="10" customFormat="1" x14ac:dyDescent="0.25">
      <c r="A469" s="10" t="s">
        <v>4666</v>
      </c>
      <c r="B469" s="10" t="s">
        <v>4435</v>
      </c>
      <c r="C469" s="11" t="s">
        <v>297</v>
      </c>
      <c r="D469" s="10" t="s">
        <v>4667</v>
      </c>
      <c r="E469" s="8" t="s">
        <v>4668</v>
      </c>
      <c r="F469" s="8" t="s">
        <v>4669</v>
      </c>
      <c r="G469" s="10" t="s">
        <v>29</v>
      </c>
      <c r="H469" s="8" t="s">
        <v>2747</v>
      </c>
      <c r="I469" s="10" t="s">
        <v>4493</v>
      </c>
      <c r="J469" s="8" t="s">
        <v>1615</v>
      </c>
      <c r="K469" s="8" t="s">
        <v>29</v>
      </c>
      <c r="L469" s="8" t="s">
        <v>29</v>
      </c>
      <c r="M469" s="10" t="s">
        <v>29</v>
      </c>
      <c r="N469" s="8" t="s">
        <v>29</v>
      </c>
      <c r="O469" s="10" t="s">
        <v>19</v>
      </c>
      <c r="P469" s="8" t="s">
        <v>4670</v>
      </c>
      <c r="Q469" s="10" t="s">
        <v>776</v>
      </c>
      <c r="R469" s="10" t="s">
        <v>2749</v>
      </c>
      <c r="S469" s="8" t="s">
        <v>1618</v>
      </c>
      <c r="T469" s="10" t="s">
        <v>4443</v>
      </c>
      <c r="U469" s="10" t="s">
        <v>29</v>
      </c>
    </row>
    <row r="470" spans="1:21" s="10" customFormat="1" x14ac:dyDescent="0.25">
      <c r="A470" s="10" t="s">
        <v>4671</v>
      </c>
      <c r="B470" s="10" t="s">
        <v>4435</v>
      </c>
      <c r="C470" s="10" t="s">
        <v>166</v>
      </c>
      <c r="D470" s="10" t="s">
        <v>4672</v>
      </c>
      <c r="E470" s="8" t="s">
        <v>4673</v>
      </c>
      <c r="F470" s="8" t="s">
        <v>4674</v>
      </c>
      <c r="G470" s="10" t="s">
        <v>29</v>
      </c>
      <c r="H470" s="8" t="s">
        <v>4639</v>
      </c>
      <c r="I470" s="10" t="s">
        <v>4579</v>
      </c>
      <c r="J470" s="8" t="s">
        <v>2769</v>
      </c>
      <c r="K470" s="8" t="s">
        <v>29</v>
      </c>
      <c r="L470" s="8" t="s">
        <v>29</v>
      </c>
      <c r="M470" s="10" t="s">
        <v>29</v>
      </c>
      <c r="N470" s="8" t="s">
        <v>29</v>
      </c>
      <c r="O470" s="10" t="s">
        <v>19</v>
      </c>
      <c r="P470" s="8" t="s">
        <v>4675</v>
      </c>
      <c r="Q470" s="10" t="s">
        <v>174</v>
      </c>
      <c r="R470" s="10" t="s">
        <v>1387</v>
      </c>
      <c r="S470" s="8" t="s">
        <v>1599</v>
      </c>
      <c r="T470" s="10" t="s">
        <v>4443</v>
      </c>
      <c r="U470" s="10" t="s">
        <v>29</v>
      </c>
    </row>
    <row r="471" spans="1:21" s="10" customFormat="1" x14ac:dyDescent="0.25">
      <c r="A471" s="10" t="s">
        <v>4676</v>
      </c>
      <c r="B471" s="10" t="s">
        <v>4435</v>
      </c>
      <c r="C471" s="10" t="s">
        <v>166</v>
      </c>
      <c r="D471" s="10" t="s">
        <v>4677</v>
      </c>
      <c r="E471" s="8" t="s">
        <v>4678</v>
      </c>
      <c r="F471" s="8" t="s">
        <v>4679</v>
      </c>
      <c r="G471" s="10" t="s">
        <v>29</v>
      </c>
      <c r="H471" s="8" t="s">
        <v>4680</v>
      </c>
      <c r="I471" s="10" t="s">
        <v>4681</v>
      </c>
      <c r="J471" s="8" t="s">
        <v>2769</v>
      </c>
      <c r="K471" s="8" t="s">
        <v>29</v>
      </c>
      <c r="L471" s="8" t="s">
        <v>29</v>
      </c>
      <c r="M471" s="10" t="s">
        <v>29</v>
      </c>
      <c r="N471" s="8" t="s">
        <v>29</v>
      </c>
      <c r="O471" s="10" t="s">
        <v>19</v>
      </c>
      <c r="P471" s="8" t="s">
        <v>4682</v>
      </c>
      <c r="Q471" s="10" t="s">
        <v>174</v>
      </c>
      <c r="R471" s="10" t="s">
        <v>1387</v>
      </c>
      <c r="S471" s="8" t="s">
        <v>4683</v>
      </c>
      <c r="T471" s="10" t="s">
        <v>4443</v>
      </c>
      <c r="U471" s="10" t="s">
        <v>29</v>
      </c>
    </row>
    <row r="472" spans="1:21" s="10" customFormat="1" x14ac:dyDescent="0.25">
      <c r="A472" s="10" t="s">
        <v>4684</v>
      </c>
      <c r="B472" s="10" t="s">
        <v>4435</v>
      </c>
      <c r="C472" s="11" t="s">
        <v>297</v>
      </c>
      <c r="D472" s="10" t="s">
        <v>4685</v>
      </c>
      <c r="E472" s="8" t="s">
        <v>4686</v>
      </c>
      <c r="F472" s="8" t="s">
        <v>4687</v>
      </c>
      <c r="G472" s="10" t="s">
        <v>29</v>
      </c>
      <c r="H472" s="8" t="s">
        <v>4688</v>
      </c>
      <c r="I472" s="10" t="s">
        <v>4689</v>
      </c>
      <c r="J472" s="8" t="s">
        <v>2769</v>
      </c>
      <c r="K472" s="8" t="s">
        <v>29</v>
      </c>
      <c r="L472" s="8" t="s">
        <v>29</v>
      </c>
      <c r="M472" s="10" t="s">
        <v>29</v>
      </c>
      <c r="N472" s="8" t="s">
        <v>29</v>
      </c>
      <c r="O472" s="10" t="s">
        <v>19</v>
      </c>
      <c r="P472" s="8" t="s">
        <v>4690</v>
      </c>
      <c r="Q472" s="10" t="s">
        <v>174</v>
      </c>
      <c r="R472" s="10" t="s">
        <v>1387</v>
      </c>
      <c r="S472" s="8" t="s">
        <v>4691</v>
      </c>
      <c r="T472" s="10" t="s">
        <v>4443</v>
      </c>
      <c r="U472" s="10" t="s">
        <v>29</v>
      </c>
    </row>
    <row r="473" spans="1:21" s="10" customFormat="1" x14ac:dyDescent="0.25">
      <c r="A473" s="10" t="s">
        <v>4692</v>
      </c>
      <c r="B473" s="10" t="s">
        <v>4435</v>
      </c>
      <c r="C473" s="11" t="s">
        <v>297</v>
      </c>
      <c r="D473" s="10" t="s">
        <v>4693</v>
      </c>
      <c r="E473" s="8" t="s">
        <v>4694</v>
      </c>
      <c r="F473" s="8" t="s">
        <v>4695</v>
      </c>
      <c r="G473" s="10" t="s">
        <v>29</v>
      </c>
      <c r="H473" s="8" t="s">
        <v>4696</v>
      </c>
      <c r="I473" s="10" t="s">
        <v>4697</v>
      </c>
      <c r="J473" s="8" t="s">
        <v>2769</v>
      </c>
      <c r="K473" s="8" t="s">
        <v>29</v>
      </c>
      <c r="L473" s="8" t="s">
        <v>29</v>
      </c>
      <c r="M473" s="10" t="s">
        <v>29</v>
      </c>
      <c r="N473" s="8" t="s">
        <v>29</v>
      </c>
      <c r="O473" s="10" t="s">
        <v>19</v>
      </c>
      <c r="P473" s="8" t="s">
        <v>4698</v>
      </c>
      <c r="Q473" s="10" t="s">
        <v>174</v>
      </c>
      <c r="R473" s="10" t="s">
        <v>1387</v>
      </c>
      <c r="S473" s="8" t="s">
        <v>4699</v>
      </c>
      <c r="T473" s="10" t="s">
        <v>4443</v>
      </c>
      <c r="U473" s="10" t="s">
        <v>29</v>
      </c>
    </row>
    <row r="474" spans="1:21" s="10" customFormat="1" x14ac:dyDescent="0.25">
      <c r="A474" s="10" t="s">
        <v>4700</v>
      </c>
      <c r="B474" s="10" t="s">
        <v>4435</v>
      </c>
      <c r="C474" s="11" t="s">
        <v>297</v>
      </c>
      <c r="D474" s="10" t="s">
        <v>4701</v>
      </c>
      <c r="E474" s="8" t="s">
        <v>4702</v>
      </c>
      <c r="F474" s="8" t="s">
        <v>4703</v>
      </c>
      <c r="G474" s="10" t="s">
        <v>29</v>
      </c>
      <c r="H474" s="8" t="s">
        <v>4615</v>
      </c>
      <c r="I474" s="10" t="s">
        <v>4697</v>
      </c>
      <c r="J474" s="8" t="s">
        <v>2769</v>
      </c>
      <c r="K474" s="8" t="s">
        <v>29</v>
      </c>
      <c r="L474" s="8" t="s">
        <v>29</v>
      </c>
      <c r="M474" s="10" t="s">
        <v>29</v>
      </c>
      <c r="N474" s="8" t="s">
        <v>29</v>
      </c>
      <c r="O474" s="10" t="s">
        <v>19</v>
      </c>
      <c r="P474" s="8" t="s">
        <v>4704</v>
      </c>
      <c r="Q474" s="10" t="s">
        <v>174</v>
      </c>
      <c r="R474" s="10" t="s">
        <v>1387</v>
      </c>
      <c r="S474" s="8" t="s">
        <v>4705</v>
      </c>
      <c r="T474" s="10" t="s">
        <v>4443</v>
      </c>
      <c r="U474" s="10" t="s">
        <v>29</v>
      </c>
    </row>
    <row r="475" spans="1:21" s="10" customFormat="1" x14ac:dyDescent="0.25">
      <c r="A475" s="10" t="s">
        <v>4706</v>
      </c>
      <c r="B475" s="10" t="s">
        <v>4435</v>
      </c>
      <c r="C475" s="11" t="s">
        <v>297</v>
      </c>
      <c r="D475" s="10" t="s">
        <v>4707</v>
      </c>
      <c r="E475" s="8" t="s">
        <v>4708</v>
      </c>
      <c r="F475" s="8" t="s">
        <v>4709</v>
      </c>
      <c r="G475" s="10" t="s">
        <v>29</v>
      </c>
      <c r="H475" s="8" t="s">
        <v>4710</v>
      </c>
      <c r="I475" s="10" t="s">
        <v>4697</v>
      </c>
      <c r="J475" s="8" t="s">
        <v>2769</v>
      </c>
      <c r="K475" s="8" t="s">
        <v>29</v>
      </c>
      <c r="L475" s="8" t="s">
        <v>29</v>
      </c>
      <c r="M475" s="10" t="s">
        <v>29</v>
      </c>
      <c r="N475" s="8" t="s">
        <v>29</v>
      </c>
      <c r="O475" s="10" t="s">
        <v>19</v>
      </c>
      <c r="P475" s="8" t="s">
        <v>4711</v>
      </c>
      <c r="Q475" s="10" t="s">
        <v>174</v>
      </c>
      <c r="R475" s="10" t="s">
        <v>1387</v>
      </c>
      <c r="S475" s="8" t="s">
        <v>4712</v>
      </c>
      <c r="T475" s="10" t="s">
        <v>4443</v>
      </c>
      <c r="U475" s="10" t="s">
        <v>29</v>
      </c>
    </row>
    <row r="476" spans="1:21" s="10" customFormat="1" x14ac:dyDescent="0.25">
      <c r="A476" s="10" t="s">
        <v>4713</v>
      </c>
      <c r="B476" s="10" t="s">
        <v>4435</v>
      </c>
      <c r="C476" s="11" t="s">
        <v>297</v>
      </c>
      <c r="D476" s="10" t="s">
        <v>4714</v>
      </c>
      <c r="E476" s="8" t="s">
        <v>4715</v>
      </c>
      <c r="F476" s="8" t="s">
        <v>4716</v>
      </c>
      <c r="G476" s="10" t="s">
        <v>29</v>
      </c>
      <c r="H476" s="8" t="s">
        <v>4717</v>
      </c>
      <c r="I476" s="10" t="s">
        <v>4697</v>
      </c>
      <c r="J476" s="8" t="s">
        <v>2769</v>
      </c>
      <c r="K476" s="8" t="s">
        <v>29</v>
      </c>
      <c r="L476" s="8" t="s">
        <v>29</v>
      </c>
      <c r="M476" s="10" t="s">
        <v>29</v>
      </c>
      <c r="N476" s="8" t="s">
        <v>29</v>
      </c>
      <c r="O476" s="10" t="s">
        <v>19</v>
      </c>
      <c r="P476" s="8" t="s">
        <v>4718</v>
      </c>
      <c r="Q476" s="10" t="s">
        <v>174</v>
      </c>
      <c r="R476" s="10" t="s">
        <v>1387</v>
      </c>
      <c r="S476" s="8" t="s">
        <v>4719</v>
      </c>
      <c r="T476" s="10" t="s">
        <v>4443</v>
      </c>
      <c r="U476" s="10" t="s">
        <v>29</v>
      </c>
    </row>
    <row r="477" spans="1:21" s="10" customFormat="1" x14ac:dyDescent="0.25">
      <c r="A477" s="10" t="s">
        <v>4720</v>
      </c>
      <c r="B477" s="10" t="s">
        <v>4435</v>
      </c>
      <c r="C477" s="10" t="s">
        <v>166</v>
      </c>
      <c r="D477" s="10" t="s">
        <v>4721</v>
      </c>
      <c r="E477" s="8" t="s">
        <v>4722</v>
      </c>
      <c r="F477" s="8" t="s">
        <v>4723</v>
      </c>
      <c r="G477" s="10" t="s">
        <v>29</v>
      </c>
      <c r="H477" s="8" t="s">
        <v>4724</v>
      </c>
      <c r="I477" s="10" t="s">
        <v>1456</v>
      </c>
      <c r="J477" s="8" t="s">
        <v>2769</v>
      </c>
      <c r="K477" s="8" t="s">
        <v>29</v>
      </c>
      <c r="L477" s="8" t="s">
        <v>29</v>
      </c>
      <c r="M477" s="10" t="s">
        <v>29</v>
      </c>
      <c r="N477" s="8" t="s">
        <v>29</v>
      </c>
      <c r="O477" s="10" t="s">
        <v>19</v>
      </c>
      <c r="P477" s="8" t="s">
        <v>4725</v>
      </c>
      <c r="Q477" s="10" t="s">
        <v>190</v>
      </c>
      <c r="R477" s="10" t="s">
        <v>1387</v>
      </c>
      <c r="S477" s="8" t="s">
        <v>4726</v>
      </c>
      <c r="T477" s="10" t="s">
        <v>4443</v>
      </c>
      <c r="U477" s="10" t="s">
        <v>29</v>
      </c>
    </row>
    <row r="478" spans="1:21" s="10" customFormat="1" x14ac:dyDescent="0.25">
      <c r="A478" s="10" t="s">
        <v>4727</v>
      </c>
      <c r="B478" s="10" t="s">
        <v>4435</v>
      </c>
      <c r="C478" s="10" t="s">
        <v>166</v>
      </c>
      <c r="D478" s="10" t="s">
        <v>4728</v>
      </c>
      <c r="E478" s="8" t="s">
        <v>4729</v>
      </c>
      <c r="F478" s="8" t="s">
        <v>4730</v>
      </c>
      <c r="G478" s="10" t="s">
        <v>29</v>
      </c>
      <c r="H478" s="8" t="s">
        <v>4731</v>
      </c>
      <c r="I478" s="10" t="s">
        <v>1456</v>
      </c>
      <c r="J478" s="8" t="s">
        <v>2769</v>
      </c>
      <c r="K478" s="8" t="s">
        <v>29</v>
      </c>
      <c r="L478" s="8" t="s">
        <v>29</v>
      </c>
      <c r="M478" s="10" t="s">
        <v>29</v>
      </c>
      <c r="N478" s="8" t="s">
        <v>29</v>
      </c>
      <c r="O478" s="10" t="s">
        <v>19</v>
      </c>
      <c r="P478" s="8" t="s">
        <v>4732</v>
      </c>
      <c r="Q478" s="10" t="s">
        <v>190</v>
      </c>
      <c r="R478" s="10" t="s">
        <v>1387</v>
      </c>
      <c r="S478" s="8" t="s">
        <v>4733</v>
      </c>
      <c r="T478" s="10" t="s">
        <v>4443</v>
      </c>
      <c r="U478" s="10" t="s">
        <v>29</v>
      </c>
    </row>
    <row r="479" spans="1:21" s="10" customFormat="1" x14ac:dyDescent="0.25">
      <c r="A479" s="10" t="s">
        <v>4734</v>
      </c>
      <c r="B479" s="10" t="s">
        <v>4435</v>
      </c>
      <c r="C479" s="11" t="s">
        <v>297</v>
      </c>
      <c r="D479" s="10" t="s">
        <v>4735</v>
      </c>
      <c r="E479" s="8" t="s">
        <v>4736</v>
      </c>
      <c r="F479" s="8" t="s">
        <v>4737</v>
      </c>
      <c r="G479" s="10" t="s">
        <v>29</v>
      </c>
      <c r="H479" s="8" t="s">
        <v>4738</v>
      </c>
      <c r="I479" s="10" t="s">
        <v>1456</v>
      </c>
      <c r="J479" s="8" t="s">
        <v>2769</v>
      </c>
      <c r="K479" s="8" t="s">
        <v>29</v>
      </c>
      <c r="L479" s="8" t="s">
        <v>29</v>
      </c>
      <c r="M479" s="10" t="s">
        <v>29</v>
      </c>
      <c r="N479" s="8" t="s">
        <v>29</v>
      </c>
      <c r="O479" s="10" t="s">
        <v>19</v>
      </c>
      <c r="P479" s="8" t="s">
        <v>4739</v>
      </c>
      <c r="Q479" s="10" t="s">
        <v>197</v>
      </c>
      <c r="R479" s="10" t="s">
        <v>1387</v>
      </c>
      <c r="S479" s="8" t="s">
        <v>4740</v>
      </c>
      <c r="T479" s="10" t="s">
        <v>4443</v>
      </c>
      <c r="U479" s="10" t="s">
        <v>29</v>
      </c>
    </row>
    <row r="480" spans="1:21" s="10" customFormat="1" x14ac:dyDescent="0.25">
      <c r="A480" s="10" t="s">
        <v>4741</v>
      </c>
      <c r="B480" s="10" t="s">
        <v>4435</v>
      </c>
      <c r="C480" s="10" t="s">
        <v>166</v>
      </c>
      <c r="D480" s="10" t="s">
        <v>4742</v>
      </c>
      <c r="E480" s="8" t="s">
        <v>4743</v>
      </c>
      <c r="F480" s="8" t="s">
        <v>4744</v>
      </c>
      <c r="G480" s="10" t="s">
        <v>29</v>
      </c>
      <c r="H480" s="8" t="s">
        <v>4745</v>
      </c>
      <c r="I480" s="10" t="s">
        <v>1456</v>
      </c>
      <c r="J480" s="8" t="s">
        <v>2769</v>
      </c>
      <c r="K480" s="8" t="s">
        <v>29</v>
      </c>
      <c r="L480" s="8" t="s">
        <v>29</v>
      </c>
      <c r="M480" s="10" t="s">
        <v>29</v>
      </c>
      <c r="N480" s="8" t="s">
        <v>29</v>
      </c>
      <c r="O480" s="10" t="s">
        <v>19</v>
      </c>
      <c r="P480" s="8" t="s">
        <v>4746</v>
      </c>
      <c r="Q480" s="10" t="s">
        <v>197</v>
      </c>
      <c r="R480" s="10" t="s">
        <v>1387</v>
      </c>
      <c r="S480" s="8" t="s">
        <v>4747</v>
      </c>
      <c r="T480" s="10" t="s">
        <v>4443</v>
      </c>
      <c r="U480" s="10" t="s">
        <v>29</v>
      </c>
    </row>
    <row r="481" spans="1:21" s="10" customFormat="1" x14ac:dyDescent="0.25">
      <c r="A481" s="10" t="s">
        <v>4748</v>
      </c>
      <c r="B481" s="10" t="s">
        <v>4435</v>
      </c>
      <c r="C481" s="11" t="s">
        <v>297</v>
      </c>
      <c r="D481" s="10" t="s">
        <v>4749</v>
      </c>
      <c r="E481" s="8" t="s">
        <v>4750</v>
      </c>
      <c r="F481" s="8" t="s">
        <v>4751</v>
      </c>
      <c r="G481" s="10" t="s">
        <v>29</v>
      </c>
      <c r="H481" s="8" t="s">
        <v>4752</v>
      </c>
      <c r="I481" s="10" t="s">
        <v>4753</v>
      </c>
      <c r="J481" s="8" t="s">
        <v>4754</v>
      </c>
      <c r="K481" s="8" t="s">
        <v>29</v>
      </c>
      <c r="L481" s="8" t="s">
        <v>29</v>
      </c>
      <c r="M481" s="10" t="s">
        <v>29</v>
      </c>
      <c r="N481" s="8" t="s">
        <v>29</v>
      </c>
      <c r="O481" s="10" t="s">
        <v>19</v>
      </c>
      <c r="P481" s="8" t="s">
        <v>4755</v>
      </c>
      <c r="Q481" s="10" t="s">
        <v>1399</v>
      </c>
      <c r="R481" s="10" t="s">
        <v>1387</v>
      </c>
      <c r="S481" s="8" t="s">
        <v>4756</v>
      </c>
      <c r="T481" s="10" t="s">
        <v>4443</v>
      </c>
      <c r="U481" s="10" t="s">
        <v>29</v>
      </c>
    </row>
    <row r="482" spans="1:21" s="10" customFormat="1" x14ac:dyDescent="0.25">
      <c r="A482" s="10" t="s">
        <v>4757</v>
      </c>
      <c r="B482" s="10" t="s">
        <v>4435</v>
      </c>
      <c r="C482" s="10" t="s">
        <v>166</v>
      </c>
      <c r="D482" s="10" t="s">
        <v>4758</v>
      </c>
      <c r="E482" s="8" t="s">
        <v>4759</v>
      </c>
      <c r="F482" s="8" t="s">
        <v>4760</v>
      </c>
      <c r="G482" s="10" t="s">
        <v>29</v>
      </c>
      <c r="H482" s="8" t="s">
        <v>4761</v>
      </c>
      <c r="I482" s="10" t="s">
        <v>4753</v>
      </c>
      <c r="J482" s="8" t="s">
        <v>2769</v>
      </c>
      <c r="K482" s="8" t="s">
        <v>29</v>
      </c>
      <c r="L482" s="8" t="s">
        <v>29</v>
      </c>
      <c r="M482" s="10" t="s">
        <v>29</v>
      </c>
      <c r="N482" s="8" t="s">
        <v>29</v>
      </c>
      <c r="O482" s="10" t="s">
        <v>19</v>
      </c>
      <c r="P482" s="8" t="s">
        <v>4762</v>
      </c>
      <c r="Q482" s="10" t="s">
        <v>197</v>
      </c>
      <c r="R482" s="10" t="s">
        <v>1387</v>
      </c>
      <c r="S482" s="8" t="s">
        <v>4763</v>
      </c>
      <c r="T482" s="10" t="s">
        <v>4443</v>
      </c>
      <c r="U482" s="10" t="s">
        <v>29</v>
      </c>
    </row>
    <row r="483" spans="1:21" s="10" customFormat="1" x14ac:dyDescent="0.25">
      <c r="A483" s="10" t="s">
        <v>4764</v>
      </c>
      <c r="B483" s="10" t="s">
        <v>4435</v>
      </c>
      <c r="C483" s="10" t="s">
        <v>166</v>
      </c>
      <c r="D483" s="10" t="s">
        <v>4765</v>
      </c>
      <c r="E483" s="8" t="s">
        <v>4766</v>
      </c>
      <c r="F483" s="8" t="s">
        <v>4767</v>
      </c>
      <c r="G483" s="10" t="s">
        <v>29</v>
      </c>
      <c r="H483" s="8" t="s">
        <v>4768</v>
      </c>
      <c r="I483" s="10" t="s">
        <v>1456</v>
      </c>
      <c r="J483" s="8" t="s">
        <v>2769</v>
      </c>
      <c r="K483" s="8" t="s">
        <v>29</v>
      </c>
      <c r="L483" s="8" t="s">
        <v>29</v>
      </c>
      <c r="M483" s="10" t="s">
        <v>29</v>
      </c>
      <c r="N483" s="8" t="s">
        <v>29</v>
      </c>
      <c r="O483" s="10" t="s">
        <v>19</v>
      </c>
      <c r="P483" s="8" t="s">
        <v>4769</v>
      </c>
      <c r="Q483" s="10" t="s">
        <v>174</v>
      </c>
      <c r="R483" s="10" t="s">
        <v>1387</v>
      </c>
      <c r="S483" s="8" t="s">
        <v>4770</v>
      </c>
      <c r="T483" s="10" t="s">
        <v>4443</v>
      </c>
      <c r="U483" s="10" t="s">
        <v>29</v>
      </c>
    </row>
    <row r="484" spans="1:21" s="10" customFormat="1" x14ac:dyDescent="0.25">
      <c r="A484" s="10" t="s">
        <v>4771</v>
      </c>
      <c r="B484" s="10" t="s">
        <v>4435</v>
      </c>
      <c r="C484" s="10" t="s">
        <v>335</v>
      </c>
      <c r="D484" s="10" t="s">
        <v>4772</v>
      </c>
      <c r="E484" s="8" t="s">
        <v>4773</v>
      </c>
      <c r="F484" s="8" t="s">
        <v>4774</v>
      </c>
      <c r="G484" s="10" t="s">
        <v>29</v>
      </c>
      <c r="H484" s="8" t="s">
        <v>4775</v>
      </c>
      <c r="I484" s="10" t="s">
        <v>944</v>
      </c>
      <c r="J484" s="8" t="s">
        <v>2769</v>
      </c>
      <c r="K484" s="8" t="s">
        <v>29</v>
      </c>
      <c r="L484" s="8" t="s">
        <v>29</v>
      </c>
      <c r="M484" s="10" t="s">
        <v>29</v>
      </c>
      <c r="N484" s="8" t="s">
        <v>29</v>
      </c>
      <c r="O484" s="10" t="s">
        <v>19</v>
      </c>
      <c r="P484" s="8" t="s">
        <v>4776</v>
      </c>
      <c r="Q484" s="10" t="s">
        <v>174</v>
      </c>
      <c r="R484" s="10" t="s">
        <v>1387</v>
      </c>
      <c r="S484" s="8" t="s">
        <v>4777</v>
      </c>
      <c r="T484" s="10" t="s">
        <v>4443</v>
      </c>
      <c r="U484" s="10" t="s">
        <v>29</v>
      </c>
    </row>
    <row r="485" spans="1:21" s="10" customFormat="1" x14ac:dyDescent="0.25">
      <c r="A485" s="10" t="s">
        <v>4778</v>
      </c>
      <c r="B485" s="10" t="s">
        <v>4435</v>
      </c>
      <c r="C485" s="10" t="s">
        <v>166</v>
      </c>
      <c r="D485" s="10" t="s">
        <v>4779</v>
      </c>
      <c r="E485" s="8" t="s">
        <v>4780</v>
      </c>
      <c r="F485" s="8" t="s">
        <v>3984</v>
      </c>
      <c r="G485" s="10" t="s">
        <v>29</v>
      </c>
      <c r="H485" s="8" t="s">
        <v>3985</v>
      </c>
      <c r="I485" s="10" t="s">
        <v>944</v>
      </c>
      <c r="J485" s="8" t="s">
        <v>2769</v>
      </c>
      <c r="K485" s="8" t="s">
        <v>29</v>
      </c>
      <c r="L485" s="8" t="s">
        <v>29</v>
      </c>
      <c r="M485" s="10" t="s">
        <v>29</v>
      </c>
      <c r="N485" s="8" t="s">
        <v>29</v>
      </c>
      <c r="O485" s="10" t="s">
        <v>19</v>
      </c>
      <c r="P485" s="8" t="s">
        <v>4781</v>
      </c>
      <c r="Q485" s="10" t="s">
        <v>190</v>
      </c>
      <c r="R485" s="10" t="s">
        <v>1387</v>
      </c>
      <c r="S485" s="8" t="s">
        <v>4782</v>
      </c>
      <c r="T485" s="10" t="s">
        <v>4443</v>
      </c>
      <c r="U485" s="10" t="s">
        <v>29</v>
      </c>
    </row>
    <row r="486" spans="1:21" s="10" customFormat="1" x14ac:dyDescent="0.25">
      <c r="A486" s="10" t="s">
        <v>4783</v>
      </c>
      <c r="B486" s="10" t="s">
        <v>4435</v>
      </c>
      <c r="C486" s="10" t="s">
        <v>335</v>
      </c>
      <c r="D486" s="10" t="s">
        <v>4784</v>
      </c>
      <c r="E486" s="8" t="s">
        <v>4785</v>
      </c>
      <c r="F486" s="8" t="s">
        <v>4786</v>
      </c>
      <c r="G486" s="10" t="s">
        <v>29</v>
      </c>
      <c r="H486" s="8" t="s">
        <v>4717</v>
      </c>
      <c r="I486" s="10" t="s">
        <v>4787</v>
      </c>
      <c r="J486" s="8" t="s">
        <v>2769</v>
      </c>
      <c r="K486" s="8" t="s">
        <v>29</v>
      </c>
      <c r="L486" s="8" t="s">
        <v>29</v>
      </c>
      <c r="M486" s="10" t="s">
        <v>29</v>
      </c>
      <c r="N486" s="8" t="s">
        <v>29</v>
      </c>
      <c r="O486" s="10" t="s">
        <v>19</v>
      </c>
      <c r="P486" s="8" t="s">
        <v>4788</v>
      </c>
      <c r="Q486" s="10" t="s">
        <v>174</v>
      </c>
      <c r="R486" s="10" t="s">
        <v>1387</v>
      </c>
      <c r="S486" s="8" t="s">
        <v>4789</v>
      </c>
      <c r="T486" s="10" t="s">
        <v>4443</v>
      </c>
      <c r="U486" s="10" t="s">
        <v>29</v>
      </c>
    </row>
    <row r="487" spans="1:21" s="10" customFormat="1" x14ac:dyDescent="0.25">
      <c r="A487" s="10" t="s">
        <v>4790</v>
      </c>
      <c r="B487" s="10" t="s">
        <v>4435</v>
      </c>
      <c r="C487" s="11" t="s">
        <v>297</v>
      </c>
      <c r="D487" s="10" t="s">
        <v>4791</v>
      </c>
      <c r="E487" s="8" t="s">
        <v>4792</v>
      </c>
      <c r="F487" s="8" t="s">
        <v>4793</v>
      </c>
      <c r="G487" s="10" t="s">
        <v>29</v>
      </c>
      <c r="H487" s="8" t="s">
        <v>4794</v>
      </c>
      <c r="I487" s="10" t="s">
        <v>1456</v>
      </c>
      <c r="J487" s="8" t="s">
        <v>2769</v>
      </c>
      <c r="K487" s="8" t="s">
        <v>29</v>
      </c>
      <c r="L487" s="8" t="s">
        <v>29</v>
      </c>
      <c r="M487" s="10" t="s">
        <v>29</v>
      </c>
      <c r="N487" s="8" t="s">
        <v>29</v>
      </c>
      <c r="O487" s="10" t="s">
        <v>19</v>
      </c>
      <c r="P487" s="8" t="s">
        <v>4795</v>
      </c>
      <c r="Q487" s="10" t="s">
        <v>174</v>
      </c>
      <c r="R487" s="10" t="s">
        <v>1387</v>
      </c>
      <c r="S487" s="8" t="s">
        <v>4796</v>
      </c>
      <c r="T487" s="10" t="s">
        <v>4443</v>
      </c>
      <c r="U487" s="10" t="s">
        <v>29</v>
      </c>
    </row>
    <row r="488" spans="1:21" s="10" customFormat="1" x14ac:dyDescent="0.25">
      <c r="A488" s="10" t="s">
        <v>4797</v>
      </c>
      <c r="B488" s="10" t="s">
        <v>4435</v>
      </c>
      <c r="C488" s="10" t="s">
        <v>166</v>
      </c>
      <c r="D488" s="10" t="s">
        <v>4798</v>
      </c>
      <c r="E488" s="8" t="s">
        <v>4799</v>
      </c>
      <c r="F488" s="8" t="s">
        <v>4800</v>
      </c>
      <c r="G488" s="10" t="s">
        <v>29</v>
      </c>
      <c r="H488" s="8" t="s">
        <v>4801</v>
      </c>
      <c r="I488" s="10" t="s">
        <v>1456</v>
      </c>
      <c r="J488" s="8" t="s">
        <v>2769</v>
      </c>
      <c r="K488" s="8" t="s">
        <v>29</v>
      </c>
      <c r="L488" s="8" t="s">
        <v>29</v>
      </c>
      <c r="M488" s="10" t="s">
        <v>29</v>
      </c>
      <c r="N488" s="8" t="s">
        <v>29</v>
      </c>
      <c r="O488" s="10" t="s">
        <v>19</v>
      </c>
      <c r="P488" s="8" t="s">
        <v>4802</v>
      </c>
      <c r="Q488" s="10" t="s">
        <v>190</v>
      </c>
      <c r="R488" s="10" t="s">
        <v>1387</v>
      </c>
      <c r="S488" s="8" t="s">
        <v>4803</v>
      </c>
      <c r="T488" s="10" t="s">
        <v>4443</v>
      </c>
      <c r="U488" s="10" t="s">
        <v>29</v>
      </c>
    </row>
    <row r="489" spans="1:21" s="10" customFormat="1" x14ac:dyDescent="0.25">
      <c r="A489" s="10" t="s">
        <v>4804</v>
      </c>
      <c r="B489" s="10" t="s">
        <v>4435</v>
      </c>
      <c r="C489" s="11" t="s">
        <v>297</v>
      </c>
      <c r="D489" s="10" t="s">
        <v>4805</v>
      </c>
      <c r="E489" s="8" t="s">
        <v>4806</v>
      </c>
      <c r="F489" s="8" t="s">
        <v>4807</v>
      </c>
      <c r="G489" s="10" t="s">
        <v>29</v>
      </c>
      <c r="H489" s="8" t="s">
        <v>4808</v>
      </c>
      <c r="I489" s="10" t="s">
        <v>1456</v>
      </c>
      <c r="J489" s="8" t="s">
        <v>2769</v>
      </c>
      <c r="K489" s="8" t="s">
        <v>29</v>
      </c>
      <c r="L489" s="8" t="s">
        <v>29</v>
      </c>
      <c r="M489" s="10" t="s">
        <v>29</v>
      </c>
      <c r="N489" s="8" t="s">
        <v>29</v>
      </c>
      <c r="O489" s="10" t="s">
        <v>19</v>
      </c>
      <c r="P489" s="8" t="s">
        <v>4809</v>
      </c>
      <c r="Q489" s="10" t="s">
        <v>174</v>
      </c>
      <c r="R489" s="10" t="s">
        <v>1387</v>
      </c>
      <c r="S489" s="8" t="s">
        <v>4810</v>
      </c>
      <c r="T489" s="10" t="s">
        <v>4443</v>
      </c>
      <c r="U489" s="10" t="s">
        <v>29</v>
      </c>
    </row>
    <row r="490" spans="1:21" s="10" customFormat="1" x14ac:dyDescent="0.25">
      <c r="A490" s="10" t="s">
        <v>4811</v>
      </c>
      <c r="B490" s="10" t="s">
        <v>4435</v>
      </c>
      <c r="C490" s="11" t="s">
        <v>297</v>
      </c>
      <c r="D490" s="10" t="s">
        <v>4812</v>
      </c>
      <c r="E490" s="8" t="s">
        <v>4813</v>
      </c>
      <c r="F490" s="8" t="s">
        <v>4814</v>
      </c>
      <c r="G490" s="10" t="s">
        <v>29</v>
      </c>
      <c r="H490" s="8" t="s">
        <v>1604</v>
      </c>
      <c r="I490" s="10" t="s">
        <v>4815</v>
      </c>
      <c r="J490" s="8" t="s">
        <v>1606</v>
      </c>
      <c r="K490" s="8" t="s">
        <v>29</v>
      </c>
      <c r="L490" s="8" t="s">
        <v>29</v>
      </c>
      <c r="M490" s="10" t="s">
        <v>29</v>
      </c>
      <c r="N490" s="8" t="s">
        <v>29</v>
      </c>
      <c r="O490" s="10" t="s">
        <v>19</v>
      </c>
      <c r="P490" s="8" t="s">
        <v>4816</v>
      </c>
      <c r="Q490" s="10" t="s">
        <v>1399</v>
      </c>
      <c r="R490" s="10" t="s">
        <v>1608</v>
      </c>
      <c r="S490" s="8" t="s">
        <v>4817</v>
      </c>
      <c r="T490" s="10" t="s">
        <v>4443</v>
      </c>
      <c r="U490" s="10" t="s">
        <v>29</v>
      </c>
    </row>
    <row r="491" spans="1:21" s="10" customFormat="1" x14ac:dyDescent="0.25">
      <c r="A491" s="10" t="s">
        <v>4818</v>
      </c>
      <c r="B491" s="10" t="s">
        <v>4435</v>
      </c>
      <c r="C491" s="10" t="s">
        <v>166</v>
      </c>
      <c r="D491" s="10" t="s">
        <v>4819</v>
      </c>
      <c r="E491" s="8" t="s">
        <v>4820</v>
      </c>
      <c r="F491" s="8" t="s">
        <v>1613</v>
      </c>
      <c r="G491" s="10" t="s">
        <v>29</v>
      </c>
      <c r="H491" s="8" t="s">
        <v>2120</v>
      </c>
      <c r="I491" s="10" t="s">
        <v>1456</v>
      </c>
      <c r="J491" s="8" t="s">
        <v>1615</v>
      </c>
      <c r="K491" s="8" t="s">
        <v>29</v>
      </c>
      <c r="L491" s="8" t="s">
        <v>29</v>
      </c>
      <c r="M491" s="10" t="s">
        <v>29</v>
      </c>
      <c r="N491" s="8" t="s">
        <v>29</v>
      </c>
      <c r="O491" s="10" t="s">
        <v>19</v>
      </c>
      <c r="P491" s="8" t="s">
        <v>4821</v>
      </c>
      <c r="Q491" s="10" t="s">
        <v>776</v>
      </c>
      <c r="R491" s="10" t="s">
        <v>2122</v>
      </c>
      <c r="S491" s="8" t="s">
        <v>1618</v>
      </c>
      <c r="T491" s="10" t="s">
        <v>4443</v>
      </c>
      <c r="U491" s="10" t="s">
        <v>29</v>
      </c>
    </row>
    <row r="492" spans="1:21" s="10" customFormat="1" x14ac:dyDescent="0.25">
      <c r="A492" s="10" t="s">
        <v>4822</v>
      </c>
      <c r="B492" s="10" t="s">
        <v>4435</v>
      </c>
      <c r="C492" s="10" t="s">
        <v>166</v>
      </c>
      <c r="D492" s="10" t="s">
        <v>4823</v>
      </c>
      <c r="E492" s="8" t="s">
        <v>4824</v>
      </c>
      <c r="F492" s="8" t="s">
        <v>4825</v>
      </c>
      <c r="G492" s="10" t="s">
        <v>29</v>
      </c>
      <c r="H492" s="8" t="s">
        <v>4808</v>
      </c>
      <c r="I492" s="10" t="s">
        <v>944</v>
      </c>
      <c r="J492" s="8" t="s">
        <v>2769</v>
      </c>
      <c r="K492" s="8" t="s">
        <v>29</v>
      </c>
      <c r="L492" s="8" t="s">
        <v>29</v>
      </c>
      <c r="M492" s="10" t="s">
        <v>29</v>
      </c>
      <c r="N492" s="8" t="s">
        <v>29</v>
      </c>
      <c r="O492" s="10" t="s">
        <v>19</v>
      </c>
      <c r="P492" s="8" t="s">
        <v>4826</v>
      </c>
      <c r="Q492" s="10" t="s">
        <v>174</v>
      </c>
      <c r="R492" s="10" t="s">
        <v>1387</v>
      </c>
      <c r="S492" s="8" t="s">
        <v>1599</v>
      </c>
      <c r="T492" s="10" t="s">
        <v>4443</v>
      </c>
      <c r="U492" s="10" t="s">
        <v>29</v>
      </c>
    </row>
    <row r="493" spans="1:21" s="10" customFormat="1" x14ac:dyDescent="0.25">
      <c r="A493" s="10" t="s">
        <v>4827</v>
      </c>
      <c r="B493" s="10" t="s">
        <v>4435</v>
      </c>
      <c r="C493" s="10" t="s">
        <v>166</v>
      </c>
      <c r="D493" s="10" t="s">
        <v>4828</v>
      </c>
      <c r="E493" s="8" t="s">
        <v>4829</v>
      </c>
      <c r="F493" s="8" t="s">
        <v>4830</v>
      </c>
      <c r="G493" s="10" t="s">
        <v>29</v>
      </c>
      <c r="H493" s="8" t="s">
        <v>4831</v>
      </c>
      <c r="I493" s="10" t="s">
        <v>1579</v>
      </c>
      <c r="J493" s="8" t="s">
        <v>4832</v>
      </c>
      <c r="K493" s="8" t="s">
        <v>29</v>
      </c>
      <c r="L493" s="8" t="s">
        <v>29</v>
      </c>
      <c r="M493" s="10" t="s">
        <v>29</v>
      </c>
      <c r="N493" s="8" t="s">
        <v>29</v>
      </c>
      <c r="O493" s="10" t="s">
        <v>19</v>
      </c>
      <c r="P493" s="8" t="s">
        <v>4833</v>
      </c>
      <c r="Q493" s="10" t="s">
        <v>174</v>
      </c>
      <c r="R493" s="10" t="s">
        <v>1387</v>
      </c>
      <c r="S493" s="8" t="s">
        <v>4834</v>
      </c>
      <c r="T493" s="10" t="s">
        <v>4835</v>
      </c>
      <c r="U493" s="10" t="s">
        <v>29</v>
      </c>
    </row>
    <row r="494" spans="1:21" s="10" customFormat="1" x14ac:dyDescent="0.25">
      <c r="A494" s="10" t="s">
        <v>4836</v>
      </c>
      <c r="B494" s="10" t="s">
        <v>4435</v>
      </c>
      <c r="C494" s="11" t="s">
        <v>297</v>
      </c>
      <c r="D494" s="10" t="s">
        <v>4837</v>
      </c>
      <c r="E494" s="8" t="s">
        <v>4838</v>
      </c>
      <c r="F494" s="8" t="s">
        <v>4839</v>
      </c>
      <c r="G494" s="10" t="s">
        <v>29</v>
      </c>
      <c r="H494" s="8" t="s">
        <v>1834</v>
      </c>
      <c r="I494" s="10" t="s">
        <v>1835</v>
      </c>
      <c r="J494" s="8" t="s">
        <v>2769</v>
      </c>
      <c r="K494" s="8" t="s">
        <v>29</v>
      </c>
      <c r="L494" s="8" t="s">
        <v>29</v>
      </c>
      <c r="M494" s="10" t="s">
        <v>29</v>
      </c>
      <c r="N494" s="8" t="s">
        <v>29</v>
      </c>
      <c r="O494" s="10" t="s">
        <v>19</v>
      </c>
      <c r="P494" s="8" t="s">
        <v>4840</v>
      </c>
      <c r="Q494" s="10" t="s">
        <v>190</v>
      </c>
      <c r="R494" s="10" t="s">
        <v>1387</v>
      </c>
      <c r="S494" s="8" t="s">
        <v>1837</v>
      </c>
      <c r="T494" s="10" t="s">
        <v>4835</v>
      </c>
      <c r="U494" s="10" t="s">
        <v>29</v>
      </c>
    </row>
    <row r="495" spans="1:21" s="10" customFormat="1" x14ac:dyDescent="0.25">
      <c r="A495" s="10" t="s">
        <v>4841</v>
      </c>
      <c r="B495" s="10" t="s">
        <v>4435</v>
      </c>
      <c r="C495" s="11" t="s">
        <v>297</v>
      </c>
      <c r="D495" s="10" t="s">
        <v>4842</v>
      </c>
      <c r="E495" s="8" t="s">
        <v>4843</v>
      </c>
      <c r="F495" s="8" t="s">
        <v>4844</v>
      </c>
      <c r="G495" s="10" t="s">
        <v>29</v>
      </c>
      <c r="H495" s="8" t="s">
        <v>4845</v>
      </c>
      <c r="I495" s="10" t="s">
        <v>1827</v>
      </c>
      <c r="J495" s="8" t="s">
        <v>2769</v>
      </c>
      <c r="K495" s="8" t="s">
        <v>29</v>
      </c>
      <c r="L495" s="8" t="s">
        <v>29</v>
      </c>
      <c r="M495" s="10" t="s">
        <v>29</v>
      </c>
      <c r="N495" s="8" t="s">
        <v>29</v>
      </c>
      <c r="O495" s="10" t="s">
        <v>19</v>
      </c>
      <c r="P495" s="8" t="s">
        <v>4846</v>
      </c>
      <c r="Q495" s="10" t="s">
        <v>1399</v>
      </c>
      <c r="R495" s="10" t="s">
        <v>1387</v>
      </c>
      <c r="S495" s="8" t="s">
        <v>4847</v>
      </c>
      <c r="T495" s="10" t="s">
        <v>4835</v>
      </c>
      <c r="U495" s="10" t="s">
        <v>29</v>
      </c>
    </row>
    <row r="496" spans="1:21" s="10" customFormat="1" x14ac:dyDescent="0.25">
      <c r="A496" s="10" t="s">
        <v>4848</v>
      </c>
      <c r="B496" s="10" t="s">
        <v>4435</v>
      </c>
      <c r="C496" s="10" t="s">
        <v>166</v>
      </c>
      <c r="D496" s="10" t="s">
        <v>4849</v>
      </c>
      <c r="E496" s="8" t="s">
        <v>4850</v>
      </c>
      <c r="F496" s="8" t="s">
        <v>4774</v>
      </c>
      <c r="G496" s="10" t="s">
        <v>29</v>
      </c>
      <c r="H496" s="8" t="s">
        <v>2133</v>
      </c>
      <c r="I496" s="10" t="s">
        <v>1835</v>
      </c>
      <c r="J496" s="8" t="s">
        <v>2769</v>
      </c>
      <c r="K496" s="8" t="s">
        <v>29</v>
      </c>
      <c r="L496" s="8" t="s">
        <v>29</v>
      </c>
      <c r="M496" s="10" t="s">
        <v>29</v>
      </c>
      <c r="N496" s="8" t="s">
        <v>29</v>
      </c>
      <c r="O496" s="10" t="s">
        <v>19</v>
      </c>
      <c r="P496" s="8" t="s">
        <v>4851</v>
      </c>
      <c r="Q496" s="10" t="s">
        <v>174</v>
      </c>
      <c r="R496" s="10" t="s">
        <v>1387</v>
      </c>
      <c r="S496" s="8" t="s">
        <v>4852</v>
      </c>
      <c r="T496" s="10" t="s">
        <v>4835</v>
      </c>
      <c r="U496" s="10" t="s">
        <v>29</v>
      </c>
    </row>
    <row r="497" spans="1:21" s="10" customFormat="1" x14ac:dyDescent="0.25">
      <c r="A497" s="10" t="s">
        <v>4853</v>
      </c>
      <c r="B497" s="10" t="s">
        <v>4435</v>
      </c>
      <c r="C497" s="10" t="s">
        <v>166</v>
      </c>
      <c r="D497" s="10" t="s">
        <v>4854</v>
      </c>
      <c r="E497" s="8" t="s">
        <v>4855</v>
      </c>
      <c r="F497" s="8" t="s">
        <v>4856</v>
      </c>
      <c r="G497" s="10" t="s">
        <v>29</v>
      </c>
      <c r="H497" s="8" t="s">
        <v>4857</v>
      </c>
      <c r="I497" s="10" t="s">
        <v>1835</v>
      </c>
      <c r="J497" s="8" t="s">
        <v>2769</v>
      </c>
      <c r="K497" s="8" t="s">
        <v>29</v>
      </c>
      <c r="L497" s="8" t="s">
        <v>29</v>
      </c>
      <c r="M497" s="10" t="s">
        <v>29</v>
      </c>
      <c r="N497" s="8" t="s">
        <v>29</v>
      </c>
      <c r="O497" s="10" t="s">
        <v>19</v>
      </c>
      <c r="P497" s="8" t="s">
        <v>4858</v>
      </c>
      <c r="Q497" s="10" t="s">
        <v>174</v>
      </c>
      <c r="R497" s="10" t="s">
        <v>1387</v>
      </c>
      <c r="S497" s="8" t="s">
        <v>4859</v>
      </c>
      <c r="T497" s="10" t="s">
        <v>4835</v>
      </c>
      <c r="U497" s="10" t="s">
        <v>29</v>
      </c>
    </row>
    <row r="498" spans="1:21" s="10" customFormat="1" x14ac:dyDescent="0.25">
      <c r="A498" s="10" t="s">
        <v>4860</v>
      </c>
      <c r="B498" s="10" t="s">
        <v>4435</v>
      </c>
      <c r="C498" s="11" t="s">
        <v>297</v>
      </c>
      <c r="D498" s="10" t="s">
        <v>4861</v>
      </c>
      <c r="E498" s="8" t="s">
        <v>4862</v>
      </c>
      <c r="F498" s="8" t="s">
        <v>4863</v>
      </c>
      <c r="G498" s="10" t="s">
        <v>29</v>
      </c>
      <c r="H498" s="8" t="s">
        <v>4864</v>
      </c>
      <c r="I498" s="10" t="s">
        <v>1835</v>
      </c>
      <c r="J498" s="8" t="s">
        <v>2769</v>
      </c>
      <c r="K498" s="8" t="s">
        <v>29</v>
      </c>
      <c r="L498" s="8" t="s">
        <v>29</v>
      </c>
      <c r="M498" s="10" t="s">
        <v>29</v>
      </c>
      <c r="N498" s="8" t="s">
        <v>29</v>
      </c>
      <c r="O498" s="10" t="s">
        <v>19</v>
      </c>
      <c r="P498" s="8" t="s">
        <v>4865</v>
      </c>
      <c r="Q498" s="10" t="s">
        <v>174</v>
      </c>
      <c r="R498" s="10" t="s">
        <v>1387</v>
      </c>
      <c r="S498" s="8" t="s">
        <v>4866</v>
      </c>
      <c r="T498" s="10" t="s">
        <v>4835</v>
      </c>
      <c r="U498" s="10" t="s">
        <v>29</v>
      </c>
    </row>
    <row r="499" spans="1:21" s="10" customFormat="1" x14ac:dyDescent="0.25">
      <c r="A499" s="10" t="s">
        <v>4867</v>
      </c>
      <c r="B499" s="10" t="s">
        <v>4435</v>
      </c>
      <c r="C499" s="11" t="s">
        <v>297</v>
      </c>
      <c r="D499" s="10" t="s">
        <v>4868</v>
      </c>
      <c r="E499" s="8" t="s">
        <v>4869</v>
      </c>
      <c r="F499" s="8" t="s">
        <v>4870</v>
      </c>
      <c r="G499" s="10" t="s">
        <v>29</v>
      </c>
      <c r="H499" s="8" t="s">
        <v>4871</v>
      </c>
      <c r="I499" s="10" t="s">
        <v>4872</v>
      </c>
      <c r="J499" s="8" t="s">
        <v>2769</v>
      </c>
      <c r="K499" s="8" t="s">
        <v>29</v>
      </c>
      <c r="L499" s="8" t="s">
        <v>29</v>
      </c>
      <c r="M499" s="10" t="s">
        <v>29</v>
      </c>
      <c r="N499" s="8" t="s">
        <v>29</v>
      </c>
      <c r="O499" s="10" t="s">
        <v>19</v>
      </c>
      <c r="P499" s="8" t="s">
        <v>4873</v>
      </c>
      <c r="Q499" s="10" t="s">
        <v>190</v>
      </c>
      <c r="R499" s="10" t="s">
        <v>1387</v>
      </c>
      <c r="S499" s="8" t="s">
        <v>4874</v>
      </c>
      <c r="T499" s="10" t="s">
        <v>4835</v>
      </c>
      <c r="U499" s="10" t="s">
        <v>29</v>
      </c>
    </row>
    <row r="500" spans="1:21" s="10" customFormat="1" x14ac:dyDescent="0.25">
      <c r="A500" s="10" t="s">
        <v>4875</v>
      </c>
      <c r="B500" s="10" t="s">
        <v>4435</v>
      </c>
      <c r="C500" s="10" t="s">
        <v>166</v>
      </c>
      <c r="D500" s="10" t="s">
        <v>4876</v>
      </c>
      <c r="E500" s="8" t="s">
        <v>4877</v>
      </c>
      <c r="F500" s="8" t="s">
        <v>4878</v>
      </c>
      <c r="G500" s="10" t="s">
        <v>29</v>
      </c>
      <c r="H500" s="8" t="s">
        <v>4879</v>
      </c>
      <c r="I500" s="10" t="s">
        <v>4880</v>
      </c>
      <c r="J500" s="8" t="s">
        <v>2769</v>
      </c>
      <c r="K500" s="8" t="s">
        <v>29</v>
      </c>
      <c r="L500" s="8" t="s">
        <v>29</v>
      </c>
      <c r="M500" s="10" t="s">
        <v>29</v>
      </c>
      <c r="N500" s="8" t="s">
        <v>29</v>
      </c>
      <c r="O500" s="10" t="s">
        <v>19</v>
      </c>
      <c r="P500" s="8" t="s">
        <v>4881</v>
      </c>
      <c r="Q500" s="10" t="s">
        <v>174</v>
      </c>
      <c r="R500" s="10" t="s">
        <v>1387</v>
      </c>
      <c r="S500" s="8" t="s">
        <v>4882</v>
      </c>
      <c r="T500" s="10" t="s">
        <v>4835</v>
      </c>
      <c r="U500" s="10" t="s">
        <v>29</v>
      </c>
    </row>
    <row r="501" spans="1:21" s="10" customFormat="1" x14ac:dyDescent="0.25">
      <c r="A501" s="10" t="s">
        <v>4883</v>
      </c>
      <c r="B501" s="10" t="s">
        <v>4435</v>
      </c>
      <c r="C501" s="11" t="s">
        <v>297</v>
      </c>
      <c r="D501" s="10" t="s">
        <v>4884</v>
      </c>
      <c r="E501" s="8" t="s">
        <v>4885</v>
      </c>
      <c r="F501" s="8" t="s">
        <v>4886</v>
      </c>
      <c r="G501" s="10" t="s">
        <v>29</v>
      </c>
      <c r="H501" s="8" t="s">
        <v>4887</v>
      </c>
      <c r="I501" s="10" t="s">
        <v>4880</v>
      </c>
      <c r="J501" s="8" t="s">
        <v>2769</v>
      </c>
      <c r="K501" s="8" t="s">
        <v>29</v>
      </c>
      <c r="L501" s="8" t="s">
        <v>29</v>
      </c>
      <c r="M501" s="10" t="s">
        <v>29</v>
      </c>
      <c r="N501" s="8" t="s">
        <v>29</v>
      </c>
      <c r="O501" s="10" t="s">
        <v>19</v>
      </c>
      <c r="P501" s="8" t="s">
        <v>4888</v>
      </c>
      <c r="Q501" s="10" t="s">
        <v>174</v>
      </c>
      <c r="R501" s="10" t="s">
        <v>1387</v>
      </c>
      <c r="S501" s="8" t="s">
        <v>4889</v>
      </c>
      <c r="T501" s="10" t="s">
        <v>4835</v>
      </c>
      <c r="U501" s="10" t="s">
        <v>29</v>
      </c>
    </row>
    <row r="502" spans="1:21" s="10" customFormat="1" x14ac:dyDescent="0.25">
      <c r="A502" s="10" t="s">
        <v>4890</v>
      </c>
      <c r="B502" s="10" t="s">
        <v>4435</v>
      </c>
      <c r="C502" s="11" t="s">
        <v>297</v>
      </c>
      <c r="D502" s="10" t="s">
        <v>4891</v>
      </c>
      <c r="E502" s="8" t="s">
        <v>4892</v>
      </c>
      <c r="F502" s="8" t="s">
        <v>4893</v>
      </c>
      <c r="G502" s="10" t="s">
        <v>29</v>
      </c>
      <c r="H502" s="8" t="s">
        <v>4894</v>
      </c>
      <c r="I502" s="10" t="s">
        <v>4880</v>
      </c>
      <c r="J502" s="8" t="s">
        <v>2769</v>
      </c>
      <c r="K502" s="8" t="s">
        <v>29</v>
      </c>
      <c r="L502" s="8" t="s">
        <v>29</v>
      </c>
      <c r="M502" s="10" t="s">
        <v>29</v>
      </c>
      <c r="N502" s="8" t="s">
        <v>29</v>
      </c>
      <c r="O502" s="10" t="s">
        <v>19</v>
      </c>
      <c r="P502" s="8" t="s">
        <v>4895</v>
      </c>
      <c r="Q502" s="10" t="s">
        <v>174</v>
      </c>
      <c r="R502" s="10" t="s">
        <v>1387</v>
      </c>
      <c r="S502" s="8" t="s">
        <v>4896</v>
      </c>
      <c r="T502" s="10" t="s">
        <v>4835</v>
      </c>
      <c r="U502" s="10" t="s">
        <v>29</v>
      </c>
    </row>
    <row r="503" spans="1:21" s="10" customFormat="1" x14ac:dyDescent="0.25">
      <c r="A503" s="10" t="s">
        <v>4897</v>
      </c>
      <c r="B503" s="10" t="s">
        <v>4435</v>
      </c>
      <c r="C503" s="11" t="s">
        <v>297</v>
      </c>
      <c r="D503" s="10" t="s">
        <v>4898</v>
      </c>
      <c r="E503" s="8" t="s">
        <v>4899</v>
      </c>
      <c r="F503" s="8" t="s">
        <v>4900</v>
      </c>
      <c r="G503" s="10" t="s">
        <v>29</v>
      </c>
      <c r="H503" s="8" t="s">
        <v>4901</v>
      </c>
      <c r="I503" s="10" t="s">
        <v>4880</v>
      </c>
      <c r="J503" s="8" t="s">
        <v>2769</v>
      </c>
      <c r="K503" s="8" t="s">
        <v>29</v>
      </c>
      <c r="L503" s="8" t="s">
        <v>29</v>
      </c>
      <c r="M503" s="10" t="s">
        <v>29</v>
      </c>
      <c r="N503" s="8" t="s">
        <v>29</v>
      </c>
      <c r="O503" s="10" t="s">
        <v>19</v>
      </c>
      <c r="P503" s="8" t="s">
        <v>4902</v>
      </c>
      <c r="Q503" s="10" t="s">
        <v>197</v>
      </c>
      <c r="R503" s="10" t="s">
        <v>1387</v>
      </c>
      <c r="S503" s="8" t="s">
        <v>4903</v>
      </c>
      <c r="T503" s="10" t="s">
        <v>4835</v>
      </c>
      <c r="U503" s="10" t="s">
        <v>29</v>
      </c>
    </row>
    <row r="504" spans="1:21" s="10" customFormat="1" x14ac:dyDescent="0.25">
      <c r="A504" s="10" t="s">
        <v>4904</v>
      </c>
      <c r="B504" s="10" t="s">
        <v>4435</v>
      </c>
      <c r="C504" s="11" t="s">
        <v>297</v>
      </c>
      <c r="D504" s="10" t="s">
        <v>4905</v>
      </c>
      <c r="E504" s="8" t="s">
        <v>4906</v>
      </c>
      <c r="F504" s="8" t="s">
        <v>4907</v>
      </c>
      <c r="G504" s="10" t="s">
        <v>29</v>
      </c>
      <c r="H504" s="8" t="s">
        <v>4908</v>
      </c>
      <c r="I504" s="10" t="s">
        <v>2105</v>
      </c>
      <c r="J504" s="8" t="s">
        <v>4909</v>
      </c>
      <c r="K504" s="8" t="s">
        <v>29</v>
      </c>
      <c r="L504" s="8" t="s">
        <v>29</v>
      </c>
      <c r="M504" s="10" t="s">
        <v>29</v>
      </c>
      <c r="N504" s="8" t="s">
        <v>29</v>
      </c>
      <c r="O504" s="10" t="s">
        <v>19</v>
      </c>
      <c r="P504" s="8" t="s">
        <v>4910</v>
      </c>
      <c r="Q504" s="10" t="s">
        <v>1399</v>
      </c>
      <c r="R504" s="10" t="s">
        <v>1387</v>
      </c>
      <c r="S504" s="8" t="s">
        <v>4911</v>
      </c>
      <c r="T504" s="10" t="s">
        <v>4835</v>
      </c>
      <c r="U504" s="10" t="s">
        <v>29</v>
      </c>
    </row>
    <row r="505" spans="1:21" s="10" customFormat="1" x14ac:dyDescent="0.25">
      <c r="A505" s="10" t="s">
        <v>4912</v>
      </c>
      <c r="B505" s="10" t="s">
        <v>4435</v>
      </c>
      <c r="C505" s="10" t="s">
        <v>166</v>
      </c>
      <c r="D505" s="10" t="s">
        <v>4913</v>
      </c>
      <c r="E505" s="8" t="s">
        <v>4914</v>
      </c>
      <c r="F505" s="8" t="s">
        <v>4915</v>
      </c>
      <c r="G505" s="10" t="s">
        <v>29</v>
      </c>
      <c r="H505" s="8" t="s">
        <v>4916</v>
      </c>
      <c r="I505" s="10" t="s">
        <v>4880</v>
      </c>
      <c r="J505" s="8" t="s">
        <v>2769</v>
      </c>
      <c r="K505" s="8" t="s">
        <v>29</v>
      </c>
      <c r="L505" s="8" t="s">
        <v>29</v>
      </c>
      <c r="M505" s="10" t="s">
        <v>29</v>
      </c>
      <c r="N505" s="8" t="s">
        <v>29</v>
      </c>
      <c r="O505" s="10" t="s">
        <v>19</v>
      </c>
      <c r="P505" s="8" t="s">
        <v>4917</v>
      </c>
      <c r="Q505" s="10" t="s">
        <v>174</v>
      </c>
      <c r="R505" s="10" t="s">
        <v>1387</v>
      </c>
      <c r="S505" s="8" t="s">
        <v>4918</v>
      </c>
      <c r="T505" s="10" t="s">
        <v>4835</v>
      </c>
      <c r="U505" s="10" t="s">
        <v>29</v>
      </c>
    </row>
    <row r="506" spans="1:21" s="10" customFormat="1" x14ac:dyDescent="0.25">
      <c r="A506" s="10" t="s">
        <v>4919</v>
      </c>
      <c r="B506" s="10" t="s">
        <v>4435</v>
      </c>
      <c r="C506" s="11" t="s">
        <v>297</v>
      </c>
      <c r="D506" s="10" t="s">
        <v>4920</v>
      </c>
      <c r="E506" s="8" t="s">
        <v>4921</v>
      </c>
      <c r="F506" s="8" t="s">
        <v>4922</v>
      </c>
      <c r="G506" s="10" t="s">
        <v>29</v>
      </c>
      <c r="H506" s="8" t="s">
        <v>4923</v>
      </c>
      <c r="I506" s="10" t="s">
        <v>4924</v>
      </c>
      <c r="J506" s="8" t="s">
        <v>1606</v>
      </c>
      <c r="K506" s="8" t="s">
        <v>29</v>
      </c>
      <c r="L506" s="8" t="s">
        <v>29</v>
      </c>
      <c r="M506" s="10" t="s">
        <v>29</v>
      </c>
      <c r="N506" s="8" t="s">
        <v>29</v>
      </c>
      <c r="O506" s="10" t="s">
        <v>19</v>
      </c>
      <c r="P506" s="8" t="s">
        <v>4925</v>
      </c>
      <c r="Q506" s="10" t="s">
        <v>1399</v>
      </c>
      <c r="R506" s="10" t="s">
        <v>1608</v>
      </c>
      <c r="S506" s="8" t="s">
        <v>2115</v>
      </c>
      <c r="T506" s="10" t="s">
        <v>4835</v>
      </c>
      <c r="U506" s="10" t="s">
        <v>29</v>
      </c>
    </row>
    <row r="507" spans="1:21" s="10" customFormat="1" x14ac:dyDescent="0.25">
      <c r="A507" s="10" t="s">
        <v>4926</v>
      </c>
      <c r="B507" s="10" t="s">
        <v>4435</v>
      </c>
      <c r="C507" s="11" t="s">
        <v>297</v>
      </c>
      <c r="D507" s="10" t="s">
        <v>4927</v>
      </c>
      <c r="E507" s="8" t="s">
        <v>4928</v>
      </c>
      <c r="F507" s="8" t="s">
        <v>4929</v>
      </c>
      <c r="G507" s="10" t="s">
        <v>29</v>
      </c>
      <c r="H507" s="8" t="s">
        <v>4930</v>
      </c>
      <c r="I507" s="10" t="s">
        <v>4931</v>
      </c>
      <c r="J507" s="8" t="s">
        <v>1615</v>
      </c>
      <c r="K507" s="8" t="s">
        <v>29</v>
      </c>
      <c r="L507" s="8" t="s">
        <v>29</v>
      </c>
      <c r="M507" s="10" t="s">
        <v>29</v>
      </c>
      <c r="N507" s="8" t="s">
        <v>29</v>
      </c>
      <c r="O507" s="10" t="s">
        <v>19</v>
      </c>
      <c r="P507" s="8" t="s">
        <v>4932</v>
      </c>
      <c r="Q507" s="10" t="s">
        <v>776</v>
      </c>
      <c r="R507" s="10" t="s">
        <v>4933</v>
      </c>
      <c r="S507" s="8" t="s">
        <v>1618</v>
      </c>
      <c r="T507" s="10" t="s">
        <v>4835</v>
      </c>
      <c r="U507" s="10" t="s">
        <v>29</v>
      </c>
    </row>
    <row r="508" spans="1:21" s="10" customFormat="1" x14ac:dyDescent="0.25">
      <c r="A508" s="10" t="s">
        <v>4934</v>
      </c>
      <c r="B508" s="10" t="s">
        <v>4435</v>
      </c>
      <c r="C508" s="10" t="s">
        <v>166</v>
      </c>
      <c r="D508" s="10" t="s">
        <v>4935</v>
      </c>
      <c r="E508" s="8" t="s">
        <v>4936</v>
      </c>
      <c r="F508" s="8" t="s">
        <v>4937</v>
      </c>
      <c r="G508" s="10" t="s">
        <v>29</v>
      </c>
      <c r="H508" s="8" t="s">
        <v>4871</v>
      </c>
      <c r="I508" s="10" t="s">
        <v>4872</v>
      </c>
      <c r="J508" s="8" t="s">
        <v>2769</v>
      </c>
      <c r="K508" s="8" t="s">
        <v>29</v>
      </c>
      <c r="L508" s="8" t="s">
        <v>29</v>
      </c>
      <c r="M508" s="10" t="s">
        <v>29</v>
      </c>
      <c r="N508" s="8" t="s">
        <v>29</v>
      </c>
      <c r="O508" s="10" t="s">
        <v>19</v>
      </c>
      <c r="P508" s="8" t="s">
        <v>4938</v>
      </c>
      <c r="Q508" s="10" t="s">
        <v>174</v>
      </c>
      <c r="R508" s="10" t="s">
        <v>1387</v>
      </c>
      <c r="S508" s="8" t="s">
        <v>1599</v>
      </c>
      <c r="T508" s="10" t="s">
        <v>4835</v>
      </c>
      <c r="U508" s="10" t="s">
        <v>29</v>
      </c>
    </row>
    <row r="509" spans="1:21" s="10" customFormat="1" x14ac:dyDescent="0.25">
      <c r="A509" s="10" t="s">
        <v>4939</v>
      </c>
      <c r="B509" s="10" t="s">
        <v>4435</v>
      </c>
      <c r="C509" s="10" t="s">
        <v>166</v>
      </c>
      <c r="D509" s="10" t="s">
        <v>4940</v>
      </c>
      <c r="E509" s="8" t="s">
        <v>4941</v>
      </c>
      <c r="F509" s="8" t="s">
        <v>4942</v>
      </c>
      <c r="G509" s="10" t="s">
        <v>29</v>
      </c>
      <c r="H509" s="8" t="s">
        <v>4943</v>
      </c>
      <c r="I509" s="10" t="s">
        <v>4944</v>
      </c>
      <c r="J509" s="8" t="s">
        <v>2769</v>
      </c>
      <c r="K509" s="8" t="s">
        <v>29</v>
      </c>
      <c r="L509" s="8" t="s">
        <v>29</v>
      </c>
      <c r="M509" s="10" t="s">
        <v>29</v>
      </c>
      <c r="N509" s="8" t="s">
        <v>29</v>
      </c>
      <c r="O509" s="10" t="s">
        <v>19</v>
      </c>
      <c r="P509" s="8" t="s">
        <v>4945</v>
      </c>
      <c r="Q509" s="10" t="s">
        <v>174</v>
      </c>
      <c r="R509" s="10" t="s">
        <v>1387</v>
      </c>
      <c r="S509" s="8" t="s">
        <v>4946</v>
      </c>
      <c r="T509" s="10" t="s">
        <v>4835</v>
      </c>
      <c r="U509" s="10" t="s">
        <v>29</v>
      </c>
    </row>
    <row r="510" spans="1:21" s="10" customFormat="1" x14ac:dyDescent="0.25">
      <c r="A510" s="10" t="s">
        <v>4947</v>
      </c>
      <c r="B510" s="10" t="s">
        <v>4435</v>
      </c>
      <c r="C510" s="11" t="s">
        <v>297</v>
      </c>
      <c r="D510" s="10" t="s">
        <v>4948</v>
      </c>
      <c r="E510" s="8" t="s">
        <v>4949</v>
      </c>
      <c r="F510" s="8" t="s">
        <v>4950</v>
      </c>
      <c r="G510" s="10" t="s">
        <v>29</v>
      </c>
      <c r="H510" s="8" t="s">
        <v>4951</v>
      </c>
      <c r="I510" s="10" t="s">
        <v>1579</v>
      </c>
      <c r="J510" s="8" t="s">
        <v>2769</v>
      </c>
      <c r="K510" s="8" t="s">
        <v>29</v>
      </c>
      <c r="L510" s="8" t="s">
        <v>29</v>
      </c>
      <c r="M510" s="10" t="s">
        <v>29</v>
      </c>
      <c r="N510" s="8" t="s">
        <v>29</v>
      </c>
      <c r="O510" s="10" t="s">
        <v>19</v>
      </c>
      <c r="P510" s="8" t="s">
        <v>4952</v>
      </c>
      <c r="Q510" s="10" t="s">
        <v>174</v>
      </c>
      <c r="R510" s="10" t="s">
        <v>1387</v>
      </c>
      <c r="S510" s="8" t="s">
        <v>4953</v>
      </c>
      <c r="T510" s="10" t="s">
        <v>4835</v>
      </c>
      <c r="U510" s="10" t="s">
        <v>29</v>
      </c>
    </row>
    <row r="511" spans="1:21" s="10" customFormat="1" x14ac:dyDescent="0.25">
      <c r="A511" s="10" t="s">
        <v>4954</v>
      </c>
      <c r="B511" s="10" t="s">
        <v>4435</v>
      </c>
      <c r="C511" s="11" t="s">
        <v>297</v>
      </c>
      <c r="D511" s="10" t="s">
        <v>4955</v>
      </c>
      <c r="E511" s="8" t="s">
        <v>4956</v>
      </c>
      <c r="F511" s="8" t="s">
        <v>4957</v>
      </c>
      <c r="G511" s="10" t="s">
        <v>29</v>
      </c>
      <c r="H511" s="8" t="s">
        <v>4738</v>
      </c>
      <c r="I511" s="10" t="s">
        <v>490</v>
      </c>
      <c r="J511" s="8" t="s">
        <v>2769</v>
      </c>
      <c r="K511" s="8" t="s">
        <v>29</v>
      </c>
      <c r="L511" s="8" t="s">
        <v>29</v>
      </c>
      <c r="M511" s="10" t="s">
        <v>29</v>
      </c>
      <c r="N511" s="8" t="s">
        <v>29</v>
      </c>
      <c r="O511" s="10" t="s">
        <v>19</v>
      </c>
      <c r="P511" s="8" t="s">
        <v>4958</v>
      </c>
      <c r="Q511" s="10" t="s">
        <v>197</v>
      </c>
      <c r="R511" s="10" t="s">
        <v>1387</v>
      </c>
      <c r="S511" s="8" t="s">
        <v>4959</v>
      </c>
      <c r="T511" s="10" t="s">
        <v>4835</v>
      </c>
      <c r="U511" s="10" t="s">
        <v>29</v>
      </c>
    </row>
    <row r="512" spans="1:21" s="10" customFormat="1" x14ac:dyDescent="0.25">
      <c r="A512" s="10" t="s">
        <v>4960</v>
      </c>
      <c r="B512" s="10" t="s">
        <v>4435</v>
      </c>
      <c r="C512" s="11" t="s">
        <v>297</v>
      </c>
      <c r="D512" s="10" t="s">
        <v>4961</v>
      </c>
      <c r="E512" s="8" t="s">
        <v>4962</v>
      </c>
      <c r="F512" s="8" t="s">
        <v>4963</v>
      </c>
      <c r="G512" s="10" t="s">
        <v>29</v>
      </c>
      <c r="H512" s="8" t="s">
        <v>4543</v>
      </c>
      <c r="I512" s="10" t="s">
        <v>490</v>
      </c>
      <c r="J512" s="8" t="s">
        <v>2769</v>
      </c>
      <c r="K512" s="8" t="s">
        <v>29</v>
      </c>
      <c r="L512" s="8" t="s">
        <v>29</v>
      </c>
      <c r="M512" s="10" t="s">
        <v>29</v>
      </c>
      <c r="N512" s="8" t="s">
        <v>29</v>
      </c>
      <c r="O512" s="10" t="s">
        <v>19</v>
      </c>
      <c r="P512" s="8" t="s">
        <v>4964</v>
      </c>
      <c r="Q512" s="10" t="s">
        <v>197</v>
      </c>
      <c r="R512" s="10" t="s">
        <v>1387</v>
      </c>
      <c r="S512" s="8" t="s">
        <v>4965</v>
      </c>
      <c r="T512" s="10" t="s">
        <v>4835</v>
      </c>
      <c r="U512" s="10" t="s">
        <v>29</v>
      </c>
    </row>
    <row r="513" spans="1:21" s="10" customFormat="1" x14ac:dyDescent="0.25">
      <c r="A513" s="10" t="s">
        <v>4966</v>
      </c>
      <c r="B513" s="10" t="s">
        <v>4435</v>
      </c>
      <c r="C513" s="11" t="s">
        <v>297</v>
      </c>
      <c r="D513" s="10" t="s">
        <v>4967</v>
      </c>
      <c r="E513" s="8" t="s">
        <v>4968</v>
      </c>
      <c r="F513" s="8" t="s">
        <v>4969</v>
      </c>
      <c r="G513" s="10" t="s">
        <v>29</v>
      </c>
      <c r="H513" s="8" t="s">
        <v>4970</v>
      </c>
      <c r="I513" s="10" t="s">
        <v>1579</v>
      </c>
      <c r="J513" s="8" t="s">
        <v>2769</v>
      </c>
      <c r="K513" s="8" t="s">
        <v>29</v>
      </c>
      <c r="L513" s="8" t="s">
        <v>29</v>
      </c>
      <c r="M513" s="10" t="s">
        <v>29</v>
      </c>
      <c r="N513" s="8" t="s">
        <v>29</v>
      </c>
      <c r="O513" s="10" t="s">
        <v>19</v>
      </c>
      <c r="P513" s="8" t="s">
        <v>4971</v>
      </c>
      <c r="Q513" s="10" t="s">
        <v>197</v>
      </c>
      <c r="R513" s="10" t="s">
        <v>1387</v>
      </c>
      <c r="S513" s="8" t="s">
        <v>4972</v>
      </c>
      <c r="T513" s="10" t="s">
        <v>4835</v>
      </c>
      <c r="U513" s="10" t="s">
        <v>29</v>
      </c>
    </row>
    <row r="514" spans="1:21" s="10" customFormat="1" x14ac:dyDescent="0.25">
      <c r="A514" s="10" t="s">
        <v>4973</v>
      </c>
      <c r="B514" s="10" t="s">
        <v>4435</v>
      </c>
      <c r="C514" s="11" t="s">
        <v>297</v>
      </c>
      <c r="D514" s="10" t="s">
        <v>4974</v>
      </c>
      <c r="E514" s="8" t="s">
        <v>4975</v>
      </c>
      <c r="F514" s="8" t="s">
        <v>4976</v>
      </c>
      <c r="G514" s="10" t="s">
        <v>29</v>
      </c>
      <c r="H514" s="8" t="s">
        <v>4977</v>
      </c>
      <c r="I514" s="10" t="s">
        <v>4978</v>
      </c>
      <c r="J514" s="8" t="s">
        <v>2769</v>
      </c>
      <c r="K514" s="8" t="s">
        <v>29</v>
      </c>
      <c r="L514" s="8" t="s">
        <v>29</v>
      </c>
      <c r="M514" s="10" t="s">
        <v>29</v>
      </c>
      <c r="N514" s="8" t="s">
        <v>29</v>
      </c>
      <c r="O514" s="10" t="s">
        <v>19</v>
      </c>
      <c r="P514" s="8" t="s">
        <v>4979</v>
      </c>
      <c r="Q514" s="10" t="s">
        <v>174</v>
      </c>
      <c r="R514" s="10" t="s">
        <v>1387</v>
      </c>
      <c r="S514" s="8" t="s">
        <v>4980</v>
      </c>
      <c r="T514" s="10" t="s">
        <v>4835</v>
      </c>
      <c r="U514" s="10" t="s">
        <v>29</v>
      </c>
    </row>
    <row r="515" spans="1:21" s="10" customFormat="1" x14ac:dyDescent="0.25">
      <c r="A515" s="10" t="s">
        <v>4981</v>
      </c>
      <c r="B515" s="10" t="s">
        <v>4435</v>
      </c>
      <c r="C515" s="11" t="s">
        <v>297</v>
      </c>
      <c r="D515" s="10" t="s">
        <v>4982</v>
      </c>
      <c r="E515" s="8" t="s">
        <v>4983</v>
      </c>
      <c r="F515" s="8" t="s">
        <v>4984</v>
      </c>
      <c r="G515" s="10" t="s">
        <v>29</v>
      </c>
      <c r="H515" s="8" t="s">
        <v>4985</v>
      </c>
      <c r="I515" s="10" t="s">
        <v>490</v>
      </c>
      <c r="J515" s="8" t="s">
        <v>2769</v>
      </c>
      <c r="K515" s="8" t="s">
        <v>29</v>
      </c>
      <c r="L515" s="8" t="s">
        <v>29</v>
      </c>
      <c r="M515" s="10" t="s">
        <v>29</v>
      </c>
      <c r="N515" s="8" t="s">
        <v>29</v>
      </c>
      <c r="O515" s="10" t="s">
        <v>19</v>
      </c>
      <c r="P515" s="8" t="s">
        <v>4986</v>
      </c>
      <c r="Q515" s="10" t="s">
        <v>190</v>
      </c>
      <c r="R515" s="10" t="s">
        <v>1387</v>
      </c>
      <c r="S515" s="8" t="s">
        <v>4987</v>
      </c>
      <c r="T515" s="10" t="s">
        <v>4835</v>
      </c>
      <c r="U515" s="10" t="s">
        <v>29</v>
      </c>
    </row>
    <row r="516" spans="1:21" s="10" customFormat="1" x14ac:dyDescent="0.25">
      <c r="A516" s="10" t="s">
        <v>4988</v>
      </c>
      <c r="B516" s="10" t="s">
        <v>4435</v>
      </c>
      <c r="C516" s="11" t="s">
        <v>297</v>
      </c>
      <c r="D516" s="10" t="s">
        <v>4989</v>
      </c>
      <c r="E516" s="8" t="s">
        <v>4990</v>
      </c>
      <c r="F516" s="8" t="s">
        <v>4991</v>
      </c>
      <c r="G516" s="10" t="s">
        <v>29</v>
      </c>
      <c r="H516" s="8" t="s">
        <v>4992</v>
      </c>
      <c r="I516" s="10" t="s">
        <v>4993</v>
      </c>
      <c r="J516" s="8" t="s">
        <v>4994</v>
      </c>
      <c r="K516" s="8" t="s">
        <v>29</v>
      </c>
      <c r="L516" s="8" t="s">
        <v>29</v>
      </c>
      <c r="M516" s="10" t="s">
        <v>29</v>
      </c>
      <c r="N516" s="8" t="s">
        <v>29</v>
      </c>
      <c r="O516" s="10" t="s">
        <v>19</v>
      </c>
      <c r="P516" s="8" t="s">
        <v>4995</v>
      </c>
      <c r="Q516" s="10" t="s">
        <v>1399</v>
      </c>
      <c r="R516" s="10" t="s">
        <v>1387</v>
      </c>
      <c r="S516" s="8" t="s">
        <v>4996</v>
      </c>
      <c r="T516" s="10" t="s">
        <v>4835</v>
      </c>
      <c r="U516" s="10" t="s">
        <v>29</v>
      </c>
    </row>
    <row r="517" spans="1:21" s="10" customFormat="1" x14ac:dyDescent="0.25">
      <c r="A517" s="10" t="s">
        <v>4997</v>
      </c>
      <c r="B517" s="10" t="s">
        <v>4435</v>
      </c>
      <c r="C517" s="11" t="s">
        <v>297</v>
      </c>
      <c r="D517" s="10" t="s">
        <v>4998</v>
      </c>
      <c r="E517" s="8" t="s">
        <v>4999</v>
      </c>
      <c r="F517" s="8" t="s">
        <v>5000</v>
      </c>
      <c r="G517" s="10" t="s">
        <v>29</v>
      </c>
      <c r="H517" s="8" t="s">
        <v>5001</v>
      </c>
      <c r="I517" s="10" t="s">
        <v>1579</v>
      </c>
      <c r="J517" s="8" t="s">
        <v>4994</v>
      </c>
      <c r="K517" s="8" t="s">
        <v>29</v>
      </c>
      <c r="L517" s="8" t="s">
        <v>29</v>
      </c>
      <c r="M517" s="10" t="s">
        <v>29</v>
      </c>
      <c r="N517" s="8" t="s">
        <v>29</v>
      </c>
      <c r="O517" s="10" t="s">
        <v>19</v>
      </c>
      <c r="P517" s="8" t="s">
        <v>5002</v>
      </c>
      <c r="Q517" s="10" t="s">
        <v>1399</v>
      </c>
      <c r="R517" s="10" t="s">
        <v>1387</v>
      </c>
      <c r="S517" s="8" t="s">
        <v>5003</v>
      </c>
      <c r="T517" s="10" t="s">
        <v>4835</v>
      </c>
      <c r="U517" s="10" t="s">
        <v>29</v>
      </c>
    </row>
    <row r="518" spans="1:21" s="10" customFormat="1" x14ac:dyDescent="0.25">
      <c r="A518" s="10" t="s">
        <v>5004</v>
      </c>
      <c r="B518" s="10" t="s">
        <v>4435</v>
      </c>
      <c r="C518" s="11" t="s">
        <v>297</v>
      </c>
      <c r="D518" s="10" t="s">
        <v>5005</v>
      </c>
      <c r="E518" s="8" t="s">
        <v>5006</v>
      </c>
      <c r="F518" s="8" t="s">
        <v>5007</v>
      </c>
      <c r="G518" s="10" t="s">
        <v>29</v>
      </c>
      <c r="H518" s="8" t="s">
        <v>5008</v>
      </c>
      <c r="I518" s="10" t="s">
        <v>1579</v>
      </c>
      <c r="J518" s="8" t="s">
        <v>4994</v>
      </c>
      <c r="K518" s="8" t="s">
        <v>29</v>
      </c>
      <c r="L518" s="8" t="s">
        <v>29</v>
      </c>
      <c r="M518" s="10" t="s">
        <v>29</v>
      </c>
      <c r="N518" s="8" t="s">
        <v>29</v>
      </c>
      <c r="O518" s="10" t="s">
        <v>19</v>
      </c>
      <c r="P518" s="8" t="s">
        <v>5009</v>
      </c>
      <c r="Q518" s="10" t="s">
        <v>1399</v>
      </c>
      <c r="R518" s="10" t="s">
        <v>1387</v>
      </c>
      <c r="S518" s="8" t="s">
        <v>5010</v>
      </c>
      <c r="T518" s="10" t="s">
        <v>4835</v>
      </c>
      <c r="U518" s="10" t="s">
        <v>29</v>
      </c>
    </row>
    <row r="519" spans="1:21" s="10" customFormat="1" x14ac:dyDescent="0.25">
      <c r="A519" s="10" t="s">
        <v>5011</v>
      </c>
      <c r="B519" s="10" t="s">
        <v>4435</v>
      </c>
      <c r="C519" s="10" t="s">
        <v>166</v>
      </c>
      <c r="D519" s="10" t="s">
        <v>5012</v>
      </c>
      <c r="E519" s="8" t="s">
        <v>5013</v>
      </c>
      <c r="F519" s="8" t="s">
        <v>5014</v>
      </c>
      <c r="G519" s="10" t="s">
        <v>29</v>
      </c>
      <c r="H519" s="8" t="s">
        <v>5015</v>
      </c>
      <c r="I519" s="10" t="s">
        <v>1579</v>
      </c>
      <c r="J519" s="8" t="s">
        <v>2769</v>
      </c>
      <c r="K519" s="8" t="s">
        <v>29</v>
      </c>
      <c r="L519" s="8" t="s">
        <v>29</v>
      </c>
      <c r="M519" s="10" t="s">
        <v>29</v>
      </c>
      <c r="N519" s="8" t="s">
        <v>29</v>
      </c>
      <c r="O519" s="10" t="s">
        <v>19</v>
      </c>
      <c r="P519" s="8" t="s">
        <v>5016</v>
      </c>
      <c r="Q519" s="10" t="s">
        <v>174</v>
      </c>
      <c r="R519" s="10" t="s">
        <v>1387</v>
      </c>
      <c r="S519" s="8" t="s">
        <v>5017</v>
      </c>
      <c r="T519" s="10" t="s">
        <v>4835</v>
      </c>
      <c r="U519" s="10" t="s">
        <v>29</v>
      </c>
    </row>
    <row r="520" spans="1:21" s="10" customFormat="1" x14ac:dyDescent="0.25">
      <c r="A520" s="10" t="s">
        <v>5018</v>
      </c>
      <c r="B520" s="10" t="s">
        <v>4435</v>
      </c>
      <c r="C520" s="10" t="s">
        <v>166</v>
      </c>
      <c r="D520" s="10" t="s">
        <v>5019</v>
      </c>
      <c r="E520" s="8" t="s">
        <v>5020</v>
      </c>
      <c r="F520" s="8" t="s">
        <v>5021</v>
      </c>
      <c r="G520" s="10" t="s">
        <v>29</v>
      </c>
      <c r="H520" s="8" t="s">
        <v>5022</v>
      </c>
      <c r="I520" s="10" t="s">
        <v>5023</v>
      </c>
      <c r="J520" s="8" t="s">
        <v>2769</v>
      </c>
      <c r="K520" s="8" t="s">
        <v>29</v>
      </c>
      <c r="L520" s="8" t="s">
        <v>29</v>
      </c>
      <c r="M520" s="10" t="s">
        <v>29</v>
      </c>
      <c r="N520" s="8" t="s">
        <v>29</v>
      </c>
      <c r="O520" s="10" t="s">
        <v>19</v>
      </c>
      <c r="P520" s="8" t="s">
        <v>5024</v>
      </c>
      <c r="Q520" s="10" t="s">
        <v>174</v>
      </c>
      <c r="R520" s="10" t="s">
        <v>1387</v>
      </c>
      <c r="S520" s="8" t="s">
        <v>5025</v>
      </c>
      <c r="T520" s="10" t="s">
        <v>4835</v>
      </c>
      <c r="U520" s="10" t="s">
        <v>29</v>
      </c>
    </row>
    <row r="521" spans="1:21" s="10" customFormat="1" x14ac:dyDescent="0.25">
      <c r="A521" s="10" t="s">
        <v>5026</v>
      </c>
      <c r="B521" s="10" t="s">
        <v>4435</v>
      </c>
      <c r="C521" s="10" t="s">
        <v>166</v>
      </c>
      <c r="D521" s="10" t="s">
        <v>5027</v>
      </c>
      <c r="E521" s="8" t="s">
        <v>5028</v>
      </c>
      <c r="F521" s="8" t="s">
        <v>5029</v>
      </c>
      <c r="G521" s="10" t="s">
        <v>29</v>
      </c>
      <c r="H521" s="8" t="s">
        <v>5030</v>
      </c>
      <c r="I521" s="10" t="s">
        <v>5031</v>
      </c>
      <c r="J521" s="8" t="s">
        <v>2769</v>
      </c>
      <c r="K521" s="8" t="s">
        <v>29</v>
      </c>
      <c r="L521" s="8" t="s">
        <v>29</v>
      </c>
      <c r="M521" s="10" t="s">
        <v>29</v>
      </c>
      <c r="N521" s="8" t="s">
        <v>29</v>
      </c>
      <c r="O521" s="10" t="s">
        <v>19</v>
      </c>
      <c r="P521" s="8" t="s">
        <v>5032</v>
      </c>
      <c r="Q521" s="10" t="s">
        <v>174</v>
      </c>
      <c r="R521" s="10" t="s">
        <v>1387</v>
      </c>
      <c r="S521" s="8" t="s">
        <v>5033</v>
      </c>
      <c r="T521" s="10" t="s">
        <v>4835</v>
      </c>
      <c r="U521" s="10" t="s">
        <v>29</v>
      </c>
    </row>
    <row r="522" spans="1:21" s="10" customFormat="1" x14ac:dyDescent="0.25">
      <c r="A522" s="10" t="s">
        <v>5034</v>
      </c>
      <c r="B522" s="10" t="s">
        <v>4435</v>
      </c>
      <c r="C522" s="11" t="s">
        <v>297</v>
      </c>
      <c r="D522" s="10" t="s">
        <v>5035</v>
      </c>
      <c r="E522" s="8" t="s">
        <v>5036</v>
      </c>
      <c r="F522" s="8" t="s">
        <v>5037</v>
      </c>
      <c r="G522" s="10" t="s">
        <v>29</v>
      </c>
      <c r="H522" s="8" t="s">
        <v>1604</v>
      </c>
      <c r="I522" s="10" t="s">
        <v>4659</v>
      </c>
      <c r="J522" s="8" t="s">
        <v>1606</v>
      </c>
      <c r="K522" s="8" t="s">
        <v>29</v>
      </c>
      <c r="L522" s="8" t="s">
        <v>29</v>
      </c>
      <c r="M522" s="10" t="s">
        <v>29</v>
      </c>
      <c r="N522" s="8" t="s">
        <v>29</v>
      </c>
      <c r="O522" s="10" t="s">
        <v>19</v>
      </c>
      <c r="P522" s="8" t="s">
        <v>5038</v>
      </c>
      <c r="Q522" s="10" t="s">
        <v>1399</v>
      </c>
      <c r="R522" s="10" t="s">
        <v>1608</v>
      </c>
      <c r="S522" s="8" t="s">
        <v>1609</v>
      </c>
      <c r="T522" s="10" t="s">
        <v>4835</v>
      </c>
      <c r="U522" s="10" t="s">
        <v>29</v>
      </c>
    </row>
    <row r="523" spans="1:21" s="10" customFormat="1" x14ac:dyDescent="0.25">
      <c r="A523" s="10" t="s">
        <v>5039</v>
      </c>
      <c r="B523" s="10" t="s">
        <v>4435</v>
      </c>
      <c r="C523" s="11" t="s">
        <v>297</v>
      </c>
      <c r="D523" s="10" t="s">
        <v>5040</v>
      </c>
      <c r="E523" s="8" t="s">
        <v>5041</v>
      </c>
      <c r="F523" s="8" t="s">
        <v>1613</v>
      </c>
      <c r="G523" s="10" t="s">
        <v>29</v>
      </c>
      <c r="H523" s="8" t="s">
        <v>4930</v>
      </c>
      <c r="I523" s="10" t="s">
        <v>5042</v>
      </c>
      <c r="J523" s="8" t="s">
        <v>1615</v>
      </c>
      <c r="K523" s="8" t="s">
        <v>29</v>
      </c>
      <c r="L523" s="8" t="s">
        <v>29</v>
      </c>
      <c r="M523" s="10" t="s">
        <v>29</v>
      </c>
      <c r="N523" s="8" t="s">
        <v>29</v>
      </c>
      <c r="O523" s="10" t="s">
        <v>19</v>
      </c>
      <c r="P523" s="8" t="s">
        <v>5043</v>
      </c>
      <c r="Q523" s="10" t="s">
        <v>776</v>
      </c>
      <c r="R523" s="10" t="s">
        <v>4933</v>
      </c>
      <c r="S523" s="8" t="s">
        <v>1618</v>
      </c>
      <c r="T523" s="10" t="s">
        <v>4835</v>
      </c>
      <c r="U523" s="10" t="s">
        <v>29</v>
      </c>
    </row>
    <row r="524" spans="1:21" s="10" customFormat="1" x14ac:dyDescent="0.25">
      <c r="A524" s="10" t="s">
        <v>5044</v>
      </c>
      <c r="B524" s="10" t="s">
        <v>4435</v>
      </c>
      <c r="C524" s="10" t="s">
        <v>166</v>
      </c>
      <c r="D524" s="10" t="s">
        <v>5045</v>
      </c>
      <c r="E524" s="8" t="s">
        <v>5046</v>
      </c>
      <c r="F524" s="8" t="s">
        <v>5047</v>
      </c>
      <c r="G524" s="10" t="s">
        <v>29</v>
      </c>
      <c r="H524" s="8" t="s">
        <v>5030</v>
      </c>
      <c r="I524" s="10" t="s">
        <v>490</v>
      </c>
      <c r="J524" s="8" t="s">
        <v>2769</v>
      </c>
      <c r="K524" s="8" t="s">
        <v>29</v>
      </c>
      <c r="L524" s="8" t="s">
        <v>29</v>
      </c>
      <c r="M524" s="10" t="s">
        <v>29</v>
      </c>
      <c r="N524" s="8" t="s">
        <v>29</v>
      </c>
      <c r="O524" s="10" t="s">
        <v>19</v>
      </c>
      <c r="P524" s="8" t="s">
        <v>5048</v>
      </c>
      <c r="Q524" s="10" t="s">
        <v>174</v>
      </c>
      <c r="R524" s="10" t="s">
        <v>1387</v>
      </c>
      <c r="S524" s="8" t="s">
        <v>1599</v>
      </c>
      <c r="T524" s="10" t="s">
        <v>4835</v>
      </c>
      <c r="U524" s="10" t="s">
        <v>29</v>
      </c>
    </row>
    <row r="525" spans="1:21" s="10" customFormat="1" x14ac:dyDescent="0.25">
      <c r="A525" s="10" t="s">
        <v>5049</v>
      </c>
      <c r="B525" s="10" t="s">
        <v>4435</v>
      </c>
      <c r="C525" s="10" t="s">
        <v>166</v>
      </c>
      <c r="D525" s="10" t="s">
        <v>5050</v>
      </c>
      <c r="E525" s="8" t="s">
        <v>5051</v>
      </c>
      <c r="F525" s="8" t="s">
        <v>5052</v>
      </c>
      <c r="G525" s="10" t="s">
        <v>29</v>
      </c>
      <c r="H525" s="8" t="s">
        <v>5053</v>
      </c>
      <c r="I525" s="10" t="s">
        <v>5054</v>
      </c>
      <c r="J525" s="8" t="s">
        <v>2769</v>
      </c>
      <c r="K525" s="8" t="s">
        <v>29</v>
      </c>
      <c r="L525" s="8" t="s">
        <v>29</v>
      </c>
      <c r="M525" s="10" t="s">
        <v>29</v>
      </c>
      <c r="N525" s="8" t="s">
        <v>29</v>
      </c>
      <c r="O525" s="10" t="s">
        <v>19</v>
      </c>
      <c r="P525" s="8" t="s">
        <v>5055</v>
      </c>
      <c r="Q525" s="10" t="s">
        <v>174</v>
      </c>
      <c r="R525" s="10" t="s">
        <v>1387</v>
      </c>
      <c r="S525" s="8" t="s">
        <v>5056</v>
      </c>
      <c r="T525" s="10" t="s">
        <v>4835</v>
      </c>
      <c r="U525" s="10" t="s">
        <v>29</v>
      </c>
    </row>
    <row r="526" spans="1:21" s="10" customFormat="1" x14ac:dyDescent="0.25">
      <c r="A526" s="10" t="s">
        <v>5057</v>
      </c>
      <c r="B526" s="10" t="s">
        <v>4435</v>
      </c>
      <c r="C526" s="11" t="s">
        <v>297</v>
      </c>
      <c r="D526" s="10" t="s">
        <v>5058</v>
      </c>
      <c r="E526" s="8" t="s">
        <v>5059</v>
      </c>
      <c r="F526" s="8" t="s">
        <v>5060</v>
      </c>
      <c r="G526" s="10" t="s">
        <v>29</v>
      </c>
      <c r="H526" s="8" t="s">
        <v>5061</v>
      </c>
      <c r="I526" s="10" t="s">
        <v>5062</v>
      </c>
      <c r="J526" s="8" t="s">
        <v>2769</v>
      </c>
      <c r="K526" s="8" t="s">
        <v>29</v>
      </c>
      <c r="L526" s="8" t="s">
        <v>29</v>
      </c>
      <c r="M526" s="10" t="s">
        <v>29</v>
      </c>
      <c r="N526" s="8" t="s">
        <v>29</v>
      </c>
      <c r="O526" s="10" t="s">
        <v>19</v>
      </c>
      <c r="P526" s="8" t="s">
        <v>5063</v>
      </c>
      <c r="Q526" s="10" t="s">
        <v>174</v>
      </c>
      <c r="R526" s="10" t="s">
        <v>1387</v>
      </c>
      <c r="S526" s="8" t="s">
        <v>5064</v>
      </c>
      <c r="T526" s="10" t="s">
        <v>4835</v>
      </c>
      <c r="U526" s="10" t="s">
        <v>29</v>
      </c>
    </row>
    <row r="527" spans="1:21" s="10" customFormat="1" x14ac:dyDescent="0.25">
      <c r="A527" s="10" t="s">
        <v>5065</v>
      </c>
      <c r="B527" s="10" t="s">
        <v>4435</v>
      </c>
      <c r="C527" s="11" t="s">
        <v>297</v>
      </c>
      <c r="D527" s="10" t="s">
        <v>5066</v>
      </c>
      <c r="E527" s="8" t="s">
        <v>5067</v>
      </c>
      <c r="F527" s="8" t="s">
        <v>5068</v>
      </c>
      <c r="G527" s="10" t="s">
        <v>29</v>
      </c>
      <c r="H527" s="8" t="s">
        <v>5069</v>
      </c>
      <c r="I527" s="10" t="s">
        <v>5070</v>
      </c>
      <c r="J527" s="8" t="s">
        <v>2769</v>
      </c>
      <c r="K527" s="8" t="s">
        <v>29</v>
      </c>
      <c r="L527" s="8" t="s">
        <v>29</v>
      </c>
      <c r="M527" s="10" t="s">
        <v>29</v>
      </c>
      <c r="N527" s="8" t="s">
        <v>29</v>
      </c>
      <c r="O527" s="10" t="s">
        <v>19</v>
      </c>
      <c r="P527" s="8" t="s">
        <v>5071</v>
      </c>
      <c r="Q527" s="10" t="s">
        <v>190</v>
      </c>
      <c r="R527" s="10" t="s">
        <v>1387</v>
      </c>
      <c r="S527" s="8" t="s">
        <v>4874</v>
      </c>
      <c r="T527" s="10" t="s">
        <v>4835</v>
      </c>
      <c r="U527" s="10" t="s">
        <v>29</v>
      </c>
    </row>
    <row r="528" spans="1:21" s="10" customFormat="1" x14ac:dyDescent="0.25">
      <c r="A528" s="10" t="s">
        <v>5072</v>
      </c>
      <c r="B528" s="10" t="s">
        <v>4435</v>
      </c>
      <c r="C528" s="11" t="s">
        <v>297</v>
      </c>
      <c r="D528" s="10" t="s">
        <v>5073</v>
      </c>
      <c r="E528" s="8" t="s">
        <v>5074</v>
      </c>
      <c r="F528" s="8" t="s">
        <v>5075</v>
      </c>
      <c r="G528" s="10" t="s">
        <v>29</v>
      </c>
      <c r="H528" s="8" t="s">
        <v>5076</v>
      </c>
      <c r="I528" s="10" t="s">
        <v>5077</v>
      </c>
      <c r="J528" s="8" t="s">
        <v>2769</v>
      </c>
      <c r="K528" s="8" t="s">
        <v>29</v>
      </c>
      <c r="L528" s="8" t="s">
        <v>29</v>
      </c>
      <c r="M528" s="10" t="s">
        <v>29</v>
      </c>
      <c r="N528" s="8" t="s">
        <v>29</v>
      </c>
      <c r="O528" s="10" t="s">
        <v>19</v>
      </c>
      <c r="P528" s="8" t="s">
        <v>5078</v>
      </c>
      <c r="Q528" s="10" t="s">
        <v>174</v>
      </c>
      <c r="R528" s="10" t="s">
        <v>1387</v>
      </c>
      <c r="S528" s="8" t="s">
        <v>5079</v>
      </c>
      <c r="T528" s="10" t="s">
        <v>4835</v>
      </c>
      <c r="U528" s="10" t="s">
        <v>29</v>
      </c>
    </row>
    <row r="529" spans="1:21" s="10" customFormat="1" x14ac:dyDescent="0.25">
      <c r="A529" s="10" t="s">
        <v>5080</v>
      </c>
      <c r="B529" s="10" t="s">
        <v>4435</v>
      </c>
      <c r="C529" s="11" t="s">
        <v>297</v>
      </c>
      <c r="D529" s="10" t="s">
        <v>5081</v>
      </c>
      <c r="E529" s="8" t="s">
        <v>5082</v>
      </c>
      <c r="F529" s="8" t="s">
        <v>5083</v>
      </c>
      <c r="G529" s="10" t="s">
        <v>29</v>
      </c>
      <c r="H529" s="8" t="s">
        <v>5084</v>
      </c>
      <c r="I529" s="10" t="s">
        <v>5062</v>
      </c>
      <c r="J529" s="8" t="s">
        <v>2769</v>
      </c>
      <c r="K529" s="8" t="s">
        <v>29</v>
      </c>
      <c r="L529" s="8" t="s">
        <v>29</v>
      </c>
      <c r="M529" s="10" t="s">
        <v>29</v>
      </c>
      <c r="N529" s="8" t="s">
        <v>29</v>
      </c>
      <c r="O529" s="10" t="s">
        <v>19</v>
      </c>
      <c r="P529" s="8" t="s">
        <v>5085</v>
      </c>
      <c r="Q529" s="10" t="s">
        <v>174</v>
      </c>
      <c r="R529" s="10" t="s">
        <v>1387</v>
      </c>
      <c r="S529" s="8" t="s">
        <v>5086</v>
      </c>
      <c r="T529" s="10" t="s">
        <v>4835</v>
      </c>
      <c r="U529" s="10" t="s">
        <v>29</v>
      </c>
    </row>
    <row r="530" spans="1:21" s="10" customFormat="1" x14ac:dyDescent="0.25">
      <c r="A530" s="10" t="s">
        <v>5087</v>
      </c>
      <c r="B530" s="10" t="s">
        <v>4435</v>
      </c>
      <c r="C530" s="11" t="s">
        <v>297</v>
      </c>
      <c r="D530" s="10" t="s">
        <v>5088</v>
      </c>
      <c r="E530" s="8" t="s">
        <v>5089</v>
      </c>
      <c r="F530" s="8" t="s">
        <v>5090</v>
      </c>
      <c r="G530" s="10" t="s">
        <v>29</v>
      </c>
      <c r="H530" s="8" t="s">
        <v>5091</v>
      </c>
      <c r="I530" s="10" t="s">
        <v>5062</v>
      </c>
      <c r="J530" s="8" t="s">
        <v>2769</v>
      </c>
      <c r="K530" s="8" t="s">
        <v>29</v>
      </c>
      <c r="L530" s="8" t="s">
        <v>29</v>
      </c>
      <c r="M530" s="10" t="s">
        <v>29</v>
      </c>
      <c r="N530" s="8" t="s">
        <v>29</v>
      </c>
      <c r="O530" s="10" t="s">
        <v>19</v>
      </c>
      <c r="P530" s="8" t="s">
        <v>5092</v>
      </c>
      <c r="Q530" s="10" t="s">
        <v>197</v>
      </c>
      <c r="R530" s="10" t="s">
        <v>1387</v>
      </c>
      <c r="S530" s="8" t="s">
        <v>5093</v>
      </c>
      <c r="T530" s="10" t="s">
        <v>4835</v>
      </c>
      <c r="U530" s="10" t="s">
        <v>29</v>
      </c>
    </row>
    <row r="531" spans="1:21" s="10" customFormat="1" x14ac:dyDescent="0.25">
      <c r="A531" s="10" t="s">
        <v>5094</v>
      </c>
      <c r="B531" s="10" t="s">
        <v>4435</v>
      </c>
      <c r="C531" s="10" t="s">
        <v>166</v>
      </c>
      <c r="D531" s="10" t="s">
        <v>5095</v>
      </c>
      <c r="E531" s="8" t="s">
        <v>5096</v>
      </c>
      <c r="F531" s="8" t="s">
        <v>5097</v>
      </c>
      <c r="G531" s="10" t="s">
        <v>29</v>
      </c>
      <c r="H531" s="8" t="s">
        <v>5098</v>
      </c>
      <c r="I531" s="10" t="s">
        <v>5062</v>
      </c>
      <c r="J531" s="8" t="s">
        <v>2769</v>
      </c>
      <c r="K531" s="8" t="s">
        <v>29</v>
      </c>
      <c r="L531" s="8" t="s">
        <v>29</v>
      </c>
      <c r="M531" s="10" t="s">
        <v>29</v>
      </c>
      <c r="N531" s="8" t="s">
        <v>29</v>
      </c>
      <c r="O531" s="10" t="s">
        <v>19</v>
      </c>
      <c r="P531" s="8" t="s">
        <v>5099</v>
      </c>
      <c r="Q531" s="10" t="s">
        <v>174</v>
      </c>
      <c r="R531" s="10" t="s">
        <v>1387</v>
      </c>
      <c r="S531" s="8" t="s">
        <v>5100</v>
      </c>
      <c r="T531" s="10" t="s">
        <v>4835</v>
      </c>
      <c r="U531" s="10" t="s">
        <v>29</v>
      </c>
    </row>
    <row r="532" spans="1:21" s="10" customFormat="1" x14ac:dyDescent="0.25">
      <c r="A532" s="10" t="s">
        <v>5101</v>
      </c>
      <c r="B532" s="10" t="s">
        <v>4435</v>
      </c>
      <c r="C532" s="10" t="s">
        <v>166</v>
      </c>
      <c r="D532" s="10" t="s">
        <v>5102</v>
      </c>
      <c r="E532" s="8" t="s">
        <v>5103</v>
      </c>
      <c r="F532" s="8" t="s">
        <v>5104</v>
      </c>
      <c r="G532" s="10" t="s">
        <v>29</v>
      </c>
      <c r="H532" s="8" t="s">
        <v>5105</v>
      </c>
      <c r="I532" s="10" t="s">
        <v>5077</v>
      </c>
      <c r="J532" s="8" t="s">
        <v>2769</v>
      </c>
      <c r="K532" s="8" t="s">
        <v>29</v>
      </c>
      <c r="L532" s="8" t="s">
        <v>29</v>
      </c>
      <c r="M532" s="10" t="s">
        <v>29</v>
      </c>
      <c r="N532" s="8" t="s">
        <v>29</v>
      </c>
      <c r="O532" s="10" t="s">
        <v>19</v>
      </c>
      <c r="P532" s="8" t="s">
        <v>5106</v>
      </c>
      <c r="Q532" s="10" t="s">
        <v>190</v>
      </c>
      <c r="R532" s="10" t="s">
        <v>1387</v>
      </c>
      <c r="S532" s="8" t="s">
        <v>5107</v>
      </c>
      <c r="T532" s="10" t="s">
        <v>4835</v>
      </c>
      <c r="U532" s="10" t="s">
        <v>29</v>
      </c>
    </row>
    <row r="533" spans="1:21" s="10" customFormat="1" x14ac:dyDescent="0.25">
      <c r="A533" s="10" t="s">
        <v>5108</v>
      </c>
      <c r="B533" s="10" t="s">
        <v>4435</v>
      </c>
      <c r="C533" s="10" t="s">
        <v>166</v>
      </c>
      <c r="D533" s="10" t="s">
        <v>5109</v>
      </c>
      <c r="E533" s="8" t="s">
        <v>5110</v>
      </c>
      <c r="F533" s="8" t="s">
        <v>5111</v>
      </c>
      <c r="G533" s="10" t="s">
        <v>29</v>
      </c>
      <c r="H533" s="8" t="s">
        <v>5112</v>
      </c>
      <c r="I533" s="10" t="s">
        <v>5062</v>
      </c>
      <c r="J533" s="8" t="s">
        <v>2769</v>
      </c>
      <c r="K533" s="8" t="s">
        <v>29</v>
      </c>
      <c r="L533" s="8" t="s">
        <v>29</v>
      </c>
      <c r="M533" s="10" t="s">
        <v>29</v>
      </c>
      <c r="N533" s="8" t="s">
        <v>29</v>
      </c>
      <c r="O533" s="10" t="s">
        <v>19</v>
      </c>
      <c r="P533" s="8" t="s">
        <v>5113</v>
      </c>
      <c r="Q533" s="10" t="s">
        <v>174</v>
      </c>
      <c r="R533" s="10" t="s">
        <v>1387</v>
      </c>
      <c r="S533" s="8" t="s">
        <v>5114</v>
      </c>
      <c r="T533" s="10" t="s">
        <v>4835</v>
      </c>
      <c r="U533" s="10" t="s">
        <v>29</v>
      </c>
    </row>
    <row r="534" spans="1:21" s="10" customFormat="1" x14ac:dyDescent="0.25">
      <c r="A534" s="10" t="s">
        <v>5115</v>
      </c>
      <c r="B534" s="10" t="s">
        <v>4435</v>
      </c>
      <c r="C534" s="11" t="s">
        <v>297</v>
      </c>
      <c r="D534" s="10" t="s">
        <v>5116</v>
      </c>
      <c r="E534" s="8" t="s">
        <v>5117</v>
      </c>
      <c r="F534" s="8" t="s">
        <v>5118</v>
      </c>
      <c r="G534" s="10" t="s">
        <v>29</v>
      </c>
      <c r="H534" s="8" t="s">
        <v>1604</v>
      </c>
      <c r="I534" s="10" t="s">
        <v>5119</v>
      </c>
      <c r="J534" s="8" t="s">
        <v>1606</v>
      </c>
      <c r="K534" s="8" t="s">
        <v>29</v>
      </c>
      <c r="L534" s="8" t="s">
        <v>29</v>
      </c>
      <c r="M534" s="10" t="s">
        <v>29</v>
      </c>
      <c r="N534" s="8" t="s">
        <v>29</v>
      </c>
      <c r="O534" s="10" t="s">
        <v>19</v>
      </c>
      <c r="P534" s="8" t="s">
        <v>5120</v>
      </c>
      <c r="Q534" s="10" t="s">
        <v>1399</v>
      </c>
      <c r="R534" s="10" t="s">
        <v>1608</v>
      </c>
      <c r="S534" s="8" t="s">
        <v>5121</v>
      </c>
      <c r="T534" s="10" t="s">
        <v>4835</v>
      </c>
      <c r="U534" s="10" t="s">
        <v>29</v>
      </c>
    </row>
    <row r="535" spans="1:21" s="10" customFormat="1" x14ac:dyDescent="0.25">
      <c r="A535" s="10" t="s">
        <v>5122</v>
      </c>
      <c r="B535" s="10" t="s">
        <v>4435</v>
      </c>
      <c r="C535" s="11" t="s">
        <v>297</v>
      </c>
      <c r="D535" s="10" t="s">
        <v>5123</v>
      </c>
      <c r="E535" s="8" t="s">
        <v>5124</v>
      </c>
      <c r="F535" s="8" t="s">
        <v>5125</v>
      </c>
      <c r="G535" s="10" t="s">
        <v>29</v>
      </c>
      <c r="H535" s="8" t="s">
        <v>4930</v>
      </c>
      <c r="I535" s="10" t="s">
        <v>5070</v>
      </c>
      <c r="J535" s="8" t="s">
        <v>1615</v>
      </c>
      <c r="K535" s="8" t="s">
        <v>29</v>
      </c>
      <c r="L535" s="8" t="s">
        <v>29</v>
      </c>
      <c r="M535" s="10" t="s">
        <v>29</v>
      </c>
      <c r="N535" s="8" t="s">
        <v>29</v>
      </c>
      <c r="O535" s="10" t="s">
        <v>19</v>
      </c>
      <c r="P535" s="8" t="s">
        <v>5126</v>
      </c>
      <c r="Q535" s="10" t="s">
        <v>776</v>
      </c>
      <c r="R535" s="10" t="s">
        <v>4933</v>
      </c>
      <c r="S535" s="8" t="s">
        <v>1618</v>
      </c>
      <c r="T535" s="10" t="s">
        <v>4835</v>
      </c>
      <c r="U535" s="10" t="s">
        <v>29</v>
      </c>
    </row>
    <row r="536" spans="1:21" s="10" customFormat="1" x14ac:dyDescent="0.25">
      <c r="A536" s="10" t="s">
        <v>5127</v>
      </c>
      <c r="B536" s="10" t="s">
        <v>4435</v>
      </c>
      <c r="C536" s="10" t="s">
        <v>166</v>
      </c>
      <c r="D536" s="10" t="s">
        <v>5128</v>
      </c>
      <c r="E536" s="8" t="s">
        <v>5129</v>
      </c>
      <c r="F536" s="8" t="s">
        <v>5130</v>
      </c>
      <c r="G536" s="10" t="s">
        <v>29</v>
      </c>
      <c r="H536" s="8" t="s">
        <v>5131</v>
      </c>
      <c r="I536" s="10" t="s">
        <v>5070</v>
      </c>
      <c r="J536" s="8" t="s">
        <v>2769</v>
      </c>
      <c r="K536" s="8" t="s">
        <v>29</v>
      </c>
      <c r="L536" s="8" t="s">
        <v>29</v>
      </c>
      <c r="M536" s="10" t="s">
        <v>29</v>
      </c>
      <c r="N536" s="8" t="s">
        <v>29</v>
      </c>
      <c r="O536" s="10" t="s">
        <v>19</v>
      </c>
      <c r="P536" s="8" t="s">
        <v>5132</v>
      </c>
      <c r="Q536" s="10" t="s">
        <v>174</v>
      </c>
      <c r="R536" s="10" t="s">
        <v>1387</v>
      </c>
      <c r="S536" s="8" t="s">
        <v>1599</v>
      </c>
      <c r="T536" s="10" t="s">
        <v>4835</v>
      </c>
      <c r="U536" s="10" t="s">
        <v>29</v>
      </c>
    </row>
    <row r="537" spans="1:21" s="10" customFormat="1" x14ac:dyDescent="0.25">
      <c r="A537" s="10" t="s">
        <v>5133</v>
      </c>
      <c r="B537" s="10" t="s">
        <v>5134</v>
      </c>
      <c r="C537" s="10" t="s">
        <v>166</v>
      </c>
      <c r="D537" s="10" t="s">
        <v>5135</v>
      </c>
      <c r="E537" s="8" t="s">
        <v>5136</v>
      </c>
      <c r="F537" s="8" t="s">
        <v>5137</v>
      </c>
      <c r="G537" s="10" t="s">
        <v>29</v>
      </c>
      <c r="H537" s="8" t="s">
        <v>5138</v>
      </c>
      <c r="I537" s="10" t="s">
        <v>5139</v>
      </c>
      <c r="J537" s="8" t="s">
        <v>2769</v>
      </c>
      <c r="K537" s="8" t="s">
        <v>29</v>
      </c>
      <c r="L537" s="8" t="s">
        <v>29</v>
      </c>
      <c r="M537" s="10" t="s">
        <v>29</v>
      </c>
      <c r="N537" s="8" t="s">
        <v>29</v>
      </c>
      <c r="O537" s="10" t="s">
        <v>19</v>
      </c>
      <c r="P537" s="8" t="s">
        <v>5140</v>
      </c>
      <c r="Q537" s="10" t="s">
        <v>174</v>
      </c>
      <c r="R537" s="10" t="s">
        <v>1387</v>
      </c>
      <c r="S537" s="8" t="s">
        <v>5141</v>
      </c>
      <c r="T537" s="10" t="s">
        <v>5142</v>
      </c>
      <c r="U537" s="10" t="s">
        <v>29</v>
      </c>
    </row>
    <row r="538" spans="1:21" s="10" customFormat="1" x14ac:dyDescent="0.25">
      <c r="A538" s="10" t="s">
        <v>5143</v>
      </c>
      <c r="B538" s="10" t="s">
        <v>5134</v>
      </c>
      <c r="C538" s="11" t="s">
        <v>297</v>
      </c>
      <c r="D538" s="10" t="s">
        <v>5144</v>
      </c>
      <c r="E538" s="8" t="s">
        <v>5145</v>
      </c>
      <c r="F538" s="8" t="s">
        <v>5146</v>
      </c>
      <c r="G538" s="10" t="s">
        <v>29</v>
      </c>
      <c r="H538" s="8" t="s">
        <v>5147</v>
      </c>
      <c r="I538" s="10" t="s">
        <v>5148</v>
      </c>
      <c r="J538" s="8" t="s">
        <v>2769</v>
      </c>
      <c r="K538" s="8" t="s">
        <v>29</v>
      </c>
      <c r="L538" s="8" t="s">
        <v>29</v>
      </c>
      <c r="M538" s="10" t="s">
        <v>29</v>
      </c>
      <c r="N538" s="8" t="s">
        <v>29</v>
      </c>
      <c r="O538" s="10" t="s">
        <v>19</v>
      </c>
      <c r="P538" s="8" t="s">
        <v>5149</v>
      </c>
      <c r="Q538" s="10" t="s">
        <v>174</v>
      </c>
      <c r="R538" s="10" t="s">
        <v>1387</v>
      </c>
      <c r="S538" s="8" t="s">
        <v>5150</v>
      </c>
      <c r="T538" s="10" t="s">
        <v>5142</v>
      </c>
      <c r="U538" s="10" t="s">
        <v>29</v>
      </c>
    </row>
    <row r="539" spans="1:21" s="10" customFormat="1" x14ac:dyDescent="0.25">
      <c r="A539" s="10" t="s">
        <v>5151</v>
      </c>
      <c r="B539" s="10" t="s">
        <v>5134</v>
      </c>
      <c r="C539" s="11" t="s">
        <v>297</v>
      </c>
      <c r="D539" s="10" t="s">
        <v>5152</v>
      </c>
      <c r="E539" s="8" t="s">
        <v>5153</v>
      </c>
      <c r="F539" s="8" t="s">
        <v>5154</v>
      </c>
      <c r="G539" s="10" t="s">
        <v>29</v>
      </c>
      <c r="H539" s="8" t="s">
        <v>5155</v>
      </c>
      <c r="I539" s="10" t="s">
        <v>5156</v>
      </c>
      <c r="J539" s="8" t="s">
        <v>2769</v>
      </c>
      <c r="K539" s="8" t="s">
        <v>29</v>
      </c>
      <c r="L539" s="8" t="s">
        <v>29</v>
      </c>
      <c r="M539" s="10" t="s">
        <v>29</v>
      </c>
      <c r="N539" s="8" t="s">
        <v>29</v>
      </c>
      <c r="O539" s="10" t="s">
        <v>19</v>
      </c>
      <c r="P539" s="8" t="s">
        <v>5157</v>
      </c>
      <c r="Q539" s="10" t="s">
        <v>190</v>
      </c>
      <c r="R539" s="10" t="s">
        <v>1387</v>
      </c>
      <c r="S539" s="8" t="s">
        <v>5158</v>
      </c>
      <c r="T539" s="10" t="s">
        <v>5142</v>
      </c>
      <c r="U539" s="10" t="s">
        <v>29</v>
      </c>
    </row>
    <row r="540" spans="1:21" s="10" customFormat="1" x14ac:dyDescent="0.25">
      <c r="A540" s="10" t="s">
        <v>5159</v>
      </c>
      <c r="B540" s="10" t="s">
        <v>5134</v>
      </c>
      <c r="C540" s="11" t="s">
        <v>297</v>
      </c>
      <c r="D540" s="10" t="s">
        <v>5160</v>
      </c>
      <c r="E540" s="8" t="s">
        <v>5161</v>
      </c>
      <c r="F540" s="8" t="s">
        <v>5162</v>
      </c>
      <c r="G540" s="10" t="s">
        <v>29</v>
      </c>
      <c r="H540" s="8" t="s">
        <v>5163</v>
      </c>
      <c r="I540" s="10" t="s">
        <v>5164</v>
      </c>
      <c r="J540" s="8" t="s">
        <v>2769</v>
      </c>
      <c r="K540" s="8" t="s">
        <v>29</v>
      </c>
      <c r="L540" s="8" t="s">
        <v>29</v>
      </c>
      <c r="M540" s="10" t="s">
        <v>29</v>
      </c>
      <c r="N540" s="8" t="s">
        <v>29</v>
      </c>
      <c r="O540" s="10" t="s">
        <v>19</v>
      </c>
      <c r="P540" s="8" t="s">
        <v>5165</v>
      </c>
      <c r="Q540" s="10" t="s">
        <v>197</v>
      </c>
      <c r="R540" s="10" t="s">
        <v>1387</v>
      </c>
      <c r="S540" s="8" t="s">
        <v>5166</v>
      </c>
      <c r="T540" s="10" t="s">
        <v>5142</v>
      </c>
      <c r="U540" s="10" t="s">
        <v>29</v>
      </c>
    </row>
    <row r="541" spans="1:21" s="10" customFormat="1" x14ac:dyDescent="0.25">
      <c r="A541" s="10" t="s">
        <v>5167</v>
      </c>
      <c r="B541" s="10" t="s">
        <v>5134</v>
      </c>
      <c r="C541" s="11" t="s">
        <v>297</v>
      </c>
      <c r="D541" s="10" t="s">
        <v>5168</v>
      </c>
      <c r="E541" s="8" t="s">
        <v>5169</v>
      </c>
      <c r="F541" s="8" t="s">
        <v>5170</v>
      </c>
      <c r="G541" s="10" t="s">
        <v>29</v>
      </c>
      <c r="H541" s="8" t="s">
        <v>5171</v>
      </c>
      <c r="I541" s="10" t="s">
        <v>5172</v>
      </c>
      <c r="J541" s="8" t="s">
        <v>2769</v>
      </c>
      <c r="K541" s="8" t="s">
        <v>29</v>
      </c>
      <c r="L541" s="8" t="s">
        <v>29</v>
      </c>
      <c r="M541" s="10" t="s">
        <v>29</v>
      </c>
      <c r="N541" s="8" t="s">
        <v>29</v>
      </c>
      <c r="O541" s="10" t="s">
        <v>19</v>
      </c>
      <c r="P541" s="8" t="s">
        <v>5173</v>
      </c>
      <c r="Q541" s="10" t="s">
        <v>174</v>
      </c>
      <c r="R541" s="10" t="s">
        <v>1387</v>
      </c>
      <c r="S541" s="8" t="s">
        <v>5174</v>
      </c>
      <c r="T541" s="10" t="s">
        <v>5142</v>
      </c>
      <c r="U541" s="10" t="s">
        <v>29</v>
      </c>
    </row>
    <row r="542" spans="1:21" s="10" customFormat="1" x14ac:dyDescent="0.25">
      <c r="A542" s="10" t="s">
        <v>5175</v>
      </c>
      <c r="B542" s="10" t="s">
        <v>5134</v>
      </c>
      <c r="C542" s="11" t="s">
        <v>297</v>
      </c>
      <c r="D542" s="10" t="s">
        <v>5176</v>
      </c>
      <c r="E542" s="8" t="s">
        <v>5177</v>
      </c>
      <c r="F542" s="8" t="s">
        <v>5178</v>
      </c>
      <c r="G542" s="10" t="s">
        <v>29</v>
      </c>
      <c r="H542" s="8" t="s">
        <v>5179</v>
      </c>
      <c r="I542" s="10" t="s">
        <v>5172</v>
      </c>
      <c r="J542" s="8" t="s">
        <v>5180</v>
      </c>
      <c r="K542" s="8" t="s">
        <v>29</v>
      </c>
      <c r="L542" s="8" t="s">
        <v>29</v>
      </c>
      <c r="M542" s="10" t="s">
        <v>29</v>
      </c>
      <c r="N542" s="8" t="s">
        <v>29</v>
      </c>
      <c r="O542" s="10" t="s">
        <v>19</v>
      </c>
      <c r="P542" s="8" t="s">
        <v>5181</v>
      </c>
      <c r="Q542" s="10" t="s">
        <v>1399</v>
      </c>
      <c r="R542" s="10" t="s">
        <v>1387</v>
      </c>
      <c r="S542" s="8" t="s">
        <v>5182</v>
      </c>
      <c r="T542" s="10" t="s">
        <v>5142</v>
      </c>
      <c r="U542" s="10" t="s">
        <v>29</v>
      </c>
    </row>
    <row r="543" spans="1:21" s="10" customFormat="1" x14ac:dyDescent="0.25">
      <c r="A543" s="10" t="s">
        <v>5183</v>
      </c>
      <c r="B543" s="10" t="s">
        <v>5134</v>
      </c>
      <c r="C543" s="10" t="s">
        <v>166</v>
      </c>
      <c r="D543" s="10" t="s">
        <v>5184</v>
      </c>
      <c r="E543" s="8" t="s">
        <v>5185</v>
      </c>
      <c r="F543" s="8" t="s">
        <v>5186</v>
      </c>
      <c r="G543" s="10" t="s">
        <v>29</v>
      </c>
      <c r="H543" s="8" t="s">
        <v>5187</v>
      </c>
      <c r="I543" s="10" t="s">
        <v>5188</v>
      </c>
      <c r="J543" s="8" t="s">
        <v>2769</v>
      </c>
      <c r="K543" s="8" t="s">
        <v>29</v>
      </c>
      <c r="L543" s="8" t="s">
        <v>29</v>
      </c>
      <c r="M543" s="10" t="s">
        <v>29</v>
      </c>
      <c r="N543" s="8" t="s">
        <v>29</v>
      </c>
      <c r="O543" s="10" t="s">
        <v>19</v>
      </c>
      <c r="P543" s="8" t="s">
        <v>5189</v>
      </c>
      <c r="Q543" s="10" t="s">
        <v>174</v>
      </c>
      <c r="R543" s="10" t="s">
        <v>1387</v>
      </c>
      <c r="S543" s="8" t="s">
        <v>5190</v>
      </c>
      <c r="T543" s="10" t="s">
        <v>5142</v>
      </c>
      <c r="U543" s="10" t="s">
        <v>29</v>
      </c>
    </row>
    <row r="544" spans="1:21" s="10" customFormat="1" x14ac:dyDescent="0.25">
      <c r="A544" s="10" t="s">
        <v>5191</v>
      </c>
      <c r="B544" s="10" t="s">
        <v>5134</v>
      </c>
      <c r="C544" s="10" t="s">
        <v>166</v>
      </c>
      <c r="D544" s="10" t="s">
        <v>5192</v>
      </c>
      <c r="E544" s="8" t="s">
        <v>5193</v>
      </c>
      <c r="F544" s="8" t="s">
        <v>5194</v>
      </c>
      <c r="G544" s="10" t="s">
        <v>29</v>
      </c>
      <c r="H544" s="8" t="s">
        <v>5195</v>
      </c>
      <c r="I544" s="10" t="s">
        <v>5196</v>
      </c>
      <c r="J544" s="8" t="s">
        <v>2769</v>
      </c>
      <c r="K544" s="8" t="s">
        <v>29</v>
      </c>
      <c r="L544" s="8" t="s">
        <v>29</v>
      </c>
      <c r="M544" s="10" t="s">
        <v>29</v>
      </c>
      <c r="N544" s="8" t="s">
        <v>29</v>
      </c>
      <c r="O544" s="10" t="s">
        <v>19</v>
      </c>
      <c r="P544" s="8" t="s">
        <v>5197</v>
      </c>
      <c r="Q544" s="10" t="s">
        <v>190</v>
      </c>
      <c r="R544" s="10" t="s">
        <v>1387</v>
      </c>
      <c r="S544" s="8" t="s">
        <v>5198</v>
      </c>
      <c r="T544" s="10" t="s">
        <v>5142</v>
      </c>
      <c r="U544" s="10" t="s">
        <v>29</v>
      </c>
    </row>
    <row r="545" spans="1:21" s="10" customFormat="1" x14ac:dyDescent="0.25">
      <c r="A545" s="10" t="s">
        <v>5199</v>
      </c>
      <c r="B545" s="10" t="s">
        <v>5134</v>
      </c>
      <c r="C545" s="10" t="s">
        <v>166</v>
      </c>
      <c r="D545" s="10" t="s">
        <v>5200</v>
      </c>
      <c r="E545" s="8" t="s">
        <v>5201</v>
      </c>
      <c r="F545" s="8" t="s">
        <v>4730</v>
      </c>
      <c r="G545" s="10" t="s">
        <v>29</v>
      </c>
      <c r="H545" s="8" t="s">
        <v>3401</v>
      </c>
      <c r="I545" s="10" t="s">
        <v>5202</v>
      </c>
      <c r="J545" s="8" t="s">
        <v>2769</v>
      </c>
      <c r="K545" s="8" t="s">
        <v>29</v>
      </c>
      <c r="L545" s="8" t="s">
        <v>29</v>
      </c>
      <c r="M545" s="10" t="s">
        <v>29</v>
      </c>
      <c r="N545" s="8" t="s">
        <v>29</v>
      </c>
      <c r="O545" s="10" t="s">
        <v>19</v>
      </c>
      <c r="P545" s="8" t="s">
        <v>5203</v>
      </c>
      <c r="Q545" s="10" t="s">
        <v>190</v>
      </c>
      <c r="R545" s="10" t="s">
        <v>1387</v>
      </c>
      <c r="S545" s="8" t="s">
        <v>5204</v>
      </c>
      <c r="T545" s="10" t="s">
        <v>5142</v>
      </c>
      <c r="U545" s="10" t="s">
        <v>29</v>
      </c>
    </row>
    <row r="546" spans="1:21" s="10" customFormat="1" x14ac:dyDescent="0.25">
      <c r="A546" s="10" t="s">
        <v>5205</v>
      </c>
      <c r="B546" s="10" t="s">
        <v>5134</v>
      </c>
      <c r="C546" s="11" t="s">
        <v>297</v>
      </c>
      <c r="D546" s="10" t="s">
        <v>5206</v>
      </c>
      <c r="E546" s="8" t="s">
        <v>5207</v>
      </c>
      <c r="F546" s="8" t="s">
        <v>5208</v>
      </c>
      <c r="G546" s="10" t="s">
        <v>29</v>
      </c>
      <c r="H546" s="8" t="s">
        <v>5209</v>
      </c>
      <c r="I546" s="10" t="s">
        <v>5202</v>
      </c>
      <c r="J546" s="8" t="s">
        <v>2769</v>
      </c>
      <c r="K546" s="8" t="s">
        <v>29</v>
      </c>
      <c r="L546" s="8" t="s">
        <v>29</v>
      </c>
      <c r="M546" s="10" t="s">
        <v>29</v>
      </c>
      <c r="N546" s="8" t="s">
        <v>29</v>
      </c>
      <c r="O546" s="10" t="s">
        <v>19</v>
      </c>
      <c r="P546" s="8" t="s">
        <v>5210</v>
      </c>
      <c r="Q546" s="10" t="s">
        <v>197</v>
      </c>
      <c r="R546" s="10" t="s">
        <v>1387</v>
      </c>
      <c r="S546" s="8" t="s">
        <v>5211</v>
      </c>
      <c r="T546" s="10" t="s">
        <v>5142</v>
      </c>
      <c r="U546" s="10" t="s">
        <v>29</v>
      </c>
    </row>
    <row r="547" spans="1:21" s="10" customFormat="1" x14ac:dyDescent="0.25">
      <c r="A547" s="10" t="s">
        <v>5212</v>
      </c>
      <c r="B547" s="10" t="s">
        <v>5134</v>
      </c>
      <c r="C547" s="10" t="s">
        <v>166</v>
      </c>
      <c r="D547" s="10" t="s">
        <v>5213</v>
      </c>
      <c r="E547" s="8" t="s">
        <v>5214</v>
      </c>
      <c r="F547" s="8" t="s">
        <v>5215</v>
      </c>
      <c r="G547" s="10" t="s">
        <v>29</v>
      </c>
      <c r="H547" s="8" t="s">
        <v>5216</v>
      </c>
      <c r="I547" s="10" t="s">
        <v>5202</v>
      </c>
      <c r="J547" s="8" t="s">
        <v>2769</v>
      </c>
      <c r="K547" s="8" t="s">
        <v>29</v>
      </c>
      <c r="L547" s="8" t="s">
        <v>29</v>
      </c>
      <c r="M547" s="10" t="s">
        <v>29</v>
      </c>
      <c r="N547" s="8" t="s">
        <v>29</v>
      </c>
      <c r="O547" s="10" t="s">
        <v>19</v>
      </c>
      <c r="P547" s="8" t="s">
        <v>5217</v>
      </c>
      <c r="Q547" s="10" t="s">
        <v>190</v>
      </c>
      <c r="R547" s="10" t="s">
        <v>1387</v>
      </c>
      <c r="S547" s="8" t="s">
        <v>5218</v>
      </c>
      <c r="T547" s="10" t="s">
        <v>5142</v>
      </c>
      <c r="U547" s="10" t="s">
        <v>29</v>
      </c>
    </row>
    <row r="548" spans="1:21" s="10" customFormat="1" x14ac:dyDescent="0.25">
      <c r="A548" s="10" t="s">
        <v>5219</v>
      </c>
      <c r="B548" s="10" t="s">
        <v>5134</v>
      </c>
      <c r="C548" s="11" t="s">
        <v>297</v>
      </c>
      <c r="D548" s="10" t="s">
        <v>5220</v>
      </c>
      <c r="E548" s="8" t="s">
        <v>5221</v>
      </c>
      <c r="F548" s="8" t="s">
        <v>5222</v>
      </c>
      <c r="G548" s="10" t="s">
        <v>29</v>
      </c>
      <c r="H548" s="8" t="s">
        <v>5223</v>
      </c>
      <c r="I548" s="10" t="s">
        <v>5196</v>
      </c>
      <c r="J548" s="8" t="s">
        <v>2769</v>
      </c>
      <c r="K548" s="8" t="s">
        <v>29</v>
      </c>
      <c r="L548" s="8" t="s">
        <v>29</v>
      </c>
      <c r="M548" s="10" t="s">
        <v>29</v>
      </c>
      <c r="N548" s="8" t="s">
        <v>29</v>
      </c>
      <c r="O548" s="10" t="s">
        <v>19</v>
      </c>
      <c r="P548" s="8" t="s">
        <v>5224</v>
      </c>
      <c r="Q548" s="10" t="s">
        <v>190</v>
      </c>
      <c r="R548" s="10" t="s">
        <v>1387</v>
      </c>
      <c r="S548" s="8" t="s">
        <v>5225</v>
      </c>
      <c r="T548" s="10" t="s">
        <v>5142</v>
      </c>
      <c r="U548" s="10" t="s">
        <v>29</v>
      </c>
    </row>
    <row r="549" spans="1:21" s="10" customFormat="1" x14ac:dyDescent="0.25">
      <c r="A549" s="10" t="s">
        <v>5226</v>
      </c>
      <c r="B549" s="10" t="s">
        <v>5134</v>
      </c>
      <c r="C549" s="10" t="s">
        <v>166</v>
      </c>
      <c r="D549" s="10" t="s">
        <v>5227</v>
      </c>
      <c r="E549" s="8" t="s">
        <v>5228</v>
      </c>
      <c r="F549" s="8" t="s">
        <v>5229</v>
      </c>
      <c r="G549" s="10" t="s">
        <v>29</v>
      </c>
      <c r="H549" s="8" t="s">
        <v>5230</v>
      </c>
      <c r="I549" s="10" t="s">
        <v>5231</v>
      </c>
      <c r="J549" s="8" t="s">
        <v>2769</v>
      </c>
      <c r="K549" s="8" t="s">
        <v>29</v>
      </c>
      <c r="L549" s="8" t="s">
        <v>29</v>
      </c>
      <c r="M549" s="10" t="s">
        <v>29</v>
      </c>
      <c r="N549" s="8" t="s">
        <v>29</v>
      </c>
      <c r="O549" s="10" t="s">
        <v>19</v>
      </c>
      <c r="P549" s="8" t="s">
        <v>5232</v>
      </c>
      <c r="Q549" s="10" t="s">
        <v>174</v>
      </c>
      <c r="R549" s="10" t="s">
        <v>1387</v>
      </c>
      <c r="S549" s="8" t="s">
        <v>5233</v>
      </c>
      <c r="T549" s="10" t="s">
        <v>5142</v>
      </c>
      <c r="U549" s="10" t="s">
        <v>29</v>
      </c>
    </row>
    <row r="550" spans="1:21" s="10" customFormat="1" x14ac:dyDescent="0.25">
      <c r="A550" s="10" t="s">
        <v>5234</v>
      </c>
      <c r="B550" s="10" t="s">
        <v>5134</v>
      </c>
      <c r="C550" s="10" t="s">
        <v>166</v>
      </c>
      <c r="D550" s="10" t="s">
        <v>5235</v>
      </c>
      <c r="E550" s="8" t="s">
        <v>5236</v>
      </c>
      <c r="F550" s="8" t="s">
        <v>5237</v>
      </c>
      <c r="G550" s="10" t="s">
        <v>29</v>
      </c>
      <c r="H550" s="8" t="s">
        <v>5238</v>
      </c>
      <c r="I550" s="10" t="s">
        <v>5239</v>
      </c>
      <c r="J550" s="8" t="s">
        <v>2769</v>
      </c>
      <c r="K550" s="8" t="s">
        <v>29</v>
      </c>
      <c r="L550" s="8" t="s">
        <v>29</v>
      </c>
      <c r="M550" s="10" t="s">
        <v>29</v>
      </c>
      <c r="N550" s="8" t="s">
        <v>29</v>
      </c>
      <c r="O550" s="10" t="s">
        <v>19</v>
      </c>
      <c r="P550" s="8" t="s">
        <v>5240</v>
      </c>
      <c r="Q550" s="10" t="s">
        <v>174</v>
      </c>
      <c r="R550" s="10" t="s">
        <v>1387</v>
      </c>
      <c r="S550" s="8" t="s">
        <v>5241</v>
      </c>
      <c r="T550" s="10" t="s">
        <v>5142</v>
      </c>
      <c r="U550" s="10" t="s">
        <v>29</v>
      </c>
    </row>
    <row r="551" spans="1:21" s="10" customFormat="1" x14ac:dyDescent="0.25">
      <c r="A551" s="10" t="s">
        <v>5242</v>
      </c>
      <c r="B551" s="10" t="s">
        <v>5134</v>
      </c>
      <c r="C551" s="10" t="s">
        <v>335</v>
      </c>
      <c r="D551" s="10" t="s">
        <v>5243</v>
      </c>
      <c r="E551" s="8" t="s">
        <v>5244</v>
      </c>
      <c r="F551" s="8" t="s">
        <v>5245</v>
      </c>
      <c r="G551" s="10" t="s">
        <v>29</v>
      </c>
      <c r="H551" s="8" t="s">
        <v>5246</v>
      </c>
      <c r="I551" s="10" t="s">
        <v>1914</v>
      </c>
      <c r="J551" s="8" t="s">
        <v>2769</v>
      </c>
      <c r="K551" s="8" t="s">
        <v>29</v>
      </c>
      <c r="L551" s="8" t="s">
        <v>29</v>
      </c>
      <c r="M551" s="10" t="s">
        <v>29</v>
      </c>
      <c r="N551" s="8" t="s">
        <v>29</v>
      </c>
      <c r="O551" s="10" t="s">
        <v>19</v>
      </c>
      <c r="P551" s="8" t="s">
        <v>5247</v>
      </c>
      <c r="Q551" s="10" t="s">
        <v>174</v>
      </c>
      <c r="R551" s="10" t="s">
        <v>1387</v>
      </c>
      <c r="S551" s="8" t="s">
        <v>5248</v>
      </c>
      <c r="T551" s="10" t="s">
        <v>5142</v>
      </c>
      <c r="U551" s="10" t="s">
        <v>29</v>
      </c>
    </row>
    <row r="552" spans="1:21" s="10" customFormat="1" x14ac:dyDescent="0.25">
      <c r="A552" s="10" t="s">
        <v>5249</v>
      </c>
      <c r="B552" s="10" t="s">
        <v>5134</v>
      </c>
      <c r="C552" s="11" t="s">
        <v>297</v>
      </c>
      <c r="D552" s="10" t="s">
        <v>5250</v>
      </c>
      <c r="E552" s="8" t="s">
        <v>5251</v>
      </c>
      <c r="F552" s="8" t="s">
        <v>5252</v>
      </c>
      <c r="G552" s="10" t="s">
        <v>29</v>
      </c>
      <c r="H552" s="8" t="s">
        <v>5253</v>
      </c>
      <c r="I552" s="10" t="s">
        <v>5202</v>
      </c>
      <c r="J552" s="8" t="s">
        <v>5254</v>
      </c>
      <c r="K552" s="8" t="s">
        <v>29</v>
      </c>
      <c r="L552" s="8" t="s">
        <v>29</v>
      </c>
      <c r="M552" s="10" t="s">
        <v>29</v>
      </c>
      <c r="N552" s="8" t="s">
        <v>29</v>
      </c>
      <c r="O552" s="10" t="s">
        <v>19</v>
      </c>
      <c r="P552" s="8" t="s">
        <v>5255</v>
      </c>
      <c r="Q552" s="10" t="s">
        <v>174</v>
      </c>
      <c r="R552" s="10" t="s">
        <v>1387</v>
      </c>
      <c r="S552" s="8" t="s">
        <v>5256</v>
      </c>
      <c r="T552" s="10" t="s">
        <v>5142</v>
      </c>
      <c r="U552" s="10" t="s">
        <v>29</v>
      </c>
    </row>
    <row r="553" spans="1:21" s="10" customFormat="1" x14ac:dyDescent="0.25">
      <c r="A553" s="10" t="s">
        <v>5257</v>
      </c>
      <c r="B553" s="10" t="s">
        <v>5134</v>
      </c>
      <c r="C553" s="11" t="s">
        <v>297</v>
      </c>
      <c r="D553" s="10" t="s">
        <v>5258</v>
      </c>
      <c r="E553" s="8" t="s">
        <v>5259</v>
      </c>
      <c r="F553" s="8" t="s">
        <v>5260</v>
      </c>
      <c r="G553" s="10" t="s">
        <v>29</v>
      </c>
      <c r="H553" s="8" t="s">
        <v>5261</v>
      </c>
      <c r="I553" s="10" t="s">
        <v>5202</v>
      </c>
      <c r="J553" s="8" t="s">
        <v>5262</v>
      </c>
      <c r="K553" s="8" t="s">
        <v>29</v>
      </c>
      <c r="L553" s="8" t="s">
        <v>29</v>
      </c>
      <c r="M553" s="10" t="s">
        <v>29</v>
      </c>
      <c r="N553" s="8" t="s">
        <v>29</v>
      </c>
      <c r="O553" s="10" t="s">
        <v>19</v>
      </c>
      <c r="P553" s="8" t="s">
        <v>5263</v>
      </c>
      <c r="Q553" s="10" t="s">
        <v>1399</v>
      </c>
      <c r="R553" s="10" t="s">
        <v>1387</v>
      </c>
      <c r="S553" s="8" t="s">
        <v>5264</v>
      </c>
      <c r="T553" s="10" t="s">
        <v>5142</v>
      </c>
      <c r="U553" s="10" t="s">
        <v>29</v>
      </c>
    </row>
    <row r="554" spans="1:21" s="10" customFormat="1" x14ac:dyDescent="0.25">
      <c r="A554" s="10" t="s">
        <v>5265</v>
      </c>
      <c r="B554" s="10" t="s">
        <v>5134</v>
      </c>
      <c r="C554" s="10" t="s">
        <v>166</v>
      </c>
      <c r="D554" s="10" t="s">
        <v>5266</v>
      </c>
      <c r="E554" s="8" t="s">
        <v>5267</v>
      </c>
      <c r="F554" s="8" t="s">
        <v>5268</v>
      </c>
      <c r="G554" s="10" t="s">
        <v>29</v>
      </c>
      <c r="H554" s="8" t="s">
        <v>5269</v>
      </c>
      <c r="I554" s="10" t="s">
        <v>5202</v>
      </c>
      <c r="J554" s="8" t="s">
        <v>2769</v>
      </c>
      <c r="K554" s="8" t="s">
        <v>29</v>
      </c>
      <c r="L554" s="8" t="s">
        <v>29</v>
      </c>
      <c r="M554" s="10" t="s">
        <v>29</v>
      </c>
      <c r="N554" s="8" t="s">
        <v>29</v>
      </c>
      <c r="O554" s="10" t="s">
        <v>19</v>
      </c>
      <c r="P554" s="8" t="s">
        <v>5270</v>
      </c>
      <c r="Q554" s="10" t="s">
        <v>190</v>
      </c>
      <c r="R554" s="10" t="s">
        <v>1387</v>
      </c>
      <c r="S554" s="8" t="s">
        <v>5271</v>
      </c>
      <c r="T554" s="10" t="s">
        <v>5142</v>
      </c>
      <c r="U554" s="10" t="s">
        <v>29</v>
      </c>
    </row>
    <row r="555" spans="1:21" s="10" customFormat="1" x14ac:dyDescent="0.25">
      <c r="A555" s="10" t="s">
        <v>5272</v>
      </c>
      <c r="B555" s="10" t="s">
        <v>5134</v>
      </c>
      <c r="C555" s="10" t="s">
        <v>166</v>
      </c>
      <c r="D555" s="10" t="s">
        <v>5273</v>
      </c>
      <c r="E555" s="8" t="s">
        <v>5274</v>
      </c>
      <c r="F555" s="8" t="s">
        <v>5275</v>
      </c>
      <c r="G555" s="10" t="s">
        <v>29</v>
      </c>
      <c r="H555" s="8" t="s">
        <v>5276</v>
      </c>
      <c r="I555" s="10" t="s">
        <v>5202</v>
      </c>
      <c r="J555" s="8" t="s">
        <v>2769</v>
      </c>
      <c r="K555" s="8" t="s">
        <v>29</v>
      </c>
      <c r="L555" s="8" t="s">
        <v>29</v>
      </c>
      <c r="M555" s="10" t="s">
        <v>29</v>
      </c>
      <c r="N555" s="8" t="s">
        <v>29</v>
      </c>
      <c r="O555" s="10" t="s">
        <v>19</v>
      </c>
      <c r="P555" s="8" t="s">
        <v>5277</v>
      </c>
      <c r="Q555" s="10" t="s">
        <v>174</v>
      </c>
      <c r="R555" s="10" t="s">
        <v>1387</v>
      </c>
      <c r="S555" s="8" t="s">
        <v>5278</v>
      </c>
      <c r="T555" s="10" t="s">
        <v>5142</v>
      </c>
      <c r="U555" s="10" t="s">
        <v>29</v>
      </c>
    </row>
    <row r="556" spans="1:21" s="10" customFormat="1" x14ac:dyDescent="0.25">
      <c r="A556" s="10" t="s">
        <v>5279</v>
      </c>
      <c r="B556" s="10" t="s">
        <v>5134</v>
      </c>
      <c r="C556" s="10" t="s">
        <v>166</v>
      </c>
      <c r="D556" s="10" t="s">
        <v>5280</v>
      </c>
      <c r="E556" s="8" t="s">
        <v>5281</v>
      </c>
      <c r="F556" s="8" t="s">
        <v>5282</v>
      </c>
      <c r="G556" s="10" t="s">
        <v>29</v>
      </c>
      <c r="H556" s="8" t="s">
        <v>5283</v>
      </c>
      <c r="I556" s="10" t="s">
        <v>5202</v>
      </c>
      <c r="J556" s="8" t="s">
        <v>2769</v>
      </c>
      <c r="K556" s="8" t="s">
        <v>29</v>
      </c>
      <c r="L556" s="8" t="s">
        <v>29</v>
      </c>
      <c r="M556" s="10" t="s">
        <v>29</v>
      </c>
      <c r="N556" s="8" t="s">
        <v>29</v>
      </c>
      <c r="O556" s="10" t="s">
        <v>19</v>
      </c>
      <c r="P556" s="8" t="s">
        <v>5284</v>
      </c>
      <c r="Q556" s="10" t="s">
        <v>174</v>
      </c>
      <c r="R556" s="10" t="s">
        <v>1387</v>
      </c>
      <c r="S556" s="8" t="s">
        <v>5285</v>
      </c>
      <c r="T556" s="10" t="s">
        <v>5142</v>
      </c>
      <c r="U556" s="10" t="s">
        <v>29</v>
      </c>
    </row>
    <row r="557" spans="1:21" s="10" customFormat="1" x14ac:dyDescent="0.25">
      <c r="A557" s="10" t="s">
        <v>5286</v>
      </c>
      <c r="B557" s="10" t="s">
        <v>5134</v>
      </c>
      <c r="C557" s="10" t="s">
        <v>166</v>
      </c>
      <c r="D557" s="10" t="s">
        <v>5287</v>
      </c>
      <c r="E557" s="8" t="s">
        <v>5288</v>
      </c>
      <c r="F557" s="8" t="s">
        <v>5289</v>
      </c>
      <c r="G557" s="10" t="s">
        <v>29</v>
      </c>
      <c r="H557" s="8" t="s">
        <v>3720</v>
      </c>
      <c r="I557" s="10" t="s">
        <v>5290</v>
      </c>
      <c r="J557" s="8" t="s">
        <v>2769</v>
      </c>
      <c r="K557" s="8" t="s">
        <v>29</v>
      </c>
      <c r="L557" s="8" t="s">
        <v>29</v>
      </c>
      <c r="M557" s="10" t="s">
        <v>29</v>
      </c>
      <c r="N557" s="8" t="s">
        <v>29</v>
      </c>
      <c r="O557" s="10" t="s">
        <v>19</v>
      </c>
      <c r="P557" s="8" t="s">
        <v>5291</v>
      </c>
      <c r="Q557" s="10" t="s">
        <v>1399</v>
      </c>
      <c r="R557" s="10" t="s">
        <v>1387</v>
      </c>
      <c r="S557" s="8" t="s">
        <v>5292</v>
      </c>
      <c r="T557" s="10" t="s">
        <v>5142</v>
      </c>
      <c r="U557" s="10" t="s">
        <v>29</v>
      </c>
    </row>
    <row r="558" spans="1:21" s="10" customFormat="1" x14ac:dyDescent="0.25">
      <c r="A558" s="10" t="s">
        <v>5293</v>
      </c>
      <c r="B558" s="10" t="s">
        <v>5134</v>
      </c>
      <c r="C558" s="10" t="s">
        <v>335</v>
      </c>
      <c r="D558" s="10" t="s">
        <v>5294</v>
      </c>
      <c r="E558" s="8" t="s">
        <v>5295</v>
      </c>
      <c r="F558" s="8" t="s">
        <v>5296</v>
      </c>
      <c r="G558" s="10" t="s">
        <v>29</v>
      </c>
      <c r="H558" s="8" t="s">
        <v>5297</v>
      </c>
      <c r="I558" s="10" t="s">
        <v>870</v>
      </c>
      <c r="J558" s="8" t="s">
        <v>2769</v>
      </c>
      <c r="K558" s="8" t="s">
        <v>29</v>
      </c>
      <c r="L558" s="8" t="s">
        <v>29</v>
      </c>
      <c r="M558" s="10" t="s">
        <v>29</v>
      </c>
      <c r="N558" s="8" t="s">
        <v>29</v>
      </c>
      <c r="O558" s="10" t="s">
        <v>19</v>
      </c>
      <c r="P558" s="8" t="s">
        <v>5298</v>
      </c>
      <c r="Q558" s="10" t="s">
        <v>174</v>
      </c>
      <c r="R558" s="10" t="s">
        <v>1387</v>
      </c>
      <c r="S558" s="8" t="s">
        <v>2412</v>
      </c>
      <c r="T558" s="10" t="s">
        <v>5142</v>
      </c>
      <c r="U558" s="10" t="s">
        <v>29</v>
      </c>
    </row>
    <row r="559" spans="1:21" s="10" customFormat="1" x14ac:dyDescent="0.25">
      <c r="A559" s="10" t="s">
        <v>5299</v>
      </c>
      <c r="B559" s="10" t="s">
        <v>5134</v>
      </c>
      <c r="C559" s="11" t="s">
        <v>297</v>
      </c>
      <c r="D559" s="10" t="s">
        <v>5300</v>
      </c>
      <c r="E559" s="8" t="s">
        <v>5301</v>
      </c>
      <c r="F559" s="8" t="s">
        <v>5302</v>
      </c>
      <c r="G559" s="10" t="s">
        <v>29</v>
      </c>
      <c r="H559" s="8" t="s">
        <v>5303</v>
      </c>
      <c r="I559" s="10" t="s">
        <v>5304</v>
      </c>
      <c r="J559" s="8" t="s">
        <v>5305</v>
      </c>
      <c r="K559" s="8" t="s">
        <v>29</v>
      </c>
      <c r="L559" s="8" t="s">
        <v>29</v>
      </c>
      <c r="M559" s="10" t="s">
        <v>29</v>
      </c>
      <c r="N559" s="8" t="s">
        <v>29</v>
      </c>
      <c r="O559" s="10" t="s">
        <v>19</v>
      </c>
      <c r="P559" s="8" t="s">
        <v>5306</v>
      </c>
      <c r="Q559" s="10" t="s">
        <v>1399</v>
      </c>
      <c r="R559" s="10" t="s">
        <v>1387</v>
      </c>
      <c r="S559" s="8" t="s">
        <v>5307</v>
      </c>
      <c r="T559" s="10" t="s">
        <v>5142</v>
      </c>
      <c r="U559" s="10" t="s">
        <v>29</v>
      </c>
    </row>
    <row r="560" spans="1:21" s="10" customFormat="1" x14ac:dyDescent="0.25">
      <c r="A560" s="10" t="s">
        <v>5308</v>
      </c>
      <c r="B560" s="10" t="s">
        <v>5134</v>
      </c>
      <c r="C560" s="11" t="s">
        <v>297</v>
      </c>
      <c r="D560" s="10" t="s">
        <v>5309</v>
      </c>
      <c r="E560" s="8" t="s">
        <v>5310</v>
      </c>
      <c r="F560" s="8" t="s">
        <v>5311</v>
      </c>
      <c r="G560" s="10" t="s">
        <v>29</v>
      </c>
      <c r="H560" s="8" t="s">
        <v>5312</v>
      </c>
      <c r="I560" s="10" t="s">
        <v>5304</v>
      </c>
      <c r="J560" s="8" t="s">
        <v>2769</v>
      </c>
      <c r="K560" s="8" t="s">
        <v>29</v>
      </c>
      <c r="L560" s="8" t="s">
        <v>29</v>
      </c>
      <c r="M560" s="10" t="s">
        <v>29</v>
      </c>
      <c r="N560" s="8" t="s">
        <v>29</v>
      </c>
      <c r="O560" s="10" t="s">
        <v>19</v>
      </c>
      <c r="P560" s="8" t="s">
        <v>5313</v>
      </c>
      <c r="Q560" s="10" t="s">
        <v>190</v>
      </c>
      <c r="R560" s="10" t="s">
        <v>1387</v>
      </c>
      <c r="S560" s="8" t="s">
        <v>5314</v>
      </c>
      <c r="T560" s="10" t="s">
        <v>5142</v>
      </c>
      <c r="U560" s="10" t="s">
        <v>29</v>
      </c>
    </row>
    <row r="561" spans="1:21" s="10" customFormat="1" x14ac:dyDescent="0.25">
      <c r="A561" s="10" t="s">
        <v>5315</v>
      </c>
      <c r="B561" s="10" t="s">
        <v>5134</v>
      </c>
      <c r="C561" s="10" t="s">
        <v>166</v>
      </c>
      <c r="D561" s="10" t="s">
        <v>5316</v>
      </c>
      <c r="E561" s="8" t="s">
        <v>5317</v>
      </c>
      <c r="F561" s="8" t="s">
        <v>5318</v>
      </c>
      <c r="G561" s="10" t="s">
        <v>29</v>
      </c>
      <c r="H561" s="8" t="s">
        <v>5319</v>
      </c>
      <c r="I561" s="10" t="s">
        <v>5202</v>
      </c>
      <c r="J561" s="8" t="s">
        <v>2769</v>
      </c>
      <c r="K561" s="8" t="s">
        <v>29</v>
      </c>
      <c r="L561" s="8" t="s">
        <v>29</v>
      </c>
      <c r="M561" s="10" t="s">
        <v>29</v>
      </c>
      <c r="N561" s="8" t="s">
        <v>29</v>
      </c>
      <c r="O561" s="10" t="s">
        <v>19</v>
      </c>
      <c r="P561" s="8" t="s">
        <v>5320</v>
      </c>
      <c r="Q561" s="10" t="s">
        <v>174</v>
      </c>
      <c r="R561" s="10" t="s">
        <v>1387</v>
      </c>
      <c r="S561" s="8" t="s">
        <v>5321</v>
      </c>
      <c r="T561" s="10" t="s">
        <v>5142</v>
      </c>
      <c r="U561" s="10" t="s">
        <v>29</v>
      </c>
    </row>
    <row r="562" spans="1:21" s="10" customFormat="1" x14ac:dyDescent="0.25">
      <c r="A562" s="10" t="s">
        <v>5322</v>
      </c>
      <c r="B562" s="10" t="s">
        <v>5134</v>
      </c>
      <c r="C562" s="10" t="s">
        <v>166</v>
      </c>
      <c r="D562" s="10" t="s">
        <v>5323</v>
      </c>
      <c r="E562" s="8" t="s">
        <v>5324</v>
      </c>
      <c r="F562" s="8" t="s">
        <v>5325</v>
      </c>
      <c r="G562" s="10" t="s">
        <v>29</v>
      </c>
      <c r="H562" s="8" t="s">
        <v>5303</v>
      </c>
      <c r="I562" s="10" t="s">
        <v>5326</v>
      </c>
      <c r="J562" s="8" t="s">
        <v>2769</v>
      </c>
      <c r="K562" s="8" t="s">
        <v>29</v>
      </c>
      <c r="L562" s="8" t="s">
        <v>29</v>
      </c>
      <c r="M562" s="10" t="s">
        <v>29</v>
      </c>
      <c r="N562" s="8" t="s">
        <v>29</v>
      </c>
      <c r="O562" s="10" t="s">
        <v>19</v>
      </c>
      <c r="P562" s="8" t="s">
        <v>5327</v>
      </c>
      <c r="Q562" s="10" t="s">
        <v>174</v>
      </c>
      <c r="R562" s="10" t="s">
        <v>1387</v>
      </c>
      <c r="S562" s="8" t="s">
        <v>5328</v>
      </c>
      <c r="T562" s="10" t="s">
        <v>5142</v>
      </c>
      <c r="U562" s="10" t="s">
        <v>29</v>
      </c>
    </row>
    <row r="563" spans="1:21" s="10" customFormat="1" x14ac:dyDescent="0.25">
      <c r="A563" s="10" t="s">
        <v>5329</v>
      </c>
      <c r="B563" s="10" t="s">
        <v>5134</v>
      </c>
      <c r="C563" s="11" t="s">
        <v>297</v>
      </c>
      <c r="D563" s="10" t="s">
        <v>5330</v>
      </c>
      <c r="E563" s="8" t="s">
        <v>5331</v>
      </c>
      <c r="F563" s="8" t="s">
        <v>5332</v>
      </c>
      <c r="G563" s="10" t="s">
        <v>29</v>
      </c>
      <c r="H563" s="8" t="s">
        <v>5303</v>
      </c>
      <c r="I563" s="10" t="s">
        <v>5196</v>
      </c>
      <c r="J563" s="8" t="s">
        <v>2769</v>
      </c>
      <c r="K563" s="8" t="s">
        <v>29</v>
      </c>
      <c r="L563" s="8" t="s">
        <v>29</v>
      </c>
      <c r="M563" s="10" t="s">
        <v>29</v>
      </c>
      <c r="N563" s="8" t="s">
        <v>29</v>
      </c>
      <c r="O563" s="10" t="s">
        <v>19</v>
      </c>
      <c r="P563" s="8" t="s">
        <v>5333</v>
      </c>
      <c r="Q563" s="10" t="s">
        <v>174</v>
      </c>
      <c r="R563" s="10" t="s">
        <v>1387</v>
      </c>
      <c r="S563" s="8" t="s">
        <v>5334</v>
      </c>
      <c r="T563" s="10" t="s">
        <v>5142</v>
      </c>
      <c r="U563" s="10" t="s">
        <v>29</v>
      </c>
    </row>
    <row r="564" spans="1:21" s="10" customFormat="1" x14ac:dyDescent="0.25">
      <c r="A564" s="10" t="s">
        <v>5335</v>
      </c>
      <c r="B564" s="10" t="s">
        <v>5134</v>
      </c>
      <c r="C564" s="11" t="s">
        <v>297</v>
      </c>
      <c r="D564" s="10" t="s">
        <v>5336</v>
      </c>
      <c r="E564" s="8" t="s">
        <v>5337</v>
      </c>
      <c r="F564" s="8" t="s">
        <v>5338</v>
      </c>
      <c r="G564" s="10" t="s">
        <v>29</v>
      </c>
      <c r="H564" s="8" t="s">
        <v>1604</v>
      </c>
      <c r="I564" s="10" t="s">
        <v>5339</v>
      </c>
      <c r="J564" s="8" t="s">
        <v>1606</v>
      </c>
      <c r="K564" s="8" t="s">
        <v>29</v>
      </c>
      <c r="L564" s="8" t="s">
        <v>29</v>
      </c>
      <c r="M564" s="10" t="s">
        <v>29</v>
      </c>
      <c r="N564" s="8" t="s">
        <v>29</v>
      </c>
      <c r="O564" s="10" t="s">
        <v>19</v>
      </c>
      <c r="P564" s="8" t="s">
        <v>5340</v>
      </c>
      <c r="Q564" s="10" t="s">
        <v>1399</v>
      </c>
      <c r="R564" s="10" t="s">
        <v>1608</v>
      </c>
      <c r="S564" s="8" t="s">
        <v>5341</v>
      </c>
      <c r="T564" s="10" t="s">
        <v>5142</v>
      </c>
      <c r="U564" s="10" t="s">
        <v>29</v>
      </c>
    </row>
    <row r="565" spans="1:21" s="10" customFormat="1" x14ac:dyDescent="0.25">
      <c r="A565" s="10" t="s">
        <v>5342</v>
      </c>
      <c r="B565" s="10" t="s">
        <v>5134</v>
      </c>
      <c r="C565" s="11" t="s">
        <v>297</v>
      </c>
      <c r="D565" s="10" t="s">
        <v>5343</v>
      </c>
      <c r="E565" s="8" t="s">
        <v>5344</v>
      </c>
      <c r="F565" s="8" t="s">
        <v>1613</v>
      </c>
      <c r="G565" s="10" t="s">
        <v>29</v>
      </c>
      <c r="H565" s="8" t="s">
        <v>2120</v>
      </c>
      <c r="I565" s="10" t="s">
        <v>5202</v>
      </c>
      <c r="J565" s="8" t="s">
        <v>1615</v>
      </c>
      <c r="K565" s="8" t="s">
        <v>29</v>
      </c>
      <c r="L565" s="8" t="s">
        <v>29</v>
      </c>
      <c r="M565" s="10" t="s">
        <v>29</v>
      </c>
      <c r="N565" s="8" t="s">
        <v>29</v>
      </c>
      <c r="O565" s="10" t="s">
        <v>19</v>
      </c>
      <c r="P565" s="8" t="s">
        <v>5345</v>
      </c>
      <c r="Q565" s="10" t="s">
        <v>776</v>
      </c>
      <c r="R565" s="10" t="s">
        <v>2122</v>
      </c>
      <c r="S565" s="8" t="s">
        <v>1618</v>
      </c>
      <c r="T565" s="10" t="s">
        <v>5142</v>
      </c>
      <c r="U565" s="10" t="s">
        <v>29</v>
      </c>
    </row>
    <row r="566" spans="1:21" s="10" customFormat="1" x14ac:dyDescent="0.25">
      <c r="A566" s="10" t="s">
        <v>5346</v>
      </c>
      <c r="B566" s="10" t="s">
        <v>5134</v>
      </c>
      <c r="C566" s="10" t="s">
        <v>166</v>
      </c>
      <c r="D566" s="10" t="s">
        <v>5347</v>
      </c>
      <c r="E566" s="8" t="s">
        <v>5348</v>
      </c>
      <c r="F566" s="8" t="s">
        <v>5349</v>
      </c>
      <c r="G566" s="10" t="s">
        <v>29</v>
      </c>
      <c r="H566" s="8" t="s">
        <v>5350</v>
      </c>
      <c r="I566" s="10" t="s">
        <v>870</v>
      </c>
      <c r="J566" s="8" t="s">
        <v>2769</v>
      </c>
      <c r="K566" s="8" t="s">
        <v>29</v>
      </c>
      <c r="L566" s="8" t="s">
        <v>29</v>
      </c>
      <c r="M566" s="10" t="s">
        <v>29</v>
      </c>
      <c r="N566" s="8" t="s">
        <v>29</v>
      </c>
      <c r="O566" s="10" t="s">
        <v>19</v>
      </c>
      <c r="P566" s="8" t="s">
        <v>5351</v>
      </c>
      <c r="Q566" s="10" t="s">
        <v>174</v>
      </c>
      <c r="R566" s="10" t="s">
        <v>1387</v>
      </c>
      <c r="S566" s="8" t="s">
        <v>1599</v>
      </c>
      <c r="T566" s="10" t="s">
        <v>5142</v>
      </c>
      <c r="U566" s="10" t="s">
        <v>29</v>
      </c>
    </row>
    <row r="567" spans="1:21" s="10" customFormat="1" x14ac:dyDescent="0.25">
      <c r="A567" s="10" t="s">
        <v>5352</v>
      </c>
      <c r="B567" s="10" t="s">
        <v>5134</v>
      </c>
      <c r="C567" s="10" t="s">
        <v>166</v>
      </c>
      <c r="D567" s="10" t="s">
        <v>5353</v>
      </c>
      <c r="E567" s="8" t="s">
        <v>5354</v>
      </c>
      <c r="F567" s="8" t="s">
        <v>5355</v>
      </c>
      <c r="G567" s="10" t="s">
        <v>29</v>
      </c>
      <c r="H567" s="8" t="s">
        <v>5356</v>
      </c>
      <c r="I567" s="10" t="s">
        <v>5357</v>
      </c>
      <c r="J567" s="8" t="s">
        <v>2769</v>
      </c>
      <c r="K567" s="8" t="s">
        <v>29</v>
      </c>
      <c r="L567" s="8" t="s">
        <v>29</v>
      </c>
      <c r="M567" s="10" t="s">
        <v>29</v>
      </c>
      <c r="N567" s="8" t="s">
        <v>29</v>
      </c>
      <c r="O567" s="10" t="s">
        <v>19</v>
      </c>
      <c r="P567" s="8" t="s">
        <v>5358</v>
      </c>
      <c r="Q567" s="10" t="s">
        <v>174</v>
      </c>
      <c r="R567" s="10" t="s">
        <v>1387</v>
      </c>
      <c r="S567" s="8" t="s">
        <v>5359</v>
      </c>
      <c r="T567" s="10" t="s">
        <v>5142</v>
      </c>
      <c r="U567" s="10" t="s">
        <v>29</v>
      </c>
    </row>
    <row r="568" spans="1:21" s="10" customFormat="1" x14ac:dyDescent="0.25">
      <c r="A568" s="10" t="s">
        <v>5360</v>
      </c>
      <c r="B568" s="10" t="s">
        <v>5134</v>
      </c>
      <c r="C568" s="11" t="s">
        <v>297</v>
      </c>
      <c r="D568" s="10" t="s">
        <v>5361</v>
      </c>
      <c r="E568" s="8" t="s">
        <v>5362</v>
      </c>
      <c r="F568" s="8" t="s">
        <v>5363</v>
      </c>
      <c r="G568" s="10" t="s">
        <v>29</v>
      </c>
      <c r="H568" s="8" t="s">
        <v>5364</v>
      </c>
      <c r="I568" s="10" t="s">
        <v>5365</v>
      </c>
      <c r="J568" s="8" t="s">
        <v>2769</v>
      </c>
      <c r="K568" s="8" t="s">
        <v>29</v>
      </c>
      <c r="L568" s="8" t="s">
        <v>29</v>
      </c>
      <c r="M568" s="10" t="s">
        <v>29</v>
      </c>
      <c r="N568" s="8" t="s">
        <v>29</v>
      </c>
      <c r="O568" s="10" t="s">
        <v>19</v>
      </c>
      <c r="P568" s="8" t="s">
        <v>5366</v>
      </c>
      <c r="Q568" s="10" t="s">
        <v>174</v>
      </c>
      <c r="R568" s="10" t="s">
        <v>1387</v>
      </c>
      <c r="S568" s="8" t="s">
        <v>5367</v>
      </c>
      <c r="T568" s="10" t="s">
        <v>5142</v>
      </c>
      <c r="U568" s="10" t="s">
        <v>29</v>
      </c>
    </row>
    <row r="569" spans="1:21" s="10" customFormat="1" x14ac:dyDescent="0.25">
      <c r="A569" s="10" t="s">
        <v>5368</v>
      </c>
      <c r="B569" s="10" t="s">
        <v>5134</v>
      </c>
      <c r="C569" s="11" t="s">
        <v>297</v>
      </c>
      <c r="D569" s="10" t="s">
        <v>5369</v>
      </c>
      <c r="E569" s="8" t="s">
        <v>5370</v>
      </c>
      <c r="F569" s="8" t="s">
        <v>5371</v>
      </c>
      <c r="G569" s="10" t="s">
        <v>29</v>
      </c>
      <c r="H569" s="8" t="s">
        <v>5372</v>
      </c>
      <c r="I569" s="10" t="s">
        <v>5373</v>
      </c>
      <c r="J569" s="8" t="s">
        <v>2769</v>
      </c>
      <c r="K569" s="8" t="s">
        <v>29</v>
      </c>
      <c r="L569" s="8" t="s">
        <v>29</v>
      </c>
      <c r="M569" s="10" t="s">
        <v>29</v>
      </c>
      <c r="N569" s="8" t="s">
        <v>29</v>
      </c>
      <c r="O569" s="10" t="s">
        <v>19</v>
      </c>
      <c r="P569" s="8" t="s">
        <v>5374</v>
      </c>
      <c r="Q569" s="10" t="s">
        <v>1399</v>
      </c>
      <c r="R569" s="10" t="s">
        <v>1387</v>
      </c>
      <c r="S569" s="8" t="s">
        <v>5375</v>
      </c>
      <c r="T569" s="10" t="s">
        <v>5142</v>
      </c>
      <c r="U569" s="10" t="s">
        <v>29</v>
      </c>
    </row>
    <row r="570" spans="1:21" s="10" customFormat="1" x14ac:dyDescent="0.25">
      <c r="A570" s="10" t="s">
        <v>5376</v>
      </c>
      <c r="B570" s="10" t="s">
        <v>5134</v>
      </c>
      <c r="C570" s="10" t="s">
        <v>166</v>
      </c>
      <c r="D570" s="10" t="s">
        <v>5377</v>
      </c>
      <c r="E570" s="8" t="s">
        <v>5378</v>
      </c>
      <c r="F570" s="8" t="s">
        <v>5379</v>
      </c>
      <c r="G570" s="10" t="s">
        <v>29</v>
      </c>
      <c r="H570" s="8" t="s">
        <v>5380</v>
      </c>
      <c r="I570" s="10" t="s">
        <v>1929</v>
      </c>
      <c r="J570" s="8" t="s">
        <v>2769</v>
      </c>
      <c r="K570" s="8" t="s">
        <v>29</v>
      </c>
      <c r="L570" s="8" t="s">
        <v>29</v>
      </c>
      <c r="M570" s="10" t="s">
        <v>29</v>
      </c>
      <c r="N570" s="8" t="s">
        <v>29</v>
      </c>
      <c r="O570" s="10" t="s">
        <v>19</v>
      </c>
      <c r="P570" s="8" t="s">
        <v>5381</v>
      </c>
      <c r="Q570" s="10" t="s">
        <v>174</v>
      </c>
      <c r="R570" s="10" t="s">
        <v>1387</v>
      </c>
      <c r="S570" s="8" t="s">
        <v>5382</v>
      </c>
      <c r="T570" s="10" t="s">
        <v>5142</v>
      </c>
      <c r="U570" s="10" t="s">
        <v>29</v>
      </c>
    </row>
    <row r="571" spans="1:21" s="10" customFormat="1" x14ac:dyDescent="0.25">
      <c r="A571" s="10" t="s">
        <v>5383</v>
      </c>
      <c r="B571" s="10" t="s">
        <v>5134</v>
      </c>
      <c r="C571" s="10" t="s">
        <v>166</v>
      </c>
      <c r="D571" s="10" t="s">
        <v>5384</v>
      </c>
      <c r="E571" s="8" t="s">
        <v>5385</v>
      </c>
      <c r="F571" s="8" t="s">
        <v>5386</v>
      </c>
      <c r="G571" s="10" t="s">
        <v>29</v>
      </c>
      <c r="H571" s="8" t="s">
        <v>5387</v>
      </c>
      <c r="I571" s="10" t="s">
        <v>1929</v>
      </c>
      <c r="J571" s="8" t="s">
        <v>2769</v>
      </c>
      <c r="K571" s="8" t="s">
        <v>29</v>
      </c>
      <c r="L571" s="8" t="s">
        <v>29</v>
      </c>
      <c r="M571" s="10" t="s">
        <v>29</v>
      </c>
      <c r="N571" s="8" t="s">
        <v>29</v>
      </c>
      <c r="O571" s="10" t="s">
        <v>19</v>
      </c>
      <c r="P571" s="8" t="s">
        <v>5388</v>
      </c>
      <c r="Q571" s="10" t="s">
        <v>174</v>
      </c>
      <c r="R571" s="10" t="s">
        <v>1387</v>
      </c>
      <c r="S571" s="8" t="s">
        <v>5389</v>
      </c>
      <c r="T571" s="10" t="s">
        <v>5142</v>
      </c>
      <c r="U571" s="10" t="s">
        <v>29</v>
      </c>
    </row>
    <row r="572" spans="1:21" s="10" customFormat="1" x14ac:dyDescent="0.25">
      <c r="A572" s="10" t="s">
        <v>5390</v>
      </c>
      <c r="B572" s="10" t="s">
        <v>5134</v>
      </c>
      <c r="C572" s="11" t="s">
        <v>297</v>
      </c>
      <c r="D572" s="10" t="s">
        <v>5391</v>
      </c>
      <c r="E572" s="8" t="s">
        <v>5392</v>
      </c>
      <c r="F572" s="8" t="s">
        <v>5393</v>
      </c>
      <c r="G572" s="10" t="s">
        <v>29</v>
      </c>
      <c r="H572" s="8" t="s">
        <v>5394</v>
      </c>
      <c r="I572" s="10" t="s">
        <v>1929</v>
      </c>
      <c r="J572" s="8" t="s">
        <v>2769</v>
      </c>
      <c r="K572" s="8" t="s">
        <v>29</v>
      </c>
      <c r="L572" s="8" t="s">
        <v>29</v>
      </c>
      <c r="M572" s="10" t="s">
        <v>29</v>
      </c>
      <c r="N572" s="8" t="s">
        <v>29</v>
      </c>
      <c r="O572" s="10" t="s">
        <v>19</v>
      </c>
      <c r="P572" s="8" t="s">
        <v>5395</v>
      </c>
      <c r="Q572" s="10" t="s">
        <v>174</v>
      </c>
      <c r="R572" s="10" t="s">
        <v>1387</v>
      </c>
      <c r="S572" s="8" t="s">
        <v>5396</v>
      </c>
      <c r="T572" s="10" t="s">
        <v>5142</v>
      </c>
      <c r="U572" s="10" t="s">
        <v>29</v>
      </c>
    </row>
    <row r="573" spans="1:21" s="10" customFormat="1" x14ac:dyDescent="0.25">
      <c r="A573" s="10" t="s">
        <v>5397</v>
      </c>
      <c r="B573" s="10" t="s">
        <v>5134</v>
      </c>
      <c r="C573" s="11" t="s">
        <v>297</v>
      </c>
      <c r="D573" s="10" t="s">
        <v>5398</v>
      </c>
      <c r="E573" s="8" t="s">
        <v>5399</v>
      </c>
      <c r="F573" s="8" t="s">
        <v>5400</v>
      </c>
      <c r="G573" s="10" t="s">
        <v>29</v>
      </c>
      <c r="H573" s="8" t="s">
        <v>5401</v>
      </c>
      <c r="I573" s="10" t="s">
        <v>1929</v>
      </c>
      <c r="J573" s="8" t="s">
        <v>2769</v>
      </c>
      <c r="K573" s="8" t="s">
        <v>29</v>
      </c>
      <c r="L573" s="8" t="s">
        <v>29</v>
      </c>
      <c r="M573" s="10" t="s">
        <v>29</v>
      </c>
      <c r="N573" s="8" t="s">
        <v>29</v>
      </c>
      <c r="O573" s="10" t="s">
        <v>19</v>
      </c>
      <c r="P573" s="8" t="s">
        <v>5402</v>
      </c>
      <c r="Q573" s="10" t="s">
        <v>174</v>
      </c>
      <c r="R573" s="10" t="s">
        <v>1387</v>
      </c>
      <c r="S573" s="8" t="s">
        <v>5403</v>
      </c>
      <c r="T573" s="10" t="s">
        <v>5142</v>
      </c>
      <c r="U573" s="10" t="s">
        <v>29</v>
      </c>
    </row>
    <row r="574" spans="1:21" s="10" customFormat="1" x14ac:dyDescent="0.25">
      <c r="A574" s="10" t="s">
        <v>5404</v>
      </c>
      <c r="B574" s="10" t="s">
        <v>5134</v>
      </c>
      <c r="C574" s="11" t="s">
        <v>297</v>
      </c>
      <c r="D574" s="10" t="s">
        <v>5405</v>
      </c>
      <c r="E574" s="8" t="s">
        <v>5406</v>
      </c>
      <c r="F574" s="8" t="s">
        <v>5407</v>
      </c>
      <c r="G574" s="10" t="s">
        <v>29</v>
      </c>
      <c r="H574" s="8" t="s">
        <v>5408</v>
      </c>
      <c r="I574" s="10" t="s">
        <v>1929</v>
      </c>
      <c r="J574" s="8" t="s">
        <v>5409</v>
      </c>
      <c r="K574" s="8" t="s">
        <v>29</v>
      </c>
      <c r="L574" s="8" t="s">
        <v>29</v>
      </c>
      <c r="M574" s="10" t="s">
        <v>29</v>
      </c>
      <c r="N574" s="8" t="s">
        <v>29</v>
      </c>
      <c r="O574" s="10" t="s">
        <v>19</v>
      </c>
      <c r="P574" s="8" t="s">
        <v>5410</v>
      </c>
      <c r="Q574" s="10" t="s">
        <v>1399</v>
      </c>
      <c r="R574" s="10" t="s">
        <v>1387</v>
      </c>
      <c r="S574" s="8" t="s">
        <v>5411</v>
      </c>
      <c r="T574" s="10" t="s">
        <v>5142</v>
      </c>
      <c r="U574" s="10" t="s">
        <v>29</v>
      </c>
    </row>
    <row r="575" spans="1:21" s="10" customFormat="1" x14ac:dyDescent="0.25">
      <c r="A575" s="10" t="s">
        <v>5412</v>
      </c>
      <c r="B575" s="10" t="s">
        <v>5134</v>
      </c>
      <c r="C575" s="10" t="s">
        <v>166</v>
      </c>
      <c r="D575" s="10" t="s">
        <v>5413</v>
      </c>
      <c r="E575" s="8" t="s">
        <v>5414</v>
      </c>
      <c r="F575" s="8" t="s">
        <v>5415</v>
      </c>
      <c r="G575" s="10" t="s">
        <v>29</v>
      </c>
      <c r="H575" s="8" t="s">
        <v>5416</v>
      </c>
      <c r="I575" s="10" t="s">
        <v>1508</v>
      </c>
      <c r="J575" s="8" t="s">
        <v>2769</v>
      </c>
      <c r="K575" s="8" t="s">
        <v>29</v>
      </c>
      <c r="L575" s="8" t="s">
        <v>29</v>
      </c>
      <c r="M575" s="10" t="s">
        <v>29</v>
      </c>
      <c r="N575" s="8" t="s">
        <v>29</v>
      </c>
      <c r="O575" s="10" t="s">
        <v>19</v>
      </c>
      <c r="P575" s="8" t="s">
        <v>5417</v>
      </c>
      <c r="Q575" s="10" t="s">
        <v>190</v>
      </c>
      <c r="R575" s="10" t="s">
        <v>1387</v>
      </c>
      <c r="S575" s="8" t="s">
        <v>5418</v>
      </c>
      <c r="T575" s="10" t="s">
        <v>5142</v>
      </c>
      <c r="U575" s="10" t="s">
        <v>29</v>
      </c>
    </row>
    <row r="576" spans="1:21" s="10" customFormat="1" x14ac:dyDescent="0.25">
      <c r="A576" s="10" t="s">
        <v>5419</v>
      </c>
      <c r="B576" s="10" t="s">
        <v>5134</v>
      </c>
      <c r="C576" s="11" t="s">
        <v>297</v>
      </c>
      <c r="D576" s="10" t="s">
        <v>5420</v>
      </c>
      <c r="E576" s="8" t="s">
        <v>5421</v>
      </c>
      <c r="F576" s="8" t="s">
        <v>5422</v>
      </c>
      <c r="G576" s="10" t="s">
        <v>29</v>
      </c>
      <c r="H576" s="8" t="s">
        <v>5423</v>
      </c>
      <c r="I576" s="10" t="s">
        <v>5365</v>
      </c>
      <c r="J576" s="8" t="s">
        <v>2769</v>
      </c>
      <c r="K576" s="8" t="s">
        <v>29</v>
      </c>
      <c r="L576" s="8" t="s">
        <v>29</v>
      </c>
      <c r="M576" s="10" t="s">
        <v>29</v>
      </c>
      <c r="N576" s="8" t="s">
        <v>29</v>
      </c>
      <c r="O576" s="10" t="s">
        <v>19</v>
      </c>
      <c r="P576" s="8" t="s">
        <v>5424</v>
      </c>
      <c r="Q576" s="10" t="s">
        <v>190</v>
      </c>
      <c r="R576" s="10" t="s">
        <v>1387</v>
      </c>
      <c r="S576" s="8" t="s">
        <v>5425</v>
      </c>
      <c r="T576" s="10" t="s">
        <v>5142</v>
      </c>
      <c r="U576" s="10" t="s">
        <v>29</v>
      </c>
    </row>
    <row r="577" spans="1:21" s="10" customFormat="1" x14ac:dyDescent="0.25">
      <c r="A577" s="10" t="s">
        <v>5426</v>
      </c>
      <c r="B577" s="10" t="s">
        <v>5134</v>
      </c>
      <c r="C577" s="11" t="s">
        <v>297</v>
      </c>
      <c r="D577" s="10" t="s">
        <v>5427</v>
      </c>
      <c r="E577" s="8" t="s">
        <v>5428</v>
      </c>
      <c r="F577" s="8" t="s">
        <v>5429</v>
      </c>
      <c r="G577" s="10" t="s">
        <v>29</v>
      </c>
      <c r="H577" s="8" t="s">
        <v>5430</v>
      </c>
      <c r="I577" s="10" t="s">
        <v>5365</v>
      </c>
      <c r="J577" s="8" t="s">
        <v>5431</v>
      </c>
      <c r="K577" s="8" t="s">
        <v>29</v>
      </c>
      <c r="L577" s="8" t="s">
        <v>29</v>
      </c>
      <c r="M577" s="10" t="s">
        <v>29</v>
      </c>
      <c r="N577" s="8" t="s">
        <v>29</v>
      </c>
      <c r="O577" s="10" t="s">
        <v>19</v>
      </c>
      <c r="P577" s="8" t="s">
        <v>5432</v>
      </c>
      <c r="Q577" s="10" t="s">
        <v>1399</v>
      </c>
      <c r="R577" s="10" t="s">
        <v>1387</v>
      </c>
      <c r="S577" s="8" t="s">
        <v>5433</v>
      </c>
      <c r="T577" s="10" t="s">
        <v>5142</v>
      </c>
      <c r="U577" s="10" t="s">
        <v>29</v>
      </c>
    </row>
    <row r="578" spans="1:21" s="10" customFormat="1" x14ac:dyDescent="0.25">
      <c r="A578" s="10" t="s">
        <v>5434</v>
      </c>
      <c r="B578" s="10" t="s">
        <v>5134</v>
      </c>
      <c r="C578" s="10" t="s">
        <v>166</v>
      </c>
      <c r="D578" s="10" t="s">
        <v>5435</v>
      </c>
      <c r="E578" s="8" t="s">
        <v>5436</v>
      </c>
      <c r="F578" s="8" t="s">
        <v>5437</v>
      </c>
      <c r="G578" s="10" t="s">
        <v>29</v>
      </c>
      <c r="H578" s="8" t="s">
        <v>5438</v>
      </c>
      <c r="I578" s="10" t="s">
        <v>5439</v>
      </c>
      <c r="J578" s="8" t="s">
        <v>2769</v>
      </c>
      <c r="K578" s="8" t="s">
        <v>29</v>
      </c>
      <c r="L578" s="8" t="s">
        <v>29</v>
      </c>
      <c r="M578" s="10" t="s">
        <v>29</v>
      </c>
      <c r="N578" s="8" t="s">
        <v>29</v>
      </c>
      <c r="O578" s="10" t="s">
        <v>19</v>
      </c>
      <c r="P578" s="8" t="s">
        <v>5440</v>
      </c>
      <c r="Q578" s="10" t="s">
        <v>174</v>
      </c>
      <c r="R578" s="10" t="s">
        <v>1387</v>
      </c>
      <c r="S578" s="8" t="s">
        <v>5441</v>
      </c>
      <c r="T578" s="10" t="s">
        <v>5142</v>
      </c>
      <c r="U578" s="10" t="s">
        <v>29</v>
      </c>
    </row>
    <row r="579" spans="1:21" s="10" customFormat="1" x14ac:dyDescent="0.25">
      <c r="A579" s="10" t="s">
        <v>5442</v>
      </c>
      <c r="B579" s="10" t="s">
        <v>5134</v>
      </c>
      <c r="C579" s="10" t="s">
        <v>166</v>
      </c>
      <c r="D579" s="10" t="s">
        <v>5443</v>
      </c>
      <c r="E579" s="8" t="s">
        <v>5444</v>
      </c>
      <c r="F579" s="8" t="s">
        <v>5445</v>
      </c>
      <c r="G579" s="10" t="s">
        <v>29</v>
      </c>
      <c r="H579" s="8" t="s">
        <v>5446</v>
      </c>
      <c r="I579" s="10" t="s">
        <v>5447</v>
      </c>
      <c r="J579" s="8" t="s">
        <v>2769</v>
      </c>
      <c r="K579" s="8" t="s">
        <v>29</v>
      </c>
      <c r="L579" s="8" t="s">
        <v>29</v>
      </c>
      <c r="M579" s="10" t="s">
        <v>29</v>
      </c>
      <c r="N579" s="8" t="s">
        <v>29</v>
      </c>
      <c r="O579" s="10" t="s">
        <v>19</v>
      </c>
      <c r="P579" s="8" t="s">
        <v>5448</v>
      </c>
      <c r="Q579" s="10" t="s">
        <v>197</v>
      </c>
      <c r="R579" s="10" t="s">
        <v>1387</v>
      </c>
      <c r="S579" s="8" t="s">
        <v>5449</v>
      </c>
      <c r="T579" s="10" t="s">
        <v>5142</v>
      </c>
      <c r="U579" s="10" t="s">
        <v>29</v>
      </c>
    </row>
    <row r="580" spans="1:21" s="10" customFormat="1" x14ac:dyDescent="0.25">
      <c r="A580" s="10" t="s">
        <v>5450</v>
      </c>
      <c r="B580" s="10" t="s">
        <v>5134</v>
      </c>
      <c r="C580" s="10" t="s">
        <v>166</v>
      </c>
      <c r="D580" s="10" t="s">
        <v>5451</v>
      </c>
      <c r="E580" s="8" t="s">
        <v>5452</v>
      </c>
      <c r="F580" s="8" t="s">
        <v>5453</v>
      </c>
      <c r="G580" s="10" t="s">
        <v>29</v>
      </c>
      <c r="H580" s="8" t="s">
        <v>5454</v>
      </c>
      <c r="I580" s="10" t="s">
        <v>5365</v>
      </c>
      <c r="J580" s="8" t="s">
        <v>2769</v>
      </c>
      <c r="K580" s="8" t="s">
        <v>29</v>
      </c>
      <c r="L580" s="8" t="s">
        <v>29</v>
      </c>
      <c r="M580" s="10" t="s">
        <v>29</v>
      </c>
      <c r="N580" s="8" t="s">
        <v>29</v>
      </c>
      <c r="O580" s="10" t="s">
        <v>19</v>
      </c>
      <c r="P580" s="8" t="s">
        <v>5455</v>
      </c>
      <c r="Q580" s="10" t="s">
        <v>174</v>
      </c>
      <c r="R580" s="10" t="s">
        <v>1387</v>
      </c>
      <c r="S580" s="8" t="s">
        <v>5456</v>
      </c>
      <c r="T580" s="10" t="s">
        <v>5142</v>
      </c>
      <c r="U580" s="10" t="s">
        <v>29</v>
      </c>
    </row>
    <row r="581" spans="1:21" s="10" customFormat="1" x14ac:dyDescent="0.25">
      <c r="A581" s="10" t="s">
        <v>5457</v>
      </c>
      <c r="B581" s="10" t="s">
        <v>5134</v>
      </c>
      <c r="C581" s="10" t="s">
        <v>166</v>
      </c>
      <c r="D581" s="10" t="s">
        <v>5458</v>
      </c>
      <c r="E581" s="8" t="s">
        <v>5459</v>
      </c>
      <c r="F581" s="8" t="s">
        <v>4774</v>
      </c>
      <c r="G581" s="10" t="s">
        <v>29</v>
      </c>
      <c r="H581" s="8" t="s">
        <v>5460</v>
      </c>
      <c r="I581" s="10" t="s">
        <v>5365</v>
      </c>
      <c r="J581" s="8" t="s">
        <v>2769</v>
      </c>
      <c r="K581" s="8" t="s">
        <v>29</v>
      </c>
      <c r="L581" s="8" t="s">
        <v>29</v>
      </c>
      <c r="M581" s="10" t="s">
        <v>29</v>
      </c>
      <c r="N581" s="8" t="s">
        <v>29</v>
      </c>
      <c r="O581" s="10" t="s">
        <v>19</v>
      </c>
      <c r="P581" s="8" t="s">
        <v>5461</v>
      </c>
      <c r="Q581" s="10" t="s">
        <v>174</v>
      </c>
      <c r="R581" s="10" t="s">
        <v>1387</v>
      </c>
      <c r="S581" s="8" t="s">
        <v>5462</v>
      </c>
      <c r="T581" s="10" t="s">
        <v>5142</v>
      </c>
      <c r="U581" s="10" t="s">
        <v>29</v>
      </c>
    </row>
    <row r="582" spans="1:21" s="10" customFormat="1" x14ac:dyDescent="0.25">
      <c r="A582" s="10" t="s">
        <v>5463</v>
      </c>
      <c r="B582" s="10" t="s">
        <v>5134</v>
      </c>
      <c r="C582" s="10" t="s">
        <v>166</v>
      </c>
      <c r="D582" s="10" t="s">
        <v>5464</v>
      </c>
      <c r="E582" s="8" t="s">
        <v>5465</v>
      </c>
      <c r="F582" s="8" t="s">
        <v>5466</v>
      </c>
      <c r="G582" s="10" t="s">
        <v>29</v>
      </c>
      <c r="H582" s="8" t="s">
        <v>5467</v>
      </c>
      <c r="I582" s="10" t="s">
        <v>858</v>
      </c>
      <c r="J582" s="8" t="s">
        <v>2769</v>
      </c>
      <c r="K582" s="8" t="s">
        <v>29</v>
      </c>
      <c r="L582" s="8" t="s">
        <v>29</v>
      </c>
      <c r="M582" s="10" t="s">
        <v>29</v>
      </c>
      <c r="N582" s="8" t="s">
        <v>29</v>
      </c>
      <c r="O582" s="10" t="s">
        <v>19</v>
      </c>
      <c r="P582" s="8" t="s">
        <v>5468</v>
      </c>
      <c r="Q582" s="10" t="s">
        <v>190</v>
      </c>
      <c r="R582" s="10" t="s">
        <v>1387</v>
      </c>
      <c r="S582" s="8" t="s">
        <v>5469</v>
      </c>
      <c r="T582" s="10" t="s">
        <v>5142</v>
      </c>
      <c r="U582" s="10" t="s">
        <v>29</v>
      </c>
    </row>
    <row r="583" spans="1:21" s="10" customFormat="1" x14ac:dyDescent="0.25">
      <c r="A583" s="10" t="s">
        <v>5470</v>
      </c>
      <c r="B583" s="10" t="s">
        <v>5134</v>
      </c>
      <c r="C583" s="10" t="s">
        <v>335</v>
      </c>
      <c r="D583" s="10" t="s">
        <v>5471</v>
      </c>
      <c r="E583" s="8" t="s">
        <v>5472</v>
      </c>
      <c r="F583" s="8" t="s">
        <v>5473</v>
      </c>
      <c r="G583" s="10" t="s">
        <v>29</v>
      </c>
      <c r="H583" s="8" t="s">
        <v>5474</v>
      </c>
      <c r="I583" s="10" t="s">
        <v>5475</v>
      </c>
      <c r="J583" s="8" t="s">
        <v>2769</v>
      </c>
      <c r="K583" s="8" t="s">
        <v>29</v>
      </c>
      <c r="L583" s="8" t="s">
        <v>29</v>
      </c>
      <c r="M583" s="10" t="s">
        <v>29</v>
      </c>
      <c r="N583" s="8" t="s">
        <v>29</v>
      </c>
      <c r="O583" s="10" t="s">
        <v>19</v>
      </c>
      <c r="P583" s="8" t="s">
        <v>5476</v>
      </c>
      <c r="Q583" s="10" t="s">
        <v>174</v>
      </c>
      <c r="R583" s="10" t="s">
        <v>1387</v>
      </c>
      <c r="S583" s="8" t="s">
        <v>5477</v>
      </c>
      <c r="T583" s="10" t="s">
        <v>5142</v>
      </c>
      <c r="U583" s="10" t="s">
        <v>29</v>
      </c>
    </row>
    <row r="584" spans="1:21" s="10" customFormat="1" x14ac:dyDescent="0.25">
      <c r="A584" s="10" t="s">
        <v>5478</v>
      </c>
      <c r="B584" s="10" t="s">
        <v>5134</v>
      </c>
      <c r="C584" s="10" t="s">
        <v>166</v>
      </c>
      <c r="D584" s="10" t="s">
        <v>5479</v>
      </c>
      <c r="E584" s="8" t="s">
        <v>5480</v>
      </c>
      <c r="F584" s="8" t="s">
        <v>5481</v>
      </c>
      <c r="G584" s="10" t="s">
        <v>29</v>
      </c>
      <c r="H584" s="8" t="s">
        <v>5482</v>
      </c>
      <c r="I584" s="10" t="s">
        <v>5483</v>
      </c>
      <c r="J584" s="8" t="s">
        <v>2769</v>
      </c>
      <c r="K584" s="8" t="s">
        <v>29</v>
      </c>
      <c r="L584" s="8" t="s">
        <v>29</v>
      </c>
      <c r="M584" s="10" t="s">
        <v>29</v>
      </c>
      <c r="N584" s="8" t="s">
        <v>29</v>
      </c>
      <c r="O584" s="10" t="s">
        <v>19</v>
      </c>
      <c r="P584" s="8" t="s">
        <v>5484</v>
      </c>
      <c r="Q584" s="10" t="s">
        <v>174</v>
      </c>
      <c r="R584" s="10" t="s">
        <v>1387</v>
      </c>
      <c r="S584" s="8" t="s">
        <v>5485</v>
      </c>
      <c r="T584" s="10" t="s">
        <v>5142</v>
      </c>
      <c r="U584" s="10" t="s">
        <v>29</v>
      </c>
    </row>
    <row r="585" spans="1:21" s="10" customFormat="1" x14ac:dyDescent="0.25">
      <c r="A585" s="10" t="s">
        <v>5486</v>
      </c>
      <c r="B585" s="10" t="s">
        <v>5134</v>
      </c>
      <c r="C585" s="11" t="s">
        <v>297</v>
      </c>
      <c r="D585" s="10" t="s">
        <v>5487</v>
      </c>
      <c r="E585" s="8" t="s">
        <v>5488</v>
      </c>
      <c r="F585" s="8" t="s">
        <v>5489</v>
      </c>
      <c r="G585" s="10" t="s">
        <v>29</v>
      </c>
      <c r="H585" s="8" t="s">
        <v>5482</v>
      </c>
      <c r="I585" s="10" t="s">
        <v>3663</v>
      </c>
      <c r="J585" s="8" t="s">
        <v>2769</v>
      </c>
      <c r="K585" s="8" t="s">
        <v>29</v>
      </c>
      <c r="L585" s="8" t="s">
        <v>29</v>
      </c>
      <c r="M585" s="10" t="s">
        <v>29</v>
      </c>
      <c r="N585" s="8" t="s">
        <v>29</v>
      </c>
      <c r="O585" s="10" t="s">
        <v>19</v>
      </c>
      <c r="P585" s="8" t="s">
        <v>5490</v>
      </c>
      <c r="Q585" s="10" t="s">
        <v>1399</v>
      </c>
      <c r="R585" s="10" t="s">
        <v>1387</v>
      </c>
      <c r="S585" s="8" t="s">
        <v>5491</v>
      </c>
      <c r="T585" s="10" t="s">
        <v>5142</v>
      </c>
      <c r="U585" s="10" t="s">
        <v>29</v>
      </c>
    </row>
    <row r="586" spans="1:21" s="10" customFormat="1" x14ac:dyDescent="0.25">
      <c r="A586" s="10" t="s">
        <v>5492</v>
      </c>
      <c r="B586" s="10" t="s">
        <v>5134</v>
      </c>
      <c r="C586" s="10" t="s">
        <v>166</v>
      </c>
      <c r="D586" s="10" t="s">
        <v>5493</v>
      </c>
      <c r="E586" s="8" t="s">
        <v>5494</v>
      </c>
      <c r="F586" s="8" t="s">
        <v>5495</v>
      </c>
      <c r="G586" s="10" t="s">
        <v>29</v>
      </c>
      <c r="H586" s="8" t="s">
        <v>5496</v>
      </c>
      <c r="I586" s="10" t="s">
        <v>5439</v>
      </c>
      <c r="J586" s="8" t="s">
        <v>2769</v>
      </c>
      <c r="K586" s="8" t="s">
        <v>29</v>
      </c>
      <c r="L586" s="8" t="s">
        <v>29</v>
      </c>
      <c r="M586" s="10" t="s">
        <v>29</v>
      </c>
      <c r="N586" s="8" t="s">
        <v>29</v>
      </c>
      <c r="O586" s="10" t="s">
        <v>19</v>
      </c>
      <c r="P586" s="8" t="s">
        <v>5497</v>
      </c>
      <c r="Q586" s="10" t="s">
        <v>174</v>
      </c>
      <c r="R586" s="10" t="s">
        <v>1387</v>
      </c>
      <c r="S586" s="8" t="s">
        <v>5498</v>
      </c>
      <c r="T586" s="10" t="s">
        <v>5142</v>
      </c>
      <c r="U586" s="10" t="s">
        <v>29</v>
      </c>
    </row>
    <row r="587" spans="1:21" s="10" customFormat="1" x14ac:dyDescent="0.25">
      <c r="A587" s="10" t="s">
        <v>5499</v>
      </c>
      <c r="B587" s="10" t="s">
        <v>5134</v>
      </c>
      <c r="C587" s="11" t="s">
        <v>297</v>
      </c>
      <c r="D587" s="10" t="s">
        <v>5500</v>
      </c>
      <c r="E587" s="8" t="s">
        <v>5501</v>
      </c>
      <c r="F587" s="8" t="s">
        <v>5502</v>
      </c>
      <c r="G587" s="10" t="s">
        <v>29</v>
      </c>
      <c r="H587" s="8" t="s">
        <v>5482</v>
      </c>
      <c r="I587" s="10" t="s">
        <v>858</v>
      </c>
      <c r="J587" s="8" t="s">
        <v>2769</v>
      </c>
      <c r="K587" s="8" t="s">
        <v>29</v>
      </c>
      <c r="L587" s="8" t="s">
        <v>29</v>
      </c>
      <c r="M587" s="10" t="s">
        <v>29</v>
      </c>
      <c r="N587" s="8" t="s">
        <v>29</v>
      </c>
      <c r="O587" s="10" t="s">
        <v>19</v>
      </c>
      <c r="P587" s="8" t="s">
        <v>5503</v>
      </c>
      <c r="Q587" s="10" t="s">
        <v>174</v>
      </c>
      <c r="R587" s="10" t="s">
        <v>1387</v>
      </c>
      <c r="S587" s="8" t="s">
        <v>5504</v>
      </c>
      <c r="T587" s="10" t="s">
        <v>5142</v>
      </c>
      <c r="U587" s="10" t="s">
        <v>29</v>
      </c>
    </row>
    <row r="588" spans="1:21" s="10" customFormat="1" x14ac:dyDescent="0.25">
      <c r="A588" s="10" t="s">
        <v>5505</v>
      </c>
      <c r="B588" s="10" t="s">
        <v>5134</v>
      </c>
      <c r="C588" s="11" t="s">
        <v>297</v>
      </c>
      <c r="D588" s="10" t="s">
        <v>5506</v>
      </c>
      <c r="E588" s="8" t="s">
        <v>5507</v>
      </c>
      <c r="F588" s="8" t="s">
        <v>5508</v>
      </c>
      <c r="G588" s="10" t="s">
        <v>29</v>
      </c>
      <c r="H588" s="8" t="s">
        <v>1604</v>
      </c>
      <c r="I588" s="10" t="s">
        <v>5509</v>
      </c>
      <c r="J588" s="8" t="s">
        <v>1606</v>
      </c>
      <c r="K588" s="8" t="s">
        <v>29</v>
      </c>
      <c r="L588" s="8" t="s">
        <v>29</v>
      </c>
      <c r="M588" s="10" t="s">
        <v>29</v>
      </c>
      <c r="N588" s="8" t="s">
        <v>29</v>
      </c>
      <c r="O588" s="10" t="s">
        <v>19</v>
      </c>
      <c r="P588" s="8" t="s">
        <v>5510</v>
      </c>
      <c r="Q588" s="10" t="s">
        <v>1399</v>
      </c>
      <c r="R588" s="10" t="s">
        <v>1608</v>
      </c>
      <c r="S588" s="8" t="s">
        <v>5511</v>
      </c>
      <c r="T588" s="10" t="s">
        <v>5142</v>
      </c>
      <c r="U588" s="10" t="s">
        <v>29</v>
      </c>
    </row>
    <row r="589" spans="1:21" s="10" customFormat="1" x14ac:dyDescent="0.25">
      <c r="A589" s="10" t="s">
        <v>5512</v>
      </c>
      <c r="B589" s="10" t="s">
        <v>5134</v>
      </c>
      <c r="C589" s="11" t="s">
        <v>297</v>
      </c>
      <c r="D589" s="10" t="s">
        <v>5513</v>
      </c>
      <c r="E589" s="8" t="s">
        <v>5514</v>
      </c>
      <c r="F589" s="8" t="s">
        <v>1613</v>
      </c>
      <c r="G589" s="10" t="s">
        <v>29</v>
      </c>
      <c r="H589" s="8" t="s">
        <v>2120</v>
      </c>
      <c r="I589" s="10" t="s">
        <v>1937</v>
      </c>
      <c r="J589" s="8" t="s">
        <v>1615</v>
      </c>
      <c r="K589" s="8" t="s">
        <v>29</v>
      </c>
      <c r="L589" s="8" t="s">
        <v>29</v>
      </c>
      <c r="M589" s="10" t="s">
        <v>29</v>
      </c>
      <c r="N589" s="8" t="s">
        <v>29</v>
      </c>
      <c r="O589" s="10" t="s">
        <v>19</v>
      </c>
      <c r="P589" s="8" t="s">
        <v>5515</v>
      </c>
      <c r="Q589" s="10" t="s">
        <v>776</v>
      </c>
      <c r="R589" s="10" t="s">
        <v>2122</v>
      </c>
      <c r="S589" s="8" t="s">
        <v>1618</v>
      </c>
      <c r="T589" s="10" t="s">
        <v>5142</v>
      </c>
      <c r="U589" s="10" t="s">
        <v>29</v>
      </c>
    </row>
    <row r="590" spans="1:21" s="10" customFormat="1" x14ac:dyDescent="0.25">
      <c r="A590" s="10" t="s">
        <v>5516</v>
      </c>
      <c r="B590" s="10" t="s">
        <v>5134</v>
      </c>
      <c r="C590" s="11" t="s">
        <v>297</v>
      </c>
      <c r="D590" s="10" t="s">
        <v>5517</v>
      </c>
      <c r="E590" s="8" t="s">
        <v>5518</v>
      </c>
      <c r="F590" s="8" t="s">
        <v>5519</v>
      </c>
      <c r="G590" s="10" t="s">
        <v>29</v>
      </c>
      <c r="H590" s="8" t="s">
        <v>5520</v>
      </c>
      <c r="I590" s="10" t="s">
        <v>5521</v>
      </c>
      <c r="J590" s="8" t="s">
        <v>2769</v>
      </c>
      <c r="K590" s="8" t="s">
        <v>29</v>
      </c>
      <c r="L590" s="8" t="s">
        <v>29</v>
      </c>
      <c r="M590" s="10" t="s">
        <v>29</v>
      </c>
      <c r="N590" s="8" t="s">
        <v>29</v>
      </c>
      <c r="O590" s="10" t="s">
        <v>19</v>
      </c>
      <c r="P590" s="8" t="s">
        <v>5522</v>
      </c>
      <c r="Q590" s="10" t="s">
        <v>190</v>
      </c>
      <c r="R590" s="10" t="s">
        <v>1387</v>
      </c>
      <c r="S590" s="8" t="s">
        <v>5523</v>
      </c>
      <c r="T590" s="10" t="s">
        <v>5142</v>
      </c>
      <c r="U590" s="10" t="s">
        <v>29</v>
      </c>
    </row>
    <row r="591" spans="1:21" s="10" customFormat="1" x14ac:dyDescent="0.25">
      <c r="A591" s="10" t="s">
        <v>5524</v>
      </c>
      <c r="B591" s="10" t="s">
        <v>5134</v>
      </c>
      <c r="C591" s="10" t="s">
        <v>335</v>
      </c>
      <c r="D591" s="10" t="s">
        <v>5525</v>
      </c>
      <c r="E591" s="8" t="s">
        <v>5526</v>
      </c>
      <c r="F591" s="8" t="s">
        <v>5527</v>
      </c>
      <c r="G591" s="10" t="s">
        <v>29</v>
      </c>
      <c r="H591" s="8" t="s">
        <v>5528</v>
      </c>
      <c r="I591" s="10" t="s">
        <v>858</v>
      </c>
      <c r="J591" s="8" t="s">
        <v>2769</v>
      </c>
      <c r="K591" s="8" t="s">
        <v>29</v>
      </c>
      <c r="L591" s="8" t="s">
        <v>29</v>
      </c>
      <c r="M591" s="10" t="s">
        <v>29</v>
      </c>
      <c r="N591" s="8" t="s">
        <v>29</v>
      </c>
      <c r="O591" s="10" t="s">
        <v>19</v>
      </c>
      <c r="P591" s="8" t="s">
        <v>5529</v>
      </c>
      <c r="Q591" s="10" t="s">
        <v>174</v>
      </c>
      <c r="R591" s="10" t="s">
        <v>1387</v>
      </c>
      <c r="S591" s="8" t="s">
        <v>2412</v>
      </c>
      <c r="T591" s="10" t="s">
        <v>5142</v>
      </c>
      <c r="U591" s="10" t="s">
        <v>29</v>
      </c>
    </row>
    <row r="592" spans="1:21" s="10" customFormat="1" x14ac:dyDescent="0.25">
      <c r="A592" s="10" t="s">
        <v>5530</v>
      </c>
      <c r="B592" s="10" t="s">
        <v>5134</v>
      </c>
      <c r="C592" s="10" t="s">
        <v>166</v>
      </c>
      <c r="D592" s="10" t="s">
        <v>5531</v>
      </c>
      <c r="E592" s="8" t="s">
        <v>5532</v>
      </c>
      <c r="F592" s="8" t="s">
        <v>5533</v>
      </c>
      <c r="G592" s="10" t="s">
        <v>29</v>
      </c>
      <c r="H592" s="8" t="s">
        <v>5482</v>
      </c>
      <c r="I592" s="10" t="s">
        <v>858</v>
      </c>
      <c r="J592" s="8" t="s">
        <v>2769</v>
      </c>
      <c r="K592" s="8" t="s">
        <v>29</v>
      </c>
      <c r="L592" s="8" t="s">
        <v>29</v>
      </c>
      <c r="M592" s="10" t="s">
        <v>29</v>
      </c>
      <c r="N592" s="8" t="s">
        <v>29</v>
      </c>
      <c r="O592" s="10" t="s">
        <v>19</v>
      </c>
      <c r="P592" s="8" t="s">
        <v>5534</v>
      </c>
      <c r="Q592" s="10" t="s">
        <v>174</v>
      </c>
      <c r="R592" s="10" t="s">
        <v>1387</v>
      </c>
      <c r="S592" s="8" t="s">
        <v>1599</v>
      </c>
      <c r="T592" s="10" t="s">
        <v>5142</v>
      </c>
      <c r="U592" s="10" t="s">
        <v>29</v>
      </c>
    </row>
    <row r="593" spans="1:21" s="10" customFormat="1" x14ac:dyDescent="0.25">
      <c r="A593" s="10" t="s">
        <v>5535</v>
      </c>
      <c r="B593" s="10" t="s">
        <v>5134</v>
      </c>
      <c r="C593" s="10" t="s">
        <v>166</v>
      </c>
      <c r="D593" s="10" t="s">
        <v>5536</v>
      </c>
      <c r="E593" s="8" t="s">
        <v>5537</v>
      </c>
      <c r="F593" s="8" t="s">
        <v>5538</v>
      </c>
      <c r="G593" s="10" t="s">
        <v>29</v>
      </c>
      <c r="H593" s="8" t="s">
        <v>5539</v>
      </c>
      <c r="I593" s="10" t="s">
        <v>5540</v>
      </c>
      <c r="J593" s="8" t="s">
        <v>2769</v>
      </c>
      <c r="K593" s="8" t="s">
        <v>29</v>
      </c>
      <c r="L593" s="8" t="s">
        <v>29</v>
      </c>
      <c r="M593" s="10" t="s">
        <v>29</v>
      </c>
      <c r="N593" s="8" t="s">
        <v>29</v>
      </c>
      <c r="O593" s="10" t="s">
        <v>19</v>
      </c>
      <c r="P593" s="8" t="s">
        <v>5541</v>
      </c>
      <c r="Q593" s="10" t="s">
        <v>174</v>
      </c>
      <c r="R593" s="10" t="s">
        <v>1387</v>
      </c>
      <c r="S593" s="8" t="s">
        <v>5542</v>
      </c>
      <c r="T593" s="10" t="s">
        <v>5543</v>
      </c>
      <c r="U593" s="10" t="s">
        <v>29</v>
      </c>
    </row>
    <row r="594" spans="1:21" s="10" customFormat="1" x14ac:dyDescent="0.25">
      <c r="A594" s="10" t="s">
        <v>5544</v>
      </c>
      <c r="B594" s="10" t="s">
        <v>5134</v>
      </c>
      <c r="C594" s="11" t="s">
        <v>297</v>
      </c>
      <c r="D594" s="10" t="s">
        <v>5545</v>
      </c>
      <c r="E594" s="8" t="s">
        <v>5546</v>
      </c>
      <c r="F594" s="8" t="s">
        <v>5547</v>
      </c>
      <c r="G594" s="10" t="s">
        <v>29</v>
      </c>
      <c r="H594" s="8" t="s">
        <v>5548</v>
      </c>
      <c r="I594" s="10" t="s">
        <v>5172</v>
      </c>
      <c r="J594" s="8" t="s">
        <v>2769</v>
      </c>
      <c r="K594" s="8" t="s">
        <v>29</v>
      </c>
      <c r="L594" s="8" t="s">
        <v>29</v>
      </c>
      <c r="M594" s="10" t="s">
        <v>29</v>
      </c>
      <c r="N594" s="8" t="s">
        <v>29</v>
      </c>
      <c r="O594" s="10" t="s">
        <v>19</v>
      </c>
      <c r="P594" s="8" t="s">
        <v>5549</v>
      </c>
      <c r="Q594" s="10" t="s">
        <v>174</v>
      </c>
      <c r="R594" s="10" t="s">
        <v>1387</v>
      </c>
      <c r="S594" s="8" t="s">
        <v>5550</v>
      </c>
      <c r="T594" s="10" t="s">
        <v>5543</v>
      </c>
      <c r="U594" s="10" t="s">
        <v>29</v>
      </c>
    </row>
    <row r="595" spans="1:21" s="10" customFormat="1" x14ac:dyDescent="0.25">
      <c r="A595" s="10" t="s">
        <v>5551</v>
      </c>
      <c r="B595" s="10" t="s">
        <v>5134</v>
      </c>
      <c r="C595" s="11" t="s">
        <v>297</v>
      </c>
      <c r="D595" s="10" t="s">
        <v>1588</v>
      </c>
      <c r="E595" s="8" t="s">
        <v>5552</v>
      </c>
      <c r="F595" s="8" t="s">
        <v>5553</v>
      </c>
      <c r="G595" s="10" t="s">
        <v>29</v>
      </c>
      <c r="H595" s="8" t="s">
        <v>5554</v>
      </c>
      <c r="I595" s="10" t="s">
        <v>5555</v>
      </c>
      <c r="J595" s="8" t="s">
        <v>2769</v>
      </c>
      <c r="K595" s="8" t="s">
        <v>29</v>
      </c>
      <c r="L595" s="8" t="s">
        <v>29</v>
      </c>
      <c r="M595" s="10" t="s">
        <v>29</v>
      </c>
      <c r="N595" s="8" t="s">
        <v>29</v>
      </c>
      <c r="O595" s="10" t="s">
        <v>19</v>
      </c>
      <c r="P595" s="8" t="s">
        <v>5556</v>
      </c>
      <c r="Q595" s="10" t="s">
        <v>190</v>
      </c>
      <c r="R595" s="10" t="s">
        <v>1387</v>
      </c>
      <c r="S595" s="8" t="s">
        <v>5557</v>
      </c>
      <c r="T595" s="10" t="s">
        <v>5543</v>
      </c>
      <c r="U595" s="10" t="s">
        <v>29</v>
      </c>
    </row>
    <row r="596" spans="1:21" s="10" customFormat="1" x14ac:dyDescent="0.25">
      <c r="A596" s="10" t="s">
        <v>5558</v>
      </c>
      <c r="B596" s="10" t="s">
        <v>5134</v>
      </c>
      <c r="C596" s="11" t="s">
        <v>297</v>
      </c>
      <c r="D596" s="10" t="s">
        <v>5559</v>
      </c>
      <c r="E596" s="8" t="s">
        <v>5560</v>
      </c>
      <c r="F596" s="8" t="s">
        <v>5561</v>
      </c>
      <c r="G596" s="10" t="s">
        <v>29</v>
      </c>
      <c r="H596" s="8" t="s">
        <v>5562</v>
      </c>
      <c r="I596" s="10" t="s">
        <v>5172</v>
      </c>
      <c r="J596" s="8" t="s">
        <v>2769</v>
      </c>
      <c r="K596" s="8" t="s">
        <v>29</v>
      </c>
      <c r="L596" s="8" t="s">
        <v>29</v>
      </c>
      <c r="M596" s="10" t="s">
        <v>29</v>
      </c>
      <c r="N596" s="8" t="s">
        <v>29</v>
      </c>
      <c r="O596" s="10" t="s">
        <v>19</v>
      </c>
      <c r="P596" s="8" t="s">
        <v>5563</v>
      </c>
      <c r="Q596" s="10" t="s">
        <v>174</v>
      </c>
      <c r="R596" s="10" t="s">
        <v>1387</v>
      </c>
      <c r="S596" s="8" t="s">
        <v>5564</v>
      </c>
      <c r="T596" s="10" t="s">
        <v>5543</v>
      </c>
      <c r="U596" s="10" t="s">
        <v>29</v>
      </c>
    </row>
    <row r="597" spans="1:21" s="10" customFormat="1" x14ac:dyDescent="0.25">
      <c r="A597" s="10" t="s">
        <v>5565</v>
      </c>
      <c r="B597" s="10" t="s">
        <v>5134</v>
      </c>
      <c r="C597" s="11" t="s">
        <v>297</v>
      </c>
      <c r="D597" s="10" t="s">
        <v>5566</v>
      </c>
      <c r="E597" s="8" t="s">
        <v>5567</v>
      </c>
      <c r="F597" s="8" t="s">
        <v>5568</v>
      </c>
      <c r="G597" s="10" t="s">
        <v>29</v>
      </c>
      <c r="H597" s="8" t="s">
        <v>5569</v>
      </c>
      <c r="I597" s="10" t="s">
        <v>5172</v>
      </c>
      <c r="J597" s="8" t="s">
        <v>2769</v>
      </c>
      <c r="K597" s="8" t="s">
        <v>29</v>
      </c>
      <c r="L597" s="8" t="s">
        <v>29</v>
      </c>
      <c r="M597" s="10" t="s">
        <v>29</v>
      </c>
      <c r="N597" s="8" t="s">
        <v>29</v>
      </c>
      <c r="O597" s="10" t="s">
        <v>19</v>
      </c>
      <c r="P597" s="8" t="s">
        <v>5570</v>
      </c>
      <c r="Q597" s="10" t="s">
        <v>174</v>
      </c>
      <c r="R597" s="10" t="s">
        <v>1387</v>
      </c>
      <c r="S597" s="8" t="s">
        <v>5571</v>
      </c>
      <c r="T597" s="10" t="s">
        <v>5543</v>
      </c>
      <c r="U597" s="10" t="s">
        <v>29</v>
      </c>
    </row>
    <row r="598" spans="1:21" s="10" customFormat="1" x14ac:dyDescent="0.25">
      <c r="A598" s="10" t="s">
        <v>5572</v>
      </c>
      <c r="B598" s="10" t="s">
        <v>5134</v>
      </c>
      <c r="C598" s="11" t="s">
        <v>297</v>
      </c>
      <c r="D598" s="10" t="s">
        <v>5573</v>
      </c>
      <c r="E598" s="8" t="s">
        <v>5574</v>
      </c>
      <c r="F598" s="8" t="s">
        <v>5575</v>
      </c>
      <c r="G598" s="10" t="s">
        <v>29</v>
      </c>
      <c r="H598" s="8" t="s">
        <v>5576</v>
      </c>
      <c r="I598" s="10" t="s">
        <v>5172</v>
      </c>
      <c r="J598" s="8" t="s">
        <v>2769</v>
      </c>
      <c r="K598" s="8" t="s">
        <v>29</v>
      </c>
      <c r="L598" s="8" t="s">
        <v>29</v>
      </c>
      <c r="M598" s="10" t="s">
        <v>29</v>
      </c>
      <c r="N598" s="8" t="s">
        <v>29</v>
      </c>
      <c r="O598" s="10" t="s">
        <v>19</v>
      </c>
      <c r="P598" s="8" t="s">
        <v>5577</v>
      </c>
      <c r="Q598" s="10" t="s">
        <v>174</v>
      </c>
      <c r="R598" s="10" t="s">
        <v>1387</v>
      </c>
      <c r="S598" s="8" t="s">
        <v>5578</v>
      </c>
      <c r="T598" s="10" t="s">
        <v>5543</v>
      </c>
      <c r="U598" s="10" t="s">
        <v>29</v>
      </c>
    </row>
    <row r="599" spans="1:21" s="10" customFormat="1" x14ac:dyDescent="0.25">
      <c r="A599" s="10" t="s">
        <v>5579</v>
      </c>
      <c r="B599" s="10" t="s">
        <v>5134</v>
      </c>
      <c r="C599" s="11" t="s">
        <v>297</v>
      </c>
      <c r="D599" s="10" t="s">
        <v>5580</v>
      </c>
      <c r="E599" s="8" t="s">
        <v>5581</v>
      </c>
      <c r="F599" s="8" t="s">
        <v>5582</v>
      </c>
      <c r="G599" s="10" t="s">
        <v>29</v>
      </c>
      <c r="H599" s="8" t="s">
        <v>5583</v>
      </c>
      <c r="I599" s="10" t="s">
        <v>4579</v>
      </c>
      <c r="J599" s="8" t="s">
        <v>2769</v>
      </c>
      <c r="K599" s="8" t="s">
        <v>29</v>
      </c>
      <c r="L599" s="8" t="s">
        <v>29</v>
      </c>
      <c r="M599" s="10" t="s">
        <v>29</v>
      </c>
      <c r="N599" s="8" t="s">
        <v>29</v>
      </c>
      <c r="O599" s="10" t="s">
        <v>19</v>
      </c>
      <c r="P599" s="8" t="s">
        <v>5584</v>
      </c>
      <c r="Q599" s="10" t="s">
        <v>174</v>
      </c>
      <c r="R599" s="10" t="s">
        <v>1387</v>
      </c>
      <c r="S599" s="8" t="s">
        <v>5585</v>
      </c>
      <c r="T599" s="10" t="s">
        <v>5543</v>
      </c>
      <c r="U599" s="10" t="s">
        <v>29</v>
      </c>
    </row>
    <row r="600" spans="1:21" s="10" customFormat="1" x14ac:dyDescent="0.25">
      <c r="A600" s="10" t="s">
        <v>5586</v>
      </c>
      <c r="B600" s="10" t="s">
        <v>5134</v>
      </c>
      <c r="C600" s="11" t="s">
        <v>297</v>
      </c>
      <c r="D600" s="10" t="s">
        <v>5587</v>
      </c>
      <c r="E600" s="8" t="s">
        <v>5588</v>
      </c>
      <c r="F600" s="8" t="s">
        <v>5589</v>
      </c>
      <c r="G600" s="10" t="s">
        <v>29</v>
      </c>
      <c r="H600" s="8" t="s">
        <v>5590</v>
      </c>
      <c r="I600" s="10" t="s">
        <v>5591</v>
      </c>
      <c r="J600" s="8" t="s">
        <v>2769</v>
      </c>
      <c r="K600" s="8" t="s">
        <v>29</v>
      </c>
      <c r="L600" s="8" t="s">
        <v>29</v>
      </c>
      <c r="M600" s="10" t="s">
        <v>29</v>
      </c>
      <c r="N600" s="8" t="s">
        <v>29</v>
      </c>
      <c r="O600" s="10" t="s">
        <v>19</v>
      </c>
      <c r="P600" s="8" t="s">
        <v>5592</v>
      </c>
      <c r="Q600" s="10" t="s">
        <v>197</v>
      </c>
      <c r="R600" s="10" t="s">
        <v>1387</v>
      </c>
      <c r="S600" s="8" t="s">
        <v>5593</v>
      </c>
      <c r="T600" s="10" t="s">
        <v>5543</v>
      </c>
      <c r="U600" s="10" t="s">
        <v>29</v>
      </c>
    </row>
    <row r="601" spans="1:21" s="10" customFormat="1" x14ac:dyDescent="0.25">
      <c r="A601" s="10" t="s">
        <v>5594</v>
      </c>
      <c r="B601" s="10" t="s">
        <v>5134</v>
      </c>
      <c r="C601" s="10" t="s">
        <v>166</v>
      </c>
      <c r="D601" s="10" t="s">
        <v>5595</v>
      </c>
      <c r="E601" s="8" t="s">
        <v>5596</v>
      </c>
      <c r="F601" s="8" t="s">
        <v>5597</v>
      </c>
      <c r="G601" s="10" t="s">
        <v>29</v>
      </c>
      <c r="H601" s="8" t="s">
        <v>5598</v>
      </c>
      <c r="I601" s="10" t="s">
        <v>5555</v>
      </c>
      <c r="J601" s="8" t="s">
        <v>2769</v>
      </c>
      <c r="K601" s="8" t="s">
        <v>29</v>
      </c>
      <c r="L601" s="8" t="s">
        <v>29</v>
      </c>
      <c r="M601" s="10" t="s">
        <v>29</v>
      </c>
      <c r="N601" s="8" t="s">
        <v>29</v>
      </c>
      <c r="O601" s="10" t="s">
        <v>19</v>
      </c>
      <c r="P601" s="8" t="s">
        <v>5599</v>
      </c>
      <c r="Q601" s="10" t="s">
        <v>197</v>
      </c>
      <c r="R601" s="10" t="s">
        <v>1387</v>
      </c>
      <c r="S601" s="8" t="s">
        <v>5600</v>
      </c>
      <c r="T601" s="10" t="s">
        <v>5543</v>
      </c>
      <c r="U601" s="10" t="s">
        <v>29</v>
      </c>
    </row>
    <row r="602" spans="1:21" s="10" customFormat="1" x14ac:dyDescent="0.25">
      <c r="A602" s="10" t="s">
        <v>5601</v>
      </c>
      <c r="B602" s="10" t="s">
        <v>5134</v>
      </c>
      <c r="C602" s="10" t="s">
        <v>166</v>
      </c>
      <c r="D602" s="10" t="s">
        <v>5602</v>
      </c>
      <c r="E602" s="8" t="s">
        <v>5603</v>
      </c>
      <c r="F602" s="8" t="s">
        <v>5604</v>
      </c>
      <c r="G602" s="10" t="s">
        <v>29</v>
      </c>
      <c r="H602" s="8" t="s">
        <v>5605</v>
      </c>
      <c r="I602" s="10" t="s">
        <v>2791</v>
      </c>
      <c r="J602" s="8" t="s">
        <v>2769</v>
      </c>
      <c r="K602" s="8" t="s">
        <v>29</v>
      </c>
      <c r="L602" s="8" t="s">
        <v>29</v>
      </c>
      <c r="M602" s="10" t="s">
        <v>29</v>
      </c>
      <c r="N602" s="8" t="s">
        <v>29</v>
      </c>
      <c r="O602" s="10" t="s">
        <v>19</v>
      </c>
      <c r="P602" s="8" t="s">
        <v>5606</v>
      </c>
      <c r="Q602" s="10" t="s">
        <v>174</v>
      </c>
      <c r="R602" s="10" t="s">
        <v>1387</v>
      </c>
      <c r="S602" s="8" t="s">
        <v>5607</v>
      </c>
      <c r="T602" s="10" t="s">
        <v>5543</v>
      </c>
      <c r="U602" s="10" t="s">
        <v>29</v>
      </c>
    </row>
    <row r="603" spans="1:21" s="10" customFormat="1" x14ac:dyDescent="0.25">
      <c r="A603" s="10" t="s">
        <v>5608</v>
      </c>
      <c r="B603" s="10" t="s">
        <v>5134</v>
      </c>
      <c r="C603" s="11" t="s">
        <v>297</v>
      </c>
      <c r="D603" s="10" t="s">
        <v>5609</v>
      </c>
      <c r="E603" s="8" t="s">
        <v>5610</v>
      </c>
      <c r="F603" s="8" t="s">
        <v>5611</v>
      </c>
      <c r="G603" s="10" t="s">
        <v>29</v>
      </c>
      <c r="H603" s="8" t="s">
        <v>5612</v>
      </c>
      <c r="I603" s="10" t="s">
        <v>5613</v>
      </c>
      <c r="J603" s="8" t="s">
        <v>2769</v>
      </c>
      <c r="K603" s="8" t="s">
        <v>29</v>
      </c>
      <c r="L603" s="8" t="s">
        <v>29</v>
      </c>
      <c r="M603" s="10" t="s">
        <v>29</v>
      </c>
      <c r="N603" s="8" t="s">
        <v>29</v>
      </c>
      <c r="O603" s="10" t="s">
        <v>19</v>
      </c>
      <c r="P603" s="8" t="s">
        <v>5614</v>
      </c>
      <c r="Q603" s="10" t="s">
        <v>197</v>
      </c>
      <c r="R603" s="10" t="s">
        <v>1387</v>
      </c>
      <c r="S603" s="8" t="s">
        <v>5615</v>
      </c>
      <c r="T603" s="10" t="s">
        <v>5543</v>
      </c>
      <c r="U603" s="10" t="s">
        <v>29</v>
      </c>
    </row>
    <row r="604" spans="1:21" s="10" customFormat="1" x14ac:dyDescent="0.25">
      <c r="A604" s="10" t="s">
        <v>5616</v>
      </c>
      <c r="B604" s="10" t="s">
        <v>5134</v>
      </c>
      <c r="C604" s="11" t="s">
        <v>297</v>
      </c>
      <c r="D604" s="10" t="s">
        <v>5617</v>
      </c>
      <c r="E604" s="8" t="s">
        <v>5618</v>
      </c>
      <c r="F604" s="8" t="s">
        <v>5619</v>
      </c>
      <c r="G604" s="10" t="s">
        <v>29</v>
      </c>
      <c r="H604" s="8" t="s">
        <v>5620</v>
      </c>
      <c r="I604" s="10" t="s">
        <v>5555</v>
      </c>
      <c r="J604" s="8" t="s">
        <v>2769</v>
      </c>
      <c r="K604" s="8" t="s">
        <v>29</v>
      </c>
      <c r="L604" s="8" t="s">
        <v>29</v>
      </c>
      <c r="M604" s="10" t="s">
        <v>29</v>
      </c>
      <c r="N604" s="8" t="s">
        <v>29</v>
      </c>
      <c r="O604" s="10" t="s">
        <v>19</v>
      </c>
      <c r="P604" s="8" t="s">
        <v>5621</v>
      </c>
      <c r="Q604" s="10" t="s">
        <v>174</v>
      </c>
      <c r="R604" s="10" t="s">
        <v>1387</v>
      </c>
      <c r="S604" s="8" t="s">
        <v>5622</v>
      </c>
      <c r="T604" s="10" t="s">
        <v>5543</v>
      </c>
      <c r="U604" s="10" t="s">
        <v>29</v>
      </c>
    </row>
    <row r="605" spans="1:21" s="10" customFormat="1" x14ac:dyDescent="0.25">
      <c r="A605" s="10" t="s">
        <v>5623</v>
      </c>
      <c r="B605" s="10" t="s">
        <v>5134</v>
      </c>
      <c r="C605" s="11" t="s">
        <v>297</v>
      </c>
      <c r="D605" s="10" t="s">
        <v>5624</v>
      </c>
      <c r="E605" s="8" t="s">
        <v>5625</v>
      </c>
      <c r="F605" s="8" t="s">
        <v>5626</v>
      </c>
      <c r="G605" s="10" t="s">
        <v>29</v>
      </c>
      <c r="H605" s="8" t="s">
        <v>1604</v>
      </c>
      <c r="I605" s="10" t="s">
        <v>5627</v>
      </c>
      <c r="J605" s="8" t="s">
        <v>1606</v>
      </c>
      <c r="K605" s="8" t="s">
        <v>29</v>
      </c>
      <c r="L605" s="8" t="s">
        <v>29</v>
      </c>
      <c r="M605" s="10" t="s">
        <v>29</v>
      </c>
      <c r="N605" s="8" t="s">
        <v>29</v>
      </c>
      <c r="O605" s="10" t="s">
        <v>19</v>
      </c>
      <c r="P605" s="8" t="s">
        <v>5628</v>
      </c>
      <c r="Q605" s="10" t="s">
        <v>1399</v>
      </c>
      <c r="R605" s="10" t="s">
        <v>1608</v>
      </c>
      <c r="S605" s="8" t="s">
        <v>1609</v>
      </c>
      <c r="T605" s="10" t="s">
        <v>5543</v>
      </c>
      <c r="U605" s="10" t="s">
        <v>29</v>
      </c>
    </row>
    <row r="606" spans="1:21" s="10" customFormat="1" x14ac:dyDescent="0.25">
      <c r="A606" s="10" t="s">
        <v>5629</v>
      </c>
      <c r="B606" s="10" t="s">
        <v>5134</v>
      </c>
      <c r="C606" s="10" t="s">
        <v>166</v>
      </c>
      <c r="D606" s="10" t="s">
        <v>5630</v>
      </c>
      <c r="E606" s="8" t="s">
        <v>5631</v>
      </c>
      <c r="F606" s="8" t="s">
        <v>5632</v>
      </c>
      <c r="G606" s="10" t="s">
        <v>29</v>
      </c>
      <c r="H606" s="8" t="s">
        <v>5554</v>
      </c>
      <c r="I606" s="10" t="s">
        <v>5231</v>
      </c>
      <c r="J606" s="8" t="s">
        <v>2769</v>
      </c>
      <c r="K606" s="8" t="s">
        <v>29</v>
      </c>
      <c r="L606" s="8" t="s">
        <v>29</v>
      </c>
      <c r="M606" s="10" t="s">
        <v>29</v>
      </c>
      <c r="N606" s="8" t="s">
        <v>29</v>
      </c>
      <c r="O606" s="10" t="s">
        <v>19</v>
      </c>
      <c r="P606" s="8" t="s">
        <v>5633</v>
      </c>
      <c r="Q606" s="10" t="s">
        <v>174</v>
      </c>
      <c r="R606" s="10" t="s">
        <v>1387</v>
      </c>
      <c r="S606" s="8" t="s">
        <v>1599</v>
      </c>
      <c r="T606" s="10" t="s">
        <v>5543</v>
      </c>
      <c r="U606" s="10" t="s">
        <v>29</v>
      </c>
    </row>
    <row r="607" spans="1:21" s="10" customFormat="1" x14ac:dyDescent="0.25">
      <c r="A607" s="10" t="s">
        <v>5634</v>
      </c>
      <c r="B607" s="10" t="s">
        <v>5134</v>
      </c>
      <c r="C607" s="10" t="s">
        <v>166</v>
      </c>
      <c r="D607" s="10" t="s">
        <v>5635</v>
      </c>
      <c r="E607" s="8" t="s">
        <v>5636</v>
      </c>
      <c r="F607" s="8" t="s">
        <v>5637</v>
      </c>
      <c r="G607" s="10" t="s">
        <v>29</v>
      </c>
      <c r="H607" s="8" t="s">
        <v>5638</v>
      </c>
      <c r="I607" s="10" t="s">
        <v>5639</v>
      </c>
      <c r="J607" s="8" t="s">
        <v>2769</v>
      </c>
      <c r="K607" s="8" t="s">
        <v>29</v>
      </c>
      <c r="L607" s="8" t="s">
        <v>29</v>
      </c>
      <c r="M607" s="10" t="s">
        <v>29</v>
      </c>
      <c r="N607" s="8" t="s">
        <v>29</v>
      </c>
      <c r="O607" s="10" t="s">
        <v>19</v>
      </c>
      <c r="P607" s="8" t="s">
        <v>5640</v>
      </c>
      <c r="Q607" s="10" t="s">
        <v>174</v>
      </c>
      <c r="R607" s="10" t="s">
        <v>1387</v>
      </c>
      <c r="S607" s="8" t="s">
        <v>5641</v>
      </c>
      <c r="T607" s="10" t="s">
        <v>5543</v>
      </c>
      <c r="U607" s="10" t="s">
        <v>29</v>
      </c>
    </row>
    <row r="608" spans="1:21" s="10" customFormat="1" x14ac:dyDescent="0.25">
      <c r="A608" s="10" t="s">
        <v>5642</v>
      </c>
      <c r="B608" s="10" t="s">
        <v>5134</v>
      </c>
      <c r="C608" s="11" t="s">
        <v>297</v>
      </c>
      <c r="D608" s="10" t="s">
        <v>5643</v>
      </c>
      <c r="E608" s="8" t="s">
        <v>5644</v>
      </c>
      <c r="F608" s="8" t="s">
        <v>5645</v>
      </c>
      <c r="G608" s="10" t="s">
        <v>29</v>
      </c>
      <c r="H608" s="8" t="s">
        <v>5646</v>
      </c>
      <c r="I608" s="10" t="s">
        <v>889</v>
      </c>
      <c r="J608" s="8" t="s">
        <v>2769</v>
      </c>
      <c r="K608" s="8" t="s">
        <v>29</v>
      </c>
      <c r="L608" s="8" t="s">
        <v>29</v>
      </c>
      <c r="M608" s="10" t="s">
        <v>29</v>
      </c>
      <c r="N608" s="8" t="s">
        <v>29</v>
      </c>
      <c r="O608" s="10" t="s">
        <v>19</v>
      </c>
      <c r="P608" s="8" t="s">
        <v>5647</v>
      </c>
      <c r="Q608" s="10" t="s">
        <v>190</v>
      </c>
      <c r="R608" s="10" t="s">
        <v>1387</v>
      </c>
      <c r="S608" s="8" t="s">
        <v>5648</v>
      </c>
      <c r="T608" s="10" t="s">
        <v>5543</v>
      </c>
      <c r="U608" s="10" t="s">
        <v>29</v>
      </c>
    </row>
    <row r="609" spans="1:21" s="10" customFormat="1" x14ac:dyDescent="0.25">
      <c r="A609" s="10" t="s">
        <v>5649</v>
      </c>
      <c r="B609" s="10" t="s">
        <v>5134</v>
      </c>
      <c r="C609" s="11" t="s">
        <v>297</v>
      </c>
      <c r="D609" s="10" t="s">
        <v>5650</v>
      </c>
      <c r="E609" s="8" t="s">
        <v>5651</v>
      </c>
      <c r="F609" s="8" t="s">
        <v>5652</v>
      </c>
      <c r="G609" s="10" t="s">
        <v>29</v>
      </c>
      <c r="H609" s="8" t="s">
        <v>5653</v>
      </c>
      <c r="I609" s="10" t="s">
        <v>5654</v>
      </c>
      <c r="J609" s="8" t="s">
        <v>2769</v>
      </c>
      <c r="K609" s="8" t="s">
        <v>29</v>
      </c>
      <c r="L609" s="8" t="s">
        <v>29</v>
      </c>
      <c r="M609" s="10" t="s">
        <v>29</v>
      </c>
      <c r="N609" s="8" t="s">
        <v>29</v>
      </c>
      <c r="O609" s="10" t="s">
        <v>19</v>
      </c>
      <c r="P609" s="8" t="s">
        <v>5655</v>
      </c>
      <c r="Q609" s="10" t="s">
        <v>174</v>
      </c>
      <c r="R609" s="10" t="s">
        <v>1387</v>
      </c>
      <c r="S609" s="8" t="s">
        <v>5656</v>
      </c>
      <c r="T609" s="10" t="s">
        <v>5543</v>
      </c>
      <c r="U609" s="10" t="s">
        <v>29</v>
      </c>
    </row>
    <row r="610" spans="1:21" s="10" customFormat="1" x14ac:dyDescent="0.25">
      <c r="A610" s="10" t="s">
        <v>5657</v>
      </c>
      <c r="B610" s="10" t="s">
        <v>5134</v>
      </c>
      <c r="C610" s="11" t="s">
        <v>297</v>
      </c>
      <c r="D610" s="10" t="s">
        <v>5658</v>
      </c>
      <c r="E610" s="8" t="s">
        <v>5659</v>
      </c>
      <c r="F610" s="8" t="s">
        <v>5660</v>
      </c>
      <c r="G610" s="10" t="s">
        <v>29</v>
      </c>
      <c r="H610" s="8" t="s">
        <v>5661</v>
      </c>
      <c r="I610" s="10" t="s">
        <v>5662</v>
      </c>
      <c r="J610" s="8" t="s">
        <v>5663</v>
      </c>
      <c r="K610" s="8" t="s">
        <v>29</v>
      </c>
      <c r="L610" s="8" t="s">
        <v>29</v>
      </c>
      <c r="M610" s="10" t="s">
        <v>29</v>
      </c>
      <c r="N610" s="8" t="s">
        <v>29</v>
      </c>
      <c r="O610" s="10" t="s">
        <v>19</v>
      </c>
      <c r="P610" s="8" t="s">
        <v>5664</v>
      </c>
      <c r="Q610" s="10" t="s">
        <v>174</v>
      </c>
      <c r="R610" s="10" t="s">
        <v>1387</v>
      </c>
      <c r="S610" s="8" t="s">
        <v>5665</v>
      </c>
      <c r="T610" s="10" t="s">
        <v>5543</v>
      </c>
      <c r="U610" s="10" t="s">
        <v>29</v>
      </c>
    </row>
    <row r="611" spans="1:21" s="10" customFormat="1" x14ac:dyDescent="0.25">
      <c r="A611" s="10" t="s">
        <v>5666</v>
      </c>
      <c r="B611" s="10" t="s">
        <v>5134</v>
      </c>
      <c r="C611" s="10" t="s">
        <v>166</v>
      </c>
      <c r="D611" s="10" t="s">
        <v>5667</v>
      </c>
      <c r="E611" s="8" t="s">
        <v>5668</v>
      </c>
      <c r="F611" s="8" t="s">
        <v>5669</v>
      </c>
      <c r="G611" s="10" t="s">
        <v>29</v>
      </c>
      <c r="H611" s="8" t="s">
        <v>5670</v>
      </c>
      <c r="I611" s="10" t="s">
        <v>889</v>
      </c>
      <c r="J611" s="8" t="s">
        <v>2769</v>
      </c>
      <c r="K611" s="8" t="s">
        <v>29</v>
      </c>
      <c r="L611" s="8" t="s">
        <v>29</v>
      </c>
      <c r="M611" s="10" t="s">
        <v>29</v>
      </c>
      <c r="N611" s="8" t="s">
        <v>29</v>
      </c>
      <c r="O611" s="10" t="s">
        <v>19</v>
      </c>
      <c r="P611" s="8" t="s">
        <v>5671</v>
      </c>
      <c r="Q611" s="10" t="s">
        <v>190</v>
      </c>
      <c r="R611" s="10" t="s">
        <v>1387</v>
      </c>
      <c r="S611" s="8" t="s">
        <v>5672</v>
      </c>
      <c r="T611" s="10" t="s">
        <v>5543</v>
      </c>
      <c r="U611" s="10" t="s">
        <v>29</v>
      </c>
    </row>
    <row r="612" spans="1:21" s="10" customFormat="1" x14ac:dyDescent="0.25">
      <c r="A612" s="10" t="s">
        <v>5673</v>
      </c>
      <c r="B612" s="10" t="s">
        <v>5134</v>
      </c>
      <c r="C612" s="10" t="s">
        <v>166</v>
      </c>
      <c r="D612" s="10" t="s">
        <v>5674</v>
      </c>
      <c r="E612" s="8" t="s">
        <v>5675</v>
      </c>
      <c r="F612" s="8" t="s">
        <v>4730</v>
      </c>
      <c r="G612" s="10" t="s">
        <v>29</v>
      </c>
      <c r="H612" s="8" t="s">
        <v>5676</v>
      </c>
      <c r="I612" s="10" t="s">
        <v>5654</v>
      </c>
      <c r="J612" s="8" t="s">
        <v>2769</v>
      </c>
      <c r="K612" s="8" t="s">
        <v>29</v>
      </c>
      <c r="L612" s="8" t="s">
        <v>29</v>
      </c>
      <c r="M612" s="10" t="s">
        <v>29</v>
      </c>
      <c r="N612" s="8" t="s">
        <v>29</v>
      </c>
      <c r="O612" s="10" t="s">
        <v>19</v>
      </c>
      <c r="P612" s="8" t="s">
        <v>5677</v>
      </c>
      <c r="Q612" s="10" t="s">
        <v>190</v>
      </c>
      <c r="R612" s="10" t="s">
        <v>1387</v>
      </c>
      <c r="S612" s="8" t="s">
        <v>5678</v>
      </c>
      <c r="T612" s="10" t="s">
        <v>5543</v>
      </c>
      <c r="U612" s="10" t="s">
        <v>29</v>
      </c>
    </row>
    <row r="613" spans="1:21" s="10" customFormat="1" x14ac:dyDescent="0.25">
      <c r="A613" s="10" t="s">
        <v>5679</v>
      </c>
      <c r="B613" s="10" t="s">
        <v>5134</v>
      </c>
      <c r="C613" s="10" t="s">
        <v>166</v>
      </c>
      <c r="D613" s="10" t="s">
        <v>5680</v>
      </c>
      <c r="E613" s="8" t="s">
        <v>5681</v>
      </c>
      <c r="F613" s="8" t="s">
        <v>5682</v>
      </c>
      <c r="G613" s="10" t="s">
        <v>29</v>
      </c>
      <c r="H613" s="8" t="s">
        <v>5683</v>
      </c>
      <c r="I613" s="10" t="s">
        <v>5662</v>
      </c>
      <c r="J613" s="8" t="s">
        <v>2769</v>
      </c>
      <c r="K613" s="8" t="s">
        <v>29</v>
      </c>
      <c r="L613" s="8" t="s">
        <v>29</v>
      </c>
      <c r="M613" s="10" t="s">
        <v>29</v>
      </c>
      <c r="N613" s="8" t="s">
        <v>29</v>
      </c>
      <c r="O613" s="10" t="s">
        <v>19</v>
      </c>
      <c r="P613" s="8" t="s">
        <v>5684</v>
      </c>
      <c r="Q613" s="10" t="s">
        <v>190</v>
      </c>
      <c r="R613" s="10" t="s">
        <v>1387</v>
      </c>
      <c r="S613" s="8" t="s">
        <v>5685</v>
      </c>
      <c r="T613" s="10" t="s">
        <v>5543</v>
      </c>
      <c r="U613" s="10" t="s">
        <v>29</v>
      </c>
    </row>
    <row r="614" spans="1:21" s="10" customFormat="1" x14ac:dyDescent="0.25">
      <c r="A614" s="10" t="s">
        <v>5686</v>
      </c>
      <c r="B614" s="10" t="s">
        <v>5134</v>
      </c>
      <c r="C614" s="11" t="s">
        <v>297</v>
      </c>
      <c r="D614" s="10" t="s">
        <v>5687</v>
      </c>
      <c r="E614" s="8" t="s">
        <v>5688</v>
      </c>
      <c r="F614" s="8" t="s">
        <v>5689</v>
      </c>
      <c r="G614" s="10" t="s">
        <v>29</v>
      </c>
      <c r="H614" s="8" t="s">
        <v>5690</v>
      </c>
      <c r="I614" s="10" t="s">
        <v>5691</v>
      </c>
      <c r="J614" s="8" t="s">
        <v>5692</v>
      </c>
      <c r="K614" s="8" t="s">
        <v>29</v>
      </c>
      <c r="L614" s="8" t="s">
        <v>29</v>
      </c>
      <c r="M614" s="10" t="s">
        <v>29</v>
      </c>
      <c r="N614" s="8" t="s">
        <v>29</v>
      </c>
      <c r="O614" s="10" t="s">
        <v>19</v>
      </c>
      <c r="P614" s="8" t="s">
        <v>5693</v>
      </c>
      <c r="Q614" s="10" t="s">
        <v>174</v>
      </c>
      <c r="R614" s="10" t="s">
        <v>1387</v>
      </c>
      <c r="S614" s="8" t="s">
        <v>5694</v>
      </c>
      <c r="T614" s="10" t="s">
        <v>5543</v>
      </c>
      <c r="U614" s="10" t="s">
        <v>29</v>
      </c>
    </row>
    <row r="615" spans="1:21" s="10" customFormat="1" x14ac:dyDescent="0.25">
      <c r="A615" s="10" t="s">
        <v>5695</v>
      </c>
      <c r="B615" s="10" t="s">
        <v>5134</v>
      </c>
      <c r="C615" s="11" t="s">
        <v>297</v>
      </c>
      <c r="D615" s="10" t="s">
        <v>5696</v>
      </c>
      <c r="E615" s="8" t="s">
        <v>5697</v>
      </c>
      <c r="F615" s="8" t="s">
        <v>5698</v>
      </c>
      <c r="G615" s="10" t="s">
        <v>29</v>
      </c>
      <c r="H615" s="8" t="s">
        <v>5699</v>
      </c>
      <c r="I615" s="10" t="s">
        <v>5691</v>
      </c>
      <c r="J615" s="8" t="s">
        <v>5692</v>
      </c>
      <c r="K615" s="8" t="s">
        <v>29</v>
      </c>
      <c r="L615" s="8" t="s">
        <v>29</v>
      </c>
      <c r="M615" s="10" t="s">
        <v>29</v>
      </c>
      <c r="N615" s="8" t="s">
        <v>29</v>
      </c>
      <c r="O615" s="10" t="s">
        <v>19</v>
      </c>
      <c r="P615" s="8" t="s">
        <v>5700</v>
      </c>
      <c r="Q615" s="10" t="s">
        <v>190</v>
      </c>
      <c r="R615" s="10" t="s">
        <v>1387</v>
      </c>
      <c r="S615" s="8" t="s">
        <v>5701</v>
      </c>
      <c r="T615" s="10" t="s">
        <v>5543</v>
      </c>
      <c r="U615" s="10" t="s">
        <v>29</v>
      </c>
    </row>
    <row r="616" spans="1:21" s="10" customFormat="1" x14ac:dyDescent="0.25">
      <c r="A616" s="10" t="s">
        <v>5702</v>
      </c>
      <c r="B616" s="10" t="s">
        <v>5134</v>
      </c>
      <c r="C616" s="11" t="s">
        <v>297</v>
      </c>
      <c r="D616" s="10" t="s">
        <v>5703</v>
      </c>
      <c r="E616" s="8" t="s">
        <v>5704</v>
      </c>
      <c r="F616" s="8" t="s">
        <v>5705</v>
      </c>
      <c r="G616" s="10" t="s">
        <v>29</v>
      </c>
      <c r="H616" s="8" t="s">
        <v>5706</v>
      </c>
      <c r="I616" s="10" t="s">
        <v>5691</v>
      </c>
      <c r="J616" s="8" t="s">
        <v>2769</v>
      </c>
      <c r="K616" s="8" t="s">
        <v>29</v>
      </c>
      <c r="L616" s="8" t="s">
        <v>29</v>
      </c>
      <c r="M616" s="10" t="s">
        <v>29</v>
      </c>
      <c r="N616" s="8" t="s">
        <v>29</v>
      </c>
      <c r="O616" s="10" t="s">
        <v>19</v>
      </c>
      <c r="P616" s="8" t="s">
        <v>5707</v>
      </c>
      <c r="Q616" s="10" t="s">
        <v>174</v>
      </c>
      <c r="R616" s="10" t="s">
        <v>1387</v>
      </c>
      <c r="S616" s="8" t="s">
        <v>5708</v>
      </c>
      <c r="T616" s="10" t="s">
        <v>5543</v>
      </c>
      <c r="U616" s="10" t="s">
        <v>29</v>
      </c>
    </row>
    <row r="617" spans="1:21" s="10" customFormat="1" x14ac:dyDescent="0.25">
      <c r="A617" s="10" t="s">
        <v>5709</v>
      </c>
      <c r="B617" s="10" t="s">
        <v>5134</v>
      </c>
      <c r="C617" s="10" t="s">
        <v>166</v>
      </c>
      <c r="D617" s="10" t="s">
        <v>5710</v>
      </c>
      <c r="E617" s="8" t="s">
        <v>5711</v>
      </c>
      <c r="F617" s="8" t="s">
        <v>5705</v>
      </c>
      <c r="G617" s="10" t="s">
        <v>29</v>
      </c>
      <c r="H617" s="8" t="s">
        <v>5712</v>
      </c>
      <c r="I617" s="10" t="s">
        <v>5654</v>
      </c>
      <c r="J617" s="8" t="s">
        <v>2769</v>
      </c>
      <c r="K617" s="8" t="s">
        <v>29</v>
      </c>
      <c r="L617" s="8" t="s">
        <v>29</v>
      </c>
      <c r="M617" s="10" t="s">
        <v>29</v>
      </c>
      <c r="N617" s="8" t="s">
        <v>29</v>
      </c>
      <c r="O617" s="10" t="s">
        <v>19</v>
      </c>
      <c r="P617" s="8" t="s">
        <v>5713</v>
      </c>
      <c r="Q617" s="10" t="s">
        <v>174</v>
      </c>
      <c r="R617" s="10" t="s">
        <v>1387</v>
      </c>
      <c r="S617" s="8" t="s">
        <v>5714</v>
      </c>
      <c r="T617" s="10" t="s">
        <v>5543</v>
      </c>
      <c r="U617" s="10" t="s">
        <v>29</v>
      </c>
    </row>
    <row r="618" spans="1:21" s="10" customFormat="1" x14ac:dyDescent="0.25">
      <c r="A618" s="10" t="s">
        <v>5715</v>
      </c>
      <c r="B618" s="10" t="s">
        <v>5134</v>
      </c>
      <c r="C618" s="10" t="s">
        <v>166</v>
      </c>
      <c r="D618" s="10" t="s">
        <v>5716</v>
      </c>
      <c r="E618" s="8" t="s">
        <v>5717</v>
      </c>
      <c r="F618" s="8" t="s">
        <v>5718</v>
      </c>
      <c r="G618" s="10" t="s">
        <v>29</v>
      </c>
      <c r="H618" s="8" t="s">
        <v>5719</v>
      </c>
      <c r="I618" s="10" t="s">
        <v>5654</v>
      </c>
      <c r="J618" s="8" t="s">
        <v>2769</v>
      </c>
      <c r="K618" s="8" t="s">
        <v>29</v>
      </c>
      <c r="L618" s="8" t="s">
        <v>29</v>
      </c>
      <c r="M618" s="10" t="s">
        <v>29</v>
      </c>
      <c r="N618" s="8" t="s">
        <v>29</v>
      </c>
      <c r="O618" s="10" t="s">
        <v>19</v>
      </c>
      <c r="P618" s="8" t="s">
        <v>5720</v>
      </c>
      <c r="Q618" s="10" t="s">
        <v>174</v>
      </c>
      <c r="R618" s="10" t="s">
        <v>1387</v>
      </c>
      <c r="S618" s="8" t="s">
        <v>5721</v>
      </c>
      <c r="T618" s="10" t="s">
        <v>5543</v>
      </c>
      <c r="U618" s="10" t="s">
        <v>29</v>
      </c>
    </row>
    <row r="619" spans="1:21" s="10" customFormat="1" x14ac:dyDescent="0.25">
      <c r="A619" s="10" t="s">
        <v>5722</v>
      </c>
      <c r="B619" s="10" t="s">
        <v>5134</v>
      </c>
      <c r="C619" s="10" t="s">
        <v>166</v>
      </c>
      <c r="D619" s="10" t="s">
        <v>5723</v>
      </c>
      <c r="E619" s="8" t="s">
        <v>5724</v>
      </c>
      <c r="F619" s="8" t="s">
        <v>5725</v>
      </c>
      <c r="G619" s="10" t="s">
        <v>29</v>
      </c>
      <c r="H619" s="8" t="s">
        <v>5726</v>
      </c>
      <c r="I619" s="10" t="s">
        <v>5654</v>
      </c>
      <c r="J619" s="8" t="s">
        <v>2769</v>
      </c>
      <c r="K619" s="8" t="s">
        <v>29</v>
      </c>
      <c r="L619" s="8" t="s">
        <v>29</v>
      </c>
      <c r="M619" s="10" t="s">
        <v>29</v>
      </c>
      <c r="N619" s="8" t="s">
        <v>29</v>
      </c>
      <c r="O619" s="10" t="s">
        <v>19</v>
      </c>
      <c r="P619" s="8" t="s">
        <v>5727</v>
      </c>
      <c r="Q619" s="10" t="s">
        <v>190</v>
      </c>
      <c r="R619" s="10" t="s">
        <v>1387</v>
      </c>
      <c r="S619" s="8" t="s">
        <v>5728</v>
      </c>
      <c r="T619" s="10" t="s">
        <v>5543</v>
      </c>
      <c r="U619" s="10" t="s">
        <v>29</v>
      </c>
    </row>
    <row r="620" spans="1:21" s="10" customFormat="1" x14ac:dyDescent="0.25">
      <c r="A620" s="10" t="s">
        <v>5729</v>
      </c>
      <c r="B620" s="10" t="s">
        <v>5134</v>
      </c>
      <c r="C620" s="10" t="s">
        <v>166</v>
      </c>
      <c r="D620" s="10" t="s">
        <v>5730</v>
      </c>
      <c r="E620" s="8" t="s">
        <v>5731</v>
      </c>
      <c r="F620" s="8" t="s">
        <v>5732</v>
      </c>
      <c r="G620" s="10" t="s">
        <v>29</v>
      </c>
      <c r="H620" s="8" t="s">
        <v>5733</v>
      </c>
      <c r="I620" s="10" t="s">
        <v>889</v>
      </c>
      <c r="J620" s="8" t="s">
        <v>2769</v>
      </c>
      <c r="K620" s="8" t="s">
        <v>29</v>
      </c>
      <c r="L620" s="8" t="s">
        <v>29</v>
      </c>
      <c r="M620" s="10" t="s">
        <v>29</v>
      </c>
      <c r="N620" s="8" t="s">
        <v>29</v>
      </c>
      <c r="O620" s="10" t="s">
        <v>19</v>
      </c>
      <c r="P620" s="8" t="s">
        <v>5734</v>
      </c>
      <c r="Q620" s="10" t="s">
        <v>174</v>
      </c>
      <c r="R620" s="10" t="s">
        <v>1387</v>
      </c>
      <c r="S620" s="8" t="s">
        <v>5735</v>
      </c>
      <c r="T620" s="10" t="s">
        <v>5543</v>
      </c>
      <c r="U620" s="10" t="s">
        <v>29</v>
      </c>
    </row>
    <row r="621" spans="1:21" s="10" customFormat="1" x14ac:dyDescent="0.25">
      <c r="A621" s="10" t="s">
        <v>5736</v>
      </c>
      <c r="B621" s="10" t="s">
        <v>5134</v>
      </c>
      <c r="C621" s="10" t="s">
        <v>166</v>
      </c>
      <c r="D621" s="10" t="s">
        <v>5737</v>
      </c>
      <c r="E621" s="8" t="s">
        <v>5738</v>
      </c>
      <c r="F621" s="8" t="s">
        <v>5739</v>
      </c>
      <c r="G621" s="10" t="s">
        <v>29</v>
      </c>
      <c r="H621" s="8" t="s">
        <v>5740</v>
      </c>
      <c r="I621" s="10" t="s">
        <v>5662</v>
      </c>
      <c r="J621" s="8" t="s">
        <v>2769</v>
      </c>
      <c r="K621" s="8" t="s">
        <v>29</v>
      </c>
      <c r="L621" s="8" t="s">
        <v>29</v>
      </c>
      <c r="M621" s="10" t="s">
        <v>29</v>
      </c>
      <c r="N621" s="8" t="s">
        <v>29</v>
      </c>
      <c r="O621" s="10" t="s">
        <v>19</v>
      </c>
      <c r="P621" s="8" t="s">
        <v>5741</v>
      </c>
      <c r="Q621" s="10" t="s">
        <v>174</v>
      </c>
      <c r="R621" s="10" t="s">
        <v>1387</v>
      </c>
      <c r="S621" s="8" t="s">
        <v>5742</v>
      </c>
      <c r="T621" s="10" t="s">
        <v>5543</v>
      </c>
      <c r="U621" s="10" t="s">
        <v>29</v>
      </c>
    </row>
    <row r="622" spans="1:21" s="10" customFormat="1" x14ac:dyDescent="0.25">
      <c r="A622" s="10" t="s">
        <v>5743</v>
      </c>
      <c r="B622" s="10" t="s">
        <v>5134</v>
      </c>
      <c r="C622" s="11" t="s">
        <v>297</v>
      </c>
      <c r="D622" s="10" t="s">
        <v>5744</v>
      </c>
      <c r="E622" s="8" t="s">
        <v>5745</v>
      </c>
      <c r="F622" s="8" t="s">
        <v>5746</v>
      </c>
      <c r="G622" s="10" t="s">
        <v>29</v>
      </c>
      <c r="H622" s="8" t="s">
        <v>5747</v>
      </c>
      <c r="I622" s="10" t="s">
        <v>5748</v>
      </c>
      <c r="J622" s="8" t="s">
        <v>2769</v>
      </c>
      <c r="K622" s="8" t="s">
        <v>29</v>
      </c>
      <c r="L622" s="8" t="s">
        <v>29</v>
      </c>
      <c r="M622" s="10" t="s">
        <v>29</v>
      </c>
      <c r="N622" s="8" t="s">
        <v>29</v>
      </c>
      <c r="O622" s="10" t="s">
        <v>19</v>
      </c>
      <c r="P622" s="8" t="s">
        <v>5749</v>
      </c>
      <c r="Q622" s="10" t="s">
        <v>1399</v>
      </c>
      <c r="R622" s="10" t="s">
        <v>1387</v>
      </c>
      <c r="S622" s="8" t="s">
        <v>5750</v>
      </c>
      <c r="T622" s="10" t="s">
        <v>5543</v>
      </c>
      <c r="U622" s="10" t="s">
        <v>29</v>
      </c>
    </row>
    <row r="623" spans="1:21" s="10" customFormat="1" x14ac:dyDescent="0.25">
      <c r="A623" s="10" t="s">
        <v>5751</v>
      </c>
      <c r="B623" s="10" t="s">
        <v>5134</v>
      </c>
      <c r="C623" s="10" t="s">
        <v>166</v>
      </c>
      <c r="D623" s="10" t="s">
        <v>5752</v>
      </c>
      <c r="E623" s="8" t="s">
        <v>5753</v>
      </c>
      <c r="F623" s="8" t="s">
        <v>5754</v>
      </c>
      <c r="G623" s="10" t="s">
        <v>29</v>
      </c>
      <c r="H623" s="8" t="s">
        <v>5755</v>
      </c>
      <c r="I623" s="10" t="s">
        <v>5662</v>
      </c>
      <c r="J623" s="8" t="s">
        <v>2769</v>
      </c>
      <c r="K623" s="8" t="s">
        <v>29</v>
      </c>
      <c r="L623" s="8" t="s">
        <v>29</v>
      </c>
      <c r="M623" s="10" t="s">
        <v>29</v>
      </c>
      <c r="N623" s="8" t="s">
        <v>29</v>
      </c>
      <c r="O623" s="10" t="s">
        <v>19</v>
      </c>
      <c r="P623" s="8" t="s">
        <v>5756</v>
      </c>
      <c r="Q623" s="10" t="s">
        <v>174</v>
      </c>
      <c r="R623" s="10" t="s">
        <v>1387</v>
      </c>
      <c r="S623" s="8" t="s">
        <v>5757</v>
      </c>
      <c r="T623" s="10" t="s">
        <v>5543</v>
      </c>
      <c r="U623" s="10" t="s">
        <v>29</v>
      </c>
    </row>
    <row r="624" spans="1:21" s="10" customFormat="1" x14ac:dyDescent="0.25">
      <c r="A624" s="10" t="s">
        <v>5758</v>
      </c>
      <c r="B624" s="10" t="s">
        <v>5134</v>
      </c>
      <c r="C624" s="10" t="s">
        <v>166</v>
      </c>
      <c r="D624" s="10" t="s">
        <v>5759</v>
      </c>
      <c r="E624" s="8" t="s">
        <v>5760</v>
      </c>
      <c r="F624" s="8" t="s">
        <v>5761</v>
      </c>
      <c r="G624" s="10" t="s">
        <v>29</v>
      </c>
      <c r="H624" s="8" t="s">
        <v>5747</v>
      </c>
      <c r="I624" s="10" t="s">
        <v>5762</v>
      </c>
      <c r="J624" s="8" t="s">
        <v>2769</v>
      </c>
      <c r="K624" s="8" t="s">
        <v>29</v>
      </c>
      <c r="L624" s="8" t="s">
        <v>29</v>
      </c>
      <c r="M624" s="10" t="s">
        <v>29</v>
      </c>
      <c r="N624" s="8" t="s">
        <v>29</v>
      </c>
      <c r="O624" s="10" t="s">
        <v>19</v>
      </c>
      <c r="P624" s="8" t="s">
        <v>5763</v>
      </c>
      <c r="Q624" s="10" t="s">
        <v>174</v>
      </c>
      <c r="R624" s="10" t="s">
        <v>1387</v>
      </c>
      <c r="S624" s="8" t="s">
        <v>5764</v>
      </c>
      <c r="T624" s="10" t="s">
        <v>5543</v>
      </c>
      <c r="U624" s="10" t="s">
        <v>29</v>
      </c>
    </row>
    <row r="625" spans="1:21" s="10" customFormat="1" x14ac:dyDescent="0.25">
      <c r="A625" s="10" t="s">
        <v>5765</v>
      </c>
      <c r="B625" s="10" t="s">
        <v>5134</v>
      </c>
      <c r="C625" s="11" t="s">
        <v>297</v>
      </c>
      <c r="D625" s="10" t="s">
        <v>5766</v>
      </c>
      <c r="E625" s="8" t="s">
        <v>5767</v>
      </c>
      <c r="F625" s="8" t="s">
        <v>5768</v>
      </c>
      <c r="G625" s="10" t="s">
        <v>29</v>
      </c>
      <c r="H625" s="8" t="s">
        <v>5769</v>
      </c>
      <c r="I625" s="10" t="s">
        <v>889</v>
      </c>
      <c r="J625" s="8" t="s">
        <v>2769</v>
      </c>
      <c r="K625" s="8" t="s">
        <v>29</v>
      </c>
      <c r="L625" s="8" t="s">
        <v>29</v>
      </c>
      <c r="M625" s="10" t="s">
        <v>29</v>
      </c>
      <c r="N625" s="8" t="s">
        <v>29</v>
      </c>
      <c r="O625" s="10" t="s">
        <v>19</v>
      </c>
      <c r="P625" s="8" t="s">
        <v>5770</v>
      </c>
      <c r="Q625" s="10" t="s">
        <v>174</v>
      </c>
      <c r="R625" s="10" t="s">
        <v>1387</v>
      </c>
      <c r="S625" s="8" t="s">
        <v>5771</v>
      </c>
      <c r="T625" s="10" t="s">
        <v>5543</v>
      </c>
      <c r="U625" s="10" t="s">
        <v>29</v>
      </c>
    </row>
    <row r="626" spans="1:21" s="10" customFormat="1" x14ac:dyDescent="0.25">
      <c r="A626" s="10" t="s">
        <v>5772</v>
      </c>
      <c r="B626" s="10" t="s">
        <v>5134</v>
      </c>
      <c r="C626" s="11" t="s">
        <v>297</v>
      </c>
      <c r="D626" s="10" t="s">
        <v>5773</v>
      </c>
      <c r="E626" s="8" t="s">
        <v>5774</v>
      </c>
      <c r="F626" s="8" t="s">
        <v>5775</v>
      </c>
      <c r="G626" s="10" t="s">
        <v>29</v>
      </c>
      <c r="H626" s="8" t="s">
        <v>1604</v>
      </c>
      <c r="I626" s="10" t="s">
        <v>5776</v>
      </c>
      <c r="J626" s="8" t="s">
        <v>1606</v>
      </c>
      <c r="K626" s="8" t="s">
        <v>29</v>
      </c>
      <c r="L626" s="8" t="s">
        <v>29</v>
      </c>
      <c r="M626" s="10" t="s">
        <v>29</v>
      </c>
      <c r="N626" s="8" t="s">
        <v>29</v>
      </c>
      <c r="O626" s="10" t="s">
        <v>19</v>
      </c>
      <c r="P626" s="8" t="s">
        <v>5777</v>
      </c>
      <c r="Q626" s="10" t="s">
        <v>1399</v>
      </c>
      <c r="R626" s="10" t="s">
        <v>1608</v>
      </c>
      <c r="S626" s="8" t="s">
        <v>5778</v>
      </c>
      <c r="T626" s="10" t="s">
        <v>5543</v>
      </c>
      <c r="U626" s="10" t="s">
        <v>29</v>
      </c>
    </row>
    <row r="627" spans="1:21" s="10" customFormat="1" x14ac:dyDescent="0.25">
      <c r="A627" s="10" t="s">
        <v>5779</v>
      </c>
      <c r="B627" s="10" t="s">
        <v>5134</v>
      </c>
      <c r="C627" s="11" t="s">
        <v>297</v>
      </c>
      <c r="D627" s="10" t="s">
        <v>5780</v>
      </c>
      <c r="E627" s="8" t="s">
        <v>5781</v>
      </c>
      <c r="F627" s="8" t="s">
        <v>1613</v>
      </c>
      <c r="G627" s="10" t="s">
        <v>29</v>
      </c>
      <c r="H627" s="8" t="s">
        <v>2120</v>
      </c>
      <c r="I627" s="10" t="s">
        <v>5782</v>
      </c>
      <c r="J627" s="8" t="s">
        <v>1615</v>
      </c>
      <c r="K627" s="8" t="s">
        <v>29</v>
      </c>
      <c r="L627" s="8" t="s">
        <v>29</v>
      </c>
      <c r="M627" s="10" t="s">
        <v>29</v>
      </c>
      <c r="N627" s="8" t="s">
        <v>29</v>
      </c>
      <c r="O627" s="10" t="s">
        <v>19</v>
      </c>
      <c r="P627" s="8" t="s">
        <v>5783</v>
      </c>
      <c r="Q627" s="10" t="s">
        <v>776</v>
      </c>
      <c r="R627" s="10" t="s">
        <v>2122</v>
      </c>
      <c r="S627" s="8" t="s">
        <v>1618</v>
      </c>
      <c r="T627" s="10" t="s">
        <v>5543</v>
      </c>
      <c r="U627" s="10" t="s">
        <v>29</v>
      </c>
    </row>
    <row r="628" spans="1:21" s="10" customFormat="1" x14ac:dyDescent="0.25">
      <c r="A628" s="10" t="s">
        <v>5784</v>
      </c>
      <c r="B628" s="10" t="s">
        <v>5134</v>
      </c>
      <c r="C628" s="10" t="s">
        <v>166</v>
      </c>
      <c r="D628" s="10" t="s">
        <v>5785</v>
      </c>
      <c r="E628" s="8" t="s">
        <v>5786</v>
      </c>
      <c r="F628" s="8" t="s">
        <v>5787</v>
      </c>
      <c r="G628" s="10" t="s">
        <v>29</v>
      </c>
      <c r="H628" s="8" t="s">
        <v>5788</v>
      </c>
      <c r="I628" s="10" t="s">
        <v>5654</v>
      </c>
      <c r="J628" s="8" t="s">
        <v>2769</v>
      </c>
      <c r="K628" s="8" t="s">
        <v>29</v>
      </c>
      <c r="L628" s="8" t="s">
        <v>29</v>
      </c>
      <c r="M628" s="10" t="s">
        <v>29</v>
      </c>
      <c r="N628" s="8" t="s">
        <v>29</v>
      </c>
      <c r="O628" s="10" t="s">
        <v>19</v>
      </c>
      <c r="P628" s="8" t="s">
        <v>5789</v>
      </c>
      <c r="Q628" s="10" t="s">
        <v>174</v>
      </c>
      <c r="R628" s="10" t="s">
        <v>1387</v>
      </c>
      <c r="S628" s="8" t="s">
        <v>1599</v>
      </c>
      <c r="T628" s="10" t="s">
        <v>5543</v>
      </c>
      <c r="U628" s="10" t="s">
        <v>29</v>
      </c>
    </row>
    <row r="629" spans="1:21" s="10" customFormat="1" x14ac:dyDescent="0.25">
      <c r="A629" s="10" t="s">
        <v>5790</v>
      </c>
      <c r="B629" s="10" t="s">
        <v>5134</v>
      </c>
      <c r="C629" s="10" t="s">
        <v>166</v>
      </c>
      <c r="D629" s="10" t="s">
        <v>5791</v>
      </c>
      <c r="E629" s="8" t="s">
        <v>5792</v>
      </c>
      <c r="F629" s="8" t="s">
        <v>5793</v>
      </c>
      <c r="G629" s="10" t="s">
        <v>29</v>
      </c>
      <c r="H629" s="8" t="s">
        <v>5794</v>
      </c>
      <c r="I629" s="10" t="s">
        <v>5795</v>
      </c>
      <c r="J629" s="8" t="s">
        <v>2769</v>
      </c>
      <c r="K629" s="8" t="s">
        <v>29</v>
      </c>
      <c r="L629" s="8" t="s">
        <v>29</v>
      </c>
      <c r="M629" s="10" t="s">
        <v>29</v>
      </c>
      <c r="N629" s="8" t="s">
        <v>29</v>
      </c>
      <c r="O629" s="10" t="s">
        <v>19</v>
      </c>
      <c r="P629" s="8" t="s">
        <v>5796</v>
      </c>
      <c r="Q629" s="10" t="s">
        <v>174</v>
      </c>
      <c r="R629" s="10" t="s">
        <v>1387</v>
      </c>
      <c r="S629" s="8" t="s">
        <v>5797</v>
      </c>
      <c r="T629" s="10" t="s">
        <v>5798</v>
      </c>
      <c r="U629" s="10" t="s">
        <v>29</v>
      </c>
    </row>
    <row r="630" spans="1:21" s="10" customFormat="1" x14ac:dyDescent="0.25">
      <c r="A630" s="10" t="s">
        <v>5799</v>
      </c>
      <c r="B630" s="10" t="s">
        <v>5134</v>
      </c>
      <c r="C630" s="11" t="s">
        <v>297</v>
      </c>
      <c r="D630" s="10" t="s">
        <v>5800</v>
      </c>
      <c r="E630" s="8" t="s">
        <v>5801</v>
      </c>
      <c r="F630" s="8" t="s">
        <v>5802</v>
      </c>
      <c r="G630" s="10" t="s">
        <v>29</v>
      </c>
      <c r="H630" s="8" t="s">
        <v>5803</v>
      </c>
      <c r="I630" s="10" t="s">
        <v>5804</v>
      </c>
      <c r="J630" s="8" t="s">
        <v>2769</v>
      </c>
      <c r="K630" s="8" t="s">
        <v>29</v>
      </c>
      <c r="L630" s="8" t="s">
        <v>29</v>
      </c>
      <c r="M630" s="10" t="s">
        <v>29</v>
      </c>
      <c r="N630" s="8" t="s">
        <v>29</v>
      </c>
      <c r="O630" s="10" t="s">
        <v>19</v>
      </c>
      <c r="P630" s="8" t="s">
        <v>5805</v>
      </c>
      <c r="Q630" s="10" t="s">
        <v>174</v>
      </c>
      <c r="R630" s="10" t="s">
        <v>1387</v>
      </c>
      <c r="S630" s="8" t="s">
        <v>5806</v>
      </c>
      <c r="T630" s="10" t="s">
        <v>5798</v>
      </c>
      <c r="U630" s="10" t="s">
        <v>29</v>
      </c>
    </row>
    <row r="631" spans="1:21" s="10" customFormat="1" x14ac:dyDescent="0.25">
      <c r="A631" s="10" t="s">
        <v>5807</v>
      </c>
      <c r="B631" s="10" t="s">
        <v>5134</v>
      </c>
      <c r="C631" s="10" t="s">
        <v>166</v>
      </c>
      <c r="D631" s="10" t="s">
        <v>5808</v>
      </c>
      <c r="E631" s="8" t="s">
        <v>5809</v>
      </c>
      <c r="F631" s="8" t="s">
        <v>5810</v>
      </c>
      <c r="G631" s="10" t="s">
        <v>29</v>
      </c>
      <c r="H631" s="8" t="s">
        <v>3401</v>
      </c>
      <c r="I631" s="10" t="s">
        <v>5811</v>
      </c>
      <c r="J631" s="8" t="s">
        <v>2769</v>
      </c>
      <c r="K631" s="8" t="s">
        <v>29</v>
      </c>
      <c r="L631" s="8" t="s">
        <v>29</v>
      </c>
      <c r="M631" s="10" t="s">
        <v>29</v>
      </c>
      <c r="N631" s="8" t="s">
        <v>29</v>
      </c>
      <c r="O631" s="10" t="s">
        <v>19</v>
      </c>
      <c r="P631" s="8" t="s">
        <v>5812</v>
      </c>
      <c r="Q631" s="10" t="s">
        <v>190</v>
      </c>
      <c r="R631" s="10" t="s">
        <v>1387</v>
      </c>
      <c r="S631" s="8" t="s">
        <v>5813</v>
      </c>
      <c r="T631" s="10" t="s">
        <v>5798</v>
      </c>
      <c r="U631" s="10" t="s">
        <v>29</v>
      </c>
    </row>
    <row r="632" spans="1:21" s="10" customFormat="1" x14ac:dyDescent="0.25">
      <c r="A632" s="10" t="s">
        <v>5814</v>
      </c>
      <c r="B632" s="10" t="s">
        <v>5134</v>
      </c>
      <c r="C632" s="10" t="s">
        <v>166</v>
      </c>
      <c r="D632" s="10" t="s">
        <v>5815</v>
      </c>
      <c r="E632" s="8" t="s">
        <v>5816</v>
      </c>
      <c r="F632" s="8" t="s">
        <v>5810</v>
      </c>
      <c r="G632" s="10" t="s">
        <v>29</v>
      </c>
      <c r="H632" s="8" t="s">
        <v>5817</v>
      </c>
      <c r="I632" s="10" t="s">
        <v>951</v>
      </c>
      <c r="J632" s="8" t="s">
        <v>2769</v>
      </c>
      <c r="K632" s="8" t="s">
        <v>29</v>
      </c>
      <c r="L632" s="8" t="s">
        <v>29</v>
      </c>
      <c r="M632" s="10" t="s">
        <v>29</v>
      </c>
      <c r="N632" s="8" t="s">
        <v>29</v>
      </c>
      <c r="O632" s="10" t="s">
        <v>19</v>
      </c>
      <c r="P632" s="8" t="s">
        <v>5818</v>
      </c>
      <c r="Q632" s="10" t="s">
        <v>190</v>
      </c>
      <c r="R632" s="10" t="s">
        <v>1387</v>
      </c>
      <c r="S632" s="8" t="s">
        <v>5819</v>
      </c>
      <c r="T632" s="10" t="s">
        <v>5798</v>
      </c>
      <c r="U632" s="10" t="s">
        <v>29</v>
      </c>
    </row>
    <row r="633" spans="1:21" s="10" customFormat="1" x14ac:dyDescent="0.25">
      <c r="A633" s="10" t="s">
        <v>5820</v>
      </c>
      <c r="B633" s="10" t="s">
        <v>5134</v>
      </c>
      <c r="C633" s="10" t="s">
        <v>166</v>
      </c>
      <c r="D633" s="10" t="s">
        <v>5821</v>
      </c>
      <c r="E633" s="8" t="s">
        <v>5822</v>
      </c>
      <c r="F633" s="8" t="s">
        <v>5823</v>
      </c>
      <c r="G633" s="10" t="s">
        <v>29</v>
      </c>
      <c r="H633" s="8" t="s">
        <v>5824</v>
      </c>
      <c r="I633" s="10" t="s">
        <v>5825</v>
      </c>
      <c r="J633" s="8" t="s">
        <v>2769</v>
      </c>
      <c r="K633" s="8" t="s">
        <v>29</v>
      </c>
      <c r="L633" s="8" t="s">
        <v>29</v>
      </c>
      <c r="M633" s="10" t="s">
        <v>29</v>
      </c>
      <c r="N633" s="8" t="s">
        <v>29</v>
      </c>
      <c r="O633" s="10" t="s">
        <v>19</v>
      </c>
      <c r="P633" s="8" t="s">
        <v>5826</v>
      </c>
      <c r="Q633" s="10" t="s">
        <v>190</v>
      </c>
      <c r="R633" s="10" t="s">
        <v>1387</v>
      </c>
      <c r="S633" s="8" t="s">
        <v>5827</v>
      </c>
      <c r="T633" s="10" t="s">
        <v>5798</v>
      </c>
      <c r="U633" s="10" t="s">
        <v>29</v>
      </c>
    </row>
    <row r="634" spans="1:21" s="10" customFormat="1" x14ac:dyDescent="0.25">
      <c r="A634" s="10" t="s">
        <v>5828</v>
      </c>
      <c r="B634" s="10" t="s">
        <v>5134</v>
      </c>
      <c r="C634" s="10" t="s">
        <v>166</v>
      </c>
      <c r="D634" s="10" t="s">
        <v>5829</v>
      </c>
      <c r="E634" s="8" t="s">
        <v>5830</v>
      </c>
      <c r="F634" s="8" t="s">
        <v>5831</v>
      </c>
      <c r="G634" s="10" t="s">
        <v>29</v>
      </c>
      <c r="H634" s="8" t="s">
        <v>5832</v>
      </c>
      <c r="I634" s="10" t="s">
        <v>5833</v>
      </c>
      <c r="J634" s="8" t="s">
        <v>2769</v>
      </c>
      <c r="K634" s="8" t="s">
        <v>29</v>
      </c>
      <c r="L634" s="8" t="s">
        <v>29</v>
      </c>
      <c r="M634" s="10" t="s">
        <v>29</v>
      </c>
      <c r="N634" s="8" t="s">
        <v>29</v>
      </c>
      <c r="O634" s="10" t="s">
        <v>19</v>
      </c>
      <c r="P634" s="8" t="s">
        <v>5834</v>
      </c>
      <c r="Q634" s="10" t="s">
        <v>174</v>
      </c>
      <c r="R634" s="10" t="s">
        <v>1387</v>
      </c>
      <c r="S634" s="8" t="s">
        <v>5835</v>
      </c>
      <c r="T634" s="10" t="s">
        <v>5798</v>
      </c>
      <c r="U634" s="10" t="s">
        <v>29</v>
      </c>
    </row>
    <row r="635" spans="1:21" s="10" customFormat="1" x14ac:dyDescent="0.25">
      <c r="A635" s="10" t="s">
        <v>5836</v>
      </c>
      <c r="B635" s="10" t="s">
        <v>5134</v>
      </c>
      <c r="C635" s="10" t="s">
        <v>335</v>
      </c>
      <c r="D635" s="10" t="s">
        <v>5837</v>
      </c>
      <c r="E635" s="8" t="s">
        <v>5838</v>
      </c>
      <c r="F635" s="8" t="s">
        <v>5839</v>
      </c>
      <c r="G635" s="10" t="s">
        <v>29</v>
      </c>
      <c r="H635" s="8" t="s">
        <v>5840</v>
      </c>
      <c r="I635" s="10" t="s">
        <v>5841</v>
      </c>
      <c r="J635" s="8" t="s">
        <v>2769</v>
      </c>
      <c r="K635" s="8" t="s">
        <v>29</v>
      </c>
      <c r="L635" s="8" t="s">
        <v>29</v>
      </c>
      <c r="M635" s="10" t="s">
        <v>29</v>
      </c>
      <c r="N635" s="8" t="s">
        <v>29</v>
      </c>
      <c r="O635" s="10" t="s">
        <v>19</v>
      </c>
      <c r="P635" s="8" t="s">
        <v>5842</v>
      </c>
      <c r="Q635" s="10" t="s">
        <v>174</v>
      </c>
      <c r="R635" s="10" t="s">
        <v>1387</v>
      </c>
      <c r="S635" s="8" t="s">
        <v>2412</v>
      </c>
      <c r="T635" s="10" t="s">
        <v>5798</v>
      </c>
      <c r="U635" s="10" t="s">
        <v>29</v>
      </c>
    </row>
    <row r="636" spans="1:21" s="10" customFormat="1" x14ac:dyDescent="0.25">
      <c r="A636" s="10" t="s">
        <v>5843</v>
      </c>
      <c r="B636" s="10" t="s">
        <v>5134</v>
      </c>
      <c r="C636" s="11" t="s">
        <v>297</v>
      </c>
      <c r="D636" s="10" t="s">
        <v>5844</v>
      </c>
      <c r="E636" s="8" t="s">
        <v>5845</v>
      </c>
      <c r="F636" s="8" t="s">
        <v>5846</v>
      </c>
      <c r="G636" s="10" t="s">
        <v>29</v>
      </c>
      <c r="H636" s="8" t="s">
        <v>5847</v>
      </c>
      <c r="I636" s="10" t="s">
        <v>5848</v>
      </c>
      <c r="J636" s="8" t="s">
        <v>2769</v>
      </c>
      <c r="K636" s="8" t="s">
        <v>29</v>
      </c>
      <c r="L636" s="8" t="s">
        <v>29</v>
      </c>
      <c r="M636" s="10" t="s">
        <v>29</v>
      </c>
      <c r="N636" s="8" t="s">
        <v>29</v>
      </c>
      <c r="O636" s="10" t="s">
        <v>19</v>
      </c>
      <c r="P636" s="8" t="s">
        <v>5849</v>
      </c>
      <c r="Q636" s="10" t="s">
        <v>1399</v>
      </c>
      <c r="R636" s="10" t="s">
        <v>1387</v>
      </c>
      <c r="S636" s="8" t="s">
        <v>5850</v>
      </c>
      <c r="T636" s="10" t="s">
        <v>5798</v>
      </c>
      <c r="U636" s="10" t="s">
        <v>29</v>
      </c>
    </row>
    <row r="637" spans="1:21" s="10" customFormat="1" x14ac:dyDescent="0.25">
      <c r="A637" s="10" t="s">
        <v>5851</v>
      </c>
      <c r="B637" s="10" t="s">
        <v>5134</v>
      </c>
      <c r="C637" s="11" t="s">
        <v>297</v>
      </c>
      <c r="D637" s="10" t="s">
        <v>5852</v>
      </c>
      <c r="E637" s="8" t="s">
        <v>5853</v>
      </c>
      <c r="F637" s="8" t="s">
        <v>5854</v>
      </c>
      <c r="G637" s="10" t="s">
        <v>29</v>
      </c>
      <c r="H637" s="8" t="s">
        <v>1604</v>
      </c>
      <c r="I637" s="10" t="s">
        <v>5855</v>
      </c>
      <c r="J637" s="8" t="s">
        <v>1606</v>
      </c>
      <c r="K637" s="8" t="s">
        <v>29</v>
      </c>
      <c r="L637" s="8" t="s">
        <v>29</v>
      </c>
      <c r="M637" s="10" t="s">
        <v>29</v>
      </c>
      <c r="N637" s="8" t="s">
        <v>29</v>
      </c>
      <c r="O637" s="10" t="s">
        <v>19</v>
      </c>
      <c r="P637" s="8" t="s">
        <v>5856</v>
      </c>
      <c r="Q637" s="10" t="s">
        <v>1399</v>
      </c>
      <c r="R637" s="10" t="s">
        <v>1608</v>
      </c>
      <c r="S637" s="8" t="s">
        <v>5857</v>
      </c>
      <c r="T637" s="10" t="s">
        <v>5798</v>
      </c>
      <c r="U637" s="10" t="s">
        <v>29</v>
      </c>
    </row>
    <row r="638" spans="1:21" s="10" customFormat="1" x14ac:dyDescent="0.25">
      <c r="A638" s="10" t="s">
        <v>5858</v>
      </c>
      <c r="B638" s="10" t="s">
        <v>5134</v>
      </c>
      <c r="C638" s="10" t="s">
        <v>166</v>
      </c>
      <c r="D638" s="10" t="s">
        <v>5859</v>
      </c>
      <c r="E638" s="8" t="s">
        <v>5860</v>
      </c>
      <c r="F638" s="8" t="s">
        <v>5861</v>
      </c>
      <c r="G638" s="10" t="s">
        <v>29</v>
      </c>
      <c r="H638" s="8" t="s">
        <v>5794</v>
      </c>
      <c r="I638" s="10" t="s">
        <v>951</v>
      </c>
      <c r="J638" s="8" t="s">
        <v>2769</v>
      </c>
      <c r="K638" s="8" t="s">
        <v>29</v>
      </c>
      <c r="L638" s="8" t="s">
        <v>29</v>
      </c>
      <c r="M638" s="10" t="s">
        <v>29</v>
      </c>
      <c r="N638" s="8" t="s">
        <v>29</v>
      </c>
      <c r="O638" s="10" t="s">
        <v>19</v>
      </c>
      <c r="P638" s="8" t="s">
        <v>5862</v>
      </c>
      <c r="Q638" s="10" t="s">
        <v>174</v>
      </c>
      <c r="R638" s="10" t="s">
        <v>1387</v>
      </c>
      <c r="S638" s="8" t="s">
        <v>1599</v>
      </c>
      <c r="T638" s="10" t="s">
        <v>5798</v>
      </c>
      <c r="U638" s="10" t="s">
        <v>29</v>
      </c>
    </row>
    <row r="639" spans="1:21" s="10" customFormat="1" x14ac:dyDescent="0.25">
      <c r="A639" s="10" t="s">
        <v>5863</v>
      </c>
      <c r="B639" s="10" t="s">
        <v>5134</v>
      </c>
      <c r="C639" s="10" t="s">
        <v>166</v>
      </c>
      <c r="D639" s="10" t="s">
        <v>5864</v>
      </c>
      <c r="E639" s="8" t="s">
        <v>5865</v>
      </c>
      <c r="F639" s="8" t="s">
        <v>5866</v>
      </c>
      <c r="G639" s="10" t="s">
        <v>29</v>
      </c>
      <c r="H639" s="8" t="s">
        <v>5867</v>
      </c>
      <c r="I639" s="10" t="s">
        <v>5868</v>
      </c>
      <c r="J639" s="8" t="s">
        <v>2769</v>
      </c>
      <c r="K639" s="8" t="s">
        <v>29</v>
      </c>
      <c r="L639" s="8" t="s">
        <v>29</v>
      </c>
      <c r="M639" s="10" t="s">
        <v>29</v>
      </c>
      <c r="N639" s="8" t="s">
        <v>29</v>
      </c>
      <c r="O639" s="10" t="s">
        <v>19</v>
      </c>
      <c r="P639" s="8" t="s">
        <v>5869</v>
      </c>
      <c r="Q639" s="10" t="s">
        <v>174</v>
      </c>
      <c r="R639" s="10" t="s">
        <v>1387</v>
      </c>
      <c r="S639" s="8" t="s">
        <v>5870</v>
      </c>
      <c r="T639" s="10" t="s">
        <v>5798</v>
      </c>
      <c r="U639" s="10" t="s">
        <v>29</v>
      </c>
    </row>
    <row r="640" spans="1:21" s="10" customFormat="1" x14ac:dyDescent="0.25">
      <c r="A640" s="10" t="s">
        <v>5871</v>
      </c>
      <c r="B640" s="10" t="s">
        <v>5134</v>
      </c>
      <c r="C640" s="11" t="s">
        <v>297</v>
      </c>
      <c r="D640" s="10" t="s">
        <v>5872</v>
      </c>
      <c r="E640" s="8" t="s">
        <v>5873</v>
      </c>
      <c r="F640" s="8" t="s">
        <v>5874</v>
      </c>
      <c r="G640" s="10" t="s">
        <v>29</v>
      </c>
      <c r="H640" s="8" t="s">
        <v>5875</v>
      </c>
      <c r="I640" s="10" t="s">
        <v>5876</v>
      </c>
      <c r="J640" s="8" t="s">
        <v>2769</v>
      </c>
      <c r="K640" s="8" t="s">
        <v>29</v>
      </c>
      <c r="L640" s="8" t="s">
        <v>29</v>
      </c>
      <c r="M640" s="10" t="s">
        <v>29</v>
      </c>
      <c r="N640" s="8" t="s">
        <v>29</v>
      </c>
      <c r="O640" s="10" t="s">
        <v>19</v>
      </c>
      <c r="P640" s="8" t="s">
        <v>5877</v>
      </c>
      <c r="Q640" s="10" t="s">
        <v>174</v>
      </c>
      <c r="R640" s="10" t="s">
        <v>1387</v>
      </c>
      <c r="S640" s="8" t="s">
        <v>5878</v>
      </c>
      <c r="T640" s="10" t="s">
        <v>5798</v>
      </c>
      <c r="U640" s="10" t="s">
        <v>29</v>
      </c>
    </row>
    <row r="641" spans="1:21" s="10" customFormat="1" x14ac:dyDescent="0.25">
      <c r="A641" s="10" t="s">
        <v>5879</v>
      </c>
      <c r="B641" s="10" t="s">
        <v>5134</v>
      </c>
      <c r="C641" s="10" t="s">
        <v>166</v>
      </c>
      <c r="D641" s="10" t="s">
        <v>5880</v>
      </c>
      <c r="E641" s="8" t="s">
        <v>5881</v>
      </c>
      <c r="F641" s="8" t="s">
        <v>4730</v>
      </c>
      <c r="G641" s="10" t="s">
        <v>29</v>
      </c>
      <c r="H641" s="8" t="s">
        <v>5882</v>
      </c>
      <c r="I641" s="10" t="s">
        <v>5883</v>
      </c>
      <c r="J641" s="8" t="s">
        <v>2769</v>
      </c>
      <c r="K641" s="8" t="s">
        <v>29</v>
      </c>
      <c r="L641" s="8" t="s">
        <v>29</v>
      </c>
      <c r="M641" s="10" t="s">
        <v>29</v>
      </c>
      <c r="N641" s="8" t="s">
        <v>29</v>
      </c>
      <c r="O641" s="10" t="s">
        <v>19</v>
      </c>
      <c r="P641" s="8" t="s">
        <v>5884</v>
      </c>
      <c r="Q641" s="10" t="s">
        <v>190</v>
      </c>
      <c r="R641" s="10" t="s">
        <v>1387</v>
      </c>
      <c r="S641" s="8" t="s">
        <v>5885</v>
      </c>
      <c r="T641" s="10" t="s">
        <v>5798</v>
      </c>
      <c r="U641" s="10" t="s">
        <v>29</v>
      </c>
    </row>
    <row r="642" spans="1:21" s="10" customFormat="1" x14ac:dyDescent="0.25">
      <c r="A642" s="10" t="s">
        <v>5886</v>
      </c>
      <c r="B642" s="10" t="s">
        <v>5134</v>
      </c>
      <c r="C642" s="11" t="s">
        <v>297</v>
      </c>
      <c r="D642" s="10" t="s">
        <v>5887</v>
      </c>
      <c r="E642" s="8" t="s">
        <v>5888</v>
      </c>
      <c r="F642" s="8" t="s">
        <v>5889</v>
      </c>
      <c r="G642" s="10" t="s">
        <v>29</v>
      </c>
      <c r="H642" s="8" t="s">
        <v>5890</v>
      </c>
      <c r="I642" s="10" t="s">
        <v>5891</v>
      </c>
      <c r="J642" s="8" t="s">
        <v>2769</v>
      </c>
      <c r="K642" s="8" t="s">
        <v>29</v>
      </c>
      <c r="L642" s="8" t="s">
        <v>29</v>
      </c>
      <c r="M642" s="10" t="s">
        <v>29</v>
      </c>
      <c r="N642" s="8" t="s">
        <v>29</v>
      </c>
      <c r="O642" s="10" t="s">
        <v>19</v>
      </c>
      <c r="P642" s="8" t="s">
        <v>5892</v>
      </c>
      <c r="Q642" s="10" t="s">
        <v>190</v>
      </c>
      <c r="R642" s="10" t="s">
        <v>1387</v>
      </c>
      <c r="S642" s="8" t="s">
        <v>5893</v>
      </c>
      <c r="T642" s="10" t="s">
        <v>5798</v>
      </c>
      <c r="U642" s="10" t="s">
        <v>29</v>
      </c>
    </row>
    <row r="643" spans="1:21" s="10" customFormat="1" x14ac:dyDescent="0.25">
      <c r="A643" s="10" t="s">
        <v>5894</v>
      </c>
      <c r="B643" s="10" t="s">
        <v>5134</v>
      </c>
      <c r="C643" s="10" t="s">
        <v>166</v>
      </c>
      <c r="D643" s="10" t="s">
        <v>5895</v>
      </c>
      <c r="E643" s="8" t="s">
        <v>5896</v>
      </c>
      <c r="F643" s="8" t="s">
        <v>5897</v>
      </c>
      <c r="G643" s="10" t="s">
        <v>29</v>
      </c>
      <c r="H643" s="8" t="s">
        <v>5898</v>
      </c>
      <c r="I643" s="10" t="s">
        <v>5899</v>
      </c>
      <c r="J643" s="8" t="s">
        <v>2769</v>
      </c>
      <c r="K643" s="8" t="s">
        <v>29</v>
      </c>
      <c r="L643" s="8" t="s">
        <v>29</v>
      </c>
      <c r="M643" s="10" t="s">
        <v>29</v>
      </c>
      <c r="N643" s="8" t="s">
        <v>29</v>
      </c>
      <c r="O643" s="10" t="s">
        <v>19</v>
      </c>
      <c r="P643" s="8" t="s">
        <v>5900</v>
      </c>
      <c r="Q643" s="10" t="s">
        <v>174</v>
      </c>
      <c r="R643" s="10" t="s">
        <v>1387</v>
      </c>
      <c r="S643" s="8" t="s">
        <v>5901</v>
      </c>
      <c r="T643" s="10" t="s">
        <v>5798</v>
      </c>
      <c r="U643" s="10" t="s">
        <v>29</v>
      </c>
    </row>
    <row r="644" spans="1:21" s="10" customFormat="1" x14ac:dyDescent="0.25">
      <c r="A644" s="10" t="s">
        <v>5902</v>
      </c>
      <c r="B644" s="10" t="s">
        <v>5134</v>
      </c>
      <c r="C644" s="11" t="s">
        <v>297</v>
      </c>
      <c r="D644" s="10" t="s">
        <v>5903</v>
      </c>
      <c r="E644" s="8" t="s">
        <v>5904</v>
      </c>
      <c r="F644" s="8" t="s">
        <v>5905</v>
      </c>
      <c r="G644" s="10" t="s">
        <v>29</v>
      </c>
      <c r="H644" s="8" t="s">
        <v>5906</v>
      </c>
      <c r="I644" s="10" t="s">
        <v>5907</v>
      </c>
      <c r="J644" s="8" t="s">
        <v>2769</v>
      </c>
      <c r="K644" s="8" t="s">
        <v>29</v>
      </c>
      <c r="L644" s="8" t="s">
        <v>29</v>
      </c>
      <c r="M644" s="10" t="s">
        <v>29</v>
      </c>
      <c r="N644" s="8" t="s">
        <v>29</v>
      </c>
      <c r="O644" s="10" t="s">
        <v>19</v>
      </c>
      <c r="P644" s="8" t="s">
        <v>5908</v>
      </c>
      <c r="Q644" s="10" t="s">
        <v>1399</v>
      </c>
      <c r="R644" s="10" t="s">
        <v>1387</v>
      </c>
      <c r="S644" s="8" t="s">
        <v>5909</v>
      </c>
      <c r="T644" s="10" t="s">
        <v>5798</v>
      </c>
      <c r="U644" s="10" t="s">
        <v>29</v>
      </c>
    </row>
    <row r="645" spans="1:21" s="10" customFormat="1" x14ac:dyDescent="0.25">
      <c r="A645" s="10" t="s">
        <v>5910</v>
      </c>
      <c r="B645" s="10" t="s">
        <v>5134</v>
      </c>
      <c r="C645" s="11" t="s">
        <v>297</v>
      </c>
      <c r="D645" s="10" t="s">
        <v>5911</v>
      </c>
      <c r="E645" s="8" t="s">
        <v>5912</v>
      </c>
      <c r="F645" s="8" t="s">
        <v>5913</v>
      </c>
      <c r="G645" s="10" t="s">
        <v>29</v>
      </c>
      <c r="H645" s="8" t="s">
        <v>1604</v>
      </c>
      <c r="I645" s="10" t="s">
        <v>5914</v>
      </c>
      <c r="J645" s="8" t="s">
        <v>1606</v>
      </c>
      <c r="K645" s="8" t="s">
        <v>29</v>
      </c>
      <c r="L645" s="8" t="s">
        <v>29</v>
      </c>
      <c r="M645" s="10" t="s">
        <v>29</v>
      </c>
      <c r="N645" s="8" t="s">
        <v>29</v>
      </c>
      <c r="O645" s="10" t="s">
        <v>19</v>
      </c>
      <c r="P645" s="8" t="s">
        <v>5915</v>
      </c>
      <c r="Q645" s="10" t="s">
        <v>1399</v>
      </c>
      <c r="R645" s="10" t="s">
        <v>1608</v>
      </c>
      <c r="S645" s="8" t="s">
        <v>5916</v>
      </c>
      <c r="T645" s="10" t="s">
        <v>5798</v>
      </c>
      <c r="U645" s="10" t="s">
        <v>29</v>
      </c>
    </row>
    <row r="646" spans="1:21" s="10" customFormat="1" x14ac:dyDescent="0.25">
      <c r="A646" s="10" t="s">
        <v>5917</v>
      </c>
      <c r="B646" s="10" t="s">
        <v>5134</v>
      </c>
      <c r="C646" s="10" t="s">
        <v>166</v>
      </c>
      <c r="D646" s="10" t="s">
        <v>5918</v>
      </c>
      <c r="E646" s="8" t="s">
        <v>5919</v>
      </c>
      <c r="F646" s="8" t="s">
        <v>5920</v>
      </c>
      <c r="G646" s="10" t="s">
        <v>29</v>
      </c>
      <c r="H646" s="8" t="s">
        <v>5867</v>
      </c>
      <c r="I646" s="10" t="s">
        <v>5883</v>
      </c>
      <c r="J646" s="8" t="s">
        <v>2769</v>
      </c>
      <c r="K646" s="8" t="s">
        <v>29</v>
      </c>
      <c r="L646" s="8" t="s">
        <v>29</v>
      </c>
      <c r="M646" s="10" t="s">
        <v>29</v>
      </c>
      <c r="N646" s="8" t="s">
        <v>29</v>
      </c>
      <c r="O646" s="10" t="s">
        <v>19</v>
      </c>
      <c r="P646" s="8" t="s">
        <v>5921</v>
      </c>
      <c r="Q646" s="10" t="s">
        <v>174</v>
      </c>
      <c r="R646" s="10" t="s">
        <v>1387</v>
      </c>
      <c r="S646" s="8" t="s">
        <v>5922</v>
      </c>
      <c r="T646" s="10" t="s">
        <v>5798</v>
      </c>
      <c r="U646" s="10" t="s">
        <v>29</v>
      </c>
    </row>
    <row r="647" spans="1:21" s="10" customFormat="1" x14ac:dyDescent="0.25">
      <c r="A647" s="10" t="s">
        <v>5923</v>
      </c>
      <c r="B647" s="10" t="s">
        <v>5134</v>
      </c>
      <c r="C647" s="10" t="s">
        <v>166</v>
      </c>
      <c r="D647" s="10" t="s">
        <v>5924</v>
      </c>
      <c r="E647" s="8" t="s">
        <v>5925</v>
      </c>
      <c r="F647" s="8" t="s">
        <v>5926</v>
      </c>
      <c r="G647" s="10" t="s">
        <v>29</v>
      </c>
      <c r="H647" s="8" t="s">
        <v>5927</v>
      </c>
      <c r="I647" s="10" t="s">
        <v>5928</v>
      </c>
      <c r="J647" s="8" t="s">
        <v>2769</v>
      </c>
      <c r="K647" s="8" t="s">
        <v>29</v>
      </c>
      <c r="L647" s="8" t="s">
        <v>29</v>
      </c>
      <c r="M647" s="10" t="s">
        <v>29</v>
      </c>
      <c r="N647" s="8" t="s">
        <v>29</v>
      </c>
      <c r="O647" s="10" t="s">
        <v>19</v>
      </c>
      <c r="P647" s="8" t="s">
        <v>5929</v>
      </c>
      <c r="Q647" s="10" t="s">
        <v>174</v>
      </c>
      <c r="R647" s="10" t="s">
        <v>1387</v>
      </c>
      <c r="S647" s="8" t="s">
        <v>5930</v>
      </c>
      <c r="T647" s="10" t="s">
        <v>5798</v>
      </c>
      <c r="U647" s="10" t="s">
        <v>29</v>
      </c>
    </row>
    <row r="648" spans="1:21" s="10" customFormat="1" x14ac:dyDescent="0.25">
      <c r="A648" s="10" t="s">
        <v>5931</v>
      </c>
      <c r="B648" s="10" t="s">
        <v>5134</v>
      </c>
      <c r="C648" s="11" t="s">
        <v>297</v>
      </c>
      <c r="D648" s="10" t="s">
        <v>5932</v>
      </c>
      <c r="E648" s="8" t="s">
        <v>5933</v>
      </c>
      <c r="F648" s="8" t="s">
        <v>5934</v>
      </c>
      <c r="G648" s="10" t="s">
        <v>29</v>
      </c>
      <c r="H648" s="8" t="s">
        <v>5935</v>
      </c>
      <c r="I648" s="10" t="s">
        <v>5936</v>
      </c>
      <c r="J648" s="8" t="s">
        <v>2769</v>
      </c>
      <c r="K648" s="8" t="s">
        <v>29</v>
      </c>
      <c r="L648" s="8" t="s">
        <v>29</v>
      </c>
      <c r="M648" s="10" t="s">
        <v>29</v>
      </c>
      <c r="N648" s="8" t="s">
        <v>29</v>
      </c>
      <c r="O648" s="10" t="s">
        <v>19</v>
      </c>
      <c r="P648" s="8" t="s">
        <v>5937</v>
      </c>
      <c r="Q648" s="10" t="s">
        <v>174</v>
      </c>
      <c r="R648" s="10" t="s">
        <v>1387</v>
      </c>
      <c r="S648" s="8" t="s">
        <v>5938</v>
      </c>
      <c r="T648" s="10" t="s">
        <v>5798</v>
      </c>
      <c r="U648" s="10" t="s">
        <v>29</v>
      </c>
    </row>
    <row r="649" spans="1:21" s="10" customFormat="1" x14ac:dyDescent="0.25">
      <c r="A649" s="10" t="s">
        <v>5939</v>
      </c>
      <c r="B649" s="10" t="s">
        <v>5134</v>
      </c>
      <c r="C649" s="10" t="s">
        <v>166</v>
      </c>
      <c r="D649" s="10" t="s">
        <v>5940</v>
      </c>
      <c r="E649" s="8" t="s">
        <v>5941</v>
      </c>
      <c r="F649" s="8" t="s">
        <v>4730</v>
      </c>
      <c r="G649" s="10" t="s">
        <v>29</v>
      </c>
      <c r="H649" s="8" t="s">
        <v>5942</v>
      </c>
      <c r="I649" s="10" t="s">
        <v>5943</v>
      </c>
      <c r="J649" s="8" t="s">
        <v>2769</v>
      </c>
      <c r="K649" s="8" t="s">
        <v>29</v>
      </c>
      <c r="L649" s="8" t="s">
        <v>29</v>
      </c>
      <c r="M649" s="10" t="s">
        <v>29</v>
      </c>
      <c r="N649" s="8" t="s">
        <v>29</v>
      </c>
      <c r="O649" s="10" t="s">
        <v>19</v>
      </c>
      <c r="P649" s="8" t="s">
        <v>5944</v>
      </c>
      <c r="Q649" s="10" t="s">
        <v>190</v>
      </c>
      <c r="R649" s="10" t="s">
        <v>1387</v>
      </c>
      <c r="S649" s="8" t="s">
        <v>5945</v>
      </c>
      <c r="T649" s="10" t="s">
        <v>5798</v>
      </c>
      <c r="U649" s="10" t="s">
        <v>29</v>
      </c>
    </row>
    <row r="650" spans="1:21" s="10" customFormat="1" x14ac:dyDescent="0.25">
      <c r="A650" s="10" t="s">
        <v>5946</v>
      </c>
      <c r="B650" s="10" t="s">
        <v>5134</v>
      </c>
      <c r="C650" s="10" t="s">
        <v>166</v>
      </c>
      <c r="D650" s="10" t="s">
        <v>5947</v>
      </c>
      <c r="E650" s="8" t="s">
        <v>5948</v>
      </c>
      <c r="F650" s="8" t="s">
        <v>5949</v>
      </c>
      <c r="G650" s="10" t="s">
        <v>29</v>
      </c>
      <c r="H650" s="8" t="s">
        <v>5950</v>
      </c>
      <c r="I650" s="10" t="s">
        <v>5943</v>
      </c>
      <c r="J650" s="8" t="s">
        <v>2769</v>
      </c>
      <c r="K650" s="8" t="s">
        <v>29</v>
      </c>
      <c r="L650" s="8" t="s">
        <v>29</v>
      </c>
      <c r="M650" s="10" t="s">
        <v>29</v>
      </c>
      <c r="N650" s="8" t="s">
        <v>29</v>
      </c>
      <c r="O650" s="10" t="s">
        <v>19</v>
      </c>
      <c r="P650" s="8" t="s">
        <v>5951</v>
      </c>
      <c r="Q650" s="10" t="s">
        <v>174</v>
      </c>
      <c r="R650" s="10" t="s">
        <v>1387</v>
      </c>
      <c r="S650" s="8" t="s">
        <v>5952</v>
      </c>
      <c r="T650" s="10" t="s">
        <v>5798</v>
      </c>
      <c r="U650" s="10" t="s">
        <v>29</v>
      </c>
    </row>
    <row r="651" spans="1:21" s="10" customFormat="1" x14ac:dyDescent="0.25">
      <c r="A651" s="10" t="s">
        <v>5953</v>
      </c>
      <c r="B651" s="10" t="s">
        <v>5134</v>
      </c>
      <c r="C651" s="10" t="s">
        <v>166</v>
      </c>
      <c r="D651" s="10" t="s">
        <v>5954</v>
      </c>
      <c r="E651" s="8" t="s">
        <v>5955</v>
      </c>
      <c r="F651" s="8" t="s">
        <v>5956</v>
      </c>
      <c r="G651" s="10" t="s">
        <v>29</v>
      </c>
      <c r="H651" s="8" t="s">
        <v>5935</v>
      </c>
      <c r="I651" s="10" t="s">
        <v>5936</v>
      </c>
      <c r="J651" s="8" t="s">
        <v>2769</v>
      </c>
      <c r="K651" s="8" t="s">
        <v>29</v>
      </c>
      <c r="L651" s="8" t="s">
        <v>29</v>
      </c>
      <c r="M651" s="10" t="s">
        <v>29</v>
      </c>
      <c r="N651" s="8" t="s">
        <v>29</v>
      </c>
      <c r="O651" s="10" t="s">
        <v>19</v>
      </c>
      <c r="P651" s="8" t="s">
        <v>5957</v>
      </c>
      <c r="Q651" s="10" t="s">
        <v>174</v>
      </c>
      <c r="R651" s="10" t="s">
        <v>1387</v>
      </c>
      <c r="S651" s="8" t="s">
        <v>5958</v>
      </c>
      <c r="T651" s="10" t="s">
        <v>5798</v>
      </c>
      <c r="U651" s="10" t="s">
        <v>29</v>
      </c>
    </row>
    <row r="652" spans="1:21" s="10" customFormat="1" x14ac:dyDescent="0.25">
      <c r="A652" s="10" t="s">
        <v>5959</v>
      </c>
      <c r="B652" s="10" t="s">
        <v>5134</v>
      </c>
      <c r="C652" s="11" t="s">
        <v>297</v>
      </c>
      <c r="D652" s="10" t="s">
        <v>5960</v>
      </c>
      <c r="E652" s="8" t="s">
        <v>5961</v>
      </c>
      <c r="F652" s="8" t="s">
        <v>5962</v>
      </c>
      <c r="G652" s="10" t="s">
        <v>29</v>
      </c>
      <c r="H652" s="8" t="s">
        <v>5950</v>
      </c>
      <c r="I652" s="10" t="s">
        <v>1443</v>
      </c>
      <c r="J652" s="8" t="s">
        <v>2769</v>
      </c>
      <c r="K652" s="8" t="s">
        <v>29</v>
      </c>
      <c r="L652" s="8" t="s">
        <v>29</v>
      </c>
      <c r="M652" s="10" t="s">
        <v>29</v>
      </c>
      <c r="N652" s="8" t="s">
        <v>29</v>
      </c>
      <c r="O652" s="10" t="s">
        <v>19</v>
      </c>
      <c r="P652" s="8" t="s">
        <v>5963</v>
      </c>
      <c r="Q652" s="10" t="s">
        <v>1399</v>
      </c>
      <c r="R652" s="10" t="s">
        <v>1387</v>
      </c>
      <c r="S652" s="8" t="s">
        <v>5964</v>
      </c>
      <c r="T652" s="10" t="s">
        <v>5798</v>
      </c>
      <c r="U652" s="10" t="s">
        <v>29</v>
      </c>
    </row>
    <row r="653" spans="1:21" s="10" customFormat="1" x14ac:dyDescent="0.25">
      <c r="A653" s="10" t="s">
        <v>5965</v>
      </c>
      <c r="B653" s="10" t="s">
        <v>5134</v>
      </c>
      <c r="C653" s="11" t="s">
        <v>297</v>
      </c>
      <c r="D653" s="10" t="s">
        <v>5966</v>
      </c>
      <c r="E653" s="8" t="s">
        <v>5967</v>
      </c>
      <c r="F653" s="8" t="s">
        <v>5968</v>
      </c>
      <c r="G653" s="10" t="s">
        <v>29</v>
      </c>
      <c r="H653" s="8" t="s">
        <v>1604</v>
      </c>
      <c r="I653" s="10" t="s">
        <v>5969</v>
      </c>
      <c r="J653" s="8" t="s">
        <v>1606</v>
      </c>
      <c r="K653" s="8" t="s">
        <v>29</v>
      </c>
      <c r="L653" s="8" t="s">
        <v>29</v>
      </c>
      <c r="M653" s="10" t="s">
        <v>29</v>
      </c>
      <c r="N653" s="8" t="s">
        <v>29</v>
      </c>
      <c r="O653" s="10" t="s">
        <v>19</v>
      </c>
      <c r="P653" s="8" t="s">
        <v>5970</v>
      </c>
      <c r="Q653" s="10" t="s">
        <v>1399</v>
      </c>
      <c r="R653" s="10" t="s">
        <v>1608</v>
      </c>
      <c r="S653" s="8" t="s">
        <v>5971</v>
      </c>
      <c r="T653" s="10" t="s">
        <v>5798</v>
      </c>
      <c r="U653" s="10" t="s">
        <v>29</v>
      </c>
    </row>
    <row r="654" spans="1:21" s="10" customFormat="1" x14ac:dyDescent="0.25">
      <c r="A654" s="10" t="s">
        <v>5972</v>
      </c>
      <c r="B654" s="10" t="s">
        <v>5134</v>
      </c>
      <c r="C654" s="10" t="s">
        <v>166</v>
      </c>
      <c r="D654" s="10" t="s">
        <v>5973</v>
      </c>
      <c r="E654" s="8" t="s">
        <v>5974</v>
      </c>
      <c r="F654" s="8" t="s">
        <v>5975</v>
      </c>
      <c r="G654" s="10" t="s">
        <v>29</v>
      </c>
      <c r="H654" s="8" t="s">
        <v>5950</v>
      </c>
      <c r="I654" s="10" t="s">
        <v>5943</v>
      </c>
      <c r="J654" s="8" t="s">
        <v>2769</v>
      </c>
      <c r="K654" s="8" t="s">
        <v>29</v>
      </c>
      <c r="L654" s="8" t="s">
        <v>29</v>
      </c>
      <c r="M654" s="10" t="s">
        <v>29</v>
      </c>
      <c r="N654" s="8" t="s">
        <v>29</v>
      </c>
      <c r="O654" s="10" t="s">
        <v>19</v>
      </c>
      <c r="P654" s="8" t="s">
        <v>5976</v>
      </c>
      <c r="Q654" s="10" t="s">
        <v>174</v>
      </c>
      <c r="R654" s="10" t="s">
        <v>1387</v>
      </c>
      <c r="S654" s="8" t="s">
        <v>1599</v>
      </c>
      <c r="T654" s="10" t="s">
        <v>5798</v>
      </c>
      <c r="U654" s="10" t="s">
        <v>29</v>
      </c>
    </row>
    <row r="655" spans="1:21" s="10" customFormat="1" x14ac:dyDescent="0.25">
      <c r="A655" s="10" t="s">
        <v>5977</v>
      </c>
      <c r="B655" s="10" t="s">
        <v>5134</v>
      </c>
      <c r="C655" s="10" t="s">
        <v>166</v>
      </c>
      <c r="D655" s="10" t="s">
        <v>5978</v>
      </c>
      <c r="E655" s="8" t="s">
        <v>5979</v>
      </c>
      <c r="F655" s="8" t="s">
        <v>5980</v>
      </c>
      <c r="G655" s="10" t="s">
        <v>29</v>
      </c>
      <c r="H655" s="8" t="s">
        <v>5981</v>
      </c>
      <c r="I655" s="10" t="s">
        <v>5982</v>
      </c>
      <c r="J655" s="8" t="s">
        <v>2769</v>
      </c>
      <c r="K655" s="8" t="s">
        <v>29</v>
      </c>
      <c r="L655" s="8" t="s">
        <v>29</v>
      </c>
      <c r="M655" s="10" t="s">
        <v>29</v>
      </c>
      <c r="N655" s="8" t="s">
        <v>29</v>
      </c>
      <c r="O655" s="10" t="s">
        <v>19</v>
      </c>
      <c r="P655" s="8" t="s">
        <v>5983</v>
      </c>
      <c r="Q655" s="10" t="s">
        <v>174</v>
      </c>
      <c r="R655" s="10" t="s">
        <v>1387</v>
      </c>
      <c r="S655" s="8" t="s">
        <v>5984</v>
      </c>
      <c r="T655" s="10" t="s">
        <v>5798</v>
      </c>
      <c r="U655" s="10" t="s">
        <v>29</v>
      </c>
    </row>
    <row r="656" spans="1:21" s="10" customFormat="1" x14ac:dyDescent="0.25">
      <c r="A656" s="10" t="s">
        <v>5985</v>
      </c>
      <c r="B656" s="10" t="s">
        <v>5134</v>
      </c>
      <c r="C656" s="11" t="s">
        <v>297</v>
      </c>
      <c r="D656" s="10" t="s">
        <v>5986</v>
      </c>
      <c r="E656" s="8" t="s">
        <v>5987</v>
      </c>
      <c r="F656" s="8" t="s">
        <v>5988</v>
      </c>
      <c r="G656" s="10" t="s">
        <v>29</v>
      </c>
      <c r="H656" s="8" t="s">
        <v>5989</v>
      </c>
      <c r="I656" s="10" t="s">
        <v>5990</v>
      </c>
      <c r="J656" s="8" t="s">
        <v>2769</v>
      </c>
      <c r="K656" s="8" t="s">
        <v>29</v>
      </c>
      <c r="L656" s="8" t="s">
        <v>29</v>
      </c>
      <c r="M656" s="10" t="s">
        <v>29</v>
      </c>
      <c r="N656" s="8" t="s">
        <v>29</v>
      </c>
      <c r="O656" s="10" t="s">
        <v>19</v>
      </c>
      <c r="P656" s="8" t="s">
        <v>5991</v>
      </c>
      <c r="Q656" s="10" t="s">
        <v>174</v>
      </c>
      <c r="R656" s="10" t="s">
        <v>1387</v>
      </c>
      <c r="S656" s="8" t="s">
        <v>5992</v>
      </c>
      <c r="T656" s="10" t="s">
        <v>5798</v>
      </c>
      <c r="U656" s="10" t="s">
        <v>29</v>
      </c>
    </row>
    <row r="657" spans="1:21" s="10" customFormat="1" x14ac:dyDescent="0.25">
      <c r="A657" s="10" t="s">
        <v>5993</v>
      </c>
      <c r="B657" s="10" t="s">
        <v>5134</v>
      </c>
      <c r="C657" s="11" t="s">
        <v>297</v>
      </c>
      <c r="D657" s="10" t="s">
        <v>5994</v>
      </c>
      <c r="E657" s="8" t="s">
        <v>5995</v>
      </c>
      <c r="F657" s="8" t="s">
        <v>5996</v>
      </c>
      <c r="G657" s="10" t="s">
        <v>29</v>
      </c>
      <c r="H657" s="8" t="s">
        <v>5997</v>
      </c>
      <c r="I657" s="10" t="s">
        <v>5998</v>
      </c>
      <c r="J657" s="8" t="s">
        <v>2769</v>
      </c>
      <c r="K657" s="8" t="s">
        <v>29</v>
      </c>
      <c r="L657" s="8" t="s">
        <v>29</v>
      </c>
      <c r="M657" s="10" t="s">
        <v>29</v>
      </c>
      <c r="N657" s="8" t="s">
        <v>29</v>
      </c>
      <c r="O657" s="10" t="s">
        <v>19</v>
      </c>
      <c r="P657" s="8" t="s">
        <v>5999</v>
      </c>
      <c r="Q657" s="10" t="s">
        <v>174</v>
      </c>
      <c r="R657" s="10" t="s">
        <v>1387</v>
      </c>
      <c r="S657" s="8" t="s">
        <v>6000</v>
      </c>
      <c r="T657" s="10" t="s">
        <v>5798</v>
      </c>
      <c r="U657" s="10" t="s">
        <v>29</v>
      </c>
    </row>
    <row r="658" spans="1:21" s="10" customFormat="1" x14ac:dyDescent="0.25">
      <c r="A658" s="10" t="s">
        <v>6001</v>
      </c>
      <c r="B658" s="10" t="s">
        <v>5134</v>
      </c>
      <c r="C658" s="10" t="s">
        <v>166</v>
      </c>
      <c r="D658" s="10" t="s">
        <v>6002</v>
      </c>
      <c r="E658" s="8" t="s">
        <v>6003</v>
      </c>
      <c r="F658" s="8" t="s">
        <v>6004</v>
      </c>
      <c r="G658" s="10" t="s">
        <v>29</v>
      </c>
      <c r="H658" s="8" t="s">
        <v>6005</v>
      </c>
      <c r="I658" s="10" t="s">
        <v>6006</v>
      </c>
      <c r="J658" s="8" t="s">
        <v>2769</v>
      </c>
      <c r="K658" s="8" t="s">
        <v>29</v>
      </c>
      <c r="L658" s="8" t="s">
        <v>29</v>
      </c>
      <c r="M658" s="10" t="s">
        <v>29</v>
      </c>
      <c r="N658" s="8" t="s">
        <v>29</v>
      </c>
      <c r="O658" s="10" t="s">
        <v>19</v>
      </c>
      <c r="P658" s="8" t="s">
        <v>6007</v>
      </c>
      <c r="Q658" s="10" t="s">
        <v>190</v>
      </c>
      <c r="R658" s="10" t="s">
        <v>1387</v>
      </c>
      <c r="S658" s="8" t="s">
        <v>6008</v>
      </c>
      <c r="T658" s="10" t="s">
        <v>5798</v>
      </c>
      <c r="U658" s="10" t="s">
        <v>29</v>
      </c>
    </row>
    <row r="659" spans="1:21" s="10" customFormat="1" x14ac:dyDescent="0.25">
      <c r="A659" s="10" t="s">
        <v>6009</v>
      </c>
      <c r="B659" s="10" t="s">
        <v>5134</v>
      </c>
      <c r="C659" s="11" t="s">
        <v>297</v>
      </c>
      <c r="D659" s="10" t="s">
        <v>6010</v>
      </c>
      <c r="E659" s="8" t="s">
        <v>6011</v>
      </c>
      <c r="F659" s="8" t="s">
        <v>6012</v>
      </c>
      <c r="G659" s="10" t="s">
        <v>29</v>
      </c>
      <c r="H659" s="8" t="s">
        <v>6013</v>
      </c>
      <c r="I659" s="10" t="s">
        <v>2791</v>
      </c>
      <c r="J659" s="8" t="s">
        <v>2769</v>
      </c>
      <c r="K659" s="8" t="s">
        <v>29</v>
      </c>
      <c r="L659" s="8" t="s">
        <v>29</v>
      </c>
      <c r="M659" s="10" t="s">
        <v>29</v>
      </c>
      <c r="N659" s="8" t="s">
        <v>29</v>
      </c>
      <c r="O659" s="10" t="s">
        <v>19</v>
      </c>
      <c r="P659" s="8" t="s">
        <v>6014</v>
      </c>
      <c r="Q659" s="10" t="s">
        <v>190</v>
      </c>
      <c r="R659" s="10" t="s">
        <v>1387</v>
      </c>
      <c r="S659" s="8" t="s">
        <v>6015</v>
      </c>
      <c r="T659" s="10" t="s">
        <v>5798</v>
      </c>
      <c r="U659" s="10" t="s">
        <v>29</v>
      </c>
    </row>
    <row r="660" spans="1:21" s="10" customFormat="1" x14ac:dyDescent="0.25">
      <c r="A660" s="10" t="s">
        <v>6016</v>
      </c>
      <c r="B660" s="10" t="s">
        <v>5134</v>
      </c>
      <c r="C660" s="10" t="s">
        <v>166</v>
      </c>
      <c r="D660" s="10" t="s">
        <v>6017</v>
      </c>
      <c r="E660" s="8" t="s">
        <v>6018</v>
      </c>
      <c r="F660" s="8" t="s">
        <v>6019</v>
      </c>
      <c r="G660" s="10" t="s">
        <v>29</v>
      </c>
      <c r="H660" s="8" t="s">
        <v>5981</v>
      </c>
      <c r="I660" s="10" t="s">
        <v>5990</v>
      </c>
      <c r="J660" s="8" t="s">
        <v>2769</v>
      </c>
      <c r="K660" s="8" t="s">
        <v>29</v>
      </c>
      <c r="L660" s="8" t="s">
        <v>29</v>
      </c>
      <c r="M660" s="10" t="s">
        <v>29</v>
      </c>
      <c r="N660" s="8" t="s">
        <v>29</v>
      </c>
      <c r="O660" s="10" t="s">
        <v>19</v>
      </c>
      <c r="P660" s="8" t="s">
        <v>6020</v>
      </c>
      <c r="Q660" s="10" t="s">
        <v>174</v>
      </c>
      <c r="R660" s="10" t="s">
        <v>1387</v>
      </c>
      <c r="S660" s="8" t="s">
        <v>6021</v>
      </c>
      <c r="T660" s="10" t="s">
        <v>5798</v>
      </c>
      <c r="U660" s="10" t="s">
        <v>29</v>
      </c>
    </row>
    <row r="661" spans="1:21" s="10" customFormat="1" x14ac:dyDescent="0.25">
      <c r="A661" s="10" t="s">
        <v>6022</v>
      </c>
      <c r="B661" s="10" t="s">
        <v>5134</v>
      </c>
      <c r="C661" s="10" t="s">
        <v>166</v>
      </c>
      <c r="D661" s="10" t="s">
        <v>6023</v>
      </c>
      <c r="E661" s="8" t="s">
        <v>6024</v>
      </c>
      <c r="F661" s="8" t="s">
        <v>6025</v>
      </c>
      <c r="G661" s="10" t="s">
        <v>29</v>
      </c>
      <c r="H661" s="8" t="s">
        <v>5981</v>
      </c>
      <c r="I661" s="10" t="s">
        <v>6006</v>
      </c>
      <c r="J661" s="8" t="s">
        <v>2769</v>
      </c>
      <c r="K661" s="8" t="s">
        <v>29</v>
      </c>
      <c r="L661" s="8" t="s">
        <v>29</v>
      </c>
      <c r="M661" s="10" t="s">
        <v>29</v>
      </c>
      <c r="N661" s="8" t="s">
        <v>29</v>
      </c>
      <c r="O661" s="10" t="s">
        <v>19</v>
      </c>
      <c r="P661" s="8" t="s">
        <v>6026</v>
      </c>
      <c r="Q661" s="10" t="s">
        <v>174</v>
      </c>
      <c r="R661" s="10" t="s">
        <v>1387</v>
      </c>
      <c r="S661" s="8" t="s">
        <v>6027</v>
      </c>
      <c r="T661" s="10" t="s">
        <v>5798</v>
      </c>
      <c r="U661" s="10" t="s">
        <v>29</v>
      </c>
    </row>
    <row r="662" spans="1:21" s="10" customFormat="1" x14ac:dyDescent="0.25">
      <c r="A662" s="10" t="s">
        <v>6028</v>
      </c>
      <c r="B662" s="10" t="s">
        <v>5134</v>
      </c>
      <c r="C662" s="10" t="s">
        <v>166</v>
      </c>
      <c r="D662" s="10" t="s">
        <v>6029</v>
      </c>
      <c r="E662" s="8" t="s">
        <v>6030</v>
      </c>
      <c r="F662" s="8" t="s">
        <v>5473</v>
      </c>
      <c r="G662" s="10" t="s">
        <v>29</v>
      </c>
      <c r="H662" s="8" t="s">
        <v>6031</v>
      </c>
      <c r="I662" s="10" t="s">
        <v>6032</v>
      </c>
      <c r="J662" s="8" t="s">
        <v>2769</v>
      </c>
      <c r="K662" s="8" t="s">
        <v>29</v>
      </c>
      <c r="L662" s="8" t="s">
        <v>29</v>
      </c>
      <c r="M662" s="10" t="s">
        <v>29</v>
      </c>
      <c r="N662" s="8" t="s">
        <v>29</v>
      </c>
      <c r="O662" s="10" t="s">
        <v>19</v>
      </c>
      <c r="P662" s="8" t="s">
        <v>6033</v>
      </c>
      <c r="Q662" s="10" t="s">
        <v>174</v>
      </c>
      <c r="R662" s="10" t="s">
        <v>1387</v>
      </c>
      <c r="S662" s="8" t="s">
        <v>6034</v>
      </c>
      <c r="T662" s="10" t="s">
        <v>5798</v>
      </c>
      <c r="U662" s="10" t="s">
        <v>29</v>
      </c>
    </row>
    <row r="663" spans="1:21" s="10" customFormat="1" x14ac:dyDescent="0.25">
      <c r="A663" s="10" t="s">
        <v>6035</v>
      </c>
      <c r="B663" s="10" t="s">
        <v>5134</v>
      </c>
      <c r="C663" s="11" t="s">
        <v>297</v>
      </c>
      <c r="D663" s="10" t="s">
        <v>6036</v>
      </c>
      <c r="E663" s="8" t="s">
        <v>6037</v>
      </c>
      <c r="F663" s="8" t="s">
        <v>6038</v>
      </c>
      <c r="G663" s="10" t="s">
        <v>29</v>
      </c>
      <c r="H663" s="8" t="s">
        <v>5981</v>
      </c>
      <c r="I663" s="10" t="s">
        <v>2791</v>
      </c>
      <c r="J663" s="8" t="s">
        <v>2769</v>
      </c>
      <c r="K663" s="8" t="s">
        <v>29</v>
      </c>
      <c r="L663" s="8" t="s">
        <v>29</v>
      </c>
      <c r="M663" s="10" t="s">
        <v>29</v>
      </c>
      <c r="N663" s="8" t="s">
        <v>29</v>
      </c>
      <c r="O663" s="10" t="s">
        <v>19</v>
      </c>
      <c r="P663" s="8" t="s">
        <v>6039</v>
      </c>
      <c r="Q663" s="10" t="s">
        <v>174</v>
      </c>
      <c r="R663" s="10" t="s">
        <v>1387</v>
      </c>
      <c r="S663" s="8" t="s">
        <v>6040</v>
      </c>
      <c r="T663" s="10" t="s">
        <v>5798</v>
      </c>
      <c r="U663" s="10" t="s">
        <v>29</v>
      </c>
    </row>
    <row r="664" spans="1:21" s="10" customFormat="1" x14ac:dyDescent="0.25">
      <c r="A664" s="10" t="s">
        <v>6041</v>
      </c>
      <c r="B664" s="10" t="s">
        <v>5134</v>
      </c>
      <c r="C664" s="11" t="s">
        <v>297</v>
      </c>
      <c r="D664" s="10" t="s">
        <v>6042</v>
      </c>
      <c r="E664" s="8" t="s">
        <v>6043</v>
      </c>
      <c r="F664" s="8" t="s">
        <v>6044</v>
      </c>
      <c r="G664" s="10" t="s">
        <v>29</v>
      </c>
      <c r="H664" s="8" t="s">
        <v>1604</v>
      </c>
      <c r="I664" s="10" t="s">
        <v>6045</v>
      </c>
      <c r="J664" s="8" t="s">
        <v>1606</v>
      </c>
      <c r="K664" s="8" t="s">
        <v>29</v>
      </c>
      <c r="L664" s="8" t="s">
        <v>29</v>
      </c>
      <c r="M664" s="10" t="s">
        <v>29</v>
      </c>
      <c r="N664" s="8" t="s">
        <v>29</v>
      </c>
      <c r="O664" s="10" t="s">
        <v>19</v>
      </c>
      <c r="P664" s="8" t="s">
        <v>6046</v>
      </c>
      <c r="Q664" s="10" t="s">
        <v>1399</v>
      </c>
      <c r="R664" s="10" t="s">
        <v>1608</v>
      </c>
      <c r="S664" s="8" t="s">
        <v>6047</v>
      </c>
      <c r="T664" s="10" t="s">
        <v>5798</v>
      </c>
      <c r="U664" s="10" t="s">
        <v>29</v>
      </c>
    </row>
    <row r="665" spans="1:21" s="10" customFormat="1" x14ac:dyDescent="0.25">
      <c r="A665" s="10" t="s">
        <v>6048</v>
      </c>
      <c r="B665" s="10" t="s">
        <v>5134</v>
      </c>
      <c r="C665" s="11" t="s">
        <v>297</v>
      </c>
      <c r="D665" s="10" t="s">
        <v>6049</v>
      </c>
      <c r="E665" s="8" t="s">
        <v>6050</v>
      </c>
      <c r="F665" s="8" t="s">
        <v>1613</v>
      </c>
      <c r="G665" s="10" t="s">
        <v>29</v>
      </c>
      <c r="H665" s="8" t="s">
        <v>2120</v>
      </c>
      <c r="I665" s="10" t="s">
        <v>6006</v>
      </c>
      <c r="J665" s="8" t="s">
        <v>1615</v>
      </c>
      <c r="K665" s="8" t="s">
        <v>29</v>
      </c>
      <c r="L665" s="8" t="s">
        <v>29</v>
      </c>
      <c r="M665" s="10" t="s">
        <v>29</v>
      </c>
      <c r="N665" s="8" t="s">
        <v>29</v>
      </c>
      <c r="O665" s="10" t="s">
        <v>19</v>
      </c>
      <c r="P665" s="8" t="s">
        <v>6051</v>
      </c>
      <c r="Q665" s="10" t="s">
        <v>776</v>
      </c>
      <c r="R665" s="10" t="s">
        <v>2122</v>
      </c>
      <c r="S665" s="8" t="s">
        <v>1618</v>
      </c>
      <c r="T665" s="10" t="s">
        <v>5798</v>
      </c>
      <c r="U665" s="10" t="s">
        <v>29</v>
      </c>
    </row>
    <row r="666" spans="1:21" s="10" customFormat="1" x14ac:dyDescent="0.25">
      <c r="A666" s="10" t="s">
        <v>6052</v>
      </c>
      <c r="B666" s="10" t="s">
        <v>5134</v>
      </c>
      <c r="C666" s="10" t="s">
        <v>166</v>
      </c>
      <c r="D666" s="10" t="s">
        <v>6053</v>
      </c>
      <c r="E666" s="8" t="s">
        <v>6054</v>
      </c>
      <c r="F666" s="8" t="s">
        <v>6055</v>
      </c>
      <c r="G666" s="10" t="s">
        <v>29</v>
      </c>
      <c r="H666" s="8" t="s">
        <v>5981</v>
      </c>
      <c r="I666" s="10" t="s">
        <v>6006</v>
      </c>
      <c r="J666" s="8" t="s">
        <v>2769</v>
      </c>
      <c r="K666" s="8" t="s">
        <v>29</v>
      </c>
      <c r="L666" s="8" t="s">
        <v>29</v>
      </c>
      <c r="M666" s="10" t="s">
        <v>29</v>
      </c>
      <c r="N666" s="8" t="s">
        <v>29</v>
      </c>
      <c r="O666" s="10" t="s">
        <v>19</v>
      </c>
      <c r="P666" s="8" t="s">
        <v>6056</v>
      </c>
      <c r="Q666" s="10" t="s">
        <v>174</v>
      </c>
      <c r="R666" s="10" t="s">
        <v>1387</v>
      </c>
      <c r="S666" s="8" t="s">
        <v>1599</v>
      </c>
      <c r="T666" s="10" t="s">
        <v>5798</v>
      </c>
      <c r="U666" s="10" t="s">
        <v>29</v>
      </c>
    </row>
    <row r="667" spans="1:21" s="10" customFormat="1" x14ac:dyDescent="0.25">
      <c r="A667" s="10" t="s">
        <v>6057</v>
      </c>
      <c r="B667" s="10" t="s">
        <v>5134</v>
      </c>
      <c r="C667" s="10" t="s">
        <v>166</v>
      </c>
      <c r="D667" s="10" t="s">
        <v>6058</v>
      </c>
      <c r="E667" s="8" t="s">
        <v>6059</v>
      </c>
      <c r="F667" s="8" t="s">
        <v>6060</v>
      </c>
      <c r="G667" s="10" t="s">
        <v>29</v>
      </c>
      <c r="H667" s="8" t="s">
        <v>5171</v>
      </c>
      <c r="I667" s="10" t="s">
        <v>5613</v>
      </c>
      <c r="J667" s="8" t="s">
        <v>2769</v>
      </c>
      <c r="K667" s="8" t="s">
        <v>29</v>
      </c>
      <c r="L667" s="8" t="s">
        <v>29</v>
      </c>
      <c r="M667" s="10" t="s">
        <v>29</v>
      </c>
      <c r="N667" s="8" t="s">
        <v>29</v>
      </c>
      <c r="O667" s="10" t="s">
        <v>19</v>
      </c>
      <c r="P667" s="8" t="s">
        <v>6061</v>
      </c>
      <c r="Q667" s="10" t="s">
        <v>174</v>
      </c>
      <c r="R667" s="10" t="s">
        <v>1387</v>
      </c>
      <c r="S667" s="8" t="s">
        <v>6062</v>
      </c>
      <c r="T667" s="10" t="s">
        <v>5798</v>
      </c>
      <c r="U667" s="10" t="s">
        <v>29</v>
      </c>
    </row>
    <row r="668" spans="1:21" s="10" customFormat="1" x14ac:dyDescent="0.25">
      <c r="A668" s="10" t="s">
        <v>6063</v>
      </c>
      <c r="B668" s="10" t="s">
        <v>5134</v>
      </c>
      <c r="C668" s="11" t="s">
        <v>297</v>
      </c>
      <c r="D668" s="10" t="s">
        <v>6064</v>
      </c>
      <c r="E668" s="8" t="s">
        <v>6065</v>
      </c>
      <c r="F668" s="8" t="s">
        <v>6066</v>
      </c>
      <c r="G668" s="10" t="s">
        <v>29</v>
      </c>
      <c r="H668" s="8" t="s">
        <v>6067</v>
      </c>
      <c r="I668" s="10" t="s">
        <v>5555</v>
      </c>
      <c r="J668" s="8" t="s">
        <v>2769</v>
      </c>
      <c r="K668" s="8" t="s">
        <v>29</v>
      </c>
      <c r="L668" s="8" t="s">
        <v>29</v>
      </c>
      <c r="M668" s="10" t="s">
        <v>29</v>
      </c>
      <c r="N668" s="8" t="s">
        <v>29</v>
      </c>
      <c r="O668" s="10" t="s">
        <v>19</v>
      </c>
      <c r="P668" s="8" t="s">
        <v>6068</v>
      </c>
      <c r="Q668" s="10" t="s">
        <v>174</v>
      </c>
      <c r="R668" s="10" t="s">
        <v>1387</v>
      </c>
      <c r="S668" s="8" t="s">
        <v>6069</v>
      </c>
      <c r="T668" s="10" t="s">
        <v>5798</v>
      </c>
      <c r="U668" s="10" t="s">
        <v>29</v>
      </c>
    </row>
    <row r="669" spans="1:21" s="10" customFormat="1" x14ac:dyDescent="0.25">
      <c r="A669" s="10" t="s">
        <v>6070</v>
      </c>
      <c r="B669" s="10" t="s">
        <v>5134</v>
      </c>
      <c r="C669" s="11" t="s">
        <v>297</v>
      </c>
      <c r="D669" s="10" t="s">
        <v>6071</v>
      </c>
      <c r="E669" s="8" t="s">
        <v>6072</v>
      </c>
      <c r="F669" s="8" t="s">
        <v>6073</v>
      </c>
      <c r="G669" s="10" t="s">
        <v>29</v>
      </c>
      <c r="H669" s="8" t="s">
        <v>6074</v>
      </c>
      <c r="I669" s="10" t="s">
        <v>5555</v>
      </c>
      <c r="J669" s="8" t="s">
        <v>2769</v>
      </c>
      <c r="K669" s="8" t="s">
        <v>29</v>
      </c>
      <c r="L669" s="8" t="s">
        <v>29</v>
      </c>
      <c r="M669" s="10" t="s">
        <v>29</v>
      </c>
      <c r="N669" s="8" t="s">
        <v>29</v>
      </c>
      <c r="O669" s="10" t="s">
        <v>19</v>
      </c>
      <c r="P669" s="8" t="s">
        <v>6075</v>
      </c>
      <c r="Q669" s="10" t="s">
        <v>197</v>
      </c>
      <c r="R669" s="10" t="s">
        <v>1387</v>
      </c>
      <c r="S669" s="8" t="s">
        <v>6076</v>
      </c>
      <c r="T669" s="10" t="s">
        <v>5798</v>
      </c>
      <c r="U669" s="10" t="s">
        <v>29</v>
      </c>
    </row>
    <row r="670" spans="1:21" s="10" customFormat="1" x14ac:dyDescent="0.25">
      <c r="A670" s="10" t="s">
        <v>6077</v>
      </c>
      <c r="B670" s="10" t="s">
        <v>5134</v>
      </c>
      <c r="C670" s="11" t="s">
        <v>297</v>
      </c>
      <c r="D670" s="10" t="s">
        <v>6078</v>
      </c>
      <c r="E670" s="8" t="s">
        <v>6079</v>
      </c>
      <c r="F670" s="8" t="s">
        <v>6080</v>
      </c>
      <c r="G670" s="10" t="s">
        <v>29</v>
      </c>
      <c r="H670" s="8" t="s">
        <v>6074</v>
      </c>
      <c r="I670" s="10" t="s">
        <v>5555</v>
      </c>
      <c r="J670" s="8" t="s">
        <v>2769</v>
      </c>
      <c r="K670" s="8" t="s">
        <v>29</v>
      </c>
      <c r="L670" s="8" t="s">
        <v>29</v>
      </c>
      <c r="M670" s="10" t="s">
        <v>29</v>
      </c>
      <c r="N670" s="8" t="s">
        <v>29</v>
      </c>
      <c r="O670" s="10" t="s">
        <v>19</v>
      </c>
      <c r="P670" s="8" t="s">
        <v>6081</v>
      </c>
      <c r="Q670" s="10" t="s">
        <v>197</v>
      </c>
      <c r="R670" s="10" t="s">
        <v>1387</v>
      </c>
      <c r="S670" s="8" t="s">
        <v>6082</v>
      </c>
      <c r="T670" s="10" t="s">
        <v>5798</v>
      </c>
      <c r="U670" s="10" t="s">
        <v>29</v>
      </c>
    </row>
    <row r="671" spans="1:21" s="10" customFormat="1" x14ac:dyDescent="0.25">
      <c r="A671" s="10" t="s">
        <v>6083</v>
      </c>
      <c r="B671" s="10" t="s">
        <v>5134</v>
      </c>
      <c r="C671" s="10" t="s">
        <v>166</v>
      </c>
      <c r="D671" s="10" t="s">
        <v>6084</v>
      </c>
      <c r="E671" s="8" t="s">
        <v>6085</v>
      </c>
      <c r="F671" s="8" t="s">
        <v>6086</v>
      </c>
      <c r="G671" s="10" t="s">
        <v>29</v>
      </c>
      <c r="H671" s="8" t="s">
        <v>6087</v>
      </c>
      <c r="I671" s="10" t="s">
        <v>6088</v>
      </c>
      <c r="J671" s="8" t="s">
        <v>2769</v>
      </c>
      <c r="K671" s="8" t="s">
        <v>29</v>
      </c>
      <c r="L671" s="8" t="s">
        <v>29</v>
      </c>
      <c r="M671" s="10" t="s">
        <v>29</v>
      </c>
      <c r="N671" s="8" t="s">
        <v>29</v>
      </c>
      <c r="O671" s="10" t="s">
        <v>19</v>
      </c>
      <c r="P671" s="8" t="s">
        <v>6089</v>
      </c>
      <c r="Q671" s="10" t="s">
        <v>174</v>
      </c>
      <c r="R671" s="10" t="s">
        <v>1387</v>
      </c>
      <c r="S671" s="8" t="s">
        <v>6090</v>
      </c>
      <c r="T671" s="10" t="s">
        <v>5798</v>
      </c>
      <c r="U671" s="10" t="s">
        <v>29</v>
      </c>
    </row>
    <row r="672" spans="1:21" s="10" customFormat="1" x14ac:dyDescent="0.25">
      <c r="A672" s="10" t="s">
        <v>6091</v>
      </c>
      <c r="B672" s="10" t="s">
        <v>5134</v>
      </c>
      <c r="C672" s="10" t="s">
        <v>166</v>
      </c>
      <c r="D672" s="10" t="s">
        <v>6092</v>
      </c>
      <c r="E672" s="8" t="s">
        <v>6093</v>
      </c>
      <c r="F672" s="8" t="s">
        <v>4963</v>
      </c>
      <c r="G672" s="10" t="s">
        <v>29</v>
      </c>
      <c r="H672" s="8" t="s">
        <v>4081</v>
      </c>
      <c r="I672" s="10" t="s">
        <v>5231</v>
      </c>
      <c r="J672" s="8" t="s">
        <v>2769</v>
      </c>
      <c r="K672" s="8" t="s">
        <v>29</v>
      </c>
      <c r="L672" s="8" t="s">
        <v>29</v>
      </c>
      <c r="M672" s="10" t="s">
        <v>29</v>
      </c>
      <c r="N672" s="8" t="s">
        <v>29</v>
      </c>
      <c r="O672" s="10" t="s">
        <v>19</v>
      </c>
      <c r="P672" s="8" t="s">
        <v>6094</v>
      </c>
      <c r="Q672" s="10" t="s">
        <v>190</v>
      </c>
      <c r="R672" s="10" t="s">
        <v>1387</v>
      </c>
      <c r="S672" s="8" t="s">
        <v>6095</v>
      </c>
      <c r="T672" s="10" t="s">
        <v>5798</v>
      </c>
      <c r="U672" s="10" t="s">
        <v>29</v>
      </c>
    </row>
    <row r="673" spans="1:21" s="10" customFormat="1" x14ac:dyDescent="0.25">
      <c r="A673" s="10" t="s">
        <v>6096</v>
      </c>
      <c r="B673" s="10" t="s">
        <v>5134</v>
      </c>
      <c r="C673" s="11" t="s">
        <v>297</v>
      </c>
      <c r="D673" s="10" t="s">
        <v>6097</v>
      </c>
      <c r="E673" s="8" t="s">
        <v>6098</v>
      </c>
      <c r="F673" s="8" t="s">
        <v>6099</v>
      </c>
      <c r="G673" s="10" t="s">
        <v>29</v>
      </c>
      <c r="H673" s="8" t="s">
        <v>6100</v>
      </c>
      <c r="I673" s="10" t="s">
        <v>5555</v>
      </c>
      <c r="J673" s="8" t="s">
        <v>2769</v>
      </c>
      <c r="K673" s="8" t="s">
        <v>29</v>
      </c>
      <c r="L673" s="8" t="s">
        <v>29</v>
      </c>
      <c r="M673" s="10" t="s">
        <v>29</v>
      </c>
      <c r="N673" s="8" t="s">
        <v>29</v>
      </c>
      <c r="O673" s="10" t="s">
        <v>19</v>
      </c>
      <c r="P673" s="8" t="s">
        <v>6101</v>
      </c>
      <c r="Q673" s="10" t="s">
        <v>1399</v>
      </c>
      <c r="R673" s="10" t="s">
        <v>1387</v>
      </c>
      <c r="S673" s="8" t="s">
        <v>6102</v>
      </c>
      <c r="T673" s="10" t="s">
        <v>5798</v>
      </c>
      <c r="U673" s="10" t="s">
        <v>29</v>
      </c>
    </row>
    <row r="674" spans="1:21" s="10" customFormat="1" x14ac:dyDescent="0.25">
      <c r="A674" s="10" t="s">
        <v>6103</v>
      </c>
      <c r="B674" s="10" t="s">
        <v>5134</v>
      </c>
      <c r="C674" s="10" t="s">
        <v>166</v>
      </c>
      <c r="D674" s="10" t="s">
        <v>6104</v>
      </c>
      <c r="E674" s="8" t="s">
        <v>6105</v>
      </c>
      <c r="F674" s="8" t="s">
        <v>6106</v>
      </c>
      <c r="G674" s="10" t="s">
        <v>29</v>
      </c>
      <c r="H674" s="8" t="s">
        <v>6067</v>
      </c>
      <c r="I674" s="10" t="s">
        <v>5231</v>
      </c>
      <c r="J674" s="8" t="s">
        <v>2769</v>
      </c>
      <c r="K674" s="8" t="s">
        <v>29</v>
      </c>
      <c r="L674" s="8" t="s">
        <v>29</v>
      </c>
      <c r="M674" s="10" t="s">
        <v>29</v>
      </c>
      <c r="N674" s="8" t="s">
        <v>29</v>
      </c>
      <c r="O674" s="10" t="s">
        <v>19</v>
      </c>
      <c r="P674" s="8" t="s">
        <v>6107</v>
      </c>
      <c r="Q674" s="10" t="s">
        <v>174</v>
      </c>
      <c r="R674" s="10" t="s">
        <v>1387</v>
      </c>
      <c r="S674" s="8" t="s">
        <v>6108</v>
      </c>
      <c r="T674" s="10" t="s">
        <v>5798</v>
      </c>
      <c r="U674" s="10" t="s">
        <v>29</v>
      </c>
    </row>
    <row r="675" spans="1:21" s="10" customFormat="1" x14ac:dyDescent="0.25">
      <c r="A675" s="10" t="s">
        <v>6109</v>
      </c>
      <c r="B675" s="10" t="s">
        <v>5134</v>
      </c>
      <c r="C675" s="11" t="s">
        <v>297</v>
      </c>
      <c r="D675" s="10" t="s">
        <v>6110</v>
      </c>
      <c r="E675" s="8" t="s">
        <v>6111</v>
      </c>
      <c r="F675" s="8" t="s">
        <v>6112</v>
      </c>
      <c r="G675" s="10" t="s">
        <v>29</v>
      </c>
      <c r="H675" s="8" t="s">
        <v>1604</v>
      </c>
      <c r="I675" s="10" t="s">
        <v>6113</v>
      </c>
      <c r="J675" s="8" t="s">
        <v>1606</v>
      </c>
      <c r="K675" s="8" t="s">
        <v>29</v>
      </c>
      <c r="L675" s="8" t="s">
        <v>29</v>
      </c>
      <c r="M675" s="10" t="s">
        <v>29</v>
      </c>
      <c r="N675" s="8" t="s">
        <v>29</v>
      </c>
      <c r="O675" s="10" t="s">
        <v>19</v>
      </c>
      <c r="P675" s="8" t="s">
        <v>6114</v>
      </c>
      <c r="Q675" s="10" t="s">
        <v>1399</v>
      </c>
      <c r="R675" s="10" t="s">
        <v>1608</v>
      </c>
      <c r="S675" s="8" t="s">
        <v>1609</v>
      </c>
      <c r="T675" s="10" t="s">
        <v>5798</v>
      </c>
      <c r="U675" s="10" t="s">
        <v>29</v>
      </c>
    </row>
    <row r="676" spans="1:21" s="10" customFormat="1" x14ac:dyDescent="0.25">
      <c r="A676" s="10" t="s">
        <v>6115</v>
      </c>
      <c r="B676" s="10" t="s">
        <v>5134</v>
      </c>
      <c r="C676" s="11" t="s">
        <v>297</v>
      </c>
      <c r="D676" s="10" t="s">
        <v>6116</v>
      </c>
      <c r="E676" s="8" t="s">
        <v>6117</v>
      </c>
      <c r="F676" s="8" t="s">
        <v>1613</v>
      </c>
      <c r="G676" s="10" t="s">
        <v>29</v>
      </c>
      <c r="H676" s="8" t="s">
        <v>2120</v>
      </c>
      <c r="I676" s="10" t="s">
        <v>6118</v>
      </c>
      <c r="J676" s="8" t="s">
        <v>1615</v>
      </c>
      <c r="K676" s="8" t="s">
        <v>29</v>
      </c>
      <c r="L676" s="8" t="s">
        <v>29</v>
      </c>
      <c r="M676" s="10" t="s">
        <v>29</v>
      </c>
      <c r="N676" s="8" t="s">
        <v>29</v>
      </c>
      <c r="O676" s="10" t="s">
        <v>19</v>
      </c>
      <c r="P676" s="8" t="s">
        <v>6119</v>
      </c>
      <c r="Q676" s="10" t="s">
        <v>776</v>
      </c>
      <c r="R676" s="10" t="s">
        <v>2122</v>
      </c>
      <c r="S676" s="8" t="s">
        <v>1618</v>
      </c>
      <c r="T676" s="10" t="s">
        <v>5798</v>
      </c>
      <c r="U676" s="10" t="s">
        <v>29</v>
      </c>
    </row>
    <row r="677" spans="1:21" s="10" customFormat="1" x14ac:dyDescent="0.25">
      <c r="A677" s="10" t="s">
        <v>6120</v>
      </c>
      <c r="B677" s="10" t="s">
        <v>5134</v>
      </c>
      <c r="C677" s="10" t="s">
        <v>166</v>
      </c>
      <c r="D677" s="10" t="s">
        <v>6121</v>
      </c>
      <c r="E677" s="8" t="s">
        <v>6122</v>
      </c>
      <c r="F677" s="8" t="s">
        <v>6123</v>
      </c>
      <c r="G677" s="10" t="s">
        <v>29</v>
      </c>
      <c r="H677" s="8" t="s">
        <v>6067</v>
      </c>
      <c r="I677" s="10" t="s">
        <v>6124</v>
      </c>
      <c r="J677" s="8" t="s">
        <v>2769</v>
      </c>
      <c r="K677" s="8" t="s">
        <v>29</v>
      </c>
      <c r="L677" s="8" t="s">
        <v>29</v>
      </c>
      <c r="M677" s="10" t="s">
        <v>29</v>
      </c>
      <c r="N677" s="8" t="s">
        <v>29</v>
      </c>
      <c r="O677" s="10" t="s">
        <v>19</v>
      </c>
      <c r="P677" s="8" t="s">
        <v>6125</v>
      </c>
      <c r="Q677" s="10" t="s">
        <v>174</v>
      </c>
      <c r="R677" s="10" t="s">
        <v>1387</v>
      </c>
      <c r="S677" s="8" t="s">
        <v>6126</v>
      </c>
      <c r="T677" s="10" t="s">
        <v>5798</v>
      </c>
      <c r="U677" s="10" t="s">
        <v>29</v>
      </c>
    </row>
    <row r="678" spans="1:21" s="10" customFormat="1" x14ac:dyDescent="0.25">
      <c r="A678" s="10" t="s">
        <v>6127</v>
      </c>
      <c r="B678" s="10" t="s">
        <v>5134</v>
      </c>
      <c r="C678" s="10" t="s">
        <v>166</v>
      </c>
      <c r="D678" s="10" t="s">
        <v>6128</v>
      </c>
      <c r="E678" s="8" t="s">
        <v>6129</v>
      </c>
      <c r="F678" s="8" t="s">
        <v>5047</v>
      </c>
      <c r="G678" s="10" t="s">
        <v>29</v>
      </c>
      <c r="H678" s="8" t="s">
        <v>6067</v>
      </c>
      <c r="I678" s="10" t="s">
        <v>5231</v>
      </c>
      <c r="J678" s="8" t="s">
        <v>2769</v>
      </c>
      <c r="K678" s="8" t="s">
        <v>29</v>
      </c>
      <c r="L678" s="8" t="s">
        <v>29</v>
      </c>
      <c r="M678" s="10" t="s">
        <v>29</v>
      </c>
      <c r="N678" s="8" t="s">
        <v>29</v>
      </c>
      <c r="O678" s="10" t="s">
        <v>19</v>
      </c>
      <c r="P678" s="8" t="s">
        <v>6130</v>
      </c>
      <c r="Q678" s="10" t="s">
        <v>174</v>
      </c>
      <c r="R678" s="10" t="s">
        <v>1387</v>
      </c>
      <c r="S678" s="8" t="s">
        <v>1599</v>
      </c>
      <c r="T678" s="10" t="s">
        <v>5798</v>
      </c>
      <c r="U678" s="10" t="s">
        <v>29</v>
      </c>
    </row>
    <row r="679" spans="1:21" s="10" customFormat="1" x14ac:dyDescent="0.25">
      <c r="A679" s="10" t="s">
        <v>6131</v>
      </c>
      <c r="B679" s="10" t="s">
        <v>5134</v>
      </c>
      <c r="C679" s="10" t="s">
        <v>166</v>
      </c>
      <c r="D679" s="10" t="s">
        <v>6132</v>
      </c>
      <c r="E679" s="8" t="s">
        <v>6133</v>
      </c>
      <c r="F679" s="8" t="s">
        <v>6134</v>
      </c>
      <c r="G679" s="10" t="s">
        <v>29</v>
      </c>
      <c r="H679" s="8" t="s">
        <v>6135</v>
      </c>
      <c r="I679" s="10" t="s">
        <v>6136</v>
      </c>
      <c r="J679" s="8" t="s">
        <v>2769</v>
      </c>
      <c r="K679" s="8" t="s">
        <v>29</v>
      </c>
      <c r="L679" s="8" t="s">
        <v>29</v>
      </c>
      <c r="M679" s="10" t="s">
        <v>29</v>
      </c>
      <c r="N679" s="8" t="s">
        <v>29</v>
      </c>
      <c r="O679" s="10" t="s">
        <v>19</v>
      </c>
      <c r="P679" s="8" t="s">
        <v>6137</v>
      </c>
      <c r="Q679" s="10" t="s">
        <v>174</v>
      </c>
      <c r="R679" s="10" t="s">
        <v>1387</v>
      </c>
      <c r="S679" s="8" t="s">
        <v>6138</v>
      </c>
      <c r="T679" s="10" t="s">
        <v>5798</v>
      </c>
      <c r="U679" s="10" t="s">
        <v>29</v>
      </c>
    </row>
    <row r="680" spans="1:21" s="10" customFormat="1" x14ac:dyDescent="0.25">
      <c r="A680" s="10" t="s">
        <v>6139</v>
      </c>
      <c r="B680" s="10" t="s">
        <v>5134</v>
      </c>
      <c r="C680" s="11" t="s">
        <v>297</v>
      </c>
      <c r="D680" s="10" t="s">
        <v>6140</v>
      </c>
      <c r="E680" s="8" t="s">
        <v>6141</v>
      </c>
      <c r="F680" s="8" t="s">
        <v>6142</v>
      </c>
      <c r="G680" s="10" t="s">
        <v>29</v>
      </c>
      <c r="H680" s="8" t="s">
        <v>6135</v>
      </c>
      <c r="I680" s="10" t="s">
        <v>6143</v>
      </c>
      <c r="J680" s="8" t="s">
        <v>2769</v>
      </c>
      <c r="K680" s="8" t="s">
        <v>29</v>
      </c>
      <c r="L680" s="8" t="s">
        <v>29</v>
      </c>
      <c r="M680" s="10" t="s">
        <v>29</v>
      </c>
      <c r="N680" s="8" t="s">
        <v>29</v>
      </c>
      <c r="O680" s="10" t="s">
        <v>19</v>
      </c>
      <c r="P680" s="8" t="s">
        <v>6144</v>
      </c>
      <c r="Q680" s="10" t="s">
        <v>174</v>
      </c>
      <c r="R680" s="10" t="s">
        <v>1387</v>
      </c>
      <c r="S680" s="8" t="s">
        <v>6145</v>
      </c>
      <c r="T680" s="10" t="s">
        <v>5798</v>
      </c>
      <c r="U680" s="10" t="s">
        <v>29</v>
      </c>
    </row>
    <row r="681" spans="1:21" s="10" customFormat="1" x14ac:dyDescent="0.25">
      <c r="A681" s="10" t="s">
        <v>6146</v>
      </c>
      <c r="B681" s="10" t="s">
        <v>5134</v>
      </c>
      <c r="C681" s="10" t="s">
        <v>166</v>
      </c>
      <c r="D681" s="10" t="s">
        <v>6147</v>
      </c>
      <c r="E681" s="8" t="s">
        <v>6148</v>
      </c>
      <c r="F681" s="8" t="s">
        <v>6149</v>
      </c>
      <c r="G681" s="10" t="s">
        <v>29</v>
      </c>
      <c r="H681" s="8" t="s">
        <v>6150</v>
      </c>
      <c r="I681" s="10" t="s">
        <v>6151</v>
      </c>
      <c r="J681" s="8" t="s">
        <v>2769</v>
      </c>
      <c r="K681" s="8" t="s">
        <v>29</v>
      </c>
      <c r="L681" s="8" t="s">
        <v>29</v>
      </c>
      <c r="M681" s="10" t="s">
        <v>29</v>
      </c>
      <c r="N681" s="8" t="s">
        <v>29</v>
      </c>
      <c r="O681" s="10" t="s">
        <v>19</v>
      </c>
      <c r="P681" s="8" t="s">
        <v>6152</v>
      </c>
      <c r="Q681" s="10" t="s">
        <v>190</v>
      </c>
      <c r="R681" s="10" t="s">
        <v>1387</v>
      </c>
      <c r="S681" s="8" t="s">
        <v>6153</v>
      </c>
      <c r="T681" s="10" t="s">
        <v>5798</v>
      </c>
      <c r="U681" s="10" t="s">
        <v>29</v>
      </c>
    </row>
    <row r="682" spans="1:21" s="10" customFormat="1" x14ac:dyDescent="0.25">
      <c r="A682" s="10" t="s">
        <v>6154</v>
      </c>
      <c r="B682" s="10" t="s">
        <v>5134</v>
      </c>
      <c r="C682" s="10" t="s">
        <v>166</v>
      </c>
      <c r="D682" s="10" t="s">
        <v>6155</v>
      </c>
      <c r="E682" s="8" t="s">
        <v>6156</v>
      </c>
      <c r="F682" s="8" t="s">
        <v>6157</v>
      </c>
      <c r="G682" s="10" t="s">
        <v>29</v>
      </c>
      <c r="H682" s="8" t="s">
        <v>6158</v>
      </c>
      <c r="I682" s="10" t="s">
        <v>6159</v>
      </c>
      <c r="J682" s="8" t="s">
        <v>2769</v>
      </c>
      <c r="K682" s="8" t="s">
        <v>29</v>
      </c>
      <c r="L682" s="8" t="s">
        <v>29</v>
      </c>
      <c r="M682" s="10" t="s">
        <v>29</v>
      </c>
      <c r="N682" s="8" t="s">
        <v>29</v>
      </c>
      <c r="O682" s="10" t="s">
        <v>19</v>
      </c>
      <c r="P682" s="8" t="s">
        <v>6160</v>
      </c>
      <c r="Q682" s="10" t="s">
        <v>174</v>
      </c>
      <c r="R682" s="10" t="s">
        <v>1387</v>
      </c>
      <c r="S682" s="8" t="s">
        <v>6161</v>
      </c>
      <c r="T682" s="10" t="s">
        <v>5798</v>
      </c>
      <c r="U682" s="10" t="s">
        <v>29</v>
      </c>
    </row>
    <row r="683" spans="1:21" s="10" customFormat="1" x14ac:dyDescent="0.25">
      <c r="A683" s="10" t="s">
        <v>6162</v>
      </c>
      <c r="B683" s="10" t="s">
        <v>5134</v>
      </c>
      <c r="C683" s="10" t="s">
        <v>166</v>
      </c>
      <c r="D683" s="10" t="s">
        <v>6163</v>
      </c>
      <c r="E683" s="8" t="s">
        <v>6164</v>
      </c>
      <c r="F683" s="8" t="s">
        <v>6165</v>
      </c>
      <c r="G683" s="10" t="s">
        <v>29</v>
      </c>
      <c r="H683" s="8" t="s">
        <v>6166</v>
      </c>
      <c r="I683" s="10" t="s">
        <v>6167</v>
      </c>
      <c r="J683" s="8" t="s">
        <v>2769</v>
      </c>
      <c r="K683" s="8" t="s">
        <v>29</v>
      </c>
      <c r="L683" s="8" t="s">
        <v>29</v>
      </c>
      <c r="M683" s="10" t="s">
        <v>29</v>
      </c>
      <c r="N683" s="8" t="s">
        <v>29</v>
      </c>
      <c r="O683" s="10" t="s">
        <v>19</v>
      </c>
      <c r="P683" s="8" t="s">
        <v>6168</v>
      </c>
      <c r="Q683" s="10" t="s">
        <v>174</v>
      </c>
      <c r="R683" s="10" t="s">
        <v>1387</v>
      </c>
      <c r="S683" s="8" t="s">
        <v>6169</v>
      </c>
      <c r="T683" s="10" t="s">
        <v>5798</v>
      </c>
      <c r="U683" s="10" t="s">
        <v>29</v>
      </c>
    </row>
    <row r="684" spans="1:21" s="10" customFormat="1" x14ac:dyDescent="0.25">
      <c r="A684" s="10" t="s">
        <v>6170</v>
      </c>
      <c r="B684" s="10" t="s">
        <v>5134</v>
      </c>
      <c r="C684" s="10" t="s">
        <v>166</v>
      </c>
      <c r="D684" s="10" t="s">
        <v>6171</v>
      </c>
      <c r="E684" s="8" t="s">
        <v>6172</v>
      </c>
      <c r="F684" s="8" t="s">
        <v>6173</v>
      </c>
      <c r="G684" s="10" t="s">
        <v>29</v>
      </c>
      <c r="H684" s="8" t="s">
        <v>6174</v>
      </c>
      <c r="I684" s="10" t="s">
        <v>6175</v>
      </c>
      <c r="J684" s="8" t="s">
        <v>2769</v>
      </c>
      <c r="K684" s="8" t="s">
        <v>29</v>
      </c>
      <c r="L684" s="8" t="s">
        <v>29</v>
      </c>
      <c r="M684" s="10" t="s">
        <v>29</v>
      </c>
      <c r="N684" s="8" t="s">
        <v>29</v>
      </c>
      <c r="O684" s="10" t="s">
        <v>19</v>
      </c>
      <c r="P684" s="8" t="s">
        <v>6176</v>
      </c>
      <c r="Q684" s="10" t="s">
        <v>174</v>
      </c>
      <c r="R684" s="10" t="s">
        <v>1387</v>
      </c>
      <c r="S684" s="8" t="s">
        <v>6177</v>
      </c>
      <c r="T684" s="10" t="s">
        <v>5798</v>
      </c>
      <c r="U684" s="10" t="s">
        <v>29</v>
      </c>
    </row>
    <row r="685" spans="1:21" s="10" customFormat="1" x14ac:dyDescent="0.25">
      <c r="A685" s="10" t="s">
        <v>6178</v>
      </c>
      <c r="B685" s="10" t="s">
        <v>5134</v>
      </c>
      <c r="C685" s="11" t="s">
        <v>297</v>
      </c>
      <c r="D685" s="10" t="s">
        <v>6179</v>
      </c>
      <c r="E685" s="8" t="s">
        <v>6180</v>
      </c>
      <c r="F685" s="8" t="s">
        <v>6181</v>
      </c>
      <c r="G685" s="10" t="s">
        <v>29</v>
      </c>
      <c r="H685" s="8" t="s">
        <v>6182</v>
      </c>
      <c r="I685" s="10" t="s">
        <v>6183</v>
      </c>
      <c r="J685" s="8" t="s">
        <v>2769</v>
      </c>
      <c r="K685" s="8" t="s">
        <v>29</v>
      </c>
      <c r="L685" s="8" t="s">
        <v>29</v>
      </c>
      <c r="M685" s="10" t="s">
        <v>29</v>
      </c>
      <c r="N685" s="8" t="s">
        <v>29</v>
      </c>
      <c r="O685" s="10" t="s">
        <v>19</v>
      </c>
      <c r="P685" s="8" t="s">
        <v>6184</v>
      </c>
      <c r="Q685" s="10" t="s">
        <v>1399</v>
      </c>
      <c r="R685" s="10" t="s">
        <v>1387</v>
      </c>
      <c r="S685" s="8" t="s">
        <v>6185</v>
      </c>
      <c r="T685" s="10" t="s">
        <v>5798</v>
      </c>
      <c r="U685" s="10" t="s">
        <v>29</v>
      </c>
    </row>
    <row r="686" spans="1:21" s="10" customFormat="1" x14ac:dyDescent="0.25">
      <c r="A686" s="10" t="s">
        <v>6186</v>
      </c>
      <c r="B686" s="10" t="s">
        <v>5134</v>
      </c>
      <c r="C686" s="11" t="s">
        <v>297</v>
      </c>
      <c r="D686" s="10" t="s">
        <v>6187</v>
      </c>
      <c r="E686" s="8" t="s">
        <v>6188</v>
      </c>
      <c r="F686" s="8" t="s">
        <v>6189</v>
      </c>
      <c r="G686" s="10" t="s">
        <v>29</v>
      </c>
      <c r="H686" s="8" t="s">
        <v>1604</v>
      </c>
      <c r="I686" s="10" t="s">
        <v>6190</v>
      </c>
      <c r="J686" s="8" t="s">
        <v>1606</v>
      </c>
      <c r="K686" s="8" t="s">
        <v>29</v>
      </c>
      <c r="L686" s="8" t="s">
        <v>29</v>
      </c>
      <c r="M686" s="10" t="s">
        <v>29</v>
      </c>
      <c r="N686" s="8" t="s">
        <v>29</v>
      </c>
      <c r="O686" s="10" t="s">
        <v>19</v>
      </c>
      <c r="P686" s="8" t="s">
        <v>6191</v>
      </c>
      <c r="Q686" s="10" t="s">
        <v>1399</v>
      </c>
      <c r="R686" s="10" t="s">
        <v>1608</v>
      </c>
      <c r="S686" s="8" t="s">
        <v>6192</v>
      </c>
      <c r="T686" s="10" t="s">
        <v>5798</v>
      </c>
      <c r="U686" s="10" t="s">
        <v>29</v>
      </c>
    </row>
    <row r="687" spans="1:21" s="10" customFormat="1" x14ac:dyDescent="0.25">
      <c r="A687" s="10" t="s">
        <v>6193</v>
      </c>
      <c r="B687" s="10" t="s">
        <v>5134</v>
      </c>
      <c r="C687" s="10" t="s">
        <v>166</v>
      </c>
      <c r="D687" s="10" t="s">
        <v>6194</v>
      </c>
      <c r="E687" s="8" t="s">
        <v>6195</v>
      </c>
      <c r="F687" s="8" t="s">
        <v>6196</v>
      </c>
      <c r="G687" s="10" t="s">
        <v>29</v>
      </c>
      <c r="H687" s="8" t="s">
        <v>6197</v>
      </c>
      <c r="I687" s="10" t="s">
        <v>6198</v>
      </c>
      <c r="J687" s="8" t="s">
        <v>2769</v>
      </c>
      <c r="K687" s="8" t="s">
        <v>29</v>
      </c>
      <c r="L687" s="8" t="s">
        <v>29</v>
      </c>
      <c r="M687" s="10" t="s">
        <v>29</v>
      </c>
      <c r="N687" s="8" t="s">
        <v>29</v>
      </c>
      <c r="O687" s="10" t="s">
        <v>19</v>
      </c>
      <c r="P687" s="8" t="s">
        <v>6199</v>
      </c>
      <c r="Q687" s="10" t="s">
        <v>174</v>
      </c>
      <c r="R687" s="10" t="s">
        <v>1387</v>
      </c>
      <c r="S687" s="8" t="s">
        <v>6200</v>
      </c>
      <c r="T687" s="10" t="s">
        <v>5798</v>
      </c>
      <c r="U687" s="10" t="s">
        <v>29</v>
      </c>
    </row>
    <row r="688" spans="1:21" s="10" customFormat="1" x14ac:dyDescent="0.25">
      <c r="A688" s="10" t="s">
        <v>6201</v>
      </c>
      <c r="B688" s="10" t="s">
        <v>5134</v>
      </c>
      <c r="C688" s="11" t="s">
        <v>297</v>
      </c>
      <c r="D688" s="10" t="s">
        <v>6202</v>
      </c>
      <c r="E688" s="8" t="s">
        <v>6203</v>
      </c>
      <c r="F688" s="8" t="s">
        <v>6204</v>
      </c>
      <c r="G688" s="10" t="s">
        <v>29</v>
      </c>
      <c r="H688" s="8" t="s">
        <v>6197</v>
      </c>
      <c r="I688" s="10" t="s">
        <v>6205</v>
      </c>
      <c r="J688" s="8" t="s">
        <v>2769</v>
      </c>
      <c r="K688" s="8" t="s">
        <v>29</v>
      </c>
      <c r="L688" s="8" t="s">
        <v>29</v>
      </c>
      <c r="M688" s="10" t="s">
        <v>29</v>
      </c>
      <c r="N688" s="8" t="s">
        <v>29</v>
      </c>
      <c r="O688" s="10" t="s">
        <v>19</v>
      </c>
      <c r="P688" s="8" t="s">
        <v>6206</v>
      </c>
      <c r="Q688" s="10" t="s">
        <v>174</v>
      </c>
      <c r="R688" s="10" t="s">
        <v>1387</v>
      </c>
      <c r="S688" s="8" t="s">
        <v>6207</v>
      </c>
      <c r="T688" s="10" t="s">
        <v>5798</v>
      </c>
      <c r="U688" s="10" t="s">
        <v>29</v>
      </c>
    </row>
    <row r="689" spans="1:21" s="10" customFormat="1" x14ac:dyDescent="0.25">
      <c r="A689" s="10" t="s">
        <v>6208</v>
      </c>
      <c r="B689" s="10" t="s">
        <v>5134</v>
      </c>
      <c r="C689" s="10" t="s">
        <v>166</v>
      </c>
      <c r="D689" s="10" t="s">
        <v>6209</v>
      </c>
      <c r="E689" s="8" t="s">
        <v>6210</v>
      </c>
      <c r="F689" s="8" t="s">
        <v>4730</v>
      </c>
      <c r="G689" s="10" t="s">
        <v>29</v>
      </c>
      <c r="H689" s="8" t="s">
        <v>6211</v>
      </c>
      <c r="I689" s="10" t="s">
        <v>6212</v>
      </c>
      <c r="J689" s="8" t="s">
        <v>2769</v>
      </c>
      <c r="K689" s="8" t="s">
        <v>29</v>
      </c>
      <c r="L689" s="8" t="s">
        <v>29</v>
      </c>
      <c r="M689" s="10" t="s">
        <v>29</v>
      </c>
      <c r="N689" s="8" t="s">
        <v>29</v>
      </c>
      <c r="O689" s="10" t="s">
        <v>19</v>
      </c>
      <c r="P689" s="8" t="s">
        <v>6213</v>
      </c>
      <c r="Q689" s="10" t="s">
        <v>190</v>
      </c>
      <c r="R689" s="10" t="s">
        <v>1387</v>
      </c>
      <c r="S689" s="8" t="s">
        <v>6214</v>
      </c>
      <c r="T689" s="10" t="s">
        <v>5798</v>
      </c>
      <c r="U689" s="10" t="s">
        <v>29</v>
      </c>
    </row>
    <row r="690" spans="1:21" s="10" customFormat="1" x14ac:dyDescent="0.25">
      <c r="A690" s="10" t="s">
        <v>6215</v>
      </c>
      <c r="B690" s="10" t="s">
        <v>5134</v>
      </c>
      <c r="C690" s="10" t="s">
        <v>166</v>
      </c>
      <c r="D690" s="10" t="s">
        <v>6216</v>
      </c>
      <c r="E690" s="8" t="s">
        <v>6217</v>
      </c>
      <c r="F690" s="8" t="s">
        <v>6218</v>
      </c>
      <c r="G690" s="10" t="s">
        <v>29</v>
      </c>
      <c r="H690" s="8" t="s">
        <v>6197</v>
      </c>
      <c r="I690" s="10" t="s">
        <v>6212</v>
      </c>
      <c r="J690" s="8" t="s">
        <v>2769</v>
      </c>
      <c r="K690" s="8" t="s">
        <v>29</v>
      </c>
      <c r="L690" s="8" t="s">
        <v>29</v>
      </c>
      <c r="M690" s="10" t="s">
        <v>29</v>
      </c>
      <c r="N690" s="8" t="s">
        <v>29</v>
      </c>
      <c r="O690" s="10" t="s">
        <v>19</v>
      </c>
      <c r="P690" s="8" t="s">
        <v>6219</v>
      </c>
      <c r="Q690" s="10" t="s">
        <v>174</v>
      </c>
      <c r="R690" s="10" t="s">
        <v>1387</v>
      </c>
      <c r="S690" s="8" t="s">
        <v>6220</v>
      </c>
      <c r="T690" s="10" t="s">
        <v>5798</v>
      </c>
      <c r="U690" s="10" t="s">
        <v>29</v>
      </c>
    </row>
    <row r="691" spans="1:21" s="10" customFormat="1" x14ac:dyDescent="0.25">
      <c r="A691" s="10" t="s">
        <v>6221</v>
      </c>
      <c r="B691" s="10" t="s">
        <v>5134</v>
      </c>
      <c r="C691" s="11" t="s">
        <v>297</v>
      </c>
      <c r="D691" s="10" t="s">
        <v>6222</v>
      </c>
      <c r="E691" s="8" t="s">
        <v>6223</v>
      </c>
      <c r="F691" s="8" t="s">
        <v>6224</v>
      </c>
      <c r="G691" s="10" t="s">
        <v>29</v>
      </c>
      <c r="H691" s="8" t="s">
        <v>6197</v>
      </c>
      <c r="I691" s="10" t="s">
        <v>3183</v>
      </c>
      <c r="J691" s="8" t="s">
        <v>2769</v>
      </c>
      <c r="K691" s="8" t="s">
        <v>29</v>
      </c>
      <c r="L691" s="8" t="s">
        <v>29</v>
      </c>
      <c r="M691" s="10" t="s">
        <v>29</v>
      </c>
      <c r="N691" s="8" t="s">
        <v>29</v>
      </c>
      <c r="O691" s="10" t="s">
        <v>19</v>
      </c>
      <c r="P691" s="8" t="s">
        <v>6225</v>
      </c>
      <c r="Q691" s="10" t="s">
        <v>1399</v>
      </c>
      <c r="R691" s="10" t="s">
        <v>1387</v>
      </c>
      <c r="S691" s="8" t="s">
        <v>6226</v>
      </c>
      <c r="T691" s="10" t="s">
        <v>5798</v>
      </c>
      <c r="U691" s="10" t="s">
        <v>29</v>
      </c>
    </row>
    <row r="692" spans="1:21" s="10" customFormat="1" x14ac:dyDescent="0.25">
      <c r="A692" s="10" t="s">
        <v>6227</v>
      </c>
      <c r="B692" s="10" t="s">
        <v>5134</v>
      </c>
      <c r="C692" s="10" t="s">
        <v>166</v>
      </c>
      <c r="D692" s="10" t="s">
        <v>6228</v>
      </c>
      <c r="E692" s="8" t="s">
        <v>6229</v>
      </c>
      <c r="F692" s="8" t="s">
        <v>6230</v>
      </c>
      <c r="G692" s="10" t="s">
        <v>29</v>
      </c>
      <c r="H692" s="8" t="s">
        <v>6197</v>
      </c>
      <c r="I692" s="10" t="s">
        <v>1102</v>
      </c>
      <c r="J692" s="8" t="s">
        <v>2769</v>
      </c>
      <c r="K692" s="8" t="s">
        <v>29</v>
      </c>
      <c r="L692" s="8" t="s">
        <v>29</v>
      </c>
      <c r="M692" s="10" t="s">
        <v>29</v>
      </c>
      <c r="N692" s="8" t="s">
        <v>29</v>
      </c>
      <c r="O692" s="10" t="s">
        <v>19</v>
      </c>
      <c r="P692" s="8" t="s">
        <v>6231</v>
      </c>
      <c r="Q692" s="10" t="s">
        <v>174</v>
      </c>
      <c r="R692" s="10" t="s">
        <v>1387</v>
      </c>
      <c r="S692" s="8" t="s">
        <v>6207</v>
      </c>
      <c r="T692" s="10" t="s">
        <v>5798</v>
      </c>
      <c r="U692" s="10" t="s">
        <v>29</v>
      </c>
    </row>
    <row r="693" spans="1:21" s="10" customFormat="1" x14ac:dyDescent="0.25">
      <c r="A693" s="10" t="s">
        <v>6232</v>
      </c>
      <c r="B693" s="10" t="s">
        <v>5134</v>
      </c>
      <c r="C693" s="11" t="s">
        <v>297</v>
      </c>
      <c r="D693" s="10" t="s">
        <v>6233</v>
      </c>
      <c r="E693" s="8" t="s">
        <v>6234</v>
      </c>
      <c r="F693" s="8" t="s">
        <v>6235</v>
      </c>
      <c r="G693" s="10" t="s">
        <v>29</v>
      </c>
      <c r="H693" s="8" t="s">
        <v>1604</v>
      </c>
      <c r="I693" s="10" t="s">
        <v>6236</v>
      </c>
      <c r="J693" s="8" t="s">
        <v>1606</v>
      </c>
      <c r="K693" s="8" t="s">
        <v>29</v>
      </c>
      <c r="L693" s="8" t="s">
        <v>29</v>
      </c>
      <c r="M693" s="10" t="s">
        <v>29</v>
      </c>
      <c r="N693" s="8" t="s">
        <v>29</v>
      </c>
      <c r="O693" s="10" t="s">
        <v>19</v>
      </c>
      <c r="P693" s="8" t="s">
        <v>6237</v>
      </c>
      <c r="Q693" s="10" t="s">
        <v>1399</v>
      </c>
      <c r="R693" s="10" t="s">
        <v>1608</v>
      </c>
      <c r="S693" s="8" t="s">
        <v>6238</v>
      </c>
      <c r="T693" s="10" t="s">
        <v>5798</v>
      </c>
      <c r="U693" s="10" t="s">
        <v>29</v>
      </c>
    </row>
    <row r="694" spans="1:21" s="10" customFormat="1" x14ac:dyDescent="0.25">
      <c r="A694" s="10" t="s">
        <v>6239</v>
      </c>
      <c r="B694" s="10" t="s">
        <v>5134</v>
      </c>
      <c r="C694" s="10" t="s">
        <v>166</v>
      </c>
      <c r="D694" s="10" t="s">
        <v>6240</v>
      </c>
      <c r="E694" s="8" t="s">
        <v>6241</v>
      </c>
      <c r="F694" s="8" t="s">
        <v>6242</v>
      </c>
      <c r="G694" s="10" t="s">
        <v>29</v>
      </c>
      <c r="H694" s="8" t="s">
        <v>6197</v>
      </c>
      <c r="I694" s="10" t="s">
        <v>6212</v>
      </c>
      <c r="J694" s="8" t="s">
        <v>2769</v>
      </c>
      <c r="K694" s="8" t="s">
        <v>29</v>
      </c>
      <c r="L694" s="8" t="s">
        <v>29</v>
      </c>
      <c r="M694" s="10" t="s">
        <v>29</v>
      </c>
      <c r="N694" s="8" t="s">
        <v>29</v>
      </c>
      <c r="O694" s="10" t="s">
        <v>19</v>
      </c>
      <c r="P694" s="8" t="s">
        <v>6243</v>
      </c>
      <c r="Q694" s="10" t="s">
        <v>174</v>
      </c>
      <c r="R694" s="10" t="s">
        <v>1387</v>
      </c>
      <c r="S694" s="8" t="s">
        <v>1599</v>
      </c>
      <c r="T694" s="10" t="s">
        <v>5798</v>
      </c>
      <c r="U694" s="10" t="s">
        <v>29</v>
      </c>
    </row>
    <row r="695" spans="1:21" s="10" customFormat="1" x14ac:dyDescent="0.25">
      <c r="A695" s="10" t="s">
        <v>6244</v>
      </c>
      <c r="B695" s="10" t="s">
        <v>6245</v>
      </c>
      <c r="C695" s="10" t="s">
        <v>166</v>
      </c>
      <c r="D695" s="10" t="s">
        <v>6246</v>
      </c>
      <c r="E695" s="8" t="s">
        <v>6247</v>
      </c>
      <c r="F695" s="8" t="s">
        <v>6248</v>
      </c>
      <c r="G695" s="10" t="s">
        <v>29</v>
      </c>
      <c r="H695" s="8" t="s">
        <v>6249</v>
      </c>
      <c r="I695" s="10" t="s">
        <v>6250</v>
      </c>
      <c r="J695" s="8" t="s">
        <v>2769</v>
      </c>
      <c r="K695" s="8" t="s">
        <v>29</v>
      </c>
      <c r="L695" s="8" t="s">
        <v>29</v>
      </c>
      <c r="M695" s="10" t="s">
        <v>29</v>
      </c>
      <c r="N695" s="8" t="s">
        <v>29</v>
      </c>
      <c r="O695" s="10" t="s">
        <v>19</v>
      </c>
      <c r="P695" s="8" t="s">
        <v>6251</v>
      </c>
      <c r="Q695" s="10" t="s">
        <v>174</v>
      </c>
      <c r="R695" s="10" t="s">
        <v>1387</v>
      </c>
      <c r="S695" s="8" t="s">
        <v>6252</v>
      </c>
      <c r="T695" s="10" t="s">
        <v>6253</v>
      </c>
      <c r="U695" s="10" t="s">
        <v>29</v>
      </c>
    </row>
    <row r="696" spans="1:21" s="10" customFormat="1" x14ac:dyDescent="0.25">
      <c r="A696" s="10" t="s">
        <v>6254</v>
      </c>
      <c r="B696" s="10" t="s">
        <v>6245</v>
      </c>
      <c r="C696" s="11" t="s">
        <v>297</v>
      </c>
      <c r="D696" s="10" t="s">
        <v>6255</v>
      </c>
      <c r="E696" s="8" t="s">
        <v>6256</v>
      </c>
      <c r="F696" s="8" t="s">
        <v>6257</v>
      </c>
      <c r="G696" s="10" t="s">
        <v>29</v>
      </c>
      <c r="H696" s="8" t="s">
        <v>6249</v>
      </c>
      <c r="I696" s="10" t="s">
        <v>6258</v>
      </c>
      <c r="J696" s="8" t="s">
        <v>2769</v>
      </c>
      <c r="K696" s="8" t="s">
        <v>29</v>
      </c>
      <c r="L696" s="8" t="s">
        <v>29</v>
      </c>
      <c r="M696" s="10" t="s">
        <v>29</v>
      </c>
      <c r="N696" s="8" t="s">
        <v>29</v>
      </c>
      <c r="O696" s="10" t="s">
        <v>19</v>
      </c>
      <c r="P696" s="8" t="s">
        <v>6259</v>
      </c>
      <c r="Q696" s="10" t="s">
        <v>174</v>
      </c>
      <c r="R696" s="10" t="s">
        <v>1387</v>
      </c>
      <c r="S696" s="8" t="s">
        <v>6260</v>
      </c>
      <c r="T696" s="10" t="s">
        <v>6253</v>
      </c>
      <c r="U696" s="10" t="s">
        <v>29</v>
      </c>
    </row>
    <row r="697" spans="1:21" s="10" customFormat="1" x14ac:dyDescent="0.25">
      <c r="A697" s="10" t="s">
        <v>6261</v>
      </c>
      <c r="B697" s="10" t="s">
        <v>6245</v>
      </c>
      <c r="C697" s="11" t="s">
        <v>297</v>
      </c>
      <c r="D697" s="10" t="s">
        <v>6262</v>
      </c>
      <c r="E697" s="8" t="s">
        <v>6263</v>
      </c>
      <c r="F697" s="8" t="s">
        <v>6264</v>
      </c>
      <c r="G697" s="10" t="s">
        <v>29</v>
      </c>
      <c r="H697" s="8" t="s">
        <v>6265</v>
      </c>
      <c r="I697" s="10" t="s">
        <v>1102</v>
      </c>
      <c r="J697" s="8" t="s">
        <v>2769</v>
      </c>
      <c r="K697" s="8" t="s">
        <v>29</v>
      </c>
      <c r="L697" s="8" t="s">
        <v>29</v>
      </c>
      <c r="M697" s="10" t="s">
        <v>29</v>
      </c>
      <c r="N697" s="8" t="s">
        <v>29</v>
      </c>
      <c r="O697" s="10" t="s">
        <v>19</v>
      </c>
      <c r="P697" s="8" t="s">
        <v>6266</v>
      </c>
      <c r="Q697" s="10" t="s">
        <v>174</v>
      </c>
      <c r="R697" s="10" t="s">
        <v>1387</v>
      </c>
      <c r="S697" s="8" t="s">
        <v>6267</v>
      </c>
      <c r="T697" s="10" t="s">
        <v>6253</v>
      </c>
      <c r="U697" s="10" t="s">
        <v>29</v>
      </c>
    </row>
    <row r="698" spans="1:21" s="10" customFormat="1" x14ac:dyDescent="0.25">
      <c r="A698" s="10" t="s">
        <v>6268</v>
      </c>
      <c r="B698" s="10" t="s">
        <v>6245</v>
      </c>
      <c r="C698" s="10" t="s">
        <v>166</v>
      </c>
      <c r="D698" s="10" t="s">
        <v>6269</v>
      </c>
      <c r="E698" s="8" t="s">
        <v>6270</v>
      </c>
      <c r="F698" s="8" t="s">
        <v>6271</v>
      </c>
      <c r="G698" s="10" t="s">
        <v>29</v>
      </c>
      <c r="H698" s="8" t="s">
        <v>6272</v>
      </c>
      <c r="I698" s="10" t="s">
        <v>1102</v>
      </c>
      <c r="J698" s="8" t="s">
        <v>2769</v>
      </c>
      <c r="K698" s="8" t="s">
        <v>29</v>
      </c>
      <c r="L698" s="8" t="s">
        <v>29</v>
      </c>
      <c r="M698" s="10" t="s">
        <v>29</v>
      </c>
      <c r="N698" s="8" t="s">
        <v>29</v>
      </c>
      <c r="O698" s="10" t="s">
        <v>19</v>
      </c>
      <c r="P698" s="8" t="s">
        <v>6273</v>
      </c>
      <c r="Q698" s="10" t="s">
        <v>197</v>
      </c>
      <c r="R698" s="10" t="s">
        <v>1387</v>
      </c>
      <c r="S698" s="8" t="s">
        <v>6274</v>
      </c>
      <c r="T698" s="10" t="s">
        <v>6253</v>
      </c>
      <c r="U698" s="10" t="s">
        <v>29</v>
      </c>
    </row>
    <row r="699" spans="1:21" s="10" customFormat="1" x14ac:dyDescent="0.25">
      <c r="A699" s="10" t="s">
        <v>6275</v>
      </c>
      <c r="B699" s="10" t="s">
        <v>6245</v>
      </c>
      <c r="C699" s="10" t="s">
        <v>166</v>
      </c>
      <c r="D699" s="10" t="s">
        <v>6276</v>
      </c>
      <c r="E699" s="8" t="s">
        <v>6277</v>
      </c>
      <c r="F699" s="8" t="s">
        <v>6278</v>
      </c>
      <c r="G699" s="10" t="s">
        <v>29</v>
      </c>
      <c r="H699" s="8" t="s">
        <v>6279</v>
      </c>
      <c r="I699" s="10" t="s">
        <v>6280</v>
      </c>
      <c r="J699" s="8" t="s">
        <v>2769</v>
      </c>
      <c r="K699" s="8" t="s">
        <v>29</v>
      </c>
      <c r="L699" s="8" t="s">
        <v>29</v>
      </c>
      <c r="M699" s="10" t="s">
        <v>29</v>
      </c>
      <c r="N699" s="8" t="s">
        <v>29</v>
      </c>
      <c r="O699" s="10" t="s">
        <v>19</v>
      </c>
      <c r="P699" s="8" t="s">
        <v>6281</v>
      </c>
      <c r="Q699" s="10" t="s">
        <v>174</v>
      </c>
      <c r="R699" s="10" t="s">
        <v>1387</v>
      </c>
      <c r="S699" s="8" t="s">
        <v>6282</v>
      </c>
      <c r="T699" s="10" t="s">
        <v>6253</v>
      </c>
      <c r="U699" s="10" t="s">
        <v>29</v>
      </c>
    </row>
    <row r="700" spans="1:21" s="10" customFormat="1" x14ac:dyDescent="0.25">
      <c r="A700" s="10" t="s">
        <v>6283</v>
      </c>
      <c r="B700" s="10" t="s">
        <v>6245</v>
      </c>
      <c r="C700" s="11" t="s">
        <v>297</v>
      </c>
      <c r="D700" s="10" t="s">
        <v>6284</v>
      </c>
      <c r="E700" s="8" t="s">
        <v>6285</v>
      </c>
      <c r="F700" s="8" t="s">
        <v>6286</v>
      </c>
      <c r="G700" s="10" t="s">
        <v>29</v>
      </c>
      <c r="H700" s="8" t="s">
        <v>6249</v>
      </c>
      <c r="I700" s="10" t="s">
        <v>6258</v>
      </c>
      <c r="J700" s="8" t="s">
        <v>2769</v>
      </c>
      <c r="K700" s="8" t="s">
        <v>29</v>
      </c>
      <c r="L700" s="8" t="s">
        <v>29</v>
      </c>
      <c r="M700" s="10" t="s">
        <v>29</v>
      </c>
      <c r="N700" s="8" t="s">
        <v>29</v>
      </c>
      <c r="O700" s="10" t="s">
        <v>19</v>
      </c>
      <c r="P700" s="8" t="s">
        <v>6287</v>
      </c>
      <c r="Q700" s="10" t="s">
        <v>1399</v>
      </c>
      <c r="R700" s="10" t="s">
        <v>1387</v>
      </c>
      <c r="S700" s="8" t="s">
        <v>6288</v>
      </c>
      <c r="T700" s="10" t="s">
        <v>6253</v>
      </c>
      <c r="U700" s="10" t="s">
        <v>29</v>
      </c>
    </row>
    <row r="701" spans="1:21" s="10" customFormat="1" x14ac:dyDescent="0.25">
      <c r="A701" s="10" t="s">
        <v>6289</v>
      </c>
      <c r="B701" s="10" t="s">
        <v>6245</v>
      </c>
      <c r="C701" s="10" t="s">
        <v>166</v>
      </c>
      <c r="D701" s="10" t="s">
        <v>6290</v>
      </c>
      <c r="E701" s="8" t="s">
        <v>6291</v>
      </c>
      <c r="F701" s="8" t="s">
        <v>6292</v>
      </c>
      <c r="G701" s="10" t="s">
        <v>29</v>
      </c>
      <c r="H701" s="8" t="s">
        <v>6293</v>
      </c>
      <c r="I701" s="10" t="s">
        <v>3950</v>
      </c>
      <c r="J701" s="8" t="s">
        <v>2769</v>
      </c>
      <c r="K701" s="8" t="s">
        <v>29</v>
      </c>
      <c r="L701" s="8" t="s">
        <v>29</v>
      </c>
      <c r="M701" s="10" t="s">
        <v>29</v>
      </c>
      <c r="N701" s="8" t="s">
        <v>29</v>
      </c>
      <c r="O701" s="10" t="s">
        <v>19</v>
      </c>
      <c r="P701" s="8" t="s">
        <v>6294</v>
      </c>
      <c r="Q701" s="10" t="s">
        <v>174</v>
      </c>
      <c r="R701" s="10" t="s">
        <v>1387</v>
      </c>
      <c r="S701" s="8" t="s">
        <v>6295</v>
      </c>
      <c r="T701" s="10" t="s">
        <v>6253</v>
      </c>
      <c r="U701" s="10" t="s">
        <v>29</v>
      </c>
    </row>
    <row r="702" spans="1:21" s="10" customFormat="1" x14ac:dyDescent="0.25">
      <c r="A702" s="10" t="s">
        <v>6296</v>
      </c>
      <c r="B702" s="10" t="s">
        <v>6245</v>
      </c>
      <c r="C702" s="10" t="s">
        <v>166</v>
      </c>
      <c r="D702" s="10" t="s">
        <v>6297</v>
      </c>
      <c r="E702" s="8" t="s">
        <v>6298</v>
      </c>
      <c r="F702" s="8" t="s">
        <v>2280</v>
      </c>
      <c r="G702" s="10" t="s">
        <v>29</v>
      </c>
      <c r="H702" s="8" t="s">
        <v>6249</v>
      </c>
      <c r="I702" s="10" t="s">
        <v>1102</v>
      </c>
      <c r="J702" s="8" t="s">
        <v>2769</v>
      </c>
      <c r="K702" s="8" t="s">
        <v>29</v>
      </c>
      <c r="L702" s="8" t="s">
        <v>29</v>
      </c>
      <c r="M702" s="10" t="s">
        <v>29</v>
      </c>
      <c r="N702" s="8" t="s">
        <v>29</v>
      </c>
      <c r="O702" s="10" t="s">
        <v>19</v>
      </c>
      <c r="P702" s="8" t="s">
        <v>6299</v>
      </c>
      <c r="Q702" s="10" t="s">
        <v>174</v>
      </c>
      <c r="R702" s="10" t="s">
        <v>1387</v>
      </c>
      <c r="S702" s="8" t="s">
        <v>6300</v>
      </c>
      <c r="T702" s="10" t="s">
        <v>6253</v>
      </c>
      <c r="U702" s="10" t="s">
        <v>29</v>
      </c>
    </row>
    <row r="703" spans="1:21" s="10" customFormat="1" x14ac:dyDescent="0.25">
      <c r="A703" s="10" t="s">
        <v>6301</v>
      </c>
      <c r="B703" s="10" t="s">
        <v>6245</v>
      </c>
      <c r="C703" s="10" t="s">
        <v>166</v>
      </c>
      <c r="D703" s="10" t="s">
        <v>6302</v>
      </c>
      <c r="E703" s="8" t="s">
        <v>6303</v>
      </c>
      <c r="F703" s="8" t="s">
        <v>6304</v>
      </c>
      <c r="G703" s="10" t="s">
        <v>29</v>
      </c>
      <c r="H703" s="8" t="s">
        <v>6249</v>
      </c>
      <c r="I703" s="10" t="s">
        <v>1102</v>
      </c>
      <c r="J703" s="8" t="s">
        <v>2769</v>
      </c>
      <c r="K703" s="8" t="s">
        <v>29</v>
      </c>
      <c r="L703" s="8" t="s">
        <v>29</v>
      </c>
      <c r="M703" s="10" t="s">
        <v>29</v>
      </c>
      <c r="N703" s="8" t="s">
        <v>29</v>
      </c>
      <c r="O703" s="10" t="s">
        <v>19</v>
      </c>
      <c r="P703" s="8" t="s">
        <v>6305</v>
      </c>
      <c r="Q703" s="10" t="s">
        <v>174</v>
      </c>
      <c r="R703" s="10" t="s">
        <v>1387</v>
      </c>
      <c r="S703" s="8" t="s">
        <v>6306</v>
      </c>
      <c r="T703" s="10" t="s">
        <v>6253</v>
      </c>
      <c r="U703" s="10" t="s">
        <v>29</v>
      </c>
    </row>
    <row r="704" spans="1:21" s="10" customFormat="1" x14ac:dyDescent="0.25">
      <c r="A704" s="10" t="s">
        <v>6307</v>
      </c>
      <c r="B704" s="10" t="s">
        <v>6245</v>
      </c>
      <c r="C704" s="11" t="s">
        <v>297</v>
      </c>
      <c r="D704" s="10" t="s">
        <v>6308</v>
      </c>
      <c r="E704" s="8" t="s">
        <v>6309</v>
      </c>
      <c r="F704" s="8" t="s">
        <v>6310</v>
      </c>
      <c r="G704" s="10" t="s">
        <v>29</v>
      </c>
      <c r="H704" s="8" t="s">
        <v>1604</v>
      </c>
      <c r="I704" s="10" t="s">
        <v>3336</v>
      </c>
      <c r="J704" s="8" t="s">
        <v>1606</v>
      </c>
      <c r="K704" s="8" t="s">
        <v>29</v>
      </c>
      <c r="L704" s="8" t="s">
        <v>29</v>
      </c>
      <c r="M704" s="10" t="s">
        <v>29</v>
      </c>
      <c r="N704" s="8" t="s">
        <v>29</v>
      </c>
      <c r="O704" s="10" t="s">
        <v>19</v>
      </c>
      <c r="P704" s="8" t="s">
        <v>6311</v>
      </c>
      <c r="Q704" s="10" t="s">
        <v>1399</v>
      </c>
      <c r="R704" s="10" t="s">
        <v>1608</v>
      </c>
      <c r="S704" s="8" t="s">
        <v>1609</v>
      </c>
      <c r="T704" s="10" t="s">
        <v>6253</v>
      </c>
      <c r="U704" s="10" t="s">
        <v>29</v>
      </c>
    </row>
    <row r="705" spans="1:21" s="10" customFormat="1" x14ac:dyDescent="0.25">
      <c r="A705" s="10" t="s">
        <v>6312</v>
      </c>
      <c r="B705" s="10" t="s">
        <v>6245</v>
      </c>
      <c r="C705" s="10" t="s">
        <v>166</v>
      </c>
      <c r="D705" s="10" t="s">
        <v>6313</v>
      </c>
      <c r="E705" s="8" t="s">
        <v>6314</v>
      </c>
      <c r="F705" s="8" t="s">
        <v>1613</v>
      </c>
      <c r="G705" s="10" t="s">
        <v>29</v>
      </c>
      <c r="H705" s="8" t="s">
        <v>2120</v>
      </c>
      <c r="I705" s="10" t="s">
        <v>3950</v>
      </c>
      <c r="J705" s="8" t="s">
        <v>1615</v>
      </c>
      <c r="K705" s="8" t="s">
        <v>29</v>
      </c>
      <c r="L705" s="8" t="s">
        <v>29</v>
      </c>
      <c r="M705" s="10" t="s">
        <v>29</v>
      </c>
      <c r="N705" s="8" t="s">
        <v>29</v>
      </c>
      <c r="O705" s="10" t="s">
        <v>19</v>
      </c>
      <c r="P705" s="8" t="s">
        <v>6315</v>
      </c>
      <c r="Q705" s="10" t="s">
        <v>776</v>
      </c>
      <c r="R705" s="10" t="s">
        <v>2122</v>
      </c>
      <c r="S705" s="8" t="s">
        <v>1618</v>
      </c>
      <c r="T705" s="10" t="s">
        <v>6253</v>
      </c>
      <c r="U705" s="10" t="s">
        <v>29</v>
      </c>
    </row>
    <row r="706" spans="1:21" s="10" customFormat="1" x14ac:dyDescent="0.25">
      <c r="A706" s="10" t="s">
        <v>6316</v>
      </c>
      <c r="B706" s="10" t="s">
        <v>6245</v>
      </c>
      <c r="C706" s="10" t="s">
        <v>166</v>
      </c>
      <c r="D706" s="10" t="s">
        <v>6317</v>
      </c>
      <c r="E706" s="8" t="s">
        <v>6318</v>
      </c>
      <c r="F706" s="8" t="s">
        <v>5047</v>
      </c>
      <c r="G706" s="10" t="s">
        <v>29</v>
      </c>
      <c r="H706" s="8" t="s">
        <v>6249</v>
      </c>
      <c r="I706" s="10" t="s">
        <v>1102</v>
      </c>
      <c r="J706" s="8" t="s">
        <v>2769</v>
      </c>
      <c r="K706" s="8" t="s">
        <v>29</v>
      </c>
      <c r="L706" s="8" t="s">
        <v>29</v>
      </c>
      <c r="M706" s="10" t="s">
        <v>29</v>
      </c>
      <c r="N706" s="8" t="s">
        <v>29</v>
      </c>
      <c r="O706" s="10" t="s">
        <v>19</v>
      </c>
      <c r="P706" s="8" t="s">
        <v>6319</v>
      </c>
      <c r="Q706" s="10" t="s">
        <v>174</v>
      </c>
      <c r="R706" s="10" t="s">
        <v>1387</v>
      </c>
      <c r="S706" s="8" t="s">
        <v>1599</v>
      </c>
      <c r="T706" s="10" t="s">
        <v>6253</v>
      </c>
      <c r="U706" s="10" t="s">
        <v>29</v>
      </c>
    </row>
    <row r="707" spans="1:21" s="10" customFormat="1" x14ac:dyDescent="0.25">
      <c r="A707" s="10" t="s">
        <v>6320</v>
      </c>
      <c r="B707" s="10" t="s">
        <v>6245</v>
      </c>
      <c r="C707" s="10" t="s">
        <v>166</v>
      </c>
      <c r="D707" s="10" t="s">
        <v>6321</v>
      </c>
      <c r="E707" s="8" t="s">
        <v>6322</v>
      </c>
      <c r="F707" s="8" t="s">
        <v>6323</v>
      </c>
      <c r="G707" s="10" t="s">
        <v>29</v>
      </c>
      <c r="H707" s="8" t="s">
        <v>6324</v>
      </c>
      <c r="I707" s="10" t="s">
        <v>6325</v>
      </c>
      <c r="J707" s="8" t="s">
        <v>2769</v>
      </c>
      <c r="K707" s="8" t="s">
        <v>29</v>
      </c>
      <c r="L707" s="8" t="s">
        <v>29</v>
      </c>
      <c r="M707" s="10" t="s">
        <v>29</v>
      </c>
      <c r="N707" s="8" t="s">
        <v>29</v>
      </c>
      <c r="O707" s="10" t="s">
        <v>19</v>
      </c>
      <c r="P707" s="8" t="s">
        <v>6326</v>
      </c>
      <c r="Q707" s="10" t="s">
        <v>174</v>
      </c>
      <c r="R707" s="10" t="s">
        <v>1387</v>
      </c>
      <c r="S707" s="8" t="s">
        <v>6327</v>
      </c>
      <c r="T707" s="10" t="s">
        <v>6253</v>
      </c>
      <c r="U707" s="10" t="s">
        <v>29</v>
      </c>
    </row>
    <row r="708" spans="1:21" s="10" customFormat="1" x14ac:dyDescent="0.25">
      <c r="A708" s="10" t="s">
        <v>6328</v>
      </c>
      <c r="B708" s="10" t="s">
        <v>6245</v>
      </c>
      <c r="C708" s="11" t="s">
        <v>297</v>
      </c>
      <c r="D708" s="10" t="s">
        <v>6329</v>
      </c>
      <c r="E708" s="8" t="s">
        <v>6330</v>
      </c>
      <c r="F708" s="8" t="s">
        <v>6331</v>
      </c>
      <c r="G708" s="10" t="s">
        <v>29</v>
      </c>
      <c r="H708" s="8" t="s">
        <v>6332</v>
      </c>
      <c r="I708" s="10" t="s">
        <v>6333</v>
      </c>
      <c r="J708" s="8" t="s">
        <v>2769</v>
      </c>
      <c r="K708" s="8" t="s">
        <v>29</v>
      </c>
      <c r="L708" s="8" t="s">
        <v>29</v>
      </c>
      <c r="M708" s="10" t="s">
        <v>29</v>
      </c>
      <c r="N708" s="8" t="s">
        <v>29</v>
      </c>
      <c r="O708" s="10" t="s">
        <v>19</v>
      </c>
      <c r="P708" s="8" t="s">
        <v>6334</v>
      </c>
      <c r="Q708" s="10" t="s">
        <v>174</v>
      </c>
      <c r="R708" s="10" t="s">
        <v>1387</v>
      </c>
      <c r="S708" s="8" t="s">
        <v>6335</v>
      </c>
      <c r="T708" s="10" t="s">
        <v>6253</v>
      </c>
      <c r="U708" s="10" t="s">
        <v>29</v>
      </c>
    </row>
    <row r="709" spans="1:21" s="10" customFormat="1" x14ac:dyDescent="0.25">
      <c r="A709" s="10" t="s">
        <v>6336</v>
      </c>
      <c r="B709" s="10" t="s">
        <v>6245</v>
      </c>
      <c r="C709" s="10" t="s">
        <v>166</v>
      </c>
      <c r="D709" s="10" t="s">
        <v>6337</v>
      </c>
      <c r="E709" s="8" t="s">
        <v>6338</v>
      </c>
      <c r="F709" s="8" t="s">
        <v>6339</v>
      </c>
      <c r="G709" s="10" t="s">
        <v>29</v>
      </c>
      <c r="H709" s="8" t="s">
        <v>6340</v>
      </c>
      <c r="I709" s="10" t="s">
        <v>2825</v>
      </c>
      <c r="J709" s="8" t="s">
        <v>2769</v>
      </c>
      <c r="K709" s="8" t="s">
        <v>29</v>
      </c>
      <c r="L709" s="8" t="s">
        <v>29</v>
      </c>
      <c r="M709" s="10" t="s">
        <v>29</v>
      </c>
      <c r="N709" s="8" t="s">
        <v>29</v>
      </c>
      <c r="O709" s="10" t="s">
        <v>19</v>
      </c>
      <c r="P709" s="8" t="s">
        <v>6341</v>
      </c>
      <c r="Q709" s="10" t="s">
        <v>174</v>
      </c>
      <c r="R709" s="10" t="s">
        <v>1387</v>
      </c>
      <c r="S709" s="8" t="s">
        <v>6342</v>
      </c>
      <c r="T709" s="10" t="s">
        <v>6253</v>
      </c>
      <c r="U709" s="10" t="s">
        <v>29</v>
      </c>
    </row>
    <row r="710" spans="1:21" s="10" customFormat="1" x14ac:dyDescent="0.25">
      <c r="A710" s="10" t="s">
        <v>6343</v>
      </c>
      <c r="B710" s="10" t="s">
        <v>6245</v>
      </c>
      <c r="C710" s="10" t="s">
        <v>166</v>
      </c>
      <c r="D710" s="10" t="s">
        <v>6344</v>
      </c>
      <c r="E710" s="8" t="s">
        <v>6345</v>
      </c>
      <c r="F710" s="8" t="s">
        <v>6346</v>
      </c>
      <c r="G710" s="10" t="s">
        <v>29</v>
      </c>
      <c r="H710" s="8" t="s">
        <v>6347</v>
      </c>
      <c r="I710" s="10" t="s">
        <v>430</v>
      </c>
      <c r="J710" s="8" t="s">
        <v>2769</v>
      </c>
      <c r="K710" s="8" t="s">
        <v>29</v>
      </c>
      <c r="L710" s="8" t="s">
        <v>29</v>
      </c>
      <c r="M710" s="10" t="s">
        <v>29</v>
      </c>
      <c r="N710" s="8" t="s">
        <v>29</v>
      </c>
      <c r="O710" s="10" t="s">
        <v>19</v>
      </c>
      <c r="P710" s="8" t="s">
        <v>6348</v>
      </c>
      <c r="Q710" s="10" t="s">
        <v>190</v>
      </c>
      <c r="R710" s="10" t="s">
        <v>1387</v>
      </c>
      <c r="S710" s="8" t="s">
        <v>6349</v>
      </c>
      <c r="T710" s="10" t="s">
        <v>6253</v>
      </c>
      <c r="U710" s="10" t="s">
        <v>29</v>
      </c>
    </row>
    <row r="711" spans="1:21" s="10" customFormat="1" x14ac:dyDescent="0.25">
      <c r="A711" s="10" t="s">
        <v>6350</v>
      </c>
      <c r="B711" s="10" t="s">
        <v>6245</v>
      </c>
      <c r="C711" s="10" t="s">
        <v>166</v>
      </c>
      <c r="D711" s="10" t="s">
        <v>6351</v>
      </c>
      <c r="E711" s="8" t="s">
        <v>6352</v>
      </c>
      <c r="F711" s="8" t="s">
        <v>6353</v>
      </c>
      <c r="G711" s="10" t="s">
        <v>29</v>
      </c>
      <c r="H711" s="8" t="s">
        <v>6332</v>
      </c>
      <c r="I711" s="10" t="s">
        <v>430</v>
      </c>
      <c r="J711" s="8" t="s">
        <v>2769</v>
      </c>
      <c r="K711" s="8" t="s">
        <v>29</v>
      </c>
      <c r="L711" s="8" t="s">
        <v>29</v>
      </c>
      <c r="M711" s="10" t="s">
        <v>29</v>
      </c>
      <c r="N711" s="8" t="s">
        <v>29</v>
      </c>
      <c r="O711" s="10" t="s">
        <v>19</v>
      </c>
      <c r="P711" s="8" t="s">
        <v>6354</v>
      </c>
      <c r="Q711" s="10" t="s">
        <v>174</v>
      </c>
      <c r="R711" s="10" t="s">
        <v>1387</v>
      </c>
      <c r="S711" s="8" t="s">
        <v>6355</v>
      </c>
      <c r="T711" s="10" t="s">
        <v>6253</v>
      </c>
      <c r="U711" s="10" t="s">
        <v>29</v>
      </c>
    </row>
    <row r="712" spans="1:21" s="10" customFormat="1" x14ac:dyDescent="0.25">
      <c r="A712" s="10" t="s">
        <v>6356</v>
      </c>
      <c r="B712" s="10" t="s">
        <v>6245</v>
      </c>
      <c r="C712" s="10" t="s">
        <v>166</v>
      </c>
      <c r="D712" s="10" t="s">
        <v>6357</v>
      </c>
      <c r="E712" s="8" t="s">
        <v>6358</v>
      </c>
      <c r="F712" s="8" t="s">
        <v>6359</v>
      </c>
      <c r="G712" s="10" t="s">
        <v>29</v>
      </c>
      <c r="H712" s="8" t="s">
        <v>6360</v>
      </c>
      <c r="I712" s="10" t="s">
        <v>3757</v>
      </c>
      <c r="J712" s="8" t="s">
        <v>2769</v>
      </c>
      <c r="K712" s="8" t="s">
        <v>29</v>
      </c>
      <c r="L712" s="8" t="s">
        <v>29</v>
      </c>
      <c r="M712" s="10" t="s">
        <v>29</v>
      </c>
      <c r="N712" s="8" t="s">
        <v>29</v>
      </c>
      <c r="O712" s="10" t="s">
        <v>19</v>
      </c>
      <c r="P712" s="8" t="s">
        <v>6361</v>
      </c>
      <c r="Q712" s="10" t="s">
        <v>174</v>
      </c>
      <c r="R712" s="10" t="s">
        <v>1387</v>
      </c>
      <c r="S712" s="8" t="s">
        <v>6362</v>
      </c>
      <c r="T712" s="10" t="s">
        <v>6253</v>
      </c>
      <c r="U712" s="10" t="s">
        <v>29</v>
      </c>
    </row>
    <row r="713" spans="1:21" s="10" customFormat="1" x14ac:dyDescent="0.25">
      <c r="A713" s="10" t="s">
        <v>6363</v>
      </c>
      <c r="B713" s="10" t="s">
        <v>6245</v>
      </c>
      <c r="C713" s="11" t="s">
        <v>297</v>
      </c>
      <c r="D713" s="10" t="s">
        <v>6364</v>
      </c>
      <c r="E713" s="8" t="s">
        <v>6365</v>
      </c>
      <c r="F713" s="8" t="s">
        <v>6366</v>
      </c>
      <c r="G713" s="10" t="s">
        <v>29</v>
      </c>
      <c r="H713" s="8" t="s">
        <v>6332</v>
      </c>
      <c r="I713" s="10" t="s">
        <v>6333</v>
      </c>
      <c r="J713" s="8" t="s">
        <v>2769</v>
      </c>
      <c r="K713" s="8" t="s">
        <v>29</v>
      </c>
      <c r="L713" s="8" t="s">
        <v>29</v>
      </c>
      <c r="M713" s="10" t="s">
        <v>29</v>
      </c>
      <c r="N713" s="8" t="s">
        <v>29</v>
      </c>
      <c r="O713" s="10" t="s">
        <v>19</v>
      </c>
      <c r="P713" s="8" t="s">
        <v>6367</v>
      </c>
      <c r="Q713" s="10" t="s">
        <v>1399</v>
      </c>
      <c r="R713" s="10" t="s">
        <v>1387</v>
      </c>
      <c r="S713" s="8" t="s">
        <v>6368</v>
      </c>
      <c r="T713" s="10" t="s">
        <v>6253</v>
      </c>
      <c r="U713" s="10" t="s">
        <v>29</v>
      </c>
    </row>
    <row r="714" spans="1:21" s="10" customFormat="1" x14ac:dyDescent="0.25">
      <c r="A714" s="10" t="s">
        <v>6369</v>
      </c>
      <c r="B714" s="10" t="s">
        <v>6245</v>
      </c>
      <c r="C714" s="10" t="s">
        <v>166</v>
      </c>
      <c r="D714" s="10" t="s">
        <v>6370</v>
      </c>
      <c r="E714" s="8" t="s">
        <v>6371</v>
      </c>
      <c r="F714" s="8" t="s">
        <v>6372</v>
      </c>
      <c r="G714" s="10" t="s">
        <v>29</v>
      </c>
      <c r="H714" s="8" t="s">
        <v>6332</v>
      </c>
      <c r="I714" s="10" t="s">
        <v>430</v>
      </c>
      <c r="J714" s="8" t="s">
        <v>2769</v>
      </c>
      <c r="K714" s="8" t="s">
        <v>29</v>
      </c>
      <c r="L714" s="8" t="s">
        <v>29</v>
      </c>
      <c r="M714" s="10" t="s">
        <v>29</v>
      </c>
      <c r="N714" s="8" t="s">
        <v>29</v>
      </c>
      <c r="O714" s="10" t="s">
        <v>19</v>
      </c>
      <c r="P714" s="8" t="s">
        <v>6373</v>
      </c>
      <c r="Q714" s="10" t="s">
        <v>174</v>
      </c>
      <c r="R714" s="10" t="s">
        <v>1387</v>
      </c>
      <c r="S714" s="8" t="s">
        <v>6374</v>
      </c>
      <c r="T714" s="10" t="s">
        <v>6253</v>
      </c>
      <c r="U714" s="10" t="s">
        <v>29</v>
      </c>
    </row>
    <row r="715" spans="1:21" s="10" customFormat="1" x14ac:dyDescent="0.25">
      <c r="A715" s="10" t="s">
        <v>6375</v>
      </c>
      <c r="B715" s="10" t="s">
        <v>6245</v>
      </c>
      <c r="C715" s="11" t="s">
        <v>297</v>
      </c>
      <c r="D715" s="10" t="s">
        <v>6376</v>
      </c>
      <c r="E715" s="8" t="s">
        <v>6377</v>
      </c>
      <c r="F715" s="8" t="s">
        <v>6378</v>
      </c>
      <c r="G715" s="10" t="s">
        <v>29</v>
      </c>
      <c r="H715" s="8" t="s">
        <v>1604</v>
      </c>
      <c r="I715" s="10" t="s">
        <v>6379</v>
      </c>
      <c r="J715" s="8" t="s">
        <v>1606</v>
      </c>
      <c r="K715" s="8" t="s">
        <v>29</v>
      </c>
      <c r="L715" s="8" t="s">
        <v>29</v>
      </c>
      <c r="M715" s="10" t="s">
        <v>29</v>
      </c>
      <c r="N715" s="8" t="s">
        <v>29</v>
      </c>
      <c r="O715" s="10" t="s">
        <v>19</v>
      </c>
      <c r="P715" s="8" t="s">
        <v>6380</v>
      </c>
      <c r="Q715" s="10" t="s">
        <v>1399</v>
      </c>
      <c r="R715" s="10" t="s">
        <v>1608</v>
      </c>
      <c r="S715" s="8" t="s">
        <v>2115</v>
      </c>
      <c r="T715" s="10" t="s">
        <v>6253</v>
      </c>
      <c r="U715" s="10" t="s">
        <v>29</v>
      </c>
    </row>
    <row r="716" spans="1:21" s="10" customFormat="1" x14ac:dyDescent="0.25">
      <c r="A716" s="10" t="s">
        <v>6381</v>
      </c>
      <c r="B716" s="10" t="s">
        <v>6245</v>
      </c>
      <c r="C716" s="10" t="s">
        <v>166</v>
      </c>
      <c r="D716" s="10" t="s">
        <v>6382</v>
      </c>
      <c r="E716" s="8" t="s">
        <v>6383</v>
      </c>
      <c r="F716" s="8" t="s">
        <v>1613</v>
      </c>
      <c r="G716" s="10" t="s">
        <v>29</v>
      </c>
      <c r="H716" s="8" t="s">
        <v>1614</v>
      </c>
      <c r="I716" s="10" t="s">
        <v>2825</v>
      </c>
      <c r="J716" s="8" t="s">
        <v>1615</v>
      </c>
      <c r="K716" s="8" t="s">
        <v>29</v>
      </c>
      <c r="L716" s="8" t="s">
        <v>29</v>
      </c>
      <c r="M716" s="10" t="s">
        <v>29</v>
      </c>
      <c r="N716" s="8" t="s">
        <v>29</v>
      </c>
      <c r="O716" s="10" t="s">
        <v>19</v>
      </c>
      <c r="P716" s="8" t="s">
        <v>6384</v>
      </c>
      <c r="Q716" s="10" t="s">
        <v>776</v>
      </c>
      <c r="R716" s="10" t="s">
        <v>1617</v>
      </c>
      <c r="S716" s="8" t="s">
        <v>1618</v>
      </c>
      <c r="T716" s="10" t="s">
        <v>6253</v>
      </c>
      <c r="U716" s="10" t="s">
        <v>29</v>
      </c>
    </row>
    <row r="717" spans="1:21" s="10" customFormat="1" x14ac:dyDescent="0.25">
      <c r="A717" s="10" t="s">
        <v>6385</v>
      </c>
      <c r="B717" s="10" t="s">
        <v>6245</v>
      </c>
      <c r="C717" s="10" t="s">
        <v>166</v>
      </c>
      <c r="D717" s="10" t="s">
        <v>6386</v>
      </c>
      <c r="E717" s="8" t="s">
        <v>6387</v>
      </c>
      <c r="F717" s="8" t="s">
        <v>6388</v>
      </c>
      <c r="G717" s="10" t="s">
        <v>29</v>
      </c>
      <c r="H717" s="8" t="s">
        <v>6389</v>
      </c>
      <c r="I717" s="10" t="s">
        <v>2825</v>
      </c>
      <c r="J717" s="8" t="s">
        <v>2769</v>
      </c>
      <c r="K717" s="8" t="s">
        <v>29</v>
      </c>
      <c r="L717" s="8" t="s">
        <v>29</v>
      </c>
      <c r="M717" s="10" t="s">
        <v>29</v>
      </c>
      <c r="N717" s="8" t="s">
        <v>29</v>
      </c>
      <c r="O717" s="10" t="s">
        <v>19</v>
      </c>
      <c r="P717" s="8" t="s">
        <v>6390</v>
      </c>
      <c r="Q717" s="10" t="s">
        <v>197</v>
      </c>
      <c r="R717" s="10" t="s">
        <v>1387</v>
      </c>
      <c r="S717" s="8" t="s">
        <v>6391</v>
      </c>
      <c r="T717" s="10" t="s">
        <v>6253</v>
      </c>
      <c r="U717" s="10" t="s">
        <v>29</v>
      </c>
    </row>
    <row r="718" spans="1:21" s="10" customFormat="1" x14ac:dyDescent="0.25">
      <c r="A718" s="10" t="s">
        <v>6392</v>
      </c>
      <c r="B718" s="10" t="s">
        <v>6245</v>
      </c>
      <c r="C718" s="10" t="s">
        <v>166</v>
      </c>
      <c r="D718" s="10" t="s">
        <v>6393</v>
      </c>
      <c r="E718" s="8" t="s">
        <v>6394</v>
      </c>
      <c r="F718" s="8" t="s">
        <v>6395</v>
      </c>
      <c r="G718" s="10" t="s">
        <v>29</v>
      </c>
      <c r="H718" s="8" t="s">
        <v>6332</v>
      </c>
      <c r="I718" s="10" t="s">
        <v>430</v>
      </c>
      <c r="J718" s="8" t="s">
        <v>2769</v>
      </c>
      <c r="K718" s="8" t="s">
        <v>29</v>
      </c>
      <c r="L718" s="8" t="s">
        <v>29</v>
      </c>
      <c r="M718" s="10" t="s">
        <v>29</v>
      </c>
      <c r="N718" s="8" t="s">
        <v>29</v>
      </c>
      <c r="O718" s="10" t="s">
        <v>19</v>
      </c>
      <c r="P718" s="8" t="s">
        <v>6396</v>
      </c>
      <c r="Q718" s="10" t="s">
        <v>174</v>
      </c>
      <c r="R718" s="10" t="s">
        <v>1387</v>
      </c>
      <c r="S718" s="8" t="s">
        <v>1599</v>
      </c>
      <c r="T718" s="10" t="s">
        <v>6253</v>
      </c>
      <c r="U718" s="10" t="s">
        <v>29</v>
      </c>
    </row>
    <row r="719" spans="1:21" s="10" customFormat="1" x14ac:dyDescent="0.25">
      <c r="A719" s="10" t="s">
        <v>6397</v>
      </c>
      <c r="B719" s="10" t="s">
        <v>6245</v>
      </c>
      <c r="C719" s="10" t="s">
        <v>166</v>
      </c>
      <c r="D719" s="10" t="s">
        <v>6398</v>
      </c>
      <c r="E719" s="8" t="s">
        <v>6399</v>
      </c>
      <c r="F719" s="8" t="s">
        <v>6400</v>
      </c>
      <c r="G719" s="10" t="s">
        <v>29</v>
      </c>
      <c r="H719" s="8" t="s">
        <v>6401</v>
      </c>
      <c r="I719" s="10" t="s">
        <v>6402</v>
      </c>
      <c r="J719" s="8" t="s">
        <v>2769</v>
      </c>
      <c r="K719" s="8" t="s">
        <v>29</v>
      </c>
      <c r="L719" s="8" t="s">
        <v>29</v>
      </c>
      <c r="M719" s="10" t="s">
        <v>29</v>
      </c>
      <c r="N719" s="8" t="s">
        <v>29</v>
      </c>
      <c r="O719" s="10" t="s">
        <v>19</v>
      </c>
      <c r="P719" s="8" t="s">
        <v>6403</v>
      </c>
      <c r="Q719" s="10" t="s">
        <v>174</v>
      </c>
      <c r="R719" s="10" t="s">
        <v>1387</v>
      </c>
      <c r="S719" s="8" t="s">
        <v>6404</v>
      </c>
      <c r="T719" s="10" t="s">
        <v>6253</v>
      </c>
      <c r="U719" s="10" t="s">
        <v>29</v>
      </c>
    </row>
    <row r="720" spans="1:21" s="10" customFormat="1" x14ac:dyDescent="0.25">
      <c r="A720" s="10" t="s">
        <v>6405</v>
      </c>
      <c r="B720" s="10" t="s">
        <v>6245</v>
      </c>
      <c r="C720" s="11" t="s">
        <v>297</v>
      </c>
      <c r="D720" s="10" t="s">
        <v>6406</v>
      </c>
      <c r="E720" s="8" t="s">
        <v>6407</v>
      </c>
      <c r="F720" s="8" t="s">
        <v>6408</v>
      </c>
      <c r="G720" s="10" t="s">
        <v>29</v>
      </c>
      <c r="H720" s="8" t="s">
        <v>6409</v>
      </c>
      <c r="I720" s="10" t="s">
        <v>6333</v>
      </c>
      <c r="J720" s="8" t="s">
        <v>2769</v>
      </c>
      <c r="K720" s="8" t="s">
        <v>29</v>
      </c>
      <c r="L720" s="8" t="s">
        <v>29</v>
      </c>
      <c r="M720" s="10" t="s">
        <v>29</v>
      </c>
      <c r="N720" s="8" t="s">
        <v>29</v>
      </c>
      <c r="O720" s="10" t="s">
        <v>19</v>
      </c>
      <c r="P720" s="8" t="s">
        <v>6410</v>
      </c>
      <c r="Q720" s="10" t="s">
        <v>174</v>
      </c>
      <c r="R720" s="10" t="s">
        <v>1387</v>
      </c>
      <c r="S720" s="8" t="s">
        <v>6411</v>
      </c>
      <c r="T720" s="10" t="s">
        <v>6253</v>
      </c>
      <c r="U720" s="10" t="s">
        <v>29</v>
      </c>
    </row>
    <row r="721" spans="1:21" s="10" customFormat="1" x14ac:dyDescent="0.25">
      <c r="A721" s="10" t="s">
        <v>6412</v>
      </c>
      <c r="B721" s="10" t="s">
        <v>6245</v>
      </c>
      <c r="C721" s="11" t="s">
        <v>297</v>
      </c>
      <c r="D721" s="10" t="s">
        <v>6413</v>
      </c>
      <c r="E721" s="8" t="s">
        <v>6414</v>
      </c>
      <c r="F721" s="8" t="s">
        <v>6415</v>
      </c>
      <c r="G721" s="10" t="s">
        <v>29</v>
      </c>
      <c r="H721" s="8" t="s">
        <v>6416</v>
      </c>
      <c r="I721" s="10" t="s">
        <v>6402</v>
      </c>
      <c r="J721" s="8" t="s">
        <v>2769</v>
      </c>
      <c r="K721" s="8" t="s">
        <v>29</v>
      </c>
      <c r="L721" s="8" t="s">
        <v>29</v>
      </c>
      <c r="M721" s="10" t="s">
        <v>29</v>
      </c>
      <c r="N721" s="8" t="s">
        <v>29</v>
      </c>
      <c r="O721" s="10" t="s">
        <v>19</v>
      </c>
      <c r="P721" s="8" t="s">
        <v>6417</v>
      </c>
      <c r="Q721" s="10" t="s">
        <v>174</v>
      </c>
      <c r="R721" s="10" t="s">
        <v>1387</v>
      </c>
      <c r="S721" s="8" t="s">
        <v>6418</v>
      </c>
      <c r="T721" s="10" t="s">
        <v>6253</v>
      </c>
      <c r="U721" s="10" t="s">
        <v>29</v>
      </c>
    </row>
    <row r="722" spans="1:21" s="10" customFormat="1" x14ac:dyDescent="0.25">
      <c r="A722" s="10" t="s">
        <v>6419</v>
      </c>
      <c r="B722" s="10" t="s">
        <v>6245</v>
      </c>
      <c r="C722" s="11" t="s">
        <v>297</v>
      </c>
      <c r="D722" s="10" t="s">
        <v>6420</v>
      </c>
      <c r="E722" s="8" t="s">
        <v>6421</v>
      </c>
      <c r="F722" s="8" t="s">
        <v>6422</v>
      </c>
      <c r="G722" s="10" t="s">
        <v>29</v>
      </c>
      <c r="H722" s="8" t="s">
        <v>6423</v>
      </c>
      <c r="I722" s="10" t="s">
        <v>6333</v>
      </c>
      <c r="J722" s="8" t="s">
        <v>6424</v>
      </c>
      <c r="K722" s="8" t="s">
        <v>29</v>
      </c>
      <c r="L722" s="8" t="s">
        <v>29</v>
      </c>
      <c r="M722" s="10" t="s">
        <v>29</v>
      </c>
      <c r="N722" s="8" t="s">
        <v>29</v>
      </c>
      <c r="O722" s="10" t="s">
        <v>19</v>
      </c>
      <c r="P722" s="8" t="s">
        <v>6425</v>
      </c>
      <c r="Q722" s="10" t="s">
        <v>1399</v>
      </c>
      <c r="R722" s="10" t="s">
        <v>1387</v>
      </c>
      <c r="S722" s="8" t="s">
        <v>6426</v>
      </c>
      <c r="T722" s="10" t="s">
        <v>6253</v>
      </c>
      <c r="U722" s="10" t="s">
        <v>29</v>
      </c>
    </row>
    <row r="723" spans="1:21" s="10" customFormat="1" x14ac:dyDescent="0.25">
      <c r="A723" s="10" t="s">
        <v>6427</v>
      </c>
      <c r="B723" s="10" t="s">
        <v>6245</v>
      </c>
      <c r="C723" s="11" t="s">
        <v>297</v>
      </c>
      <c r="D723" s="10" t="s">
        <v>6428</v>
      </c>
      <c r="E723" s="8" t="s">
        <v>6429</v>
      </c>
      <c r="F723" s="8" t="s">
        <v>6430</v>
      </c>
      <c r="G723" s="10" t="s">
        <v>29</v>
      </c>
      <c r="H723" s="8" t="s">
        <v>6416</v>
      </c>
      <c r="I723" s="10" t="s">
        <v>6402</v>
      </c>
      <c r="J723" s="8" t="s">
        <v>6424</v>
      </c>
      <c r="K723" s="8" t="s">
        <v>29</v>
      </c>
      <c r="L723" s="8" t="s">
        <v>29</v>
      </c>
      <c r="M723" s="10" t="s">
        <v>29</v>
      </c>
      <c r="N723" s="8" t="s">
        <v>29</v>
      </c>
      <c r="O723" s="10" t="s">
        <v>19</v>
      </c>
      <c r="P723" s="8" t="s">
        <v>6431</v>
      </c>
      <c r="Q723" s="10" t="s">
        <v>1399</v>
      </c>
      <c r="R723" s="10" t="s">
        <v>1387</v>
      </c>
      <c r="S723" s="8" t="s">
        <v>6432</v>
      </c>
      <c r="T723" s="10" t="s">
        <v>6253</v>
      </c>
      <c r="U723" s="10" t="s">
        <v>29</v>
      </c>
    </row>
    <row r="724" spans="1:21" s="10" customFormat="1" x14ac:dyDescent="0.25">
      <c r="A724" s="10" t="s">
        <v>6433</v>
      </c>
      <c r="B724" s="10" t="s">
        <v>6245</v>
      </c>
      <c r="C724" s="11" t="s">
        <v>297</v>
      </c>
      <c r="D724" s="10" t="s">
        <v>6434</v>
      </c>
      <c r="E724" s="8" t="s">
        <v>6435</v>
      </c>
      <c r="F724" s="8" t="s">
        <v>6436</v>
      </c>
      <c r="G724" s="10" t="s">
        <v>29</v>
      </c>
      <c r="H724" s="8" t="s">
        <v>6437</v>
      </c>
      <c r="I724" s="10" t="s">
        <v>6438</v>
      </c>
      <c r="J724" s="8" t="s">
        <v>6439</v>
      </c>
      <c r="K724" s="8" t="s">
        <v>29</v>
      </c>
      <c r="L724" s="8" t="s">
        <v>29</v>
      </c>
      <c r="M724" s="10" t="s">
        <v>29</v>
      </c>
      <c r="N724" s="8" t="s">
        <v>29</v>
      </c>
      <c r="O724" s="10" t="s">
        <v>19</v>
      </c>
      <c r="P724" s="8" t="s">
        <v>6440</v>
      </c>
      <c r="Q724" s="10" t="s">
        <v>1399</v>
      </c>
      <c r="R724" s="10" t="s">
        <v>1387</v>
      </c>
      <c r="S724" s="8" t="s">
        <v>6441</v>
      </c>
      <c r="T724" s="10" t="s">
        <v>6253</v>
      </c>
      <c r="U724" s="10" t="s">
        <v>29</v>
      </c>
    </row>
    <row r="725" spans="1:21" s="10" customFormat="1" x14ac:dyDescent="0.25">
      <c r="A725" s="10" t="s">
        <v>6442</v>
      </c>
      <c r="B725" s="10" t="s">
        <v>6245</v>
      </c>
      <c r="C725" s="10" t="s">
        <v>166</v>
      </c>
      <c r="D725" s="10" t="s">
        <v>6443</v>
      </c>
      <c r="E725" s="8" t="s">
        <v>6444</v>
      </c>
      <c r="F725" s="8" t="s">
        <v>6445</v>
      </c>
      <c r="G725" s="10" t="s">
        <v>29</v>
      </c>
      <c r="H725" s="8" t="s">
        <v>6446</v>
      </c>
      <c r="I725" s="10" t="s">
        <v>6447</v>
      </c>
      <c r="J725" s="8" t="s">
        <v>2769</v>
      </c>
      <c r="K725" s="8" t="s">
        <v>29</v>
      </c>
      <c r="L725" s="8" t="s">
        <v>29</v>
      </c>
      <c r="M725" s="10" t="s">
        <v>29</v>
      </c>
      <c r="N725" s="8" t="s">
        <v>29</v>
      </c>
      <c r="O725" s="10" t="s">
        <v>19</v>
      </c>
      <c r="P725" s="8" t="s">
        <v>6448</v>
      </c>
      <c r="Q725" s="10" t="s">
        <v>174</v>
      </c>
      <c r="R725" s="10" t="s">
        <v>1387</v>
      </c>
      <c r="S725" s="8" t="s">
        <v>6449</v>
      </c>
      <c r="T725" s="10" t="s">
        <v>6253</v>
      </c>
      <c r="U725" s="10" t="s">
        <v>29</v>
      </c>
    </row>
    <row r="726" spans="1:21" s="10" customFormat="1" x14ac:dyDescent="0.25">
      <c r="A726" s="10" t="s">
        <v>6450</v>
      </c>
      <c r="B726" s="10" t="s">
        <v>6245</v>
      </c>
      <c r="C726" s="11" t="s">
        <v>297</v>
      </c>
      <c r="D726" s="10" t="s">
        <v>6451</v>
      </c>
      <c r="E726" s="8" t="s">
        <v>6452</v>
      </c>
      <c r="F726" s="8" t="s">
        <v>6453</v>
      </c>
      <c r="G726" s="10" t="s">
        <v>29</v>
      </c>
      <c r="H726" s="8" t="s">
        <v>6454</v>
      </c>
      <c r="I726" s="10" t="s">
        <v>6455</v>
      </c>
      <c r="J726" s="8" t="s">
        <v>2769</v>
      </c>
      <c r="K726" s="8" t="s">
        <v>29</v>
      </c>
      <c r="L726" s="8" t="s">
        <v>29</v>
      </c>
      <c r="M726" s="10" t="s">
        <v>29</v>
      </c>
      <c r="N726" s="8" t="s">
        <v>29</v>
      </c>
      <c r="O726" s="10" t="s">
        <v>19</v>
      </c>
      <c r="P726" s="8" t="s">
        <v>6456</v>
      </c>
      <c r="Q726" s="10" t="s">
        <v>174</v>
      </c>
      <c r="R726" s="10" t="s">
        <v>1387</v>
      </c>
      <c r="S726" s="8" t="s">
        <v>6457</v>
      </c>
      <c r="T726" s="10" t="s">
        <v>6253</v>
      </c>
      <c r="U726" s="10" t="s">
        <v>29</v>
      </c>
    </row>
    <row r="727" spans="1:21" s="10" customFormat="1" x14ac:dyDescent="0.25">
      <c r="A727" s="10" t="s">
        <v>6458</v>
      </c>
      <c r="B727" s="10" t="s">
        <v>6245</v>
      </c>
      <c r="C727" s="11" t="s">
        <v>297</v>
      </c>
      <c r="D727" s="10" t="s">
        <v>6459</v>
      </c>
      <c r="E727" s="8" t="s">
        <v>6460</v>
      </c>
      <c r="F727" s="8" t="s">
        <v>6461</v>
      </c>
      <c r="G727" s="10" t="s">
        <v>29</v>
      </c>
      <c r="H727" s="8" t="s">
        <v>6462</v>
      </c>
      <c r="I727" s="10" t="s">
        <v>6455</v>
      </c>
      <c r="J727" s="8" t="s">
        <v>6463</v>
      </c>
      <c r="K727" s="8" t="s">
        <v>29</v>
      </c>
      <c r="L727" s="8" t="s">
        <v>29</v>
      </c>
      <c r="M727" s="10" t="s">
        <v>29</v>
      </c>
      <c r="N727" s="8" t="s">
        <v>29</v>
      </c>
      <c r="O727" s="10" t="s">
        <v>19</v>
      </c>
      <c r="P727" s="8" t="s">
        <v>6464</v>
      </c>
      <c r="Q727" s="10" t="s">
        <v>1399</v>
      </c>
      <c r="R727" s="10" t="s">
        <v>1387</v>
      </c>
      <c r="S727" s="8" t="s">
        <v>6465</v>
      </c>
      <c r="T727" s="10" t="s">
        <v>6253</v>
      </c>
      <c r="U727" s="10" t="s">
        <v>29</v>
      </c>
    </row>
    <row r="728" spans="1:21" s="10" customFormat="1" x14ac:dyDescent="0.25">
      <c r="A728" s="10" t="s">
        <v>6466</v>
      </c>
      <c r="B728" s="10" t="s">
        <v>6245</v>
      </c>
      <c r="C728" s="10" t="s">
        <v>166</v>
      </c>
      <c r="D728" s="10" t="s">
        <v>6467</v>
      </c>
      <c r="E728" s="8" t="s">
        <v>6468</v>
      </c>
      <c r="F728" s="8" t="s">
        <v>6469</v>
      </c>
      <c r="G728" s="10" t="s">
        <v>29</v>
      </c>
      <c r="H728" s="8" t="s">
        <v>6416</v>
      </c>
      <c r="I728" s="10" t="s">
        <v>6333</v>
      </c>
      <c r="J728" s="8" t="s">
        <v>2769</v>
      </c>
      <c r="K728" s="8" t="s">
        <v>29</v>
      </c>
      <c r="L728" s="8" t="s">
        <v>29</v>
      </c>
      <c r="M728" s="10" t="s">
        <v>29</v>
      </c>
      <c r="N728" s="8" t="s">
        <v>29</v>
      </c>
      <c r="O728" s="10" t="s">
        <v>19</v>
      </c>
      <c r="P728" s="8" t="s">
        <v>6470</v>
      </c>
      <c r="Q728" s="10" t="s">
        <v>174</v>
      </c>
      <c r="R728" s="10" t="s">
        <v>1387</v>
      </c>
      <c r="S728" s="8" t="s">
        <v>6471</v>
      </c>
      <c r="T728" s="10" t="s">
        <v>6253</v>
      </c>
      <c r="U728" s="10" t="s">
        <v>29</v>
      </c>
    </row>
    <row r="729" spans="1:21" s="10" customFormat="1" x14ac:dyDescent="0.25">
      <c r="A729" s="10" t="s">
        <v>6472</v>
      </c>
      <c r="B729" s="10" t="s">
        <v>6245</v>
      </c>
      <c r="C729" s="11" t="s">
        <v>297</v>
      </c>
      <c r="D729" s="10" t="s">
        <v>6473</v>
      </c>
      <c r="E729" s="8" t="s">
        <v>6474</v>
      </c>
      <c r="F729" s="8" t="s">
        <v>6475</v>
      </c>
      <c r="G729" s="10" t="s">
        <v>29</v>
      </c>
      <c r="H729" s="8" t="s">
        <v>1614</v>
      </c>
      <c r="I729" s="10" t="s">
        <v>6476</v>
      </c>
      <c r="J729" s="8" t="s">
        <v>1606</v>
      </c>
      <c r="K729" s="8" t="s">
        <v>29</v>
      </c>
      <c r="L729" s="8" t="s">
        <v>29</v>
      </c>
      <c r="M729" s="10" t="s">
        <v>29</v>
      </c>
      <c r="N729" s="8" t="s">
        <v>29</v>
      </c>
      <c r="O729" s="10" t="s">
        <v>19</v>
      </c>
      <c r="P729" s="8" t="s">
        <v>6477</v>
      </c>
      <c r="Q729" s="10" t="s">
        <v>190</v>
      </c>
      <c r="R729" s="10" t="s">
        <v>1617</v>
      </c>
      <c r="S729" s="8" t="s">
        <v>6478</v>
      </c>
      <c r="T729" s="10" t="s">
        <v>6253</v>
      </c>
      <c r="U729" s="10" t="s">
        <v>29</v>
      </c>
    </row>
    <row r="730" spans="1:21" s="10" customFormat="1" x14ac:dyDescent="0.25">
      <c r="A730" s="10" t="s">
        <v>6479</v>
      </c>
      <c r="B730" s="10" t="s">
        <v>6245</v>
      </c>
      <c r="C730" s="11" t="s">
        <v>297</v>
      </c>
      <c r="D730" s="10" t="s">
        <v>6480</v>
      </c>
      <c r="E730" s="8" t="s">
        <v>6481</v>
      </c>
      <c r="F730" s="8" t="s">
        <v>6482</v>
      </c>
      <c r="G730" s="10" t="s">
        <v>29</v>
      </c>
      <c r="H730" s="8" t="s">
        <v>1604</v>
      </c>
      <c r="I730" s="10" t="s">
        <v>6483</v>
      </c>
      <c r="J730" s="8" t="s">
        <v>1606</v>
      </c>
      <c r="K730" s="8" t="s">
        <v>29</v>
      </c>
      <c r="L730" s="8" t="s">
        <v>29</v>
      </c>
      <c r="M730" s="10" t="s">
        <v>29</v>
      </c>
      <c r="N730" s="8" t="s">
        <v>29</v>
      </c>
      <c r="O730" s="10" t="s">
        <v>19</v>
      </c>
      <c r="P730" s="8" t="s">
        <v>6484</v>
      </c>
      <c r="Q730" s="10" t="s">
        <v>1399</v>
      </c>
      <c r="R730" s="10" t="s">
        <v>1608</v>
      </c>
      <c r="S730" s="8" t="s">
        <v>1609</v>
      </c>
      <c r="T730" s="10" t="s">
        <v>6253</v>
      </c>
      <c r="U730" s="10" t="s">
        <v>29</v>
      </c>
    </row>
    <row r="731" spans="1:21" s="10" customFormat="1" x14ac:dyDescent="0.25">
      <c r="A731" s="10" t="s">
        <v>6485</v>
      </c>
      <c r="B731" s="10" t="s">
        <v>6245</v>
      </c>
      <c r="C731" s="11" t="s">
        <v>297</v>
      </c>
      <c r="D731" s="10" t="s">
        <v>6486</v>
      </c>
      <c r="E731" s="8" t="s">
        <v>6487</v>
      </c>
      <c r="F731" s="8" t="s">
        <v>1613</v>
      </c>
      <c r="G731" s="10" t="s">
        <v>29</v>
      </c>
      <c r="H731" s="8" t="s">
        <v>1614</v>
      </c>
      <c r="I731" s="10" t="s">
        <v>6333</v>
      </c>
      <c r="J731" s="8" t="s">
        <v>1615</v>
      </c>
      <c r="K731" s="8" t="s">
        <v>29</v>
      </c>
      <c r="L731" s="8" t="s">
        <v>29</v>
      </c>
      <c r="M731" s="10" t="s">
        <v>29</v>
      </c>
      <c r="N731" s="8" t="s">
        <v>29</v>
      </c>
      <c r="O731" s="10" t="s">
        <v>19</v>
      </c>
      <c r="P731" s="8" t="s">
        <v>6488</v>
      </c>
      <c r="Q731" s="10" t="s">
        <v>776</v>
      </c>
      <c r="R731" s="10" t="s">
        <v>1617</v>
      </c>
      <c r="S731" s="8" t="s">
        <v>1618</v>
      </c>
      <c r="T731" s="10" t="s">
        <v>6253</v>
      </c>
      <c r="U731" s="10" t="s">
        <v>29</v>
      </c>
    </row>
    <row r="732" spans="1:21" s="10" customFormat="1" x14ac:dyDescent="0.25">
      <c r="A732" s="10" t="s">
        <v>6489</v>
      </c>
      <c r="B732" s="10" t="s">
        <v>6245</v>
      </c>
      <c r="C732" s="10" t="s">
        <v>166</v>
      </c>
      <c r="D732" s="10" t="s">
        <v>6490</v>
      </c>
      <c r="E732" s="8" t="s">
        <v>6491</v>
      </c>
      <c r="F732" s="8" t="s">
        <v>5047</v>
      </c>
      <c r="G732" s="10" t="s">
        <v>29</v>
      </c>
      <c r="H732" s="8" t="s">
        <v>6416</v>
      </c>
      <c r="I732" s="10" t="s">
        <v>6492</v>
      </c>
      <c r="J732" s="8" t="s">
        <v>2769</v>
      </c>
      <c r="K732" s="8" t="s">
        <v>29</v>
      </c>
      <c r="L732" s="8" t="s">
        <v>29</v>
      </c>
      <c r="M732" s="10" t="s">
        <v>29</v>
      </c>
      <c r="N732" s="8" t="s">
        <v>29</v>
      </c>
      <c r="O732" s="10" t="s">
        <v>19</v>
      </c>
      <c r="P732" s="8" t="s">
        <v>6493</v>
      </c>
      <c r="Q732" s="10" t="s">
        <v>174</v>
      </c>
      <c r="R732" s="10" t="s">
        <v>1387</v>
      </c>
      <c r="S732" s="8" t="s">
        <v>1599</v>
      </c>
      <c r="T732" s="10" t="s">
        <v>6253</v>
      </c>
      <c r="U732" s="10" t="s">
        <v>29</v>
      </c>
    </row>
    <row r="733" spans="1:21" s="10" customFormat="1" x14ac:dyDescent="0.25">
      <c r="A733" s="10" t="s">
        <v>6494</v>
      </c>
      <c r="B733" s="10" t="s">
        <v>6245</v>
      </c>
      <c r="C733" s="10" t="s">
        <v>166</v>
      </c>
      <c r="D733" s="10" t="s">
        <v>6495</v>
      </c>
      <c r="E733" s="8" t="s">
        <v>6496</v>
      </c>
      <c r="F733" s="8" t="s">
        <v>6497</v>
      </c>
      <c r="G733" s="10" t="s">
        <v>29</v>
      </c>
      <c r="H733" s="8" t="s">
        <v>6498</v>
      </c>
      <c r="I733" s="10" t="s">
        <v>6499</v>
      </c>
      <c r="J733" s="8" t="s">
        <v>2769</v>
      </c>
      <c r="K733" s="8" t="s">
        <v>29</v>
      </c>
      <c r="L733" s="8" t="s">
        <v>29</v>
      </c>
      <c r="M733" s="10" t="s">
        <v>29</v>
      </c>
      <c r="N733" s="8" t="s">
        <v>29</v>
      </c>
      <c r="O733" s="10" t="s">
        <v>19</v>
      </c>
      <c r="P733" s="8" t="s">
        <v>6500</v>
      </c>
      <c r="Q733" s="10" t="s">
        <v>174</v>
      </c>
      <c r="R733" s="10" t="s">
        <v>1387</v>
      </c>
      <c r="S733" s="8" t="s">
        <v>6501</v>
      </c>
      <c r="T733" s="10" t="s">
        <v>6502</v>
      </c>
      <c r="U733" s="10" t="s">
        <v>29</v>
      </c>
    </row>
    <row r="734" spans="1:21" s="10" customFormat="1" x14ac:dyDescent="0.25">
      <c r="A734" s="10" t="s">
        <v>6503</v>
      </c>
      <c r="B734" s="10" t="s">
        <v>6245</v>
      </c>
      <c r="C734" s="11" t="s">
        <v>297</v>
      </c>
      <c r="D734" s="10" t="s">
        <v>6504</v>
      </c>
      <c r="E734" s="8" t="s">
        <v>6505</v>
      </c>
      <c r="F734" s="8" t="s">
        <v>6506</v>
      </c>
      <c r="G734" s="10" t="s">
        <v>29</v>
      </c>
      <c r="H734" s="8" t="s">
        <v>6507</v>
      </c>
      <c r="I734" s="10" t="s">
        <v>6508</v>
      </c>
      <c r="J734" s="8" t="s">
        <v>2769</v>
      </c>
      <c r="K734" s="8" t="s">
        <v>29</v>
      </c>
      <c r="L734" s="8" t="s">
        <v>29</v>
      </c>
      <c r="M734" s="10" t="s">
        <v>29</v>
      </c>
      <c r="N734" s="8" t="s">
        <v>29</v>
      </c>
      <c r="O734" s="10" t="s">
        <v>19</v>
      </c>
      <c r="P734" s="8" t="s">
        <v>6509</v>
      </c>
      <c r="Q734" s="10" t="s">
        <v>174</v>
      </c>
      <c r="R734" s="10" t="s">
        <v>1387</v>
      </c>
      <c r="S734" s="8" t="s">
        <v>6510</v>
      </c>
      <c r="T734" s="10" t="s">
        <v>6502</v>
      </c>
      <c r="U734" s="10" t="s">
        <v>29</v>
      </c>
    </row>
    <row r="735" spans="1:21" s="10" customFormat="1" x14ac:dyDescent="0.25">
      <c r="A735" s="10" t="s">
        <v>6511</v>
      </c>
      <c r="B735" s="10" t="s">
        <v>6245</v>
      </c>
      <c r="C735" s="11" t="s">
        <v>297</v>
      </c>
      <c r="D735" s="10" t="s">
        <v>6512</v>
      </c>
      <c r="E735" s="8" t="s">
        <v>6513</v>
      </c>
      <c r="F735" s="8" t="s">
        <v>6514</v>
      </c>
      <c r="G735" s="10" t="s">
        <v>29</v>
      </c>
      <c r="H735" s="8" t="s">
        <v>6515</v>
      </c>
      <c r="I735" s="10" t="s">
        <v>6516</v>
      </c>
      <c r="J735" s="8" t="s">
        <v>2769</v>
      </c>
      <c r="K735" s="8" t="s">
        <v>29</v>
      </c>
      <c r="L735" s="8" t="s">
        <v>29</v>
      </c>
      <c r="M735" s="10" t="s">
        <v>29</v>
      </c>
      <c r="N735" s="8" t="s">
        <v>29</v>
      </c>
      <c r="O735" s="10" t="s">
        <v>19</v>
      </c>
      <c r="P735" s="8" t="s">
        <v>6517</v>
      </c>
      <c r="Q735" s="10" t="s">
        <v>190</v>
      </c>
      <c r="R735" s="10" t="s">
        <v>1387</v>
      </c>
      <c r="S735" s="8" t="s">
        <v>4874</v>
      </c>
      <c r="T735" s="10" t="s">
        <v>6502</v>
      </c>
      <c r="U735" s="10" t="s">
        <v>29</v>
      </c>
    </row>
    <row r="736" spans="1:21" s="10" customFormat="1" x14ac:dyDescent="0.25">
      <c r="A736" s="10" t="s">
        <v>6518</v>
      </c>
      <c r="B736" s="10" t="s">
        <v>6245</v>
      </c>
      <c r="C736" s="10" t="s">
        <v>166</v>
      </c>
      <c r="D736" s="10" t="s">
        <v>6519</v>
      </c>
      <c r="E736" s="8" t="s">
        <v>6520</v>
      </c>
      <c r="F736" s="8" t="s">
        <v>6521</v>
      </c>
      <c r="G736" s="10" t="s">
        <v>29</v>
      </c>
      <c r="H736" s="8" t="s">
        <v>6522</v>
      </c>
      <c r="I736" s="10" t="s">
        <v>6523</v>
      </c>
      <c r="J736" s="8" t="s">
        <v>2769</v>
      </c>
      <c r="K736" s="8" t="s">
        <v>29</v>
      </c>
      <c r="L736" s="8" t="s">
        <v>29</v>
      </c>
      <c r="M736" s="10" t="s">
        <v>29</v>
      </c>
      <c r="N736" s="8" t="s">
        <v>29</v>
      </c>
      <c r="O736" s="10" t="s">
        <v>19</v>
      </c>
      <c r="P736" s="8" t="s">
        <v>6524</v>
      </c>
      <c r="Q736" s="10" t="s">
        <v>190</v>
      </c>
      <c r="R736" s="10" t="s">
        <v>1387</v>
      </c>
      <c r="S736" s="8" t="s">
        <v>1857</v>
      </c>
      <c r="T736" s="10" t="s">
        <v>6502</v>
      </c>
      <c r="U736" s="10" t="s">
        <v>29</v>
      </c>
    </row>
    <row r="737" spans="1:21" s="10" customFormat="1" x14ac:dyDescent="0.25">
      <c r="A737" s="10" t="s">
        <v>6525</v>
      </c>
      <c r="B737" s="10" t="s">
        <v>6245</v>
      </c>
      <c r="C737" s="11" t="s">
        <v>297</v>
      </c>
      <c r="D737" s="10" t="s">
        <v>6526</v>
      </c>
      <c r="E737" s="8" t="s">
        <v>6527</v>
      </c>
      <c r="F737" s="8" t="s">
        <v>6528</v>
      </c>
      <c r="G737" s="10" t="s">
        <v>29</v>
      </c>
      <c r="H737" s="8" t="s">
        <v>6529</v>
      </c>
      <c r="I737" s="10" t="s">
        <v>6523</v>
      </c>
      <c r="J737" s="8" t="s">
        <v>2769</v>
      </c>
      <c r="K737" s="8" t="s">
        <v>29</v>
      </c>
      <c r="L737" s="8" t="s">
        <v>29</v>
      </c>
      <c r="M737" s="10" t="s">
        <v>29</v>
      </c>
      <c r="N737" s="8" t="s">
        <v>29</v>
      </c>
      <c r="O737" s="10" t="s">
        <v>19</v>
      </c>
      <c r="P737" s="8" t="s">
        <v>6530</v>
      </c>
      <c r="Q737" s="10" t="s">
        <v>174</v>
      </c>
      <c r="R737" s="10" t="s">
        <v>1387</v>
      </c>
      <c r="S737" s="8" t="s">
        <v>6531</v>
      </c>
      <c r="T737" s="10" t="s">
        <v>6502</v>
      </c>
      <c r="U737" s="10" t="s">
        <v>29</v>
      </c>
    </row>
    <row r="738" spans="1:21" s="10" customFormat="1" x14ac:dyDescent="0.25">
      <c r="A738" s="10" t="s">
        <v>6532</v>
      </c>
      <c r="B738" s="10" t="s">
        <v>6245</v>
      </c>
      <c r="C738" s="11" t="s">
        <v>297</v>
      </c>
      <c r="D738" s="10" t="s">
        <v>6533</v>
      </c>
      <c r="E738" s="8" t="s">
        <v>6534</v>
      </c>
      <c r="F738" s="8" t="s">
        <v>6535</v>
      </c>
      <c r="G738" s="10" t="s">
        <v>29</v>
      </c>
      <c r="H738" s="8" t="s">
        <v>6536</v>
      </c>
      <c r="I738" s="10" t="s">
        <v>6537</v>
      </c>
      <c r="J738" s="8" t="s">
        <v>2769</v>
      </c>
      <c r="K738" s="8" t="s">
        <v>29</v>
      </c>
      <c r="L738" s="8" t="s">
        <v>29</v>
      </c>
      <c r="M738" s="10" t="s">
        <v>29</v>
      </c>
      <c r="N738" s="8" t="s">
        <v>29</v>
      </c>
      <c r="O738" s="10" t="s">
        <v>19</v>
      </c>
      <c r="P738" s="8" t="s">
        <v>6538</v>
      </c>
      <c r="Q738" s="10" t="s">
        <v>174</v>
      </c>
      <c r="R738" s="10" t="s">
        <v>1387</v>
      </c>
      <c r="S738" s="8" t="s">
        <v>6539</v>
      </c>
      <c r="T738" s="10" t="s">
        <v>6502</v>
      </c>
      <c r="U738" s="10" t="s">
        <v>29</v>
      </c>
    </row>
    <row r="739" spans="1:21" s="10" customFormat="1" x14ac:dyDescent="0.25">
      <c r="A739" s="10" t="s">
        <v>6540</v>
      </c>
      <c r="B739" s="10" t="s">
        <v>6245</v>
      </c>
      <c r="C739" s="10" t="s">
        <v>166</v>
      </c>
      <c r="D739" s="10" t="s">
        <v>6541</v>
      </c>
      <c r="E739" s="8" t="s">
        <v>6542</v>
      </c>
      <c r="F739" s="8" t="s">
        <v>6543</v>
      </c>
      <c r="G739" s="10" t="s">
        <v>29</v>
      </c>
      <c r="H739" s="8" t="s">
        <v>6544</v>
      </c>
      <c r="I739" s="10" t="s">
        <v>6508</v>
      </c>
      <c r="J739" s="8" t="s">
        <v>2769</v>
      </c>
      <c r="K739" s="8" t="s">
        <v>29</v>
      </c>
      <c r="L739" s="8" t="s">
        <v>29</v>
      </c>
      <c r="M739" s="10" t="s">
        <v>29</v>
      </c>
      <c r="N739" s="8" t="s">
        <v>29</v>
      </c>
      <c r="O739" s="10" t="s">
        <v>19</v>
      </c>
      <c r="P739" s="8" t="s">
        <v>6545</v>
      </c>
      <c r="Q739" s="10" t="s">
        <v>174</v>
      </c>
      <c r="R739" s="10" t="s">
        <v>1387</v>
      </c>
      <c r="S739" s="8" t="s">
        <v>6546</v>
      </c>
      <c r="T739" s="10" t="s">
        <v>6502</v>
      </c>
      <c r="U739" s="10" t="s">
        <v>29</v>
      </c>
    </row>
    <row r="740" spans="1:21" s="10" customFormat="1" x14ac:dyDescent="0.25">
      <c r="A740" s="10" t="s">
        <v>6547</v>
      </c>
      <c r="B740" s="10" t="s">
        <v>6245</v>
      </c>
      <c r="C740" s="10" t="s">
        <v>166</v>
      </c>
      <c r="D740" s="10" t="s">
        <v>6548</v>
      </c>
      <c r="E740" s="8" t="s">
        <v>6549</v>
      </c>
      <c r="F740" s="8" t="s">
        <v>6550</v>
      </c>
      <c r="G740" s="10" t="s">
        <v>29</v>
      </c>
      <c r="H740" s="8" t="s">
        <v>6551</v>
      </c>
      <c r="I740" s="10" t="s">
        <v>6523</v>
      </c>
      <c r="J740" s="8" t="s">
        <v>2769</v>
      </c>
      <c r="K740" s="8" t="s">
        <v>29</v>
      </c>
      <c r="L740" s="8" t="s">
        <v>29</v>
      </c>
      <c r="M740" s="10" t="s">
        <v>29</v>
      </c>
      <c r="N740" s="8" t="s">
        <v>29</v>
      </c>
      <c r="O740" s="10" t="s">
        <v>19</v>
      </c>
      <c r="P740" s="8" t="s">
        <v>6552</v>
      </c>
      <c r="Q740" s="10" t="s">
        <v>190</v>
      </c>
      <c r="R740" s="10" t="s">
        <v>1387</v>
      </c>
      <c r="S740" s="8" t="s">
        <v>6553</v>
      </c>
      <c r="T740" s="10" t="s">
        <v>6502</v>
      </c>
      <c r="U740" s="10" t="s">
        <v>29</v>
      </c>
    </row>
    <row r="741" spans="1:21" s="10" customFormat="1" x14ac:dyDescent="0.25">
      <c r="A741" s="10" t="s">
        <v>6554</v>
      </c>
      <c r="B741" s="10" t="s">
        <v>6245</v>
      </c>
      <c r="C741" s="10" t="s">
        <v>166</v>
      </c>
      <c r="D741" s="10" t="s">
        <v>6555</v>
      </c>
      <c r="E741" s="8" t="s">
        <v>6556</v>
      </c>
      <c r="F741" s="8" t="s">
        <v>6557</v>
      </c>
      <c r="G741" s="10" t="s">
        <v>29</v>
      </c>
      <c r="H741" s="8" t="s">
        <v>6558</v>
      </c>
      <c r="I741" s="10" t="s">
        <v>6559</v>
      </c>
      <c r="J741" s="8" t="s">
        <v>2769</v>
      </c>
      <c r="K741" s="8" t="s">
        <v>29</v>
      </c>
      <c r="L741" s="8" t="s">
        <v>29</v>
      </c>
      <c r="M741" s="10" t="s">
        <v>29</v>
      </c>
      <c r="N741" s="8" t="s">
        <v>29</v>
      </c>
      <c r="O741" s="10" t="s">
        <v>19</v>
      </c>
      <c r="P741" s="8" t="s">
        <v>6560</v>
      </c>
      <c r="Q741" s="10" t="s">
        <v>174</v>
      </c>
      <c r="R741" s="10" t="s">
        <v>1387</v>
      </c>
      <c r="S741" s="8" t="s">
        <v>6561</v>
      </c>
      <c r="T741" s="10" t="s">
        <v>6502</v>
      </c>
      <c r="U741" s="10" t="s">
        <v>29</v>
      </c>
    </row>
    <row r="742" spans="1:21" s="10" customFormat="1" x14ac:dyDescent="0.25">
      <c r="A742" s="10" t="s">
        <v>6562</v>
      </c>
      <c r="B742" s="10" t="s">
        <v>6245</v>
      </c>
      <c r="C742" s="10" t="s">
        <v>166</v>
      </c>
      <c r="D742" s="10" t="s">
        <v>6563</v>
      </c>
      <c r="E742" s="8" t="s">
        <v>6564</v>
      </c>
      <c r="F742" s="8" t="s">
        <v>6565</v>
      </c>
      <c r="G742" s="10" t="s">
        <v>29</v>
      </c>
      <c r="H742" s="8" t="s">
        <v>6566</v>
      </c>
      <c r="I742" s="10" t="s">
        <v>6508</v>
      </c>
      <c r="J742" s="8" t="s">
        <v>2769</v>
      </c>
      <c r="K742" s="8" t="s">
        <v>29</v>
      </c>
      <c r="L742" s="8" t="s">
        <v>29</v>
      </c>
      <c r="M742" s="10" t="s">
        <v>29</v>
      </c>
      <c r="N742" s="8" t="s">
        <v>29</v>
      </c>
      <c r="O742" s="10" t="s">
        <v>19</v>
      </c>
      <c r="P742" s="8" t="s">
        <v>6567</v>
      </c>
      <c r="Q742" s="10" t="s">
        <v>174</v>
      </c>
      <c r="R742" s="10" t="s">
        <v>1387</v>
      </c>
      <c r="S742" s="8" t="s">
        <v>6568</v>
      </c>
      <c r="T742" s="10" t="s">
        <v>6502</v>
      </c>
      <c r="U742" s="10" t="s">
        <v>29</v>
      </c>
    </row>
    <row r="743" spans="1:21" s="10" customFormat="1" x14ac:dyDescent="0.25">
      <c r="A743" s="10" t="s">
        <v>6569</v>
      </c>
      <c r="B743" s="10" t="s">
        <v>6245</v>
      </c>
      <c r="C743" s="10" t="s">
        <v>166</v>
      </c>
      <c r="D743" s="10" t="s">
        <v>6570</v>
      </c>
      <c r="E743" s="8" t="s">
        <v>6571</v>
      </c>
      <c r="F743" s="8" t="s">
        <v>6572</v>
      </c>
      <c r="G743" s="10" t="s">
        <v>29</v>
      </c>
      <c r="H743" s="8" t="s">
        <v>3985</v>
      </c>
      <c r="I743" s="10" t="s">
        <v>6523</v>
      </c>
      <c r="J743" s="8" t="s">
        <v>2769</v>
      </c>
      <c r="K743" s="8" t="s">
        <v>29</v>
      </c>
      <c r="L743" s="8" t="s">
        <v>29</v>
      </c>
      <c r="M743" s="10" t="s">
        <v>29</v>
      </c>
      <c r="N743" s="8" t="s">
        <v>29</v>
      </c>
      <c r="O743" s="10" t="s">
        <v>19</v>
      </c>
      <c r="P743" s="8" t="s">
        <v>6573</v>
      </c>
      <c r="Q743" s="10" t="s">
        <v>190</v>
      </c>
      <c r="R743" s="10" t="s">
        <v>1387</v>
      </c>
      <c r="S743" s="8" t="s">
        <v>6574</v>
      </c>
      <c r="T743" s="10" t="s">
        <v>6502</v>
      </c>
      <c r="U743" s="10" t="s">
        <v>29</v>
      </c>
    </row>
    <row r="744" spans="1:21" s="10" customFormat="1" x14ac:dyDescent="0.25">
      <c r="A744" s="10" t="s">
        <v>6575</v>
      </c>
      <c r="B744" s="10" t="s">
        <v>6245</v>
      </c>
      <c r="C744" s="10" t="s">
        <v>166</v>
      </c>
      <c r="D744" s="10" t="s">
        <v>6576</v>
      </c>
      <c r="E744" s="8" t="s">
        <v>6577</v>
      </c>
      <c r="F744" s="8" t="s">
        <v>6578</v>
      </c>
      <c r="G744" s="10" t="s">
        <v>29</v>
      </c>
      <c r="H744" s="8" t="s">
        <v>6579</v>
      </c>
      <c r="I744" s="10" t="s">
        <v>6523</v>
      </c>
      <c r="J744" s="8" t="s">
        <v>2769</v>
      </c>
      <c r="K744" s="8" t="s">
        <v>29</v>
      </c>
      <c r="L744" s="8" t="s">
        <v>29</v>
      </c>
      <c r="M744" s="10" t="s">
        <v>29</v>
      </c>
      <c r="N744" s="8" t="s">
        <v>29</v>
      </c>
      <c r="O744" s="10" t="s">
        <v>19</v>
      </c>
      <c r="P744" s="8" t="s">
        <v>6580</v>
      </c>
      <c r="Q744" s="10" t="s">
        <v>174</v>
      </c>
      <c r="R744" s="10" t="s">
        <v>1387</v>
      </c>
      <c r="S744" s="8" t="s">
        <v>6581</v>
      </c>
      <c r="T744" s="10" t="s">
        <v>6502</v>
      </c>
      <c r="U744" s="10" t="s">
        <v>29</v>
      </c>
    </row>
    <row r="745" spans="1:21" s="10" customFormat="1" x14ac:dyDescent="0.25">
      <c r="A745" s="10" t="s">
        <v>6582</v>
      </c>
      <c r="B745" s="10" t="s">
        <v>6245</v>
      </c>
      <c r="C745" s="11" t="s">
        <v>297</v>
      </c>
      <c r="D745" s="10" t="s">
        <v>6583</v>
      </c>
      <c r="E745" s="8" t="s">
        <v>6584</v>
      </c>
      <c r="F745" s="8" t="s">
        <v>6585</v>
      </c>
      <c r="G745" s="10" t="s">
        <v>29</v>
      </c>
      <c r="H745" s="8" t="s">
        <v>6586</v>
      </c>
      <c r="I745" s="10" t="s">
        <v>6587</v>
      </c>
      <c r="J745" s="8" t="s">
        <v>2769</v>
      </c>
      <c r="K745" s="8" t="s">
        <v>29</v>
      </c>
      <c r="L745" s="8" t="s">
        <v>29</v>
      </c>
      <c r="M745" s="10" t="s">
        <v>29</v>
      </c>
      <c r="N745" s="8" t="s">
        <v>29</v>
      </c>
      <c r="O745" s="10" t="s">
        <v>19</v>
      </c>
      <c r="P745" s="8" t="s">
        <v>6588</v>
      </c>
      <c r="Q745" s="10" t="s">
        <v>1399</v>
      </c>
      <c r="R745" s="10" t="s">
        <v>1387</v>
      </c>
      <c r="S745" s="8" t="s">
        <v>6589</v>
      </c>
      <c r="T745" s="10" t="s">
        <v>6502</v>
      </c>
      <c r="U745" s="10" t="s">
        <v>29</v>
      </c>
    </row>
    <row r="746" spans="1:21" s="10" customFormat="1" x14ac:dyDescent="0.25">
      <c r="A746" s="10" t="s">
        <v>6590</v>
      </c>
      <c r="B746" s="10" t="s">
        <v>6245</v>
      </c>
      <c r="C746" s="10" t="s">
        <v>166</v>
      </c>
      <c r="D746" s="10" t="s">
        <v>6591</v>
      </c>
      <c r="E746" s="8" t="s">
        <v>6592</v>
      </c>
      <c r="F746" s="8" t="s">
        <v>6593</v>
      </c>
      <c r="G746" s="10" t="s">
        <v>29</v>
      </c>
      <c r="H746" s="8" t="s">
        <v>6594</v>
      </c>
      <c r="I746" s="10" t="s">
        <v>6523</v>
      </c>
      <c r="J746" s="8" t="s">
        <v>2769</v>
      </c>
      <c r="K746" s="8" t="s">
        <v>29</v>
      </c>
      <c r="L746" s="8" t="s">
        <v>29</v>
      </c>
      <c r="M746" s="10" t="s">
        <v>29</v>
      </c>
      <c r="N746" s="8" t="s">
        <v>29</v>
      </c>
      <c r="O746" s="10" t="s">
        <v>19</v>
      </c>
      <c r="P746" s="8" t="s">
        <v>6595</v>
      </c>
      <c r="Q746" s="10" t="s">
        <v>174</v>
      </c>
      <c r="R746" s="10" t="s">
        <v>1387</v>
      </c>
      <c r="S746" s="8" t="s">
        <v>6596</v>
      </c>
      <c r="T746" s="10" t="s">
        <v>6502</v>
      </c>
      <c r="U746" s="10" t="s">
        <v>29</v>
      </c>
    </row>
    <row r="747" spans="1:21" s="10" customFormat="1" x14ac:dyDescent="0.25">
      <c r="A747" s="10" t="s">
        <v>6597</v>
      </c>
      <c r="B747" s="10" t="s">
        <v>6245</v>
      </c>
      <c r="C747" s="11" t="s">
        <v>297</v>
      </c>
      <c r="D747" s="10" t="s">
        <v>6598</v>
      </c>
      <c r="E747" s="8" t="s">
        <v>6599</v>
      </c>
      <c r="F747" s="8" t="s">
        <v>6600</v>
      </c>
      <c r="G747" s="10" t="s">
        <v>29</v>
      </c>
      <c r="H747" s="8" t="s">
        <v>1604</v>
      </c>
      <c r="I747" s="10" t="s">
        <v>6601</v>
      </c>
      <c r="J747" s="8" t="s">
        <v>1606</v>
      </c>
      <c r="K747" s="8" t="s">
        <v>29</v>
      </c>
      <c r="L747" s="8" t="s">
        <v>29</v>
      </c>
      <c r="M747" s="10" t="s">
        <v>29</v>
      </c>
      <c r="N747" s="8" t="s">
        <v>29</v>
      </c>
      <c r="O747" s="10" t="s">
        <v>19</v>
      </c>
      <c r="P747" s="8" t="s">
        <v>6602</v>
      </c>
      <c r="Q747" s="10" t="s">
        <v>1399</v>
      </c>
      <c r="R747" s="10" t="s">
        <v>1608</v>
      </c>
      <c r="S747" s="8" t="s">
        <v>6603</v>
      </c>
      <c r="T747" s="10" t="s">
        <v>6502</v>
      </c>
      <c r="U747" s="10" t="s">
        <v>29</v>
      </c>
    </row>
    <row r="748" spans="1:21" s="10" customFormat="1" x14ac:dyDescent="0.25">
      <c r="A748" s="10" t="s">
        <v>6604</v>
      </c>
      <c r="B748" s="10" t="s">
        <v>6245</v>
      </c>
      <c r="C748" s="10" t="s">
        <v>166</v>
      </c>
      <c r="D748" s="10" t="s">
        <v>6605</v>
      </c>
      <c r="E748" s="8" t="s">
        <v>6606</v>
      </c>
      <c r="F748" s="8" t="s">
        <v>6607</v>
      </c>
      <c r="G748" s="10" t="s">
        <v>29</v>
      </c>
      <c r="H748" s="8" t="s">
        <v>6608</v>
      </c>
      <c r="I748" s="10" t="s">
        <v>6516</v>
      </c>
      <c r="J748" s="8" t="s">
        <v>2769</v>
      </c>
      <c r="K748" s="8" t="s">
        <v>29</v>
      </c>
      <c r="L748" s="8" t="s">
        <v>29</v>
      </c>
      <c r="M748" s="10" t="s">
        <v>29</v>
      </c>
      <c r="N748" s="8" t="s">
        <v>29</v>
      </c>
      <c r="O748" s="10" t="s">
        <v>19</v>
      </c>
      <c r="P748" s="8" t="s">
        <v>6609</v>
      </c>
      <c r="Q748" s="10" t="s">
        <v>174</v>
      </c>
      <c r="R748" s="10" t="s">
        <v>1387</v>
      </c>
      <c r="S748" s="8" t="s">
        <v>1599</v>
      </c>
      <c r="T748" s="10" t="s">
        <v>6502</v>
      </c>
      <c r="U748" s="10" t="s">
        <v>29</v>
      </c>
    </row>
    <row r="749" spans="1:21" s="10" customFormat="1" x14ac:dyDescent="0.25">
      <c r="A749" s="10" t="s">
        <v>6610</v>
      </c>
      <c r="B749" s="10" t="s">
        <v>6245</v>
      </c>
      <c r="C749" s="10" t="s">
        <v>166</v>
      </c>
      <c r="D749" s="10" t="s">
        <v>6611</v>
      </c>
      <c r="E749" s="8" t="s">
        <v>6612</v>
      </c>
      <c r="F749" s="8" t="s">
        <v>6613</v>
      </c>
      <c r="G749" s="10" t="s">
        <v>29</v>
      </c>
      <c r="H749" s="8" t="s">
        <v>6614</v>
      </c>
      <c r="I749" s="10" t="s">
        <v>6615</v>
      </c>
      <c r="J749" s="8" t="s">
        <v>2769</v>
      </c>
      <c r="K749" s="8" t="s">
        <v>29</v>
      </c>
      <c r="L749" s="8" t="s">
        <v>29</v>
      </c>
      <c r="M749" s="10" t="s">
        <v>29</v>
      </c>
      <c r="N749" s="8" t="s">
        <v>29</v>
      </c>
      <c r="O749" s="10" t="s">
        <v>19</v>
      </c>
      <c r="P749" s="8" t="s">
        <v>6616</v>
      </c>
      <c r="Q749" s="10" t="s">
        <v>174</v>
      </c>
      <c r="R749" s="10" t="s">
        <v>1387</v>
      </c>
      <c r="S749" s="8" t="s">
        <v>6617</v>
      </c>
      <c r="T749" s="10" t="s">
        <v>6502</v>
      </c>
      <c r="U749" s="10" t="s">
        <v>29</v>
      </c>
    </row>
    <row r="750" spans="1:21" s="10" customFormat="1" x14ac:dyDescent="0.25">
      <c r="A750" s="10" t="s">
        <v>6618</v>
      </c>
      <c r="B750" s="10" t="s">
        <v>6245</v>
      </c>
      <c r="C750" s="11" t="s">
        <v>297</v>
      </c>
      <c r="D750" s="10" t="s">
        <v>6619</v>
      </c>
      <c r="E750" s="8" t="s">
        <v>6620</v>
      </c>
      <c r="F750" s="8" t="s">
        <v>6621</v>
      </c>
      <c r="G750" s="10" t="s">
        <v>29</v>
      </c>
      <c r="H750" s="8" t="s">
        <v>6622</v>
      </c>
      <c r="I750" s="10" t="s">
        <v>6623</v>
      </c>
      <c r="J750" s="8" t="s">
        <v>2769</v>
      </c>
      <c r="K750" s="8" t="s">
        <v>29</v>
      </c>
      <c r="L750" s="8" t="s">
        <v>29</v>
      </c>
      <c r="M750" s="10" t="s">
        <v>29</v>
      </c>
      <c r="N750" s="8" t="s">
        <v>29</v>
      </c>
      <c r="O750" s="10" t="s">
        <v>19</v>
      </c>
      <c r="P750" s="8" t="s">
        <v>6624</v>
      </c>
      <c r="Q750" s="10" t="s">
        <v>174</v>
      </c>
      <c r="R750" s="10" t="s">
        <v>1387</v>
      </c>
      <c r="S750" s="8" t="s">
        <v>6625</v>
      </c>
      <c r="T750" s="10" t="s">
        <v>6502</v>
      </c>
      <c r="U750" s="10" t="s">
        <v>29</v>
      </c>
    </row>
    <row r="751" spans="1:21" s="10" customFormat="1" x14ac:dyDescent="0.25">
      <c r="A751" s="10" t="s">
        <v>6626</v>
      </c>
      <c r="B751" s="10" t="s">
        <v>6245</v>
      </c>
      <c r="C751" s="10" t="s">
        <v>166</v>
      </c>
      <c r="D751" s="10" t="s">
        <v>6627</v>
      </c>
      <c r="E751" s="8" t="s">
        <v>6628</v>
      </c>
      <c r="F751" s="8" t="s">
        <v>6629</v>
      </c>
      <c r="G751" s="10" t="s">
        <v>29</v>
      </c>
      <c r="H751" s="8" t="s">
        <v>6630</v>
      </c>
      <c r="I751" s="10" t="s">
        <v>6631</v>
      </c>
      <c r="J751" s="8" t="s">
        <v>2769</v>
      </c>
      <c r="K751" s="8" t="s">
        <v>29</v>
      </c>
      <c r="L751" s="8" t="s">
        <v>29</v>
      </c>
      <c r="M751" s="10" t="s">
        <v>29</v>
      </c>
      <c r="N751" s="8" t="s">
        <v>29</v>
      </c>
      <c r="O751" s="10" t="s">
        <v>19</v>
      </c>
      <c r="P751" s="8" t="s">
        <v>6632</v>
      </c>
      <c r="Q751" s="10" t="s">
        <v>190</v>
      </c>
      <c r="R751" s="10" t="s">
        <v>1387</v>
      </c>
      <c r="S751" s="8" t="s">
        <v>6633</v>
      </c>
      <c r="T751" s="10" t="s">
        <v>6502</v>
      </c>
      <c r="U751" s="10" t="s">
        <v>29</v>
      </c>
    </row>
    <row r="752" spans="1:21" s="10" customFormat="1" x14ac:dyDescent="0.25">
      <c r="A752" s="10" t="s">
        <v>6634</v>
      </c>
      <c r="B752" s="10" t="s">
        <v>6245</v>
      </c>
      <c r="C752" s="10" t="s">
        <v>166</v>
      </c>
      <c r="D752" s="10" t="s">
        <v>6635</v>
      </c>
      <c r="E752" s="8" t="s">
        <v>6636</v>
      </c>
      <c r="F752" s="8" t="s">
        <v>6637</v>
      </c>
      <c r="G752" s="10" t="s">
        <v>29</v>
      </c>
      <c r="H752" s="8" t="s">
        <v>6638</v>
      </c>
      <c r="I752" s="10" t="s">
        <v>6631</v>
      </c>
      <c r="J752" s="8" t="s">
        <v>2769</v>
      </c>
      <c r="K752" s="8" t="s">
        <v>29</v>
      </c>
      <c r="L752" s="8" t="s">
        <v>29</v>
      </c>
      <c r="M752" s="10" t="s">
        <v>29</v>
      </c>
      <c r="N752" s="8" t="s">
        <v>29</v>
      </c>
      <c r="O752" s="10" t="s">
        <v>19</v>
      </c>
      <c r="P752" s="8" t="s">
        <v>6639</v>
      </c>
      <c r="Q752" s="10" t="s">
        <v>190</v>
      </c>
      <c r="R752" s="10" t="s">
        <v>1387</v>
      </c>
      <c r="S752" s="8" t="s">
        <v>6640</v>
      </c>
      <c r="T752" s="10" t="s">
        <v>6502</v>
      </c>
      <c r="U752" s="10" t="s">
        <v>29</v>
      </c>
    </row>
    <row r="753" spans="1:21" s="10" customFormat="1" x14ac:dyDescent="0.25">
      <c r="A753" s="10" t="s">
        <v>6641</v>
      </c>
      <c r="B753" s="10" t="s">
        <v>6245</v>
      </c>
      <c r="C753" s="10" t="s">
        <v>166</v>
      </c>
      <c r="D753" s="10" t="s">
        <v>6642</v>
      </c>
      <c r="E753" s="8" t="s">
        <v>6643</v>
      </c>
      <c r="F753" s="8" t="s">
        <v>3998</v>
      </c>
      <c r="G753" s="10" t="s">
        <v>29</v>
      </c>
      <c r="H753" s="8" t="s">
        <v>3999</v>
      </c>
      <c r="I753" s="10" t="s">
        <v>6631</v>
      </c>
      <c r="J753" s="8" t="s">
        <v>2769</v>
      </c>
      <c r="K753" s="8" t="s">
        <v>29</v>
      </c>
      <c r="L753" s="8" t="s">
        <v>29</v>
      </c>
      <c r="M753" s="10" t="s">
        <v>29</v>
      </c>
      <c r="N753" s="8" t="s">
        <v>29</v>
      </c>
      <c r="O753" s="10" t="s">
        <v>19</v>
      </c>
      <c r="P753" s="8" t="s">
        <v>6644</v>
      </c>
      <c r="Q753" s="10" t="s">
        <v>190</v>
      </c>
      <c r="R753" s="10" t="s">
        <v>1387</v>
      </c>
      <c r="S753" s="8" t="s">
        <v>6645</v>
      </c>
      <c r="T753" s="10" t="s">
        <v>6502</v>
      </c>
      <c r="U753" s="10" t="s">
        <v>29</v>
      </c>
    </row>
    <row r="754" spans="1:21" s="10" customFormat="1" x14ac:dyDescent="0.25">
      <c r="A754" s="10" t="s">
        <v>6646</v>
      </c>
      <c r="B754" s="10" t="s">
        <v>6245</v>
      </c>
      <c r="C754" s="10" t="s">
        <v>166</v>
      </c>
      <c r="D754" s="10" t="s">
        <v>6647</v>
      </c>
      <c r="E754" s="8" t="s">
        <v>6648</v>
      </c>
      <c r="F754" s="8" t="s">
        <v>6649</v>
      </c>
      <c r="G754" s="10" t="s">
        <v>29</v>
      </c>
      <c r="H754" s="8" t="s">
        <v>6650</v>
      </c>
      <c r="I754" s="10" t="s">
        <v>6623</v>
      </c>
      <c r="J754" s="8" t="s">
        <v>2769</v>
      </c>
      <c r="K754" s="8" t="s">
        <v>29</v>
      </c>
      <c r="L754" s="8" t="s">
        <v>29</v>
      </c>
      <c r="M754" s="10" t="s">
        <v>29</v>
      </c>
      <c r="N754" s="8" t="s">
        <v>29</v>
      </c>
      <c r="O754" s="10" t="s">
        <v>19</v>
      </c>
      <c r="P754" s="8" t="s">
        <v>6651</v>
      </c>
      <c r="Q754" s="10" t="s">
        <v>197</v>
      </c>
      <c r="R754" s="10" t="s">
        <v>1387</v>
      </c>
      <c r="S754" s="8" t="s">
        <v>6652</v>
      </c>
      <c r="T754" s="10" t="s">
        <v>6502</v>
      </c>
      <c r="U754" s="10" t="s">
        <v>29</v>
      </c>
    </row>
    <row r="755" spans="1:21" s="10" customFormat="1" x14ac:dyDescent="0.25">
      <c r="A755" s="10" t="s">
        <v>6653</v>
      </c>
      <c r="B755" s="10" t="s">
        <v>6245</v>
      </c>
      <c r="C755" s="10" t="s">
        <v>166</v>
      </c>
      <c r="D755" s="10" t="s">
        <v>6654</v>
      </c>
      <c r="E755" s="8" t="s">
        <v>6655</v>
      </c>
      <c r="F755" s="8" t="s">
        <v>6656</v>
      </c>
      <c r="G755" s="10" t="s">
        <v>29</v>
      </c>
      <c r="H755" s="8" t="s">
        <v>6657</v>
      </c>
      <c r="I755" s="10" t="s">
        <v>6615</v>
      </c>
      <c r="J755" s="8" t="s">
        <v>2769</v>
      </c>
      <c r="K755" s="8" t="s">
        <v>29</v>
      </c>
      <c r="L755" s="8" t="s">
        <v>29</v>
      </c>
      <c r="M755" s="10" t="s">
        <v>29</v>
      </c>
      <c r="N755" s="8" t="s">
        <v>29</v>
      </c>
      <c r="O755" s="10" t="s">
        <v>19</v>
      </c>
      <c r="P755" s="8" t="s">
        <v>6658</v>
      </c>
      <c r="Q755" s="10" t="s">
        <v>174</v>
      </c>
      <c r="R755" s="10" t="s">
        <v>1387</v>
      </c>
      <c r="S755" s="8" t="s">
        <v>6659</v>
      </c>
      <c r="T755" s="10" t="s">
        <v>6502</v>
      </c>
      <c r="U755" s="10" t="s">
        <v>29</v>
      </c>
    </row>
    <row r="756" spans="1:21" s="10" customFormat="1" x14ac:dyDescent="0.25">
      <c r="A756" s="10" t="s">
        <v>6660</v>
      </c>
      <c r="B756" s="10" t="s">
        <v>6245</v>
      </c>
      <c r="C756" s="10" t="s">
        <v>166</v>
      </c>
      <c r="D756" s="10" t="s">
        <v>6661</v>
      </c>
      <c r="E756" s="8" t="s">
        <v>6662</v>
      </c>
      <c r="F756" s="8" t="s">
        <v>6663</v>
      </c>
      <c r="G756" s="10" t="s">
        <v>29</v>
      </c>
      <c r="H756" s="8" t="s">
        <v>6664</v>
      </c>
      <c r="I756" s="10" t="s">
        <v>6615</v>
      </c>
      <c r="J756" s="8" t="s">
        <v>2769</v>
      </c>
      <c r="K756" s="8" t="s">
        <v>29</v>
      </c>
      <c r="L756" s="8" t="s">
        <v>29</v>
      </c>
      <c r="M756" s="10" t="s">
        <v>29</v>
      </c>
      <c r="N756" s="8" t="s">
        <v>29</v>
      </c>
      <c r="O756" s="10" t="s">
        <v>19</v>
      </c>
      <c r="P756" s="8" t="s">
        <v>6665</v>
      </c>
      <c r="Q756" s="10" t="s">
        <v>174</v>
      </c>
      <c r="R756" s="10" t="s">
        <v>1387</v>
      </c>
      <c r="S756" s="8" t="s">
        <v>6666</v>
      </c>
      <c r="T756" s="10" t="s">
        <v>6502</v>
      </c>
      <c r="U756" s="10" t="s">
        <v>29</v>
      </c>
    </row>
    <row r="757" spans="1:21" s="10" customFormat="1" x14ac:dyDescent="0.25">
      <c r="A757" s="10" t="s">
        <v>6667</v>
      </c>
      <c r="B757" s="10" t="s">
        <v>6245</v>
      </c>
      <c r="C757" s="10" t="s">
        <v>166</v>
      </c>
      <c r="D757" s="10" t="s">
        <v>6668</v>
      </c>
      <c r="E757" s="8" t="s">
        <v>6669</v>
      </c>
      <c r="F757" s="8" t="s">
        <v>6670</v>
      </c>
      <c r="G757" s="10" t="s">
        <v>29</v>
      </c>
      <c r="H757" s="8" t="s">
        <v>6671</v>
      </c>
      <c r="I757" s="10" t="s">
        <v>6615</v>
      </c>
      <c r="J757" s="8" t="s">
        <v>2769</v>
      </c>
      <c r="K757" s="8" t="s">
        <v>29</v>
      </c>
      <c r="L757" s="8" t="s">
        <v>29</v>
      </c>
      <c r="M757" s="10" t="s">
        <v>29</v>
      </c>
      <c r="N757" s="8" t="s">
        <v>29</v>
      </c>
      <c r="O757" s="10" t="s">
        <v>19</v>
      </c>
      <c r="P757" s="8" t="s">
        <v>6672</v>
      </c>
      <c r="Q757" s="10" t="s">
        <v>174</v>
      </c>
      <c r="R757" s="10" t="s">
        <v>1387</v>
      </c>
      <c r="S757" s="8" t="s">
        <v>6673</v>
      </c>
      <c r="T757" s="10" t="s">
        <v>6502</v>
      </c>
      <c r="U757" s="10" t="s">
        <v>29</v>
      </c>
    </row>
    <row r="758" spans="1:21" s="10" customFormat="1" x14ac:dyDescent="0.25">
      <c r="A758" s="10" t="s">
        <v>6674</v>
      </c>
      <c r="B758" s="10" t="s">
        <v>6245</v>
      </c>
      <c r="C758" s="10" t="s">
        <v>166</v>
      </c>
      <c r="D758" s="10" t="s">
        <v>6675</v>
      </c>
      <c r="E758" s="8" t="s">
        <v>6676</v>
      </c>
      <c r="F758" s="8" t="s">
        <v>6677</v>
      </c>
      <c r="G758" s="10" t="s">
        <v>29</v>
      </c>
      <c r="H758" s="8" t="s">
        <v>6678</v>
      </c>
      <c r="I758" s="10" t="s">
        <v>6615</v>
      </c>
      <c r="J758" s="8" t="s">
        <v>2769</v>
      </c>
      <c r="K758" s="8" t="s">
        <v>29</v>
      </c>
      <c r="L758" s="8" t="s">
        <v>29</v>
      </c>
      <c r="M758" s="10" t="s">
        <v>29</v>
      </c>
      <c r="N758" s="8" t="s">
        <v>29</v>
      </c>
      <c r="O758" s="10" t="s">
        <v>19</v>
      </c>
      <c r="P758" s="8" t="s">
        <v>6679</v>
      </c>
      <c r="Q758" s="10" t="s">
        <v>174</v>
      </c>
      <c r="R758" s="10" t="s">
        <v>1387</v>
      </c>
      <c r="S758" s="8" t="s">
        <v>6680</v>
      </c>
      <c r="T758" s="10" t="s">
        <v>6502</v>
      </c>
      <c r="U758" s="10" t="s">
        <v>29</v>
      </c>
    </row>
    <row r="759" spans="1:21" s="10" customFormat="1" x14ac:dyDescent="0.25">
      <c r="A759" s="10" t="s">
        <v>6681</v>
      </c>
      <c r="B759" s="10" t="s">
        <v>6245</v>
      </c>
      <c r="C759" s="10" t="s">
        <v>166</v>
      </c>
      <c r="D759" s="10" t="s">
        <v>6682</v>
      </c>
      <c r="E759" s="8" t="s">
        <v>6683</v>
      </c>
      <c r="F759" s="8" t="s">
        <v>6684</v>
      </c>
      <c r="G759" s="10" t="s">
        <v>29</v>
      </c>
      <c r="H759" s="8" t="s">
        <v>6685</v>
      </c>
      <c r="I759" s="10" t="s">
        <v>6615</v>
      </c>
      <c r="J759" s="8" t="s">
        <v>2769</v>
      </c>
      <c r="K759" s="8" t="s">
        <v>29</v>
      </c>
      <c r="L759" s="8" t="s">
        <v>29</v>
      </c>
      <c r="M759" s="10" t="s">
        <v>29</v>
      </c>
      <c r="N759" s="8" t="s">
        <v>29</v>
      </c>
      <c r="O759" s="10" t="s">
        <v>19</v>
      </c>
      <c r="P759" s="8" t="s">
        <v>6686</v>
      </c>
      <c r="Q759" s="10" t="s">
        <v>174</v>
      </c>
      <c r="R759" s="10" t="s">
        <v>1387</v>
      </c>
      <c r="S759" s="8" t="s">
        <v>6687</v>
      </c>
      <c r="T759" s="10" t="s">
        <v>6502</v>
      </c>
      <c r="U759" s="10" t="s">
        <v>29</v>
      </c>
    </row>
    <row r="760" spans="1:21" s="10" customFormat="1" x14ac:dyDescent="0.25">
      <c r="A760" s="10" t="s">
        <v>6688</v>
      </c>
      <c r="B760" s="10" t="s">
        <v>6245</v>
      </c>
      <c r="C760" s="10" t="s">
        <v>166</v>
      </c>
      <c r="D760" s="10" t="s">
        <v>6689</v>
      </c>
      <c r="E760" s="8" t="s">
        <v>6690</v>
      </c>
      <c r="F760" s="8" t="s">
        <v>6691</v>
      </c>
      <c r="G760" s="10" t="s">
        <v>29</v>
      </c>
      <c r="H760" s="8" t="s">
        <v>6692</v>
      </c>
      <c r="I760" s="10" t="s">
        <v>6615</v>
      </c>
      <c r="J760" s="8" t="s">
        <v>2769</v>
      </c>
      <c r="K760" s="8" t="s">
        <v>29</v>
      </c>
      <c r="L760" s="8" t="s">
        <v>29</v>
      </c>
      <c r="M760" s="10" t="s">
        <v>29</v>
      </c>
      <c r="N760" s="8" t="s">
        <v>29</v>
      </c>
      <c r="O760" s="10" t="s">
        <v>19</v>
      </c>
      <c r="P760" s="8" t="s">
        <v>6693</v>
      </c>
      <c r="Q760" s="10" t="s">
        <v>174</v>
      </c>
      <c r="R760" s="10" t="s">
        <v>1387</v>
      </c>
      <c r="S760" s="8" t="s">
        <v>6694</v>
      </c>
      <c r="T760" s="10" t="s">
        <v>6502</v>
      </c>
      <c r="U760" s="10" t="s">
        <v>29</v>
      </c>
    </row>
    <row r="761" spans="1:21" s="10" customFormat="1" x14ac:dyDescent="0.25">
      <c r="A761" s="10" t="s">
        <v>6695</v>
      </c>
      <c r="B761" s="10" t="s">
        <v>6245</v>
      </c>
      <c r="C761" s="10" t="s">
        <v>166</v>
      </c>
      <c r="D761" s="10" t="s">
        <v>6696</v>
      </c>
      <c r="E761" s="8" t="s">
        <v>6697</v>
      </c>
      <c r="F761" s="8" t="s">
        <v>6698</v>
      </c>
      <c r="G761" s="10" t="s">
        <v>29</v>
      </c>
      <c r="H761" s="8" t="s">
        <v>6699</v>
      </c>
      <c r="I761" s="10" t="s">
        <v>6615</v>
      </c>
      <c r="J761" s="8" t="s">
        <v>2769</v>
      </c>
      <c r="K761" s="8" t="s">
        <v>29</v>
      </c>
      <c r="L761" s="8" t="s">
        <v>29</v>
      </c>
      <c r="M761" s="10" t="s">
        <v>29</v>
      </c>
      <c r="N761" s="8" t="s">
        <v>29</v>
      </c>
      <c r="O761" s="10" t="s">
        <v>19</v>
      </c>
      <c r="P761" s="8" t="s">
        <v>6700</v>
      </c>
      <c r="Q761" s="10" t="s">
        <v>174</v>
      </c>
      <c r="R761" s="10" t="s">
        <v>1387</v>
      </c>
      <c r="S761" s="8" t="s">
        <v>6701</v>
      </c>
      <c r="T761" s="10" t="s">
        <v>6502</v>
      </c>
      <c r="U761" s="10" t="s">
        <v>29</v>
      </c>
    </row>
    <row r="762" spans="1:21" s="10" customFormat="1" x14ac:dyDescent="0.25">
      <c r="A762" s="10" t="s">
        <v>6702</v>
      </c>
      <c r="B762" s="10" t="s">
        <v>6245</v>
      </c>
      <c r="C762" s="10" t="s">
        <v>166</v>
      </c>
      <c r="D762" s="10" t="s">
        <v>6703</v>
      </c>
      <c r="E762" s="8" t="s">
        <v>6704</v>
      </c>
      <c r="F762" s="8" t="s">
        <v>6705</v>
      </c>
      <c r="G762" s="10" t="s">
        <v>29</v>
      </c>
      <c r="H762" s="8" t="s">
        <v>6706</v>
      </c>
      <c r="I762" s="10" t="s">
        <v>6615</v>
      </c>
      <c r="J762" s="8" t="s">
        <v>2769</v>
      </c>
      <c r="K762" s="8" t="s">
        <v>29</v>
      </c>
      <c r="L762" s="8" t="s">
        <v>29</v>
      </c>
      <c r="M762" s="10" t="s">
        <v>29</v>
      </c>
      <c r="N762" s="8" t="s">
        <v>29</v>
      </c>
      <c r="O762" s="10" t="s">
        <v>19</v>
      </c>
      <c r="P762" s="8" t="s">
        <v>6707</v>
      </c>
      <c r="Q762" s="10" t="s">
        <v>174</v>
      </c>
      <c r="R762" s="10" t="s">
        <v>1387</v>
      </c>
      <c r="S762" s="8" t="s">
        <v>6708</v>
      </c>
      <c r="T762" s="10" t="s">
        <v>6502</v>
      </c>
      <c r="U762" s="10" t="s">
        <v>29</v>
      </c>
    </row>
    <row r="763" spans="1:21" s="10" customFormat="1" x14ac:dyDescent="0.25">
      <c r="A763" s="10" t="s">
        <v>6709</v>
      </c>
      <c r="B763" s="10" t="s">
        <v>6245</v>
      </c>
      <c r="C763" s="10" t="s">
        <v>166</v>
      </c>
      <c r="D763" s="10" t="s">
        <v>6710</v>
      </c>
      <c r="E763" s="8" t="s">
        <v>6711</v>
      </c>
      <c r="F763" s="8" t="s">
        <v>6712</v>
      </c>
      <c r="G763" s="10" t="s">
        <v>29</v>
      </c>
      <c r="H763" s="8" t="s">
        <v>6713</v>
      </c>
      <c r="I763" s="10" t="s">
        <v>6631</v>
      </c>
      <c r="J763" s="8" t="s">
        <v>2769</v>
      </c>
      <c r="K763" s="8" t="s">
        <v>29</v>
      </c>
      <c r="L763" s="8" t="s">
        <v>29</v>
      </c>
      <c r="M763" s="10" t="s">
        <v>29</v>
      </c>
      <c r="N763" s="8" t="s">
        <v>29</v>
      </c>
      <c r="O763" s="10" t="s">
        <v>19</v>
      </c>
      <c r="P763" s="8" t="s">
        <v>6714</v>
      </c>
      <c r="Q763" s="10" t="s">
        <v>174</v>
      </c>
      <c r="R763" s="10" t="s">
        <v>1387</v>
      </c>
      <c r="S763" s="8" t="s">
        <v>6715</v>
      </c>
      <c r="T763" s="10" t="s">
        <v>6502</v>
      </c>
      <c r="U763" s="10" t="s">
        <v>29</v>
      </c>
    </row>
    <row r="764" spans="1:21" s="10" customFormat="1" x14ac:dyDescent="0.25">
      <c r="A764" s="10" t="s">
        <v>6716</v>
      </c>
      <c r="B764" s="10" t="s">
        <v>6245</v>
      </c>
      <c r="C764" s="10" t="s">
        <v>166</v>
      </c>
      <c r="D764" s="10" t="s">
        <v>6717</v>
      </c>
      <c r="E764" s="8" t="s">
        <v>6718</v>
      </c>
      <c r="F764" s="8" t="s">
        <v>6719</v>
      </c>
      <c r="G764" s="10" t="s">
        <v>29</v>
      </c>
      <c r="H764" s="8" t="s">
        <v>6720</v>
      </c>
      <c r="I764" s="10" t="s">
        <v>6631</v>
      </c>
      <c r="J764" s="8" t="s">
        <v>2769</v>
      </c>
      <c r="K764" s="8" t="s">
        <v>29</v>
      </c>
      <c r="L764" s="8" t="s">
        <v>29</v>
      </c>
      <c r="M764" s="10" t="s">
        <v>29</v>
      </c>
      <c r="N764" s="8" t="s">
        <v>29</v>
      </c>
      <c r="O764" s="10" t="s">
        <v>19</v>
      </c>
      <c r="P764" s="8" t="s">
        <v>6721</v>
      </c>
      <c r="Q764" s="10" t="s">
        <v>174</v>
      </c>
      <c r="R764" s="10" t="s">
        <v>1387</v>
      </c>
      <c r="S764" s="8" t="s">
        <v>6722</v>
      </c>
      <c r="T764" s="10" t="s">
        <v>6502</v>
      </c>
      <c r="U764" s="10" t="s">
        <v>29</v>
      </c>
    </row>
    <row r="765" spans="1:21" s="10" customFormat="1" x14ac:dyDescent="0.25">
      <c r="A765" s="10" t="s">
        <v>6723</v>
      </c>
      <c r="B765" s="10" t="s">
        <v>6245</v>
      </c>
      <c r="C765" s="10" t="s">
        <v>166</v>
      </c>
      <c r="D765" s="10" t="s">
        <v>6724</v>
      </c>
      <c r="E765" s="8" t="s">
        <v>6725</v>
      </c>
      <c r="F765" s="8" t="s">
        <v>6726</v>
      </c>
      <c r="G765" s="10" t="s">
        <v>29</v>
      </c>
      <c r="H765" s="8" t="s">
        <v>6727</v>
      </c>
      <c r="I765" s="10" t="s">
        <v>6631</v>
      </c>
      <c r="J765" s="8" t="s">
        <v>2769</v>
      </c>
      <c r="K765" s="8" t="s">
        <v>29</v>
      </c>
      <c r="L765" s="8" t="s">
        <v>29</v>
      </c>
      <c r="M765" s="10" t="s">
        <v>29</v>
      </c>
      <c r="N765" s="8" t="s">
        <v>29</v>
      </c>
      <c r="O765" s="10" t="s">
        <v>19</v>
      </c>
      <c r="P765" s="8" t="s">
        <v>6728</v>
      </c>
      <c r="Q765" s="10" t="s">
        <v>174</v>
      </c>
      <c r="R765" s="10" t="s">
        <v>1387</v>
      </c>
      <c r="S765" s="8" t="s">
        <v>6729</v>
      </c>
      <c r="T765" s="10" t="s">
        <v>6502</v>
      </c>
      <c r="U765" s="10" t="s">
        <v>29</v>
      </c>
    </row>
    <row r="766" spans="1:21" s="10" customFormat="1" x14ac:dyDescent="0.25">
      <c r="A766" s="10" t="s">
        <v>6730</v>
      </c>
      <c r="B766" s="10" t="s">
        <v>6245</v>
      </c>
      <c r="C766" s="10" t="s">
        <v>335</v>
      </c>
      <c r="D766" s="10" t="s">
        <v>6731</v>
      </c>
      <c r="E766" s="8" t="s">
        <v>6732</v>
      </c>
      <c r="F766" s="8" t="s">
        <v>6733</v>
      </c>
      <c r="G766" s="10" t="s">
        <v>29</v>
      </c>
      <c r="H766" s="8" t="s">
        <v>6734</v>
      </c>
      <c r="I766" s="10" t="s">
        <v>6623</v>
      </c>
      <c r="J766" s="8" t="s">
        <v>2769</v>
      </c>
      <c r="K766" s="8" t="s">
        <v>29</v>
      </c>
      <c r="L766" s="8" t="s">
        <v>29</v>
      </c>
      <c r="M766" s="10" t="s">
        <v>29</v>
      </c>
      <c r="N766" s="8" t="s">
        <v>29</v>
      </c>
      <c r="O766" s="10" t="s">
        <v>19</v>
      </c>
      <c r="P766" s="8" t="s">
        <v>6735</v>
      </c>
      <c r="Q766" s="10" t="s">
        <v>174</v>
      </c>
      <c r="R766" s="10" t="s">
        <v>1387</v>
      </c>
      <c r="S766" s="8" t="s">
        <v>6736</v>
      </c>
      <c r="T766" s="10" t="s">
        <v>6502</v>
      </c>
      <c r="U766" s="10" t="s">
        <v>29</v>
      </c>
    </row>
    <row r="767" spans="1:21" s="10" customFormat="1" x14ac:dyDescent="0.25">
      <c r="A767" s="10" t="s">
        <v>6737</v>
      </c>
      <c r="B767" s="10" t="s">
        <v>6245</v>
      </c>
      <c r="C767" s="10" t="s">
        <v>335</v>
      </c>
      <c r="D767" s="10" t="s">
        <v>6738</v>
      </c>
      <c r="E767" s="8" t="s">
        <v>6739</v>
      </c>
      <c r="F767" s="8" t="s">
        <v>6740</v>
      </c>
      <c r="G767" s="10" t="s">
        <v>29</v>
      </c>
      <c r="H767" s="8" t="s">
        <v>6741</v>
      </c>
      <c r="I767" s="10" t="s">
        <v>6623</v>
      </c>
      <c r="J767" s="8" t="s">
        <v>2769</v>
      </c>
      <c r="K767" s="8" t="s">
        <v>29</v>
      </c>
      <c r="L767" s="8" t="s">
        <v>29</v>
      </c>
      <c r="M767" s="10" t="s">
        <v>29</v>
      </c>
      <c r="N767" s="8" t="s">
        <v>29</v>
      </c>
      <c r="O767" s="10" t="s">
        <v>19</v>
      </c>
      <c r="P767" s="8" t="s">
        <v>6742</v>
      </c>
      <c r="Q767" s="10" t="s">
        <v>174</v>
      </c>
      <c r="R767" s="10" t="s">
        <v>1387</v>
      </c>
      <c r="S767" s="8" t="s">
        <v>6743</v>
      </c>
      <c r="T767" s="10" t="s">
        <v>6502</v>
      </c>
      <c r="U767" s="10" t="s">
        <v>29</v>
      </c>
    </row>
    <row r="768" spans="1:21" s="10" customFormat="1" x14ac:dyDescent="0.25">
      <c r="A768" s="10" t="s">
        <v>6744</v>
      </c>
      <c r="B768" s="10" t="s">
        <v>6245</v>
      </c>
      <c r="C768" s="10" t="s">
        <v>335</v>
      </c>
      <c r="D768" s="10" t="s">
        <v>6745</v>
      </c>
      <c r="E768" s="8" t="s">
        <v>6746</v>
      </c>
      <c r="F768" s="8" t="s">
        <v>6747</v>
      </c>
      <c r="G768" s="10" t="s">
        <v>29</v>
      </c>
      <c r="H768" s="8" t="s">
        <v>6748</v>
      </c>
      <c r="I768" s="10" t="s">
        <v>6623</v>
      </c>
      <c r="J768" s="8" t="s">
        <v>2769</v>
      </c>
      <c r="K768" s="8" t="s">
        <v>29</v>
      </c>
      <c r="L768" s="8" t="s">
        <v>29</v>
      </c>
      <c r="M768" s="10" t="s">
        <v>29</v>
      </c>
      <c r="N768" s="8" t="s">
        <v>29</v>
      </c>
      <c r="O768" s="10" t="s">
        <v>19</v>
      </c>
      <c r="P768" s="8" t="s">
        <v>6749</v>
      </c>
      <c r="Q768" s="10" t="s">
        <v>174</v>
      </c>
      <c r="R768" s="10" t="s">
        <v>1387</v>
      </c>
      <c r="S768" s="8" t="s">
        <v>6750</v>
      </c>
      <c r="T768" s="10" t="s">
        <v>6502</v>
      </c>
      <c r="U768" s="10" t="s">
        <v>29</v>
      </c>
    </row>
    <row r="769" spans="1:21" s="10" customFormat="1" x14ac:dyDescent="0.25">
      <c r="A769" s="10" t="s">
        <v>6751</v>
      </c>
      <c r="B769" s="10" t="s">
        <v>6245</v>
      </c>
      <c r="C769" s="10" t="s">
        <v>335</v>
      </c>
      <c r="D769" s="10" t="s">
        <v>6752</v>
      </c>
      <c r="E769" s="8" t="s">
        <v>6753</v>
      </c>
      <c r="F769" s="8" t="s">
        <v>6754</v>
      </c>
      <c r="G769" s="10" t="s">
        <v>29</v>
      </c>
      <c r="H769" s="8" t="s">
        <v>6755</v>
      </c>
      <c r="I769" s="10" t="s">
        <v>6623</v>
      </c>
      <c r="J769" s="8" t="s">
        <v>2769</v>
      </c>
      <c r="K769" s="8" t="s">
        <v>29</v>
      </c>
      <c r="L769" s="8" t="s">
        <v>29</v>
      </c>
      <c r="M769" s="10" t="s">
        <v>29</v>
      </c>
      <c r="N769" s="8" t="s">
        <v>29</v>
      </c>
      <c r="O769" s="10" t="s">
        <v>19</v>
      </c>
      <c r="P769" s="8" t="s">
        <v>6756</v>
      </c>
      <c r="Q769" s="10" t="s">
        <v>174</v>
      </c>
      <c r="R769" s="10" t="s">
        <v>1387</v>
      </c>
      <c r="S769" s="8" t="s">
        <v>6757</v>
      </c>
      <c r="T769" s="10" t="s">
        <v>6502</v>
      </c>
      <c r="U769" s="10" t="s">
        <v>29</v>
      </c>
    </row>
    <row r="770" spans="1:21" s="10" customFormat="1" x14ac:dyDescent="0.25">
      <c r="A770" s="10" t="s">
        <v>6758</v>
      </c>
      <c r="B770" s="10" t="s">
        <v>6245</v>
      </c>
      <c r="C770" s="10" t="s">
        <v>166</v>
      </c>
      <c r="D770" s="10" t="s">
        <v>6759</v>
      </c>
      <c r="E770" s="8" t="s">
        <v>6760</v>
      </c>
      <c r="F770" s="8" t="s">
        <v>6761</v>
      </c>
      <c r="G770" s="10" t="s">
        <v>29</v>
      </c>
      <c r="H770" s="8" t="s">
        <v>6762</v>
      </c>
      <c r="I770" s="10" t="s">
        <v>6631</v>
      </c>
      <c r="J770" s="8" t="s">
        <v>2769</v>
      </c>
      <c r="K770" s="8" t="s">
        <v>29</v>
      </c>
      <c r="L770" s="8" t="s">
        <v>29</v>
      </c>
      <c r="M770" s="10" t="s">
        <v>29</v>
      </c>
      <c r="N770" s="8" t="s">
        <v>29</v>
      </c>
      <c r="O770" s="10" t="s">
        <v>19</v>
      </c>
      <c r="P770" s="8" t="s">
        <v>6763</v>
      </c>
      <c r="Q770" s="10" t="s">
        <v>197</v>
      </c>
      <c r="R770" s="10" t="s">
        <v>1387</v>
      </c>
      <c r="S770" s="8" t="s">
        <v>6764</v>
      </c>
      <c r="T770" s="10" t="s">
        <v>6502</v>
      </c>
      <c r="U770" s="10" t="s">
        <v>29</v>
      </c>
    </row>
    <row r="771" spans="1:21" s="10" customFormat="1" x14ac:dyDescent="0.25">
      <c r="A771" s="10" t="s">
        <v>6765</v>
      </c>
      <c r="B771" s="10" t="s">
        <v>6245</v>
      </c>
      <c r="C771" s="11" t="s">
        <v>297</v>
      </c>
      <c r="D771" s="10" t="s">
        <v>6766</v>
      </c>
      <c r="E771" s="8" t="s">
        <v>6767</v>
      </c>
      <c r="F771" s="8" t="s">
        <v>6768</v>
      </c>
      <c r="G771" s="10" t="s">
        <v>29</v>
      </c>
      <c r="H771" s="8" t="s">
        <v>6769</v>
      </c>
      <c r="I771" s="10" t="s">
        <v>6623</v>
      </c>
      <c r="J771" s="8" t="s">
        <v>2769</v>
      </c>
      <c r="K771" s="8" t="s">
        <v>29</v>
      </c>
      <c r="L771" s="8" t="s">
        <v>29</v>
      </c>
      <c r="M771" s="10" t="s">
        <v>29</v>
      </c>
      <c r="N771" s="8" t="s">
        <v>29</v>
      </c>
      <c r="O771" s="10" t="s">
        <v>19</v>
      </c>
      <c r="P771" s="8" t="s">
        <v>6770</v>
      </c>
      <c r="Q771" s="10" t="s">
        <v>197</v>
      </c>
      <c r="R771" s="10" t="s">
        <v>1387</v>
      </c>
      <c r="S771" s="8" t="s">
        <v>6771</v>
      </c>
      <c r="T771" s="10" t="s">
        <v>6502</v>
      </c>
      <c r="U771" s="10" t="s">
        <v>29</v>
      </c>
    </row>
    <row r="772" spans="1:21" s="10" customFormat="1" x14ac:dyDescent="0.25">
      <c r="A772" s="10" t="s">
        <v>6772</v>
      </c>
      <c r="B772" s="10" t="s">
        <v>6245</v>
      </c>
      <c r="C772" s="10" t="s">
        <v>166</v>
      </c>
      <c r="D772" s="10" t="s">
        <v>6773</v>
      </c>
      <c r="E772" s="8" t="s">
        <v>6774</v>
      </c>
      <c r="F772" s="8" t="s">
        <v>6775</v>
      </c>
      <c r="G772" s="10" t="s">
        <v>29</v>
      </c>
      <c r="H772" s="8" t="s">
        <v>6776</v>
      </c>
      <c r="I772" s="10" t="s">
        <v>6631</v>
      </c>
      <c r="J772" s="8" t="s">
        <v>2769</v>
      </c>
      <c r="K772" s="8" t="s">
        <v>29</v>
      </c>
      <c r="L772" s="8" t="s">
        <v>29</v>
      </c>
      <c r="M772" s="10" t="s">
        <v>29</v>
      </c>
      <c r="N772" s="8" t="s">
        <v>29</v>
      </c>
      <c r="O772" s="10" t="s">
        <v>19</v>
      </c>
      <c r="P772" s="8" t="s">
        <v>6777</v>
      </c>
      <c r="Q772" s="10" t="s">
        <v>174</v>
      </c>
      <c r="R772" s="10" t="s">
        <v>1387</v>
      </c>
      <c r="S772" s="8" t="s">
        <v>6778</v>
      </c>
      <c r="T772" s="10" t="s">
        <v>6502</v>
      </c>
      <c r="U772" s="10" t="s">
        <v>29</v>
      </c>
    </row>
    <row r="773" spans="1:21" s="10" customFormat="1" x14ac:dyDescent="0.25">
      <c r="A773" s="10" t="s">
        <v>6779</v>
      </c>
      <c r="B773" s="10" t="s">
        <v>6245</v>
      </c>
      <c r="C773" s="10" t="s">
        <v>166</v>
      </c>
      <c r="D773" s="10" t="s">
        <v>6780</v>
      </c>
      <c r="E773" s="8" t="s">
        <v>6781</v>
      </c>
      <c r="F773" s="8" t="s">
        <v>6782</v>
      </c>
      <c r="G773" s="10" t="s">
        <v>29</v>
      </c>
      <c r="H773" s="8" t="s">
        <v>6614</v>
      </c>
      <c r="I773" s="10" t="s">
        <v>6631</v>
      </c>
      <c r="J773" s="8" t="s">
        <v>2769</v>
      </c>
      <c r="K773" s="8" t="s">
        <v>29</v>
      </c>
      <c r="L773" s="8" t="s">
        <v>29</v>
      </c>
      <c r="M773" s="10" t="s">
        <v>29</v>
      </c>
      <c r="N773" s="8" t="s">
        <v>29</v>
      </c>
      <c r="O773" s="10" t="s">
        <v>19</v>
      </c>
      <c r="P773" s="8" t="s">
        <v>6783</v>
      </c>
      <c r="Q773" s="10" t="s">
        <v>174</v>
      </c>
      <c r="R773" s="10" t="s">
        <v>1387</v>
      </c>
      <c r="S773" s="8" t="s">
        <v>6784</v>
      </c>
      <c r="T773" s="10" t="s">
        <v>6502</v>
      </c>
      <c r="U773" s="10" t="s">
        <v>29</v>
      </c>
    </row>
    <row r="774" spans="1:21" s="10" customFormat="1" x14ac:dyDescent="0.25">
      <c r="A774" s="10" t="s">
        <v>6785</v>
      </c>
      <c r="B774" s="10" t="s">
        <v>6245</v>
      </c>
      <c r="C774" s="11" t="s">
        <v>297</v>
      </c>
      <c r="D774" s="10" t="s">
        <v>6786</v>
      </c>
      <c r="E774" s="8" t="s">
        <v>6787</v>
      </c>
      <c r="F774" s="8" t="s">
        <v>6788</v>
      </c>
      <c r="G774" s="10" t="s">
        <v>29</v>
      </c>
      <c r="H774" s="8" t="s">
        <v>1604</v>
      </c>
      <c r="I774" s="10" t="s">
        <v>6789</v>
      </c>
      <c r="J774" s="8" t="s">
        <v>1606</v>
      </c>
      <c r="K774" s="8" t="s">
        <v>29</v>
      </c>
      <c r="L774" s="8" t="s">
        <v>29</v>
      </c>
      <c r="M774" s="10" t="s">
        <v>29</v>
      </c>
      <c r="N774" s="8" t="s">
        <v>29</v>
      </c>
      <c r="O774" s="10" t="s">
        <v>19</v>
      </c>
      <c r="P774" s="8" t="s">
        <v>6790</v>
      </c>
      <c r="Q774" s="10" t="s">
        <v>1399</v>
      </c>
      <c r="R774" s="10" t="s">
        <v>1608</v>
      </c>
      <c r="S774" s="8" t="s">
        <v>6791</v>
      </c>
      <c r="T774" s="10" t="s">
        <v>6502</v>
      </c>
      <c r="U774" s="10" t="s">
        <v>29</v>
      </c>
    </row>
    <row r="775" spans="1:21" s="10" customFormat="1" x14ac:dyDescent="0.25">
      <c r="A775" s="10" t="s">
        <v>6792</v>
      </c>
      <c r="B775" s="10" t="s">
        <v>6245</v>
      </c>
      <c r="C775" s="10" t="s">
        <v>166</v>
      </c>
      <c r="D775" s="10" t="s">
        <v>6793</v>
      </c>
      <c r="E775" s="8" t="s">
        <v>6794</v>
      </c>
      <c r="F775" s="8" t="s">
        <v>6795</v>
      </c>
      <c r="G775" s="10" t="s">
        <v>29</v>
      </c>
      <c r="H775" s="8" t="s">
        <v>6796</v>
      </c>
      <c r="I775" s="10" t="s">
        <v>6797</v>
      </c>
      <c r="J775" s="8" t="s">
        <v>2769</v>
      </c>
      <c r="K775" s="8" t="s">
        <v>29</v>
      </c>
      <c r="L775" s="8" t="s">
        <v>29</v>
      </c>
      <c r="M775" s="10" t="s">
        <v>29</v>
      </c>
      <c r="N775" s="8" t="s">
        <v>29</v>
      </c>
      <c r="O775" s="10" t="s">
        <v>19</v>
      </c>
      <c r="P775" s="8" t="s">
        <v>6798</v>
      </c>
      <c r="Q775" s="10" t="s">
        <v>174</v>
      </c>
      <c r="R775" s="10" t="s">
        <v>1387</v>
      </c>
      <c r="S775" s="8" t="s">
        <v>6799</v>
      </c>
      <c r="T775" s="10" t="s">
        <v>6502</v>
      </c>
      <c r="U775" s="10" t="s">
        <v>29</v>
      </c>
    </row>
    <row r="776" spans="1:21" s="10" customFormat="1" x14ac:dyDescent="0.25">
      <c r="A776" s="10" t="s">
        <v>6800</v>
      </c>
      <c r="B776" s="10" t="s">
        <v>6245</v>
      </c>
      <c r="C776" s="11" t="s">
        <v>297</v>
      </c>
      <c r="D776" s="10" t="s">
        <v>6801</v>
      </c>
      <c r="E776" s="8" t="s">
        <v>6802</v>
      </c>
      <c r="F776" s="8" t="s">
        <v>6803</v>
      </c>
      <c r="G776" s="10" t="s">
        <v>29</v>
      </c>
      <c r="H776" s="8" t="s">
        <v>6796</v>
      </c>
      <c r="I776" s="10" t="s">
        <v>6804</v>
      </c>
      <c r="J776" s="8" t="s">
        <v>2769</v>
      </c>
      <c r="K776" s="8" t="s">
        <v>29</v>
      </c>
      <c r="L776" s="8" t="s">
        <v>29</v>
      </c>
      <c r="M776" s="10" t="s">
        <v>29</v>
      </c>
      <c r="N776" s="8" t="s">
        <v>29</v>
      </c>
      <c r="O776" s="10" t="s">
        <v>19</v>
      </c>
      <c r="P776" s="8" t="s">
        <v>6805</v>
      </c>
      <c r="Q776" s="10" t="s">
        <v>174</v>
      </c>
      <c r="R776" s="10" t="s">
        <v>1387</v>
      </c>
      <c r="S776" s="8" t="s">
        <v>6806</v>
      </c>
      <c r="T776" s="10" t="s">
        <v>6502</v>
      </c>
      <c r="U776" s="10" t="s">
        <v>29</v>
      </c>
    </row>
    <row r="777" spans="1:21" s="10" customFormat="1" x14ac:dyDescent="0.25">
      <c r="A777" s="10" t="s">
        <v>6807</v>
      </c>
      <c r="B777" s="10" t="s">
        <v>6245</v>
      </c>
      <c r="C777" s="10" t="s">
        <v>166</v>
      </c>
      <c r="D777" s="10" t="s">
        <v>6808</v>
      </c>
      <c r="E777" s="8" t="s">
        <v>6809</v>
      </c>
      <c r="F777" s="8" t="s">
        <v>6557</v>
      </c>
      <c r="G777" s="10" t="s">
        <v>29</v>
      </c>
      <c r="H777" s="8" t="s">
        <v>6810</v>
      </c>
      <c r="I777" s="10" t="s">
        <v>6811</v>
      </c>
      <c r="J777" s="8" t="s">
        <v>2769</v>
      </c>
      <c r="K777" s="8" t="s">
        <v>29</v>
      </c>
      <c r="L777" s="8" t="s">
        <v>29</v>
      </c>
      <c r="M777" s="10" t="s">
        <v>29</v>
      </c>
      <c r="N777" s="8" t="s">
        <v>29</v>
      </c>
      <c r="O777" s="10" t="s">
        <v>19</v>
      </c>
      <c r="P777" s="8" t="s">
        <v>6812</v>
      </c>
      <c r="Q777" s="10" t="s">
        <v>174</v>
      </c>
      <c r="R777" s="10" t="s">
        <v>1387</v>
      </c>
      <c r="S777" s="8" t="s">
        <v>6813</v>
      </c>
      <c r="T777" s="10" t="s">
        <v>6502</v>
      </c>
      <c r="U777" s="10" t="s">
        <v>29</v>
      </c>
    </row>
    <row r="778" spans="1:21" s="10" customFormat="1" x14ac:dyDescent="0.25">
      <c r="A778" s="10" t="s">
        <v>6814</v>
      </c>
      <c r="B778" s="10" t="s">
        <v>6245</v>
      </c>
      <c r="C778" s="10" t="s">
        <v>166</v>
      </c>
      <c r="D778" s="10" t="s">
        <v>6815</v>
      </c>
      <c r="E778" s="8" t="s">
        <v>6816</v>
      </c>
      <c r="F778" s="8" t="s">
        <v>6817</v>
      </c>
      <c r="G778" s="10" t="s">
        <v>29</v>
      </c>
      <c r="H778" s="8" t="s">
        <v>6818</v>
      </c>
      <c r="I778" s="10" t="s">
        <v>1406</v>
      </c>
      <c r="J778" s="8" t="s">
        <v>2769</v>
      </c>
      <c r="K778" s="8" t="s">
        <v>29</v>
      </c>
      <c r="L778" s="8" t="s">
        <v>29</v>
      </c>
      <c r="M778" s="10" t="s">
        <v>29</v>
      </c>
      <c r="N778" s="8" t="s">
        <v>29</v>
      </c>
      <c r="O778" s="10" t="s">
        <v>19</v>
      </c>
      <c r="P778" s="8" t="s">
        <v>6819</v>
      </c>
      <c r="Q778" s="10" t="s">
        <v>174</v>
      </c>
      <c r="R778" s="10" t="s">
        <v>1387</v>
      </c>
      <c r="S778" s="8" t="s">
        <v>6820</v>
      </c>
      <c r="T778" s="10" t="s">
        <v>6502</v>
      </c>
      <c r="U778" s="10" t="s">
        <v>29</v>
      </c>
    </row>
    <row r="779" spans="1:21" s="10" customFormat="1" x14ac:dyDescent="0.25">
      <c r="A779" s="10" t="s">
        <v>6821</v>
      </c>
      <c r="B779" s="10" t="s">
        <v>6245</v>
      </c>
      <c r="C779" s="10" t="s">
        <v>166</v>
      </c>
      <c r="D779" s="10" t="s">
        <v>6822</v>
      </c>
      <c r="E779" s="8" t="s">
        <v>6823</v>
      </c>
      <c r="F779" s="8" t="s">
        <v>6824</v>
      </c>
      <c r="G779" s="10" t="s">
        <v>29</v>
      </c>
      <c r="H779" s="8" t="s">
        <v>6825</v>
      </c>
      <c r="I779" s="10" t="s">
        <v>6826</v>
      </c>
      <c r="J779" s="8" t="s">
        <v>2769</v>
      </c>
      <c r="K779" s="8" t="s">
        <v>29</v>
      </c>
      <c r="L779" s="8" t="s">
        <v>29</v>
      </c>
      <c r="M779" s="10" t="s">
        <v>29</v>
      </c>
      <c r="N779" s="8" t="s">
        <v>29</v>
      </c>
      <c r="O779" s="10" t="s">
        <v>19</v>
      </c>
      <c r="P779" s="8" t="s">
        <v>6827</v>
      </c>
      <c r="Q779" s="10" t="s">
        <v>197</v>
      </c>
      <c r="R779" s="10" t="s">
        <v>1387</v>
      </c>
      <c r="S779" s="8" t="s">
        <v>6828</v>
      </c>
      <c r="T779" s="10" t="s">
        <v>6502</v>
      </c>
      <c r="U779" s="10" t="s">
        <v>29</v>
      </c>
    </row>
    <row r="780" spans="1:21" s="10" customFormat="1" x14ac:dyDescent="0.25">
      <c r="A780" s="10" t="s">
        <v>6829</v>
      </c>
      <c r="B780" s="10" t="s">
        <v>6245</v>
      </c>
      <c r="C780" s="10" t="s">
        <v>335</v>
      </c>
      <c r="D780" s="10" t="s">
        <v>6830</v>
      </c>
      <c r="E780" s="8" t="s">
        <v>6831</v>
      </c>
      <c r="F780" s="8" t="s">
        <v>4774</v>
      </c>
      <c r="G780" s="10" t="s">
        <v>29</v>
      </c>
      <c r="H780" s="8" t="s">
        <v>6832</v>
      </c>
      <c r="I780" s="10" t="s">
        <v>1406</v>
      </c>
      <c r="J780" s="8" t="s">
        <v>2769</v>
      </c>
      <c r="K780" s="8" t="s">
        <v>29</v>
      </c>
      <c r="L780" s="8" t="s">
        <v>29</v>
      </c>
      <c r="M780" s="10" t="s">
        <v>29</v>
      </c>
      <c r="N780" s="8" t="s">
        <v>29</v>
      </c>
      <c r="O780" s="10" t="s">
        <v>19</v>
      </c>
      <c r="P780" s="8" t="s">
        <v>6833</v>
      </c>
      <c r="Q780" s="10" t="s">
        <v>174</v>
      </c>
      <c r="R780" s="10" t="s">
        <v>1387</v>
      </c>
      <c r="S780" s="8" t="s">
        <v>6834</v>
      </c>
      <c r="T780" s="10" t="s">
        <v>6502</v>
      </c>
      <c r="U780" s="10" t="s">
        <v>29</v>
      </c>
    </row>
    <row r="781" spans="1:21" s="10" customFormat="1" x14ac:dyDescent="0.25">
      <c r="A781" s="10" t="s">
        <v>6835</v>
      </c>
      <c r="B781" s="10" t="s">
        <v>6245</v>
      </c>
      <c r="C781" s="11" t="s">
        <v>297</v>
      </c>
      <c r="D781" s="10" t="s">
        <v>6836</v>
      </c>
      <c r="E781" s="8" t="s">
        <v>6837</v>
      </c>
      <c r="F781" s="8" t="s">
        <v>6838</v>
      </c>
      <c r="G781" s="10" t="s">
        <v>29</v>
      </c>
      <c r="H781" s="8" t="s">
        <v>6279</v>
      </c>
      <c r="I781" s="10" t="s">
        <v>6811</v>
      </c>
      <c r="J781" s="8" t="s">
        <v>2769</v>
      </c>
      <c r="K781" s="8" t="s">
        <v>29</v>
      </c>
      <c r="L781" s="8" t="s">
        <v>29</v>
      </c>
      <c r="M781" s="10" t="s">
        <v>29</v>
      </c>
      <c r="N781" s="8" t="s">
        <v>29</v>
      </c>
      <c r="O781" s="10" t="s">
        <v>19</v>
      </c>
      <c r="P781" s="8" t="s">
        <v>6839</v>
      </c>
      <c r="Q781" s="10" t="s">
        <v>1399</v>
      </c>
      <c r="R781" s="10" t="s">
        <v>1387</v>
      </c>
      <c r="S781" s="8" t="s">
        <v>6840</v>
      </c>
      <c r="T781" s="10" t="s">
        <v>6502</v>
      </c>
      <c r="U781" s="10" t="s">
        <v>29</v>
      </c>
    </row>
    <row r="782" spans="1:21" s="10" customFormat="1" x14ac:dyDescent="0.25">
      <c r="A782" s="10" t="s">
        <v>6841</v>
      </c>
      <c r="B782" s="10" t="s">
        <v>6245</v>
      </c>
      <c r="C782" s="10" t="s">
        <v>166</v>
      </c>
      <c r="D782" s="10" t="s">
        <v>6842</v>
      </c>
      <c r="E782" s="8" t="s">
        <v>6843</v>
      </c>
      <c r="F782" s="8" t="s">
        <v>6844</v>
      </c>
      <c r="G782" s="10" t="s">
        <v>29</v>
      </c>
      <c r="H782" s="8" t="s">
        <v>6796</v>
      </c>
      <c r="I782" s="10" t="s">
        <v>6826</v>
      </c>
      <c r="J782" s="8" t="s">
        <v>2769</v>
      </c>
      <c r="K782" s="8" t="s">
        <v>29</v>
      </c>
      <c r="L782" s="8" t="s">
        <v>29</v>
      </c>
      <c r="M782" s="10" t="s">
        <v>29</v>
      </c>
      <c r="N782" s="8" t="s">
        <v>29</v>
      </c>
      <c r="O782" s="10" t="s">
        <v>19</v>
      </c>
      <c r="P782" s="8" t="s">
        <v>6845</v>
      </c>
      <c r="Q782" s="10" t="s">
        <v>174</v>
      </c>
      <c r="R782" s="10" t="s">
        <v>1387</v>
      </c>
      <c r="S782" s="8" t="s">
        <v>6846</v>
      </c>
      <c r="T782" s="10" t="s">
        <v>6502</v>
      </c>
      <c r="U782" s="10" t="s">
        <v>29</v>
      </c>
    </row>
    <row r="783" spans="1:21" s="10" customFormat="1" x14ac:dyDescent="0.25">
      <c r="A783" s="10" t="s">
        <v>6847</v>
      </c>
      <c r="B783" s="10" t="s">
        <v>6245</v>
      </c>
      <c r="C783" s="11" t="s">
        <v>297</v>
      </c>
      <c r="D783" s="10" t="s">
        <v>6848</v>
      </c>
      <c r="E783" s="8" t="s">
        <v>6849</v>
      </c>
      <c r="F783" s="8" t="s">
        <v>6850</v>
      </c>
      <c r="G783" s="10" t="s">
        <v>29</v>
      </c>
      <c r="H783" s="8" t="s">
        <v>1604</v>
      </c>
      <c r="I783" s="10" t="s">
        <v>6851</v>
      </c>
      <c r="J783" s="8" t="s">
        <v>1606</v>
      </c>
      <c r="K783" s="8" t="s">
        <v>29</v>
      </c>
      <c r="L783" s="8" t="s">
        <v>29</v>
      </c>
      <c r="M783" s="10" t="s">
        <v>29</v>
      </c>
      <c r="N783" s="8" t="s">
        <v>29</v>
      </c>
      <c r="O783" s="10" t="s">
        <v>19</v>
      </c>
      <c r="P783" s="8" t="s">
        <v>6852</v>
      </c>
      <c r="Q783" s="10" t="s">
        <v>1399</v>
      </c>
      <c r="R783" s="10" t="s">
        <v>1608</v>
      </c>
      <c r="S783" s="8" t="s">
        <v>6853</v>
      </c>
      <c r="T783" s="10" t="s">
        <v>6502</v>
      </c>
      <c r="U783" s="10" t="s">
        <v>29</v>
      </c>
    </row>
    <row r="784" spans="1:21" s="10" customFormat="1" x14ac:dyDescent="0.25">
      <c r="A784" s="10" t="s">
        <v>6854</v>
      </c>
      <c r="B784" s="10" t="s">
        <v>6245</v>
      </c>
      <c r="C784" s="10" t="s">
        <v>166</v>
      </c>
      <c r="D784" s="10" t="s">
        <v>6855</v>
      </c>
      <c r="E784" s="8" t="s">
        <v>6856</v>
      </c>
      <c r="F784" s="8" t="s">
        <v>6857</v>
      </c>
      <c r="G784" s="10" t="s">
        <v>29</v>
      </c>
      <c r="H784" s="8" t="s">
        <v>6858</v>
      </c>
      <c r="I784" s="10" t="s">
        <v>6826</v>
      </c>
      <c r="J784" s="8" t="s">
        <v>2769</v>
      </c>
      <c r="K784" s="8" t="s">
        <v>29</v>
      </c>
      <c r="L784" s="8" t="s">
        <v>29</v>
      </c>
      <c r="M784" s="10" t="s">
        <v>29</v>
      </c>
      <c r="N784" s="8" t="s">
        <v>29</v>
      </c>
      <c r="O784" s="10" t="s">
        <v>19</v>
      </c>
      <c r="P784" s="8" t="s">
        <v>6859</v>
      </c>
      <c r="Q784" s="10" t="s">
        <v>174</v>
      </c>
      <c r="R784" s="10" t="s">
        <v>1387</v>
      </c>
      <c r="S784" s="8" t="s">
        <v>1599</v>
      </c>
      <c r="T784" s="10" t="s">
        <v>6502</v>
      </c>
      <c r="U784" s="10" t="s">
        <v>29</v>
      </c>
    </row>
    <row r="785" spans="1:21" s="10" customFormat="1" x14ac:dyDescent="0.25">
      <c r="A785" s="10" t="s">
        <v>6860</v>
      </c>
      <c r="B785" s="10" t="s">
        <v>6245</v>
      </c>
      <c r="C785" s="10" t="s">
        <v>166</v>
      </c>
      <c r="D785" s="10" t="s">
        <v>6861</v>
      </c>
      <c r="E785" s="8" t="s">
        <v>6862</v>
      </c>
      <c r="F785" s="8" t="s">
        <v>6863</v>
      </c>
      <c r="G785" s="10" t="s">
        <v>29</v>
      </c>
      <c r="H785" s="8" t="s">
        <v>6864</v>
      </c>
      <c r="I785" s="10" t="s">
        <v>6865</v>
      </c>
      <c r="J785" s="8" t="s">
        <v>2769</v>
      </c>
      <c r="K785" s="8" t="s">
        <v>29</v>
      </c>
      <c r="L785" s="8" t="s">
        <v>29</v>
      </c>
      <c r="M785" s="10" t="s">
        <v>29</v>
      </c>
      <c r="N785" s="8" t="s">
        <v>29</v>
      </c>
      <c r="O785" s="10" t="s">
        <v>19</v>
      </c>
      <c r="P785" s="8" t="s">
        <v>6866</v>
      </c>
      <c r="Q785" s="10" t="s">
        <v>174</v>
      </c>
      <c r="R785" s="10" t="s">
        <v>1387</v>
      </c>
      <c r="S785" s="8" t="s">
        <v>6867</v>
      </c>
      <c r="T785" s="10" t="s">
        <v>6502</v>
      </c>
      <c r="U785" s="10" t="s">
        <v>29</v>
      </c>
    </row>
    <row r="786" spans="1:21" s="10" customFormat="1" x14ac:dyDescent="0.25">
      <c r="A786" s="10" t="s">
        <v>6868</v>
      </c>
      <c r="B786" s="10" t="s">
        <v>6245</v>
      </c>
      <c r="C786" s="11" t="s">
        <v>297</v>
      </c>
      <c r="D786" s="10" t="s">
        <v>6869</v>
      </c>
      <c r="E786" s="8" t="s">
        <v>6870</v>
      </c>
      <c r="F786" s="8" t="s">
        <v>6871</v>
      </c>
      <c r="G786" s="10" t="s">
        <v>29</v>
      </c>
      <c r="H786" s="8" t="s">
        <v>6864</v>
      </c>
      <c r="I786" s="10" t="s">
        <v>3912</v>
      </c>
      <c r="J786" s="8" t="s">
        <v>2769</v>
      </c>
      <c r="K786" s="8" t="s">
        <v>29</v>
      </c>
      <c r="L786" s="8" t="s">
        <v>29</v>
      </c>
      <c r="M786" s="10" t="s">
        <v>29</v>
      </c>
      <c r="N786" s="8" t="s">
        <v>29</v>
      </c>
      <c r="O786" s="10" t="s">
        <v>19</v>
      </c>
      <c r="P786" s="8" t="s">
        <v>6872</v>
      </c>
      <c r="Q786" s="10" t="s">
        <v>174</v>
      </c>
      <c r="R786" s="10" t="s">
        <v>1387</v>
      </c>
      <c r="S786" s="8" t="s">
        <v>6873</v>
      </c>
      <c r="T786" s="10" t="s">
        <v>6502</v>
      </c>
      <c r="U786" s="10" t="s">
        <v>29</v>
      </c>
    </row>
    <row r="787" spans="1:21" s="10" customFormat="1" x14ac:dyDescent="0.25">
      <c r="A787" s="10" t="s">
        <v>6874</v>
      </c>
      <c r="B787" s="10" t="s">
        <v>6245</v>
      </c>
      <c r="C787" s="10" t="s">
        <v>166</v>
      </c>
      <c r="D787" s="10" t="s">
        <v>6875</v>
      </c>
      <c r="E787" s="8" t="s">
        <v>6876</v>
      </c>
      <c r="F787" s="8" t="s">
        <v>6877</v>
      </c>
      <c r="G787" s="10" t="s">
        <v>29</v>
      </c>
      <c r="H787" s="8" t="s">
        <v>6878</v>
      </c>
      <c r="I787" s="10" t="s">
        <v>6879</v>
      </c>
      <c r="J787" s="8" t="s">
        <v>2769</v>
      </c>
      <c r="K787" s="8" t="s">
        <v>29</v>
      </c>
      <c r="L787" s="8" t="s">
        <v>29</v>
      </c>
      <c r="M787" s="10" t="s">
        <v>29</v>
      </c>
      <c r="N787" s="8" t="s">
        <v>29</v>
      </c>
      <c r="O787" s="10" t="s">
        <v>19</v>
      </c>
      <c r="P787" s="8" t="s">
        <v>6880</v>
      </c>
      <c r="Q787" s="10" t="s">
        <v>190</v>
      </c>
      <c r="R787" s="10" t="s">
        <v>1387</v>
      </c>
      <c r="S787" s="8" t="s">
        <v>6881</v>
      </c>
      <c r="T787" s="10" t="s">
        <v>6502</v>
      </c>
      <c r="U787" s="10" t="s">
        <v>29</v>
      </c>
    </row>
    <row r="788" spans="1:21" s="10" customFormat="1" x14ac:dyDescent="0.25">
      <c r="A788" s="10" t="s">
        <v>6882</v>
      </c>
      <c r="B788" s="10" t="s">
        <v>6245</v>
      </c>
      <c r="C788" s="10" t="s">
        <v>166</v>
      </c>
      <c r="D788" s="10" t="s">
        <v>6883</v>
      </c>
      <c r="E788" s="8" t="s">
        <v>6884</v>
      </c>
      <c r="F788" s="8" t="s">
        <v>6885</v>
      </c>
      <c r="G788" s="10" t="s">
        <v>29</v>
      </c>
      <c r="H788" s="8" t="s">
        <v>6886</v>
      </c>
      <c r="I788" s="10" t="s">
        <v>6887</v>
      </c>
      <c r="J788" s="8" t="s">
        <v>6888</v>
      </c>
      <c r="K788" s="8" t="s">
        <v>29</v>
      </c>
      <c r="L788" s="8" t="s">
        <v>29</v>
      </c>
      <c r="M788" s="10" t="s">
        <v>29</v>
      </c>
      <c r="N788" s="8" t="s">
        <v>29</v>
      </c>
      <c r="O788" s="10" t="s">
        <v>19</v>
      </c>
      <c r="P788" s="8" t="s">
        <v>6889</v>
      </c>
      <c r="Q788" s="10" t="s">
        <v>174</v>
      </c>
      <c r="R788" s="10" t="s">
        <v>1387</v>
      </c>
      <c r="S788" s="8" t="s">
        <v>6890</v>
      </c>
      <c r="T788" s="10" t="s">
        <v>6502</v>
      </c>
      <c r="U788" s="10" t="s">
        <v>29</v>
      </c>
    </row>
    <row r="789" spans="1:21" s="10" customFormat="1" x14ac:dyDescent="0.25">
      <c r="A789" s="10" t="s">
        <v>6891</v>
      </c>
      <c r="B789" s="10" t="s">
        <v>6245</v>
      </c>
      <c r="C789" s="11" t="s">
        <v>297</v>
      </c>
      <c r="D789" s="10" t="s">
        <v>6892</v>
      </c>
      <c r="E789" s="8" t="s">
        <v>6893</v>
      </c>
      <c r="F789" s="8" t="s">
        <v>6894</v>
      </c>
      <c r="G789" s="10" t="s">
        <v>29</v>
      </c>
      <c r="H789" s="8" t="s">
        <v>6895</v>
      </c>
      <c r="I789" s="10" t="s">
        <v>3912</v>
      </c>
      <c r="J789" s="8" t="s">
        <v>6896</v>
      </c>
      <c r="K789" s="8" t="s">
        <v>29</v>
      </c>
      <c r="L789" s="8" t="s">
        <v>29</v>
      </c>
      <c r="M789" s="10" t="s">
        <v>29</v>
      </c>
      <c r="N789" s="8" t="s">
        <v>29</v>
      </c>
      <c r="O789" s="10" t="s">
        <v>19</v>
      </c>
      <c r="P789" s="8" t="s">
        <v>6897</v>
      </c>
      <c r="Q789" s="10" t="s">
        <v>190</v>
      </c>
      <c r="R789" s="10" t="s">
        <v>1387</v>
      </c>
      <c r="S789" s="8" t="s">
        <v>6898</v>
      </c>
      <c r="T789" s="10" t="s">
        <v>6502</v>
      </c>
      <c r="U789" s="10" t="s">
        <v>29</v>
      </c>
    </row>
    <row r="790" spans="1:21" s="10" customFormat="1" x14ac:dyDescent="0.25">
      <c r="A790" s="10" t="s">
        <v>6899</v>
      </c>
      <c r="B790" s="10" t="s">
        <v>6245</v>
      </c>
      <c r="C790" s="11" t="s">
        <v>297</v>
      </c>
      <c r="D790" s="10" t="s">
        <v>6900</v>
      </c>
      <c r="E790" s="8" t="s">
        <v>6901</v>
      </c>
      <c r="F790" s="8" t="s">
        <v>6902</v>
      </c>
      <c r="G790" s="10" t="s">
        <v>29</v>
      </c>
      <c r="H790" s="8" t="s">
        <v>1604</v>
      </c>
      <c r="I790" s="10" t="s">
        <v>6903</v>
      </c>
      <c r="J790" s="8" t="s">
        <v>1606</v>
      </c>
      <c r="K790" s="8" t="s">
        <v>29</v>
      </c>
      <c r="L790" s="8" t="s">
        <v>29</v>
      </c>
      <c r="M790" s="10" t="s">
        <v>29</v>
      </c>
      <c r="N790" s="8" t="s">
        <v>29</v>
      </c>
      <c r="O790" s="10" t="s">
        <v>19</v>
      </c>
      <c r="P790" s="8" t="s">
        <v>6904</v>
      </c>
      <c r="Q790" s="10" t="s">
        <v>1399</v>
      </c>
      <c r="R790" s="10" t="s">
        <v>1608</v>
      </c>
      <c r="S790" s="8" t="s">
        <v>6905</v>
      </c>
      <c r="T790" s="10" t="s">
        <v>6502</v>
      </c>
      <c r="U790" s="10" t="s">
        <v>29</v>
      </c>
    </row>
    <row r="791" spans="1:21" s="10" customFormat="1" x14ac:dyDescent="0.25">
      <c r="A791" s="10" t="s">
        <v>6906</v>
      </c>
      <c r="B791" s="10" t="s">
        <v>6907</v>
      </c>
      <c r="C791" s="10" t="s">
        <v>166</v>
      </c>
      <c r="D791" s="10" t="s">
        <v>6908</v>
      </c>
      <c r="E791" s="8" t="s">
        <v>6909</v>
      </c>
      <c r="F791" s="8" t="s">
        <v>6910</v>
      </c>
      <c r="G791" s="10" t="s">
        <v>29</v>
      </c>
      <c r="H791" s="8" t="s">
        <v>6911</v>
      </c>
      <c r="I791" s="10" t="s">
        <v>6912</v>
      </c>
      <c r="J791" s="8" t="s">
        <v>2769</v>
      </c>
      <c r="K791" s="8" t="s">
        <v>29</v>
      </c>
      <c r="L791" s="8" t="s">
        <v>29</v>
      </c>
      <c r="M791" s="10" t="s">
        <v>29</v>
      </c>
      <c r="N791" s="8" t="s">
        <v>29</v>
      </c>
      <c r="O791" s="10" t="s">
        <v>19</v>
      </c>
      <c r="P791" s="8" t="s">
        <v>6913</v>
      </c>
      <c r="Q791" s="10" t="s">
        <v>174</v>
      </c>
      <c r="R791" s="10" t="s">
        <v>1387</v>
      </c>
      <c r="S791" s="8" t="s">
        <v>6914</v>
      </c>
      <c r="T791" s="10" t="s">
        <v>6915</v>
      </c>
      <c r="U791" s="10" t="s">
        <v>29</v>
      </c>
    </row>
    <row r="792" spans="1:21" s="10" customFormat="1" x14ac:dyDescent="0.25">
      <c r="A792" s="10" t="s">
        <v>6916</v>
      </c>
      <c r="B792" s="10" t="s">
        <v>6907</v>
      </c>
      <c r="C792" s="11" t="s">
        <v>297</v>
      </c>
      <c r="D792" s="10" t="s">
        <v>6917</v>
      </c>
      <c r="E792" s="8" t="s">
        <v>6918</v>
      </c>
      <c r="F792" s="8" t="s">
        <v>6919</v>
      </c>
      <c r="G792" s="10" t="s">
        <v>29</v>
      </c>
      <c r="H792" s="8" t="s">
        <v>6920</v>
      </c>
      <c r="I792" s="10" t="s">
        <v>6921</v>
      </c>
      <c r="J792" s="8" t="s">
        <v>2769</v>
      </c>
      <c r="K792" s="8" t="s">
        <v>29</v>
      </c>
      <c r="L792" s="8" t="s">
        <v>29</v>
      </c>
      <c r="M792" s="10" t="s">
        <v>29</v>
      </c>
      <c r="N792" s="8" t="s">
        <v>29</v>
      </c>
      <c r="O792" s="10" t="s">
        <v>19</v>
      </c>
      <c r="P792" s="8" t="s">
        <v>6922</v>
      </c>
      <c r="Q792" s="10" t="s">
        <v>174</v>
      </c>
      <c r="R792" s="10" t="s">
        <v>1387</v>
      </c>
      <c r="S792" s="8" t="s">
        <v>6923</v>
      </c>
      <c r="T792" s="10" t="s">
        <v>6915</v>
      </c>
      <c r="U792" s="10" t="s">
        <v>29</v>
      </c>
    </row>
    <row r="793" spans="1:21" s="10" customFormat="1" x14ac:dyDescent="0.25">
      <c r="A793" s="10" t="s">
        <v>6924</v>
      </c>
      <c r="B793" s="10" t="s">
        <v>6907</v>
      </c>
      <c r="C793" s="10" t="s">
        <v>166</v>
      </c>
      <c r="D793" s="10" t="s">
        <v>6925</v>
      </c>
      <c r="E793" s="8" t="s">
        <v>6926</v>
      </c>
      <c r="F793" s="8" t="s">
        <v>6927</v>
      </c>
      <c r="G793" s="10" t="s">
        <v>29</v>
      </c>
      <c r="H793" s="8" t="s">
        <v>6928</v>
      </c>
      <c r="I793" s="10" t="s">
        <v>870</v>
      </c>
      <c r="J793" s="8" t="s">
        <v>2769</v>
      </c>
      <c r="K793" s="8" t="s">
        <v>29</v>
      </c>
      <c r="L793" s="8" t="s">
        <v>29</v>
      </c>
      <c r="M793" s="10" t="s">
        <v>29</v>
      </c>
      <c r="N793" s="8" t="s">
        <v>29</v>
      </c>
      <c r="O793" s="10" t="s">
        <v>19</v>
      </c>
      <c r="P793" s="8" t="s">
        <v>6929</v>
      </c>
      <c r="Q793" s="10" t="s">
        <v>190</v>
      </c>
      <c r="R793" s="10" t="s">
        <v>1387</v>
      </c>
      <c r="S793" s="8" t="s">
        <v>6930</v>
      </c>
      <c r="T793" s="10" t="s">
        <v>6915</v>
      </c>
      <c r="U793" s="10" t="s">
        <v>29</v>
      </c>
    </row>
    <row r="794" spans="1:21" s="10" customFormat="1" x14ac:dyDescent="0.25">
      <c r="A794" s="10" t="s">
        <v>6931</v>
      </c>
      <c r="B794" s="10" t="s">
        <v>6907</v>
      </c>
      <c r="C794" s="10" t="s">
        <v>166</v>
      </c>
      <c r="D794" s="10" t="s">
        <v>6932</v>
      </c>
      <c r="E794" s="8" t="s">
        <v>6933</v>
      </c>
      <c r="F794" s="8" t="s">
        <v>5705</v>
      </c>
      <c r="G794" s="10" t="s">
        <v>29</v>
      </c>
      <c r="H794" s="8" t="s">
        <v>6934</v>
      </c>
      <c r="I794" s="10" t="s">
        <v>6921</v>
      </c>
      <c r="J794" s="8" t="s">
        <v>2769</v>
      </c>
      <c r="K794" s="8" t="s">
        <v>29</v>
      </c>
      <c r="L794" s="8" t="s">
        <v>29</v>
      </c>
      <c r="M794" s="10" t="s">
        <v>29</v>
      </c>
      <c r="N794" s="8" t="s">
        <v>29</v>
      </c>
      <c r="O794" s="10" t="s">
        <v>19</v>
      </c>
      <c r="P794" s="8" t="s">
        <v>6935</v>
      </c>
      <c r="Q794" s="10" t="s">
        <v>174</v>
      </c>
      <c r="R794" s="10" t="s">
        <v>1387</v>
      </c>
      <c r="S794" s="8" t="s">
        <v>6936</v>
      </c>
      <c r="T794" s="10" t="s">
        <v>6915</v>
      </c>
      <c r="U794" s="10" t="s">
        <v>29</v>
      </c>
    </row>
    <row r="795" spans="1:21" s="10" customFormat="1" x14ac:dyDescent="0.25">
      <c r="A795" s="10" t="s">
        <v>6937</v>
      </c>
      <c r="B795" s="10" t="s">
        <v>6907</v>
      </c>
      <c r="C795" s="10" t="s">
        <v>166</v>
      </c>
      <c r="D795" s="10" t="s">
        <v>6938</v>
      </c>
      <c r="E795" s="8" t="s">
        <v>6939</v>
      </c>
      <c r="F795" s="8" t="s">
        <v>6940</v>
      </c>
      <c r="G795" s="10" t="s">
        <v>29</v>
      </c>
      <c r="H795" s="8" t="s">
        <v>6941</v>
      </c>
      <c r="I795" s="10" t="s">
        <v>6921</v>
      </c>
      <c r="J795" s="8" t="s">
        <v>2769</v>
      </c>
      <c r="K795" s="8" t="s">
        <v>29</v>
      </c>
      <c r="L795" s="8" t="s">
        <v>29</v>
      </c>
      <c r="M795" s="10" t="s">
        <v>29</v>
      </c>
      <c r="N795" s="8" t="s">
        <v>29</v>
      </c>
      <c r="O795" s="10" t="s">
        <v>19</v>
      </c>
      <c r="P795" s="8" t="s">
        <v>6942</v>
      </c>
      <c r="Q795" s="10" t="s">
        <v>197</v>
      </c>
      <c r="R795" s="10" t="s">
        <v>1387</v>
      </c>
      <c r="S795" s="8" t="s">
        <v>6943</v>
      </c>
      <c r="T795" s="10" t="s">
        <v>6915</v>
      </c>
      <c r="U795" s="10" t="s">
        <v>29</v>
      </c>
    </row>
    <row r="796" spans="1:21" s="10" customFormat="1" x14ac:dyDescent="0.25">
      <c r="A796" s="10" t="s">
        <v>6944</v>
      </c>
      <c r="B796" s="10" t="s">
        <v>6907</v>
      </c>
      <c r="C796" s="10" t="s">
        <v>166</v>
      </c>
      <c r="D796" s="10" t="s">
        <v>6945</v>
      </c>
      <c r="E796" s="8" t="s">
        <v>6946</v>
      </c>
      <c r="F796" s="8" t="s">
        <v>6947</v>
      </c>
      <c r="G796" s="10" t="s">
        <v>29</v>
      </c>
      <c r="H796" s="8" t="s">
        <v>6948</v>
      </c>
      <c r="I796" s="10" t="s">
        <v>870</v>
      </c>
      <c r="J796" s="8" t="s">
        <v>2769</v>
      </c>
      <c r="K796" s="8" t="s">
        <v>29</v>
      </c>
      <c r="L796" s="8" t="s">
        <v>29</v>
      </c>
      <c r="M796" s="10" t="s">
        <v>29</v>
      </c>
      <c r="N796" s="8" t="s">
        <v>29</v>
      </c>
      <c r="O796" s="10" t="s">
        <v>19</v>
      </c>
      <c r="P796" s="8" t="s">
        <v>6949</v>
      </c>
      <c r="Q796" s="10" t="s">
        <v>174</v>
      </c>
      <c r="R796" s="10" t="s">
        <v>1387</v>
      </c>
      <c r="S796" s="8" t="s">
        <v>6950</v>
      </c>
      <c r="T796" s="10" t="s">
        <v>6915</v>
      </c>
      <c r="U796" s="10" t="s">
        <v>29</v>
      </c>
    </row>
    <row r="797" spans="1:21" s="10" customFormat="1" x14ac:dyDescent="0.25">
      <c r="A797" s="10" t="s">
        <v>6951</v>
      </c>
      <c r="B797" s="10" t="s">
        <v>6907</v>
      </c>
      <c r="C797" s="10" t="s">
        <v>166</v>
      </c>
      <c r="D797" s="10" t="s">
        <v>6952</v>
      </c>
      <c r="E797" s="8" t="s">
        <v>6953</v>
      </c>
      <c r="F797" s="8" t="s">
        <v>6954</v>
      </c>
      <c r="G797" s="10" t="s">
        <v>29</v>
      </c>
      <c r="H797" s="8" t="s">
        <v>6955</v>
      </c>
      <c r="I797" s="10" t="s">
        <v>6921</v>
      </c>
      <c r="J797" s="8" t="s">
        <v>2769</v>
      </c>
      <c r="K797" s="8" t="s">
        <v>29</v>
      </c>
      <c r="L797" s="8" t="s">
        <v>29</v>
      </c>
      <c r="M797" s="10" t="s">
        <v>29</v>
      </c>
      <c r="N797" s="8" t="s">
        <v>29</v>
      </c>
      <c r="O797" s="10" t="s">
        <v>19</v>
      </c>
      <c r="P797" s="8" t="s">
        <v>6956</v>
      </c>
      <c r="Q797" s="10" t="s">
        <v>174</v>
      </c>
      <c r="R797" s="10" t="s">
        <v>1387</v>
      </c>
      <c r="S797" s="8" t="s">
        <v>6957</v>
      </c>
      <c r="T797" s="10" t="s">
        <v>6915</v>
      </c>
      <c r="U797" s="10" t="s">
        <v>29</v>
      </c>
    </row>
    <row r="798" spans="1:21" s="10" customFormat="1" x14ac:dyDescent="0.25">
      <c r="A798" s="10" t="s">
        <v>6958</v>
      </c>
      <c r="B798" s="10" t="s">
        <v>6907</v>
      </c>
      <c r="C798" s="11" t="s">
        <v>297</v>
      </c>
      <c r="D798" s="10" t="s">
        <v>6959</v>
      </c>
      <c r="E798" s="8" t="s">
        <v>6960</v>
      </c>
      <c r="F798" s="8" t="s">
        <v>6961</v>
      </c>
      <c r="G798" s="10" t="s">
        <v>29</v>
      </c>
      <c r="H798" s="8" t="s">
        <v>6962</v>
      </c>
      <c r="I798" s="10" t="s">
        <v>5654</v>
      </c>
      <c r="J798" s="8" t="s">
        <v>2769</v>
      </c>
      <c r="K798" s="8" t="s">
        <v>29</v>
      </c>
      <c r="L798" s="8" t="s">
        <v>29</v>
      </c>
      <c r="M798" s="10" t="s">
        <v>29</v>
      </c>
      <c r="N798" s="8" t="s">
        <v>29</v>
      </c>
      <c r="O798" s="10" t="s">
        <v>19</v>
      </c>
      <c r="P798" s="8" t="s">
        <v>6963</v>
      </c>
      <c r="Q798" s="10" t="s">
        <v>174</v>
      </c>
      <c r="R798" s="10" t="s">
        <v>1387</v>
      </c>
      <c r="S798" s="8" t="s">
        <v>6964</v>
      </c>
      <c r="T798" s="10" t="s">
        <v>6915</v>
      </c>
      <c r="U798" s="10" t="s">
        <v>29</v>
      </c>
    </row>
    <row r="799" spans="1:21" s="10" customFormat="1" x14ac:dyDescent="0.25">
      <c r="A799" s="10" t="s">
        <v>6965</v>
      </c>
      <c r="B799" s="10" t="s">
        <v>6907</v>
      </c>
      <c r="C799" s="10" t="s">
        <v>166</v>
      </c>
      <c r="D799" s="10" t="s">
        <v>6966</v>
      </c>
      <c r="E799" s="8" t="s">
        <v>6967</v>
      </c>
      <c r="F799" s="8" t="s">
        <v>6968</v>
      </c>
      <c r="G799" s="10" t="s">
        <v>29</v>
      </c>
      <c r="H799" s="8" t="s">
        <v>6969</v>
      </c>
      <c r="I799" s="10" t="s">
        <v>5654</v>
      </c>
      <c r="J799" s="8" t="s">
        <v>2769</v>
      </c>
      <c r="K799" s="8" t="s">
        <v>29</v>
      </c>
      <c r="L799" s="8" t="s">
        <v>29</v>
      </c>
      <c r="M799" s="10" t="s">
        <v>29</v>
      </c>
      <c r="N799" s="8" t="s">
        <v>29</v>
      </c>
      <c r="O799" s="10" t="s">
        <v>19</v>
      </c>
      <c r="P799" s="8" t="s">
        <v>6970</v>
      </c>
      <c r="Q799" s="10" t="s">
        <v>190</v>
      </c>
      <c r="R799" s="10" t="s">
        <v>1387</v>
      </c>
      <c r="S799" s="8" t="s">
        <v>6971</v>
      </c>
      <c r="T799" s="10" t="s">
        <v>6915</v>
      </c>
      <c r="U799" s="10" t="s">
        <v>29</v>
      </c>
    </row>
    <row r="800" spans="1:21" s="10" customFormat="1" x14ac:dyDescent="0.25">
      <c r="A800" s="10" t="s">
        <v>6972</v>
      </c>
      <c r="B800" s="10" t="s">
        <v>6907</v>
      </c>
      <c r="C800" s="10" t="s">
        <v>166</v>
      </c>
      <c r="D800" s="10" t="s">
        <v>6973</v>
      </c>
      <c r="E800" s="8" t="s">
        <v>6974</v>
      </c>
      <c r="F800" s="8" t="s">
        <v>6975</v>
      </c>
      <c r="G800" s="10" t="s">
        <v>29</v>
      </c>
      <c r="H800" s="8" t="s">
        <v>6976</v>
      </c>
      <c r="I800" s="10" t="s">
        <v>5654</v>
      </c>
      <c r="J800" s="8" t="s">
        <v>2769</v>
      </c>
      <c r="K800" s="8" t="s">
        <v>29</v>
      </c>
      <c r="L800" s="8" t="s">
        <v>29</v>
      </c>
      <c r="M800" s="10" t="s">
        <v>29</v>
      </c>
      <c r="N800" s="8" t="s">
        <v>29</v>
      </c>
      <c r="O800" s="10" t="s">
        <v>19</v>
      </c>
      <c r="P800" s="8" t="s">
        <v>6977</v>
      </c>
      <c r="Q800" s="10" t="s">
        <v>190</v>
      </c>
      <c r="R800" s="10" t="s">
        <v>1387</v>
      </c>
      <c r="S800" s="8" t="s">
        <v>1857</v>
      </c>
      <c r="T800" s="10" t="s">
        <v>6915</v>
      </c>
      <c r="U800" s="10" t="s">
        <v>29</v>
      </c>
    </row>
    <row r="801" spans="1:21" s="10" customFormat="1" x14ac:dyDescent="0.25">
      <c r="A801" s="10" t="s">
        <v>6978</v>
      </c>
      <c r="B801" s="10" t="s">
        <v>6907</v>
      </c>
      <c r="C801" s="11" t="s">
        <v>297</v>
      </c>
      <c r="D801" s="10" t="s">
        <v>6979</v>
      </c>
      <c r="E801" s="8" t="s">
        <v>6980</v>
      </c>
      <c r="F801" s="8" t="s">
        <v>6981</v>
      </c>
      <c r="G801" s="10" t="s">
        <v>29</v>
      </c>
      <c r="H801" s="8" t="s">
        <v>6982</v>
      </c>
      <c r="I801" s="10" t="s">
        <v>5654</v>
      </c>
      <c r="J801" s="8" t="s">
        <v>2769</v>
      </c>
      <c r="K801" s="8" t="s">
        <v>29</v>
      </c>
      <c r="L801" s="8" t="s">
        <v>29</v>
      </c>
      <c r="M801" s="10" t="s">
        <v>29</v>
      </c>
      <c r="N801" s="8" t="s">
        <v>29</v>
      </c>
      <c r="O801" s="10" t="s">
        <v>19</v>
      </c>
      <c r="P801" s="8" t="s">
        <v>6983</v>
      </c>
      <c r="Q801" s="10" t="s">
        <v>174</v>
      </c>
      <c r="R801" s="10" t="s">
        <v>1387</v>
      </c>
      <c r="S801" s="8" t="s">
        <v>6984</v>
      </c>
      <c r="T801" s="10" t="s">
        <v>6915</v>
      </c>
      <c r="U801" s="10" t="s">
        <v>29</v>
      </c>
    </row>
    <row r="802" spans="1:21" s="10" customFormat="1" x14ac:dyDescent="0.25">
      <c r="A802" s="10" t="s">
        <v>6985</v>
      </c>
      <c r="B802" s="10" t="s">
        <v>6907</v>
      </c>
      <c r="C802" s="10" t="s">
        <v>166</v>
      </c>
      <c r="D802" s="10" t="s">
        <v>6986</v>
      </c>
      <c r="E802" s="8" t="s">
        <v>6987</v>
      </c>
      <c r="F802" s="8" t="s">
        <v>6988</v>
      </c>
      <c r="G802" s="10" t="s">
        <v>29</v>
      </c>
      <c r="H802" s="8" t="s">
        <v>6989</v>
      </c>
      <c r="I802" s="10" t="s">
        <v>6990</v>
      </c>
      <c r="J802" s="8" t="s">
        <v>2769</v>
      </c>
      <c r="K802" s="8" t="s">
        <v>29</v>
      </c>
      <c r="L802" s="8" t="s">
        <v>29</v>
      </c>
      <c r="M802" s="10" t="s">
        <v>29</v>
      </c>
      <c r="N802" s="8" t="s">
        <v>29</v>
      </c>
      <c r="O802" s="10" t="s">
        <v>19</v>
      </c>
      <c r="P802" s="8" t="s">
        <v>6991</v>
      </c>
      <c r="Q802" s="10" t="s">
        <v>174</v>
      </c>
      <c r="R802" s="10" t="s">
        <v>1387</v>
      </c>
      <c r="S802" s="8" t="s">
        <v>6992</v>
      </c>
      <c r="T802" s="10" t="s">
        <v>6915</v>
      </c>
      <c r="U802" s="10" t="s">
        <v>29</v>
      </c>
    </row>
    <row r="803" spans="1:21" s="10" customFormat="1" x14ac:dyDescent="0.25">
      <c r="A803" s="10" t="s">
        <v>6993</v>
      </c>
      <c r="B803" s="10" t="s">
        <v>6907</v>
      </c>
      <c r="C803" s="10" t="s">
        <v>166</v>
      </c>
      <c r="D803" s="10" t="s">
        <v>6994</v>
      </c>
      <c r="E803" s="8" t="s">
        <v>6995</v>
      </c>
      <c r="F803" s="8" t="s">
        <v>6996</v>
      </c>
      <c r="G803" s="10" t="s">
        <v>29</v>
      </c>
      <c r="H803" s="8" t="s">
        <v>6997</v>
      </c>
      <c r="I803" s="10" t="s">
        <v>824</v>
      </c>
      <c r="J803" s="8" t="s">
        <v>2769</v>
      </c>
      <c r="K803" s="8" t="s">
        <v>29</v>
      </c>
      <c r="L803" s="8" t="s">
        <v>29</v>
      </c>
      <c r="M803" s="10" t="s">
        <v>29</v>
      </c>
      <c r="N803" s="8" t="s">
        <v>29</v>
      </c>
      <c r="O803" s="10" t="s">
        <v>19</v>
      </c>
      <c r="P803" s="8" t="s">
        <v>6998</v>
      </c>
      <c r="Q803" s="10" t="s">
        <v>174</v>
      </c>
      <c r="R803" s="10" t="s">
        <v>1387</v>
      </c>
      <c r="S803" s="8" t="s">
        <v>6999</v>
      </c>
      <c r="T803" s="10" t="s">
        <v>6915</v>
      </c>
      <c r="U803" s="10" t="s">
        <v>29</v>
      </c>
    </row>
    <row r="804" spans="1:21" s="10" customFormat="1" x14ac:dyDescent="0.25">
      <c r="A804" s="10" t="s">
        <v>7000</v>
      </c>
      <c r="B804" s="10" t="s">
        <v>6907</v>
      </c>
      <c r="C804" s="11" t="s">
        <v>297</v>
      </c>
      <c r="D804" s="10" t="s">
        <v>7001</v>
      </c>
      <c r="E804" s="8" t="s">
        <v>7002</v>
      </c>
      <c r="F804" s="8" t="s">
        <v>7003</v>
      </c>
      <c r="G804" s="10" t="s">
        <v>29</v>
      </c>
      <c r="H804" s="8" t="s">
        <v>1604</v>
      </c>
      <c r="I804" s="10" t="s">
        <v>7004</v>
      </c>
      <c r="J804" s="8" t="s">
        <v>1606</v>
      </c>
      <c r="K804" s="8" t="s">
        <v>29</v>
      </c>
      <c r="L804" s="8" t="s">
        <v>29</v>
      </c>
      <c r="M804" s="10" t="s">
        <v>29</v>
      </c>
      <c r="N804" s="8" t="s">
        <v>29</v>
      </c>
      <c r="O804" s="10" t="s">
        <v>19</v>
      </c>
      <c r="P804" s="8" t="s">
        <v>7005</v>
      </c>
      <c r="Q804" s="10" t="s">
        <v>1399</v>
      </c>
      <c r="R804" s="10" t="s">
        <v>1608</v>
      </c>
      <c r="S804" s="8" t="s">
        <v>7006</v>
      </c>
      <c r="T804" s="10" t="s">
        <v>6915</v>
      </c>
      <c r="U804" s="10" t="s">
        <v>29</v>
      </c>
    </row>
    <row r="805" spans="1:21" s="10" customFormat="1" x14ac:dyDescent="0.25">
      <c r="A805" s="10" t="s">
        <v>7007</v>
      </c>
      <c r="B805" s="10" t="s">
        <v>6907</v>
      </c>
      <c r="C805" s="11" t="s">
        <v>297</v>
      </c>
      <c r="D805" s="10" t="s">
        <v>7008</v>
      </c>
      <c r="E805" s="8" t="s">
        <v>7009</v>
      </c>
      <c r="F805" s="8" t="s">
        <v>1613</v>
      </c>
      <c r="G805" s="10" t="s">
        <v>29</v>
      </c>
      <c r="H805" s="8" t="s">
        <v>7010</v>
      </c>
      <c r="I805" s="10" t="s">
        <v>7011</v>
      </c>
      <c r="J805" s="8" t="s">
        <v>1615</v>
      </c>
      <c r="K805" s="8" t="s">
        <v>29</v>
      </c>
      <c r="L805" s="8" t="s">
        <v>29</v>
      </c>
      <c r="M805" s="10" t="s">
        <v>29</v>
      </c>
      <c r="N805" s="8" t="s">
        <v>29</v>
      </c>
      <c r="O805" s="10" t="s">
        <v>19</v>
      </c>
      <c r="P805" s="8" t="s">
        <v>7012</v>
      </c>
      <c r="Q805" s="10" t="s">
        <v>776</v>
      </c>
      <c r="R805" s="10" t="s">
        <v>7013</v>
      </c>
      <c r="S805" s="8" t="s">
        <v>1618</v>
      </c>
      <c r="T805" s="10" t="s">
        <v>6915</v>
      </c>
      <c r="U805" s="10" t="s">
        <v>29</v>
      </c>
    </row>
    <row r="806" spans="1:21" s="10" customFormat="1" x14ac:dyDescent="0.25">
      <c r="A806" s="10" t="s">
        <v>7014</v>
      </c>
      <c r="B806" s="10" t="s">
        <v>6907</v>
      </c>
      <c r="C806" s="10" t="s">
        <v>166</v>
      </c>
      <c r="D806" s="10" t="s">
        <v>7015</v>
      </c>
      <c r="E806" s="8" t="s">
        <v>7016</v>
      </c>
      <c r="F806" s="8" t="s">
        <v>7017</v>
      </c>
      <c r="G806" s="10" t="s">
        <v>29</v>
      </c>
      <c r="H806" s="8" t="s">
        <v>6955</v>
      </c>
      <c r="I806" s="10" t="s">
        <v>7018</v>
      </c>
      <c r="J806" s="8" t="s">
        <v>2769</v>
      </c>
      <c r="K806" s="8" t="s">
        <v>29</v>
      </c>
      <c r="L806" s="8" t="s">
        <v>29</v>
      </c>
      <c r="M806" s="10" t="s">
        <v>29</v>
      </c>
      <c r="N806" s="8" t="s">
        <v>29</v>
      </c>
      <c r="O806" s="10" t="s">
        <v>19</v>
      </c>
      <c r="P806" s="8" t="s">
        <v>7019</v>
      </c>
      <c r="Q806" s="10" t="s">
        <v>174</v>
      </c>
      <c r="R806" s="10" t="s">
        <v>1387</v>
      </c>
      <c r="S806" s="8" t="s">
        <v>1599</v>
      </c>
      <c r="T806" s="10" t="s">
        <v>6915</v>
      </c>
      <c r="U806" s="10" t="s">
        <v>29</v>
      </c>
    </row>
    <row r="807" spans="1:21" s="10" customFormat="1" x14ac:dyDescent="0.25">
      <c r="A807" s="10" t="s">
        <v>7020</v>
      </c>
      <c r="B807" s="10" t="s">
        <v>6907</v>
      </c>
      <c r="C807" s="10" t="s">
        <v>166</v>
      </c>
      <c r="D807" s="10" t="s">
        <v>7021</v>
      </c>
      <c r="E807" s="8" t="s">
        <v>7022</v>
      </c>
      <c r="F807" s="8" t="s">
        <v>7023</v>
      </c>
      <c r="G807" s="10" t="s">
        <v>29</v>
      </c>
      <c r="H807" s="8" t="s">
        <v>7024</v>
      </c>
      <c r="I807" s="10" t="s">
        <v>5062</v>
      </c>
      <c r="J807" s="8" t="s">
        <v>2769</v>
      </c>
      <c r="K807" s="8" t="s">
        <v>29</v>
      </c>
      <c r="L807" s="8" t="s">
        <v>29</v>
      </c>
      <c r="M807" s="10" t="s">
        <v>29</v>
      </c>
      <c r="N807" s="8" t="s">
        <v>29</v>
      </c>
      <c r="O807" s="10" t="s">
        <v>19</v>
      </c>
      <c r="P807" s="8" t="s">
        <v>7025</v>
      </c>
      <c r="Q807" s="10" t="s">
        <v>174</v>
      </c>
      <c r="R807" s="10" t="s">
        <v>1387</v>
      </c>
      <c r="S807" s="8" t="s">
        <v>7026</v>
      </c>
      <c r="T807" s="10" t="s">
        <v>6915</v>
      </c>
      <c r="U807" s="10" t="s">
        <v>29</v>
      </c>
    </row>
    <row r="808" spans="1:21" s="10" customFormat="1" x14ac:dyDescent="0.25">
      <c r="A808" s="10" t="s">
        <v>7027</v>
      </c>
      <c r="B808" s="10" t="s">
        <v>6907</v>
      </c>
      <c r="C808" s="10" t="s">
        <v>166</v>
      </c>
      <c r="D808" s="10" t="s">
        <v>7028</v>
      </c>
      <c r="E808" s="8" t="s">
        <v>7029</v>
      </c>
      <c r="F808" s="8" t="s">
        <v>7030</v>
      </c>
      <c r="G808" s="10" t="s">
        <v>29</v>
      </c>
      <c r="H808" s="8" t="s">
        <v>7031</v>
      </c>
      <c r="I808" s="10" t="s">
        <v>5062</v>
      </c>
      <c r="J808" s="8" t="s">
        <v>2769</v>
      </c>
      <c r="K808" s="8" t="s">
        <v>29</v>
      </c>
      <c r="L808" s="8" t="s">
        <v>29</v>
      </c>
      <c r="M808" s="10" t="s">
        <v>29</v>
      </c>
      <c r="N808" s="8" t="s">
        <v>29</v>
      </c>
      <c r="O808" s="10" t="s">
        <v>19</v>
      </c>
      <c r="P808" s="8" t="s">
        <v>7032</v>
      </c>
      <c r="Q808" s="10" t="s">
        <v>174</v>
      </c>
      <c r="R808" s="10" t="s">
        <v>1387</v>
      </c>
      <c r="S808" s="8" t="s">
        <v>7033</v>
      </c>
      <c r="T808" s="10" t="s">
        <v>6915</v>
      </c>
      <c r="U808" s="10" t="s">
        <v>29</v>
      </c>
    </row>
    <row r="809" spans="1:21" s="10" customFormat="1" x14ac:dyDescent="0.25">
      <c r="A809" s="10" t="s">
        <v>7034</v>
      </c>
      <c r="B809" s="10" t="s">
        <v>6907</v>
      </c>
      <c r="C809" s="10" t="s">
        <v>166</v>
      </c>
      <c r="D809" s="10" t="s">
        <v>7035</v>
      </c>
      <c r="E809" s="8" t="s">
        <v>7036</v>
      </c>
      <c r="F809" s="8" t="s">
        <v>7037</v>
      </c>
      <c r="G809" s="10" t="s">
        <v>29</v>
      </c>
      <c r="H809" s="8" t="s">
        <v>7038</v>
      </c>
      <c r="I809" s="10" t="s">
        <v>5062</v>
      </c>
      <c r="J809" s="8" t="s">
        <v>2769</v>
      </c>
      <c r="K809" s="8" t="s">
        <v>29</v>
      </c>
      <c r="L809" s="8" t="s">
        <v>29</v>
      </c>
      <c r="M809" s="10" t="s">
        <v>29</v>
      </c>
      <c r="N809" s="8" t="s">
        <v>29</v>
      </c>
      <c r="O809" s="10" t="s">
        <v>19</v>
      </c>
      <c r="P809" s="8" t="s">
        <v>7039</v>
      </c>
      <c r="Q809" s="10" t="s">
        <v>174</v>
      </c>
      <c r="R809" s="10" t="s">
        <v>1387</v>
      </c>
      <c r="S809" s="8" t="s">
        <v>7040</v>
      </c>
      <c r="T809" s="10" t="s">
        <v>6915</v>
      </c>
      <c r="U809" s="10" t="s">
        <v>29</v>
      </c>
    </row>
    <row r="810" spans="1:21" s="10" customFormat="1" x14ac:dyDescent="0.25">
      <c r="A810" s="10" t="s">
        <v>7041</v>
      </c>
      <c r="B810" s="10" t="s">
        <v>6907</v>
      </c>
      <c r="C810" s="10" t="s">
        <v>166</v>
      </c>
      <c r="D810" s="10" t="s">
        <v>7042</v>
      </c>
      <c r="E810" s="8" t="s">
        <v>7043</v>
      </c>
      <c r="F810" s="8" t="s">
        <v>7044</v>
      </c>
      <c r="G810" s="10" t="s">
        <v>29</v>
      </c>
      <c r="H810" s="8" t="s">
        <v>7045</v>
      </c>
      <c r="I810" s="10" t="s">
        <v>5062</v>
      </c>
      <c r="J810" s="8" t="s">
        <v>2769</v>
      </c>
      <c r="K810" s="8" t="s">
        <v>29</v>
      </c>
      <c r="L810" s="8" t="s">
        <v>29</v>
      </c>
      <c r="M810" s="10" t="s">
        <v>29</v>
      </c>
      <c r="N810" s="8" t="s">
        <v>29</v>
      </c>
      <c r="O810" s="10" t="s">
        <v>19</v>
      </c>
      <c r="P810" s="8" t="s">
        <v>7046</v>
      </c>
      <c r="Q810" s="10" t="s">
        <v>174</v>
      </c>
      <c r="R810" s="10" t="s">
        <v>1387</v>
      </c>
      <c r="S810" s="8" t="s">
        <v>7047</v>
      </c>
      <c r="T810" s="10" t="s">
        <v>6915</v>
      </c>
      <c r="U810" s="10" t="s">
        <v>29</v>
      </c>
    </row>
    <row r="811" spans="1:21" s="10" customFormat="1" x14ac:dyDescent="0.25">
      <c r="A811" s="10" t="s">
        <v>7048</v>
      </c>
      <c r="B811" s="10" t="s">
        <v>6907</v>
      </c>
      <c r="C811" s="10" t="s">
        <v>166</v>
      </c>
      <c r="D811" s="10" t="s">
        <v>7049</v>
      </c>
      <c r="E811" s="8" t="s">
        <v>7050</v>
      </c>
      <c r="F811" s="8" t="s">
        <v>7051</v>
      </c>
      <c r="G811" s="10" t="s">
        <v>29</v>
      </c>
      <c r="H811" s="8" t="s">
        <v>7052</v>
      </c>
      <c r="I811" s="10" t="s">
        <v>7053</v>
      </c>
      <c r="J811" s="8" t="s">
        <v>2769</v>
      </c>
      <c r="K811" s="8" t="s">
        <v>29</v>
      </c>
      <c r="L811" s="8" t="s">
        <v>29</v>
      </c>
      <c r="M811" s="10" t="s">
        <v>29</v>
      </c>
      <c r="N811" s="8" t="s">
        <v>29</v>
      </c>
      <c r="O811" s="10" t="s">
        <v>19</v>
      </c>
      <c r="P811" s="8" t="s">
        <v>7054</v>
      </c>
      <c r="Q811" s="10" t="s">
        <v>174</v>
      </c>
      <c r="R811" s="10" t="s">
        <v>1387</v>
      </c>
      <c r="S811" s="8" t="s">
        <v>7055</v>
      </c>
      <c r="T811" s="10" t="s">
        <v>6915</v>
      </c>
      <c r="U811" s="10" t="s">
        <v>29</v>
      </c>
    </row>
    <row r="812" spans="1:21" s="10" customFormat="1" x14ac:dyDescent="0.25">
      <c r="A812" s="10" t="s">
        <v>7056</v>
      </c>
      <c r="B812" s="10" t="s">
        <v>6907</v>
      </c>
      <c r="C812" s="11" t="s">
        <v>297</v>
      </c>
      <c r="D812" s="10" t="s">
        <v>7057</v>
      </c>
      <c r="E812" s="8" t="s">
        <v>7058</v>
      </c>
      <c r="F812" s="8" t="s">
        <v>4774</v>
      </c>
      <c r="G812" s="10" t="s">
        <v>29</v>
      </c>
      <c r="H812" s="8" t="s">
        <v>7052</v>
      </c>
      <c r="I812" s="10" t="s">
        <v>7059</v>
      </c>
      <c r="J812" s="8" t="s">
        <v>2769</v>
      </c>
      <c r="K812" s="8" t="s">
        <v>29</v>
      </c>
      <c r="L812" s="8" t="s">
        <v>29</v>
      </c>
      <c r="M812" s="10" t="s">
        <v>29</v>
      </c>
      <c r="N812" s="8" t="s">
        <v>29</v>
      </c>
      <c r="O812" s="10" t="s">
        <v>19</v>
      </c>
      <c r="P812" s="8" t="s">
        <v>7060</v>
      </c>
      <c r="Q812" s="10" t="s">
        <v>174</v>
      </c>
      <c r="R812" s="10" t="s">
        <v>1387</v>
      </c>
      <c r="S812" s="8" t="s">
        <v>7061</v>
      </c>
      <c r="T812" s="10" t="s">
        <v>6915</v>
      </c>
      <c r="U812" s="10" t="s">
        <v>29</v>
      </c>
    </row>
    <row r="813" spans="1:21" s="10" customFormat="1" x14ac:dyDescent="0.25">
      <c r="A813" s="10" t="s">
        <v>7062</v>
      </c>
      <c r="B813" s="10" t="s">
        <v>6907</v>
      </c>
      <c r="C813" s="10" t="s">
        <v>166</v>
      </c>
      <c r="D813" s="10" t="s">
        <v>7063</v>
      </c>
      <c r="E813" s="8" t="s">
        <v>7064</v>
      </c>
      <c r="F813" s="8" t="s">
        <v>7065</v>
      </c>
      <c r="G813" s="10" t="s">
        <v>29</v>
      </c>
      <c r="H813" s="8" t="s">
        <v>7066</v>
      </c>
      <c r="I813" s="10" t="s">
        <v>7059</v>
      </c>
      <c r="J813" s="8" t="s">
        <v>2769</v>
      </c>
      <c r="K813" s="8" t="s">
        <v>29</v>
      </c>
      <c r="L813" s="8" t="s">
        <v>29</v>
      </c>
      <c r="M813" s="10" t="s">
        <v>29</v>
      </c>
      <c r="N813" s="8" t="s">
        <v>29</v>
      </c>
      <c r="O813" s="10" t="s">
        <v>19</v>
      </c>
      <c r="P813" s="8" t="s">
        <v>7067</v>
      </c>
      <c r="Q813" s="10" t="s">
        <v>190</v>
      </c>
      <c r="R813" s="10" t="s">
        <v>1387</v>
      </c>
      <c r="S813" s="8" t="s">
        <v>7068</v>
      </c>
      <c r="T813" s="10" t="s">
        <v>6915</v>
      </c>
      <c r="U813" s="10" t="s">
        <v>29</v>
      </c>
    </row>
    <row r="814" spans="1:21" s="10" customFormat="1" x14ac:dyDescent="0.25">
      <c r="A814" s="10" t="s">
        <v>7069</v>
      </c>
      <c r="B814" s="10" t="s">
        <v>6907</v>
      </c>
      <c r="C814" s="10" t="s">
        <v>166</v>
      </c>
      <c r="D814" s="10" t="s">
        <v>7070</v>
      </c>
      <c r="E814" s="8" t="s">
        <v>7071</v>
      </c>
      <c r="F814" s="8" t="s">
        <v>7072</v>
      </c>
      <c r="G814" s="10" t="s">
        <v>29</v>
      </c>
      <c r="H814" s="8" t="s">
        <v>7073</v>
      </c>
      <c r="I814" s="10" t="s">
        <v>7059</v>
      </c>
      <c r="J814" s="8" t="s">
        <v>2769</v>
      </c>
      <c r="K814" s="8" t="s">
        <v>29</v>
      </c>
      <c r="L814" s="8" t="s">
        <v>29</v>
      </c>
      <c r="M814" s="10" t="s">
        <v>29</v>
      </c>
      <c r="N814" s="8" t="s">
        <v>29</v>
      </c>
      <c r="O814" s="10" t="s">
        <v>19</v>
      </c>
      <c r="P814" s="8" t="s">
        <v>7074</v>
      </c>
      <c r="Q814" s="10" t="s">
        <v>197</v>
      </c>
      <c r="R814" s="10" t="s">
        <v>1387</v>
      </c>
      <c r="S814" s="8" t="s">
        <v>7075</v>
      </c>
      <c r="T814" s="10" t="s">
        <v>6915</v>
      </c>
      <c r="U814" s="10" t="s">
        <v>29</v>
      </c>
    </row>
    <row r="815" spans="1:21" s="10" customFormat="1" x14ac:dyDescent="0.25">
      <c r="A815" s="10" t="s">
        <v>7076</v>
      </c>
      <c r="B815" s="10" t="s">
        <v>6907</v>
      </c>
      <c r="C815" s="10" t="s">
        <v>166</v>
      </c>
      <c r="D815" s="10" t="s">
        <v>7077</v>
      </c>
      <c r="E815" s="8" t="s">
        <v>7078</v>
      </c>
      <c r="F815" s="8" t="s">
        <v>7079</v>
      </c>
      <c r="G815" s="10" t="s">
        <v>29</v>
      </c>
      <c r="H815" s="8" t="s">
        <v>7080</v>
      </c>
      <c r="I815" s="10" t="s">
        <v>7081</v>
      </c>
      <c r="J815" s="8" t="s">
        <v>2769</v>
      </c>
      <c r="K815" s="8" t="s">
        <v>29</v>
      </c>
      <c r="L815" s="8" t="s">
        <v>29</v>
      </c>
      <c r="M815" s="10" t="s">
        <v>29</v>
      </c>
      <c r="N815" s="8" t="s">
        <v>29</v>
      </c>
      <c r="O815" s="10" t="s">
        <v>19</v>
      </c>
      <c r="P815" s="8" t="s">
        <v>7082</v>
      </c>
      <c r="Q815" s="10" t="s">
        <v>174</v>
      </c>
      <c r="R815" s="10" t="s">
        <v>1387</v>
      </c>
      <c r="S815" s="8" t="s">
        <v>7083</v>
      </c>
      <c r="T815" s="10" t="s">
        <v>6915</v>
      </c>
      <c r="U815" s="10" t="s">
        <v>29</v>
      </c>
    </row>
    <row r="816" spans="1:21" s="10" customFormat="1" x14ac:dyDescent="0.25">
      <c r="A816" s="10" t="s">
        <v>7084</v>
      </c>
      <c r="B816" s="10" t="s">
        <v>6907</v>
      </c>
      <c r="C816" s="10" t="s">
        <v>166</v>
      </c>
      <c r="D816" s="10" t="s">
        <v>7085</v>
      </c>
      <c r="E816" s="8" t="s">
        <v>7086</v>
      </c>
      <c r="F816" s="8" t="s">
        <v>7087</v>
      </c>
      <c r="G816" s="10" t="s">
        <v>29</v>
      </c>
      <c r="H816" s="8" t="s">
        <v>7088</v>
      </c>
      <c r="I816" s="10" t="s">
        <v>7059</v>
      </c>
      <c r="J816" s="8" t="s">
        <v>2769</v>
      </c>
      <c r="K816" s="8" t="s">
        <v>29</v>
      </c>
      <c r="L816" s="8" t="s">
        <v>29</v>
      </c>
      <c r="M816" s="10" t="s">
        <v>29</v>
      </c>
      <c r="N816" s="8" t="s">
        <v>29</v>
      </c>
      <c r="O816" s="10" t="s">
        <v>19</v>
      </c>
      <c r="P816" s="8" t="s">
        <v>7089</v>
      </c>
      <c r="Q816" s="10" t="s">
        <v>174</v>
      </c>
      <c r="R816" s="10" t="s">
        <v>1387</v>
      </c>
      <c r="S816" s="8" t="s">
        <v>7090</v>
      </c>
      <c r="T816" s="10" t="s">
        <v>6915</v>
      </c>
      <c r="U816" s="10" t="s">
        <v>29</v>
      </c>
    </row>
    <row r="817" spans="1:21" s="10" customFormat="1" x14ac:dyDescent="0.25">
      <c r="A817" s="10" t="s">
        <v>7091</v>
      </c>
      <c r="B817" s="10" t="s">
        <v>6907</v>
      </c>
      <c r="C817" s="11" t="s">
        <v>297</v>
      </c>
      <c r="D817" s="10" t="s">
        <v>7092</v>
      </c>
      <c r="E817" s="8" t="s">
        <v>7093</v>
      </c>
      <c r="F817" s="8" t="s">
        <v>7094</v>
      </c>
      <c r="G817" s="10" t="s">
        <v>29</v>
      </c>
      <c r="H817" s="8" t="s">
        <v>7095</v>
      </c>
      <c r="I817" s="10" t="s">
        <v>7059</v>
      </c>
      <c r="J817" s="8" t="s">
        <v>2769</v>
      </c>
      <c r="K817" s="8" t="s">
        <v>29</v>
      </c>
      <c r="L817" s="8" t="s">
        <v>29</v>
      </c>
      <c r="M817" s="10" t="s">
        <v>29</v>
      </c>
      <c r="N817" s="8" t="s">
        <v>29</v>
      </c>
      <c r="O817" s="10" t="s">
        <v>19</v>
      </c>
      <c r="P817" s="8" t="s">
        <v>7096</v>
      </c>
      <c r="Q817" s="10" t="s">
        <v>190</v>
      </c>
      <c r="R817" s="10" t="s">
        <v>1387</v>
      </c>
      <c r="S817" s="8" t="s">
        <v>1857</v>
      </c>
      <c r="T817" s="10" t="s">
        <v>6915</v>
      </c>
      <c r="U817" s="10" t="s">
        <v>29</v>
      </c>
    </row>
    <row r="818" spans="1:21" s="10" customFormat="1" x14ac:dyDescent="0.25">
      <c r="A818" s="10" t="s">
        <v>7097</v>
      </c>
      <c r="B818" s="10" t="s">
        <v>6907</v>
      </c>
      <c r="C818" s="11" t="s">
        <v>297</v>
      </c>
      <c r="D818" s="10" t="s">
        <v>7098</v>
      </c>
      <c r="E818" s="8" t="s">
        <v>7099</v>
      </c>
      <c r="F818" s="8" t="s">
        <v>7100</v>
      </c>
      <c r="G818" s="10" t="s">
        <v>29</v>
      </c>
      <c r="H818" s="8" t="s">
        <v>7052</v>
      </c>
      <c r="I818" s="10" t="s">
        <v>7059</v>
      </c>
      <c r="J818" s="8" t="s">
        <v>2769</v>
      </c>
      <c r="K818" s="8" t="s">
        <v>29</v>
      </c>
      <c r="L818" s="8" t="s">
        <v>29</v>
      </c>
      <c r="M818" s="10" t="s">
        <v>29</v>
      </c>
      <c r="N818" s="8" t="s">
        <v>29</v>
      </c>
      <c r="O818" s="10" t="s">
        <v>19</v>
      </c>
      <c r="P818" s="8" t="s">
        <v>7101</v>
      </c>
      <c r="Q818" s="10" t="s">
        <v>174</v>
      </c>
      <c r="R818" s="10" t="s">
        <v>1387</v>
      </c>
      <c r="S818" s="8" t="s">
        <v>6531</v>
      </c>
      <c r="T818" s="10" t="s">
        <v>6915</v>
      </c>
      <c r="U818" s="10" t="s">
        <v>29</v>
      </c>
    </row>
    <row r="819" spans="1:21" s="10" customFormat="1" x14ac:dyDescent="0.25">
      <c r="A819" s="10" t="s">
        <v>7102</v>
      </c>
      <c r="B819" s="10" t="s">
        <v>6907</v>
      </c>
      <c r="C819" s="10" t="s">
        <v>166</v>
      </c>
      <c r="D819" s="10" t="s">
        <v>7103</v>
      </c>
      <c r="E819" s="8" t="s">
        <v>7104</v>
      </c>
      <c r="F819" s="8" t="s">
        <v>7105</v>
      </c>
      <c r="G819" s="10" t="s">
        <v>29</v>
      </c>
      <c r="H819" s="8" t="s">
        <v>7106</v>
      </c>
      <c r="I819" s="10" t="s">
        <v>7107</v>
      </c>
      <c r="J819" s="8" t="s">
        <v>7108</v>
      </c>
      <c r="K819" s="8" t="s">
        <v>29</v>
      </c>
      <c r="L819" s="8" t="s">
        <v>29</v>
      </c>
      <c r="M819" s="10" t="s">
        <v>29</v>
      </c>
      <c r="N819" s="8" t="s">
        <v>29</v>
      </c>
      <c r="O819" s="10" t="s">
        <v>19</v>
      </c>
      <c r="P819" s="8" t="s">
        <v>7109</v>
      </c>
      <c r="Q819" s="10" t="s">
        <v>174</v>
      </c>
      <c r="R819" s="10" t="s">
        <v>1387</v>
      </c>
      <c r="S819" s="8" t="s">
        <v>7110</v>
      </c>
      <c r="T819" s="10" t="s">
        <v>6915</v>
      </c>
      <c r="U819" s="10" t="s">
        <v>29</v>
      </c>
    </row>
    <row r="820" spans="1:21" s="10" customFormat="1" x14ac:dyDescent="0.25">
      <c r="A820" s="10" t="s">
        <v>7111</v>
      </c>
      <c r="B820" s="10" t="s">
        <v>6907</v>
      </c>
      <c r="C820" s="10" t="s">
        <v>166</v>
      </c>
      <c r="D820" s="10" t="s">
        <v>7112</v>
      </c>
      <c r="E820" s="8" t="s">
        <v>7113</v>
      </c>
      <c r="F820" s="8" t="s">
        <v>7114</v>
      </c>
      <c r="G820" s="10" t="s">
        <v>29</v>
      </c>
      <c r="H820" s="8" t="s">
        <v>7115</v>
      </c>
      <c r="I820" s="10" t="s">
        <v>7107</v>
      </c>
      <c r="J820" s="8" t="s">
        <v>7108</v>
      </c>
      <c r="K820" s="8" t="s">
        <v>29</v>
      </c>
      <c r="L820" s="8" t="s">
        <v>29</v>
      </c>
      <c r="M820" s="10" t="s">
        <v>29</v>
      </c>
      <c r="N820" s="8" t="s">
        <v>29</v>
      </c>
      <c r="O820" s="10" t="s">
        <v>19</v>
      </c>
      <c r="P820" s="8" t="s">
        <v>7116</v>
      </c>
      <c r="Q820" s="10" t="s">
        <v>174</v>
      </c>
      <c r="R820" s="10" t="s">
        <v>1387</v>
      </c>
      <c r="S820" s="8" t="s">
        <v>7117</v>
      </c>
      <c r="T820" s="10" t="s">
        <v>6915</v>
      </c>
      <c r="U820" s="10" t="s">
        <v>29</v>
      </c>
    </row>
    <row r="821" spans="1:21" s="10" customFormat="1" x14ac:dyDescent="0.25">
      <c r="A821" s="10" t="s">
        <v>7118</v>
      </c>
      <c r="B821" s="10" t="s">
        <v>6907</v>
      </c>
      <c r="C821" s="10" t="s">
        <v>166</v>
      </c>
      <c r="D821" s="10" t="s">
        <v>7119</v>
      </c>
      <c r="E821" s="8" t="s">
        <v>7120</v>
      </c>
      <c r="F821" s="8" t="s">
        <v>7121</v>
      </c>
      <c r="G821" s="10" t="s">
        <v>29</v>
      </c>
      <c r="H821" s="8" t="s">
        <v>7122</v>
      </c>
      <c r="I821" s="10" t="s">
        <v>7107</v>
      </c>
      <c r="J821" s="8" t="s">
        <v>7108</v>
      </c>
      <c r="K821" s="8" t="s">
        <v>29</v>
      </c>
      <c r="L821" s="8" t="s">
        <v>29</v>
      </c>
      <c r="M821" s="10" t="s">
        <v>29</v>
      </c>
      <c r="N821" s="8" t="s">
        <v>29</v>
      </c>
      <c r="O821" s="10" t="s">
        <v>19</v>
      </c>
      <c r="P821" s="8" t="s">
        <v>7123</v>
      </c>
      <c r="Q821" s="10" t="s">
        <v>174</v>
      </c>
      <c r="R821" s="10" t="s">
        <v>1387</v>
      </c>
      <c r="S821" s="8" t="s">
        <v>7124</v>
      </c>
      <c r="T821" s="10" t="s">
        <v>6915</v>
      </c>
      <c r="U821" s="10" t="s">
        <v>29</v>
      </c>
    </row>
    <row r="822" spans="1:21" s="10" customFormat="1" x14ac:dyDescent="0.25">
      <c r="A822" s="10" t="s">
        <v>7125</v>
      </c>
      <c r="B822" s="10" t="s">
        <v>6907</v>
      </c>
      <c r="C822" s="10" t="s">
        <v>166</v>
      </c>
      <c r="D822" s="10" t="s">
        <v>7126</v>
      </c>
      <c r="E822" s="8" t="s">
        <v>7127</v>
      </c>
      <c r="F822" s="8" t="s">
        <v>7128</v>
      </c>
      <c r="G822" s="10" t="s">
        <v>29</v>
      </c>
      <c r="H822" s="8" t="s">
        <v>7129</v>
      </c>
      <c r="I822" s="10" t="s">
        <v>7107</v>
      </c>
      <c r="J822" s="8" t="s">
        <v>7108</v>
      </c>
      <c r="K822" s="8" t="s">
        <v>29</v>
      </c>
      <c r="L822" s="8" t="s">
        <v>29</v>
      </c>
      <c r="M822" s="10" t="s">
        <v>29</v>
      </c>
      <c r="N822" s="8" t="s">
        <v>29</v>
      </c>
      <c r="O822" s="10" t="s">
        <v>19</v>
      </c>
      <c r="P822" s="8" t="s">
        <v>7130</v>
      </c>
      <c r="Q822" s="10" t="s">
        <v>174</v>
      </c>
      <c r="R822" s="10" t="s">
        <v>1387</v>
      </c>
      <c r="S822" s="8" t="s">
        <v>7131</v>
      </c>
      <c r="T822" s="10" t="s">
        <v>6915</v>
      </c>
      <c r="U822" s="10" t="s">
        <v>29</v>
      </c>
    </row>
    <row r="823" spans="1:21" s="10" customFormat="1" x14ac:dyDescent="0.25">
      <c r="A823" s="10" t="s">
        <v>7132</v>
      </c>
      <c r="B823" s="10" t="s">
        <v>6907</v>
      </c>
      <c r="C823" s="10" t="s">
        <v>166</v>
      </c>
      <c r="D823" s="10" t="s">
        <v>7133</v>
      </c>
      <c r="E823" s="8" t="s">
        <v>7134</v>
      </c>
      <c r="F823" s="8" t="s">
        <v>7135</v>
      </c>
      <c r="G823" s="10" t="s">
        <v>29</v>
      </c>
      <c r="H823" s="8" t="s">
        <v>7136</v>
      </c>
      <c r="I823" s="10" t="s">
        <v>7107</v>
      </c>
      <c r="J823" s="8" t="s">
        <v>7108</v>
      </c>
      <c r="K823" s="8" t="s">
        <v>29</v>
      </c>
      <c r="L823" s="8" t="s">
        <v>29</v>
      </c>
      <c r="M823" s="10" t="s">
        <v>29</v>
      </c>
      <c r="N823" s="8" t="s">
        <v>29</v>
      </c>
      <c r="O823" s="10" t="s">
        <v>19</v>
      </c>
      <c r="P823" s="8" t="s">
        <v>7137</v>
      </c>
      <c r="Q823" s="10" t="s">
        <v>174</v>
      </c>
      <c r="R823" s="10" t="s">
        <v>1387</v>
      </c>
      <c r="S823" s="8" t="s">
        <v>7138</v>
      </c>
      <c r="T823" s="10" t="s">
        <v>6915</v>
      </c>
      <c r="U823" s="10" t="s">
        <v>29</v>
      </c>
    </row>
    <row r="824" spans="1:21" s="10" customFormat="1" x14ac:dyDescent="0.25">
      <c r="A824" s="10" t="s">
        <v>7139</v>
      </c>
      <c r="B824" s="10" t="s">
        <v>6907</v>
      </c>
      <c r="C824" s="11" t="s">
        <v>297</v>
      </c>
      <c r="D824" s="10" t="s">
        <v>7140</v>
      </c>
      <c r="E824" s="8" t="s">
        <v>7141</v>
      </c>
      <c r="F824" s="8" t="s">
        <v>7142</v>
      </c>
      <c r="G824" s="10" t="s">
        <v>29</v>
      </c>
      <c r="H824" s="8" t="s">
        <v>7143</v>
      </c>
      <c r="I824" s="10" t="s">
        <v>2791</v>
      </c>
      <c r="J824" s="8" t="s">
        <v>2769</v>
      </c>
      <c r="K824" s="8" t="s">
        <v>29</v>
      </c>
      <c r="L824" s="8" t="s">
        <v>29</v>
      </c>
      <c r="M824" s="10" t="s">
        <v>29</v>
      </c>
      <c r="N824" s="8" t="s">
        <v>29</v>
      </c>
      <c r="O824" s="10" t="s">
        <v>19</v>
      </c>
      <c r="P824" s="8" t="s">
        <v>7144</v>
      </c>
      <c r="Q824" s="10" t="s">
        <v>197</v>
      </c>
      <c r="R824" s="10" t="s">
        <v>1387</v>
      </c>
      <c r="S824" s="8" t="s">
        <v>7145</v>
      </c>
      <c r="T824" s="10" t="s">
        <v>6915</v>
      </c>
      <c r="U824" s="10" t="s">
        <v>29</v>
      </c>
    </row>
    <row r="825" spans="1:21" s="10" customFormat="1" x14ac:dyDescent="0.25">
      <c r="A825" s="10" t="s">
        <v>7146</v>
      </c>
      <c r="B825" s="10" t="s">
        <v>6907</v>
      </c>
      <c r="C825" s="10" t="s">
        <v>166</v>
      </c>
      <c r="D825" s="10" t="s">
        <v>7147</v>
      </c>
      <c r="E825" s="8" t="s">
        <v>7148</v>
      </c>
      <c r="F825" s="8" t="s">
        <v>7149</v>
      </c>
      <c r="G825" s="10" t="s">
        <v>29</v>
      </c>
      <c r="H825" s="8" t="s">
        <v>7052</v>
      </c>
      <c r="I825" s="10" t="s">
        <v>7059</v>
      </c>
      <c r="J825" s="8" t="s">
        <v>2769</v>
      </c>
      <c r="K825" s="8" t="s">
        <v>29</v>
      </c>
      <c r="L825" s="8" t="s">
        <v>29</v>
      </c>
      <c r="M825" s="10" t="s">
        <v>29</v>
      </c>
      <c r="N825" s="8" t="s">
        <v>29</v>
      </c>
      <c r="O825" s="10" t="s">
        <v>19</v>
      </c>
      <c r="P825" s="8" t="s">
        <v>7150</v>
      </c>
      <c r="Q825" s="10" t="s">
        <v>174</v>
      </c>
      <c r="R825" s="10" t="s">
        <v>1387</v>
      </c>
      <c r="S825" s="8" t="s">
        <v>7151</v>
      </c>
      <c r="T825" s="10" t="s">
        <v>6915</v>
      </c>
      <c r="U825" s="10" t="s">
        <v>29</v>
      </c>
    </row>
    <row r="826" spans="1:21" s="10" customFormat="1" x14ac:dyDescent="0.25">
      <c r="A826" s="10" t="s">
        <v>7152</v>
      </c>
      <c r="B826" s="10" t="s">
        <v>6907</v>
      </c>
      <c r="C826" s="11" t="s">
        <v>297</v>
      </c>
      <c r="D826" s="10" t="s">
        <v>7153</v>
      </c>
      <c r="E826" s="8" t="s">
        <v>7154</v>
      </c>
      <c r="F826" s="8" t="s">
        <v>1613</v>
      </c>
      <c r="G826" s="10" t="s">
        <v>29</v>
      </c>
      <c r="H826" s="8" t="s">
        <v>7010</v>
      </c>
      <c r="I826" s="10" t="s">
        <v>7011</v>
      </c>
      <c r="J826" s="8" t="s">
        <v>1615</v>
      </c>
      <c r="K826" s="8" t="s">
        <v>29</v>
      </c>
      <c r="L826" s="8" t="s">
        <v>29</v>
      </c>
      <c r="M826" s="10" t="s">
        <v>29</v>
      </c>
      <c r="N826" s="8" t="s">
        <v>29</v>
      </c>
      <c r="O826" s="10" t="s">
        <v>19</v>
      </c>
      <c r="P826" s="8" t="s">
        <v>7155</v>
      </c>
      <c r="Q826" s="10" t="s">
        <v>776</v>
      </c>
      <c r="R826" s="10" t="s">
        <v>7013</v>
      </c>
      <c r="S826" s="8" t="s">
        <v>1618</v>
      </c>
      <c r="T826" s="10" t="s">
        <v>6915</v>
      </c>
      <c r="U826" s="10" t="s">
        <v>29</v>
      </c>
    </row>
    <row r="827" spans="1:21" s="10" customFormat="1" x14ac:dyDescent="0.25">
      <c r="A827" s="10" t="s">
        <v>7156</v>
      </c>
      <c r="B827" s="10" t="s">
        <v>6907</v>
      </c>
      <c r="C827" s="10" t="s">
        <v>166</v>
      </c>
      <c r="D827" s="10" t="s">
        <v>7157</v>
      </c>
      <c r="E827" s="8" t="s">
        <v>7158</v>
      </c>
      <c r="F827" s="8" t="s">
        <v>7159</v>
      </c>
      <c r="G827" s="10" t="s">
        <v>29</v>
      </c>
      <c r="H827" s="8" t="s">
        <v>7160</v>
      </c>
      <c r="I827" s="10" t="s">
        <v>7161</v>
      </c>
      <c r="J827" s="8" t="s">
        <v>2769</v>
      </c>
      <c r="K827" s="8" t="s">
        <v>29</v>
      </c>
      <c r="L827" s="8" t="s">
        <v>29</v>
      </c>
      <c r="M827" s="10" t="s">
        <v>29</v>
      </c>
      <c r="N827" s="8" t="s">
        <v>29</v>
      </c>
      <c r="O827" s="10" t="s">
        <v>19</v>
      </c>
      <c r="P827" s="8" t="s">
        <v>7162</v>
      </c>
      <c r="Q827" s="10" t="s">
        <v>174</v>
      </c>
      <c r="R827" s="10" t="s">
        <v>1387</v>
      </c>
      <c r="S827" s="8" t="s">
        <v>7163</v>
      </c>
      <c r="T827" s="10" t="s">
        <v>6915</v>
      </c>
      <c r="U827" s="10" t="s">
        <v>29</v>
      </c>
    </row>
    <row r="828" spans="1:21" s="10" customFormat="1" x14ac:dyDescent="0.25">
      <c r="A828" s="10" t="s">
        <v>7164</v>
      </c>
      <c r="B828" s="10" t="s">
        <v>6907</v>
      </c>
      <c r="C828" s="11" t="s">
        <v>297</v>
      </c>
      <c r="D828" s="10" t="s">
        <v>7165</v>
      </c>
      <c r="E828" s="8" t="s">
        <v>7166</v>
      </c>
      <c r="F828" s="8" t="s">
        <v>4774</v>
      </c>
      <c r="G828" s="10" t="s">
        <v>29</v>
      </c>
      <c r="H828" s="8" t="s">
        <v>7160</v>
      </c>
      <c r="I828" s="10" t="s">
        <v>7167</v>
      </c>
      <c r="J828" s="8" t="s">
        <v>2769</v>
      </c>
      <c r="K828" s="8" t="s">
        <v>29</v>
      </c>
      <c r="L828" s="8" t="s">
        <v>29</v>
      </c>
      <c r="M828" s="10" t="s">
        <v>29</v>
      </c>
      <c r="N828" s="8" t="s">
        <v>29</v>
      </c>
      <c r="O828" s="10" t="s">
        <v>19</v>
      </c>
      <c r="P828" s="8" t="s">
        <v>7168</v>
      </c>
      <c r="Q828" s="10" t="s">
        <v>174</v>
      </c>
      <c r="R828" s="10" t="s">
        <v>1387</v>
      </c>
      <c r="S828" s="8" t="s">
        <v>7169</v>
      </c>
      <c r="T828" s="10" t="s">
        <v>6915</v>
      </c>
      <c r="U828" s="10" t="s">
        <v>29</v>
      </c>
    </row>
    <row r="829" spans="1:21" s="10" customFormat="1" x14ac:dyDescent="0.25">
      <c r="A829" s="10" t="s">
        <v>7170</v>
      </c>
      <c r="B829" s="10" t="s">
        <v>6907</v>
      </c>
      <c r="C829" s="11" t="s">
        <v>297</v>
      </c>
      <c r="D829" s="10" t="s">
        <v>7171</v>
      </c>
      <c r="E829" s="8" t="s">
        <v>7172</v>
      </c>
      <c r="F829" s="8" t="s">
        <v>7173</v>
      </c>
      <c r="G829" s="10" t="s">
        <v>29</v>
      </c>
      <c r="H829" s="8" t="s">
        <v>2133</v>
      </c>
      <c r="I829" s="10" t="s">
        <v>7167</v>
      </c>
      <c r="J829" s="8" t="s">
        <v>2769</v>
      </c>
      <c r="K829" s="8" t="s">
        <v>29</v>
      </c>
      <c r="L829" s="8" t="s">
        <v>29</v>
      </c>
      <c r="M829" s="10" t="s">
        <v>29</v>
      </c>
      <c r="N829" s="8" t="s">
        <v>29</v>
      </c>
      <c r="O829" s="10" t="s">
        <v>19</v>
      </c>
      <c r="P829" s="8" t="s">
        <v>7174</v>
      </c>
      <c r="Q829" s="10" t="s">
        <v>197</v>
      </c>
      <c r="R829" s="10" t="s">
        <v>1387</v>
      </c>
      <c r="S829" s="8" t="s">
        <v>7175</v>
      </c>
      <c r="T829" s="10" t="s">
        <v>6915</v>
      </c>
      <c r="U829" s="10" t="s">
        <v>29</v>
      </c>
    </row>
    <row r="830" spans="1:21" s="10" customFormat="1" x14ac:dyDescent="0.25">
      <c r="A830" s="10" t="s">
        <v>7176</v>
      </c>
      <c r="B830" s="10" t="s">
        <v>6907</v>
      </c>
      <c r="C830" s="10" t="s">
        <v>166</v>
      </c>
      <c r="D830" s="10" t="s">
        <v>7177</v>
      </c>
      <c r="E830" s="8" t="s">
        <v>7178</v>
      </c>
      <c r="F830" s="8" t="s">
        <v>7179</v>
      </c>
      <c r="G830" s="10" t="s">
        <v>29</v>
      </c>
      <c r="H830" s="8" t="s">
        <v>7180</v>
      </c>
      <c r="I830" s="10" t="s">
        <v>7181</v>
      </c>
      <c r="J830" s="8" t="s">
        <v>2769</v>
      </c>
      <c r="K830" s="8" t="s">
        <v>29</v>
      </c>
      <c r="L830" s="8" t="s">
        <v>29</v>
      </c>
      <c r="M830" s="10" t="s">
        <v>29</v>
      </c>
      <c r="N830" s="8" t="s">
        <v>29</v>
      </c>
      <c r="O830" s="10" t="s">
        <v>19</v>
      </c>
      <c r="P830" s="8" t="s">
        <v>7182</v>
      </c>
      <c r="Q830" s="10" t="s">
        <v>174</v>
      </c>
      <c r="R830" s="10" t="s">
        <v>1387</v>
      </c>
      <c r="S830" s="8" t="s">
        <v>7183</v>
      </c>
      <c r="T830" s="10" t="s">
        <v>6915</v>
      </c>
      <c r="U830" s="10" t="s">
        <v>29</v>
      </c>
    </row>
    <row r="831" spans="1:21" s="10" customFormat="1" x14ac:dyDescent="0.25">
      <c r="A831" s="10" t="s">
        <v>7184</v>
      </c>
      <c r="B831" s="10" t="s">
        <v>6907</v>
      </c>
      <c r="C831" s="11" t="s">
        <v>297</v>
      </c>
      <c r="D831" s="10" t="s">
        <v>7185</v>
      </c>
      <c r="E831" s="8" t="s">
        <v>7186</v>
      </c>
      <c r="F831" s="8" t="s">
        <v>7187</v>
      </c>
      <c r="G831" s="10" t="s">
        <v>29</v>
      </c>
      <c r="H831" s="8" t="s">
        <v>7188</v>
      </c>
      <c r="I831" s="10" t="s">
        <v>7189</v>
      </c>
      <c r="J831" s="8" t="s">
        <v>2769</v>
      </c>
      <c r="K831" s="8" t="s">
        <v>29</v>
      </c>
      <c r="L831" s="8" t="s">
        <v>29</v>
      </c>
      <c r="M831" s="10" t="s">
        <v>29</v>
      </c>
      <c r="N831" s="8" t="s">
        <v>29</v>
      </c>
      <c r="O831" s="10" t="s">
        <v>19</v>
      </c>
      <c r="P831" s="8" t="s">
        <v>7190</v>
      </c>
      <c r="Q831" s="10" t="s">
        <v>174</v>
      </c>
      <c r="R831" s="10" t="s">
        <v>1387</v>
      </c>
      <c r="S831" s="8" t="s">
        <v>7191</v>
      </c>
      <c r="T831" s="10" t="s">
        <v>6915</v>
      </c>
      <c r="U831" s="10" t="s">
        <v>29</v>
      </c>
    </row>
    <row r="832" spans="1:21" s="10" customFormat="1" x14ac:dyDescent="0.25">
      <c r="A832" s="10" t="s">
        <v>7192</v>
      </c>
      <c r="B832" s="10" t="s">
        <v>6907</v>
      </c>
      <c r="C832" s="11" t="s">
        <v>297</v>
      </c>
      <c r="D832" s="10" t="s">
        <v>7193</v>
      </c>
      <c r="E832" s="8" t="s">
        <v>7194</v>
      </c>
      <c r="F832" s="8" t="s">
        <v>7195</v>
      </c>
      <c r="G832" s="10" t="s">
        <v>29</v>
      </c>
      <c r="H832" s="8" t="s">
        <v>7196</v>
      </c>
      <c r="I832" s="10" t="s">
        <v>7189</v>
      </c>
      <c r="J832" s="8" t="s">
        <v>2769</v>
      </c>
      <c r="K832" s="8" t="s">
        <v>29</v>
      </c>
      <c r="L832" s="8" t="s">
        <v>29</v>
      </c>
      <c r="M832" s="10" t="s">
        <v>29</v>
      </c>
      <c r="N832" s="8" t="s">
        <v>29</v>
      </c>
      <c r="O832" s="10" t="s">
        <v>19</v>
      </c>
      <c r="P832" s="8" t="s">
        <v>7197</v>
      </c>
      <c r="Q832" s="10" t="s">
        <v>190</v>
      </c>
      <c r="R832" s="10" t="s">
        <v>1387</v>
      </c>
      <c r="S832" s="8" t="s">
        <v>4874</v>
      </c>
      <c r="T832" s="10" t="s">
        <v>6915</v>
      </c>
      <c r="U832" s="10" t="s">
        <v>29</v>
      </c>
    </row>
    <row r="833" spans="1:21" s="10" customFormat="1" x14ac:dyDescent="0.25">
      <c r="A833" s="10" t="s">
        <v>7198</v>
      </c>
      <c r="B833" s="10" t="s">
        <v>6907</v>
      </c>
      <c r="C833" s="11" t="s">
        <v>297</v>
      </c>
      <c r="D833" s="10" t="s">
        <v>7199</v>
      </c>
      <c r="E833" s="8" t="s">
        <v>7200</v>
      </c>
      <c r="F833" s="8" t="s">
        <v>7201</v>
      </c>
      <c r="G833" s="10" t="s">
        <v>29</v>
      </c>
      <c r="H833" s="8" t="s">
        <v>7202</v>
      </c>
      <c r="I833" s="10" t="s">
        <v>7203</v>
      </c>
      <c r="J833" s="8" t="s">
        <v>2769</v>
      </c>
      <c r="K833" s="8" t="s">
        <v>29</v>
      </c>
      <c r="L833" s="8" t="s">
        <v>29</v>
      </c>
      <c r="M833" s="10" t="s">
        <v>29</v>
      </c>
      <c r="N833" s="8" t="s">
        <v>29</v>
      </c>
      <c r="O833" s="10" t="s">
        <v>19</v>
      </c>
      <c r="P833" s="8" t="s">
        <v>7204</v>
      </c>
      <c r="Q833" s="10" t="s">
        <v>197</v>
      </c>
      <c r="R833" s="10" t="s">
        <v>1387</v>
      </c>
      <c r="S833" s="8" t="s">
        <v>7205</v>
      </c>
      <c r="T833" s="10" t="s">
        <v>6915</v>
      </c>
      <c r="U833" s="10" t="s">
        <v>29</v>
      </c>
    </row>
    <row r="834" spans="1:21" s="10" customFormat="1" x14ac:dyDescent="0.25">
      <c r="A834" s="10" t="s">
        <v>7206</v>
      </c>
      <c r="B834" s="10" t="s">
        <v>6907</v>
      </c>
      <c r="C834" s="10" t="s">
        <v>166</v>
      </c>
      <c r="D834" s="10" t="s">
        <v>7207</v>
      </c>
      <c r="E834" s="8" t="s">
        <v>7208</v>
      </c>
      <c r="F834" s="8" t="s">
        <v>6593</v>
      </c>
      <c r="G834" s="10" t="s">
        <v>29</v>
      </c>
      <c r="H834" s="8" t="s">
        <v>7209</v>
      </c>
      <c r="I834" s="10" t="s">
        <v>7181</v>
      </c>
      <c r="J834" s="8" t="s">
        <v>2769</v>
      </c>
      <c r="K834" s="8" t="s">
        <v>29</v>
      </c>
      <c r="L834" s="8" t="s">
        <v>29</v>
      </c>
      <c r="M834" s="10" t="s">
        <v>29</v>
      </c>
      <c r="N834" s="8" t="s">
        <v>29</v>
      </c>
      <c r="O834" s="10" t="s">
        <v>19</v>
      </c>
      <c r="P834" s="8" t="s">
        <v>7210</v>
      </c>
      <c r="Q834" s="10" t="s">
        <v>174</v>
      </c>
      <c r="R834" s="10" t="s">
        <v>1387</v>
      </c>
      <c r="S834" s="8" t="s">
        <v>7211</v>
      </c>
      <c r="T834" s="10" t="s">
        <v>6915</v>
      </c>
      <c r="U834" s="10" t="s">
        <v>29</v>
      </c>
    </row>
    <row r="835" spans="1:21" s="10" customFormat="1" x14ac:dyDescent="0.25">
      <c r="A835" s="10" t="s">
        <v>7212</v>
      </c>
      <c r="B835" s="10" t="s">
        <v>6907</v>
      </c>
      <c r="C835" s="11" t="s">
        <v>297</v>
      </c>
      <c r="D835" s="10" t="s">
        <v>7213</v>
      </c>
      <c r="E835" s="8" t="s">
        <v>7214</v>
      </c>
      <c r="F835" s="8" t="s">
        <v>7215</v>
      </c>
      <c r="G835" s="10" t="s">
        <v>29</v>
      </c>
      <c r="H835" s="8" t="s">
        <v>1604</v>
      </c>
      <c r="I835" s="10" t="s">
        <v>7216</v>
      </c>
      <c r="J835" s="8" t="s">
        <v>1606</v>
      </c>
      <c r="K835" s="8" t="s">
        <v>29</v>
      </c>
      <c r="L835" s="8" t="s">
        <v>29</v>
      </c>
      <c r="M835" s="10" t="s">
        <v>29</v>
      </c>
      <c r="N835" s="8" t="s">
        <v>29</v>
      </c>
      <c r="O835" s="10" t="s">
        <v>19</v>
      </c>
      <c r="P835" s="8" t="s">
        <v>7217</v>
      </c>
      <c r="Q835" s="10" t="s">
        <v>1399</v>
      </c>
      <c r="R835" s="10" t="s">
        <v>1608</v>
      </c>
      <c r="S835" s="8" t="s">
        <v>7218</v>
      </c>
      <c r="T835" s="10" t="s">
        <v>6915</v>
      </c>
      <c r="U835" s="10" t="s">
        <v>29</v>
      </c>
    </row>
    <row r="836" spans="1:21" s="10" customFormat="1" x14ac:dyDescent="0.25">
      <c r="A836" s="10" t="s">
        <v>7219</v>
      </c>
      <c r="B836" s="10" t="s">
        <v>6907</v>
      </c>
      <c r="C836" s="11" t="s">
        <v>297</v>
      </c>
      <c r="D836" s="10" t="s">
        <v>7220</v>
      </c>
      <c r="E836" s="8" t="s">
        <v>7221</v>
      </c>
      <c r="F836" s="8" t="s">
        <v>1613</v>
      </c>
      <c r="G836" s="10" t="s">
        <v>29</v>
      </c>
      <c r="H836" s="8" t="s">
        <v>7222</v>
      </c>
      <c r="I836" s="10" t="s">
        <v>7223</v>
      </c>
      <c r="J836" s="8" t="s">
        <v>1615</v>
      </c>
      <c r="K836" s="8" t="s">
        <v>29</v>
      </c>
      <c r="L836" s="8" t="s">
        <v>29</v>
      </c>
      <c r="M836" s="10" t="s">
        <v>29</v>
      </c>
      <c r="N836" s="8" t="s">
        <v>29</v>
      </c>
      <c r="O836" s="10" t="s">
        <v>19</v>
      </c>
      <c r="P836" s="8" t="s">
        <v>7224</v>
      </c>
      <c r="Q836" s="10" t="s">
        <v>776</v>
      </c>
      <c r="R836" s="10" t="s">
        <v>7225</v>
      </c>
      <c r="S836" s="8" t="s">
        <v>1618</v>
      </c>
      <c r="T836" s="10" t="s">
        <v>6915</v>
      </c>
      <c r="U836" s="10" t="s">
        <v>29</v>
      </c>
    </row>
    <row r="837" spans="1:21" s="10" customFormat="1" x14ac:dyDescent="0.25">
      <c r="A837" s="10" t="s">
        <v>7226</v>
      </c>
      <c r="B837" s="10" t="s">
        <v>6907</v>
      </c>
      <c r="C837" s="10" t="s">
        <v>166</v>
      </c>
      <c r="D837" s="10" t="s">
        <v>7227</v>
      </c>
      <c r="E837" s="8" t="s">
        <v>7228</v>
      </c>
      <c r="F837" s="8" t="s">
        <v>7229</v>
      </c>
      <c r="G837" s="10" t="s">
        <v>29</v>
      </c>
      <c r="H837" s="8" t="s">
        <v>7230</v>
      </c>
      <c r="I837" s="10" t="s">
        <v>7231</v>
      </c>
      <c r="J837" s="8" t="s">
        <v>2769</v>
      </c>
      <c r="K837" s="8" t="s">
        <v>29</v>
      </c>
      <c r="L837" s="8" t="s">
        <v>29</v>
      </c>
      <c r="M837" s="10" t="s">
        <v>29</v>
      </c>
      <c r="N837" s="8" t="s">
        <v>29</v>
      </c>
      <c r="O837" s="10" t="s">
        <v>19</v>
      </c>
      <c r="P837" s="8" t="s">
        <v>7232</v>
      </c>
      <c r="Q837" s="10" t="s">
        <v>174</v>
      </c>
      <c r="R837" s="10" t="s">
        <v>1387</v>
      </c>
      <c r="S837" s="8" t="s">
        <v>7233</v>
      </c>
      <c r="T837" s="10" t="s">
        <v>6915</v>
      </c>
      <c r="U837" s="10" t="s">
        <v>29</v>
      </c>
    </row>
    <row r="838" spans="1:21" s="10" customFormat="1" x14ac:dyDescent="0.25">
      <c r="A838" s="10" t="s">
        <v>7234</v>
      </c>
      <c r="B838" s="10" t="s">
        <v>6907</v>
      </c>
      <c r="C838" s="11" t="s">
        <v>297</v>
      </c>
      <c r="D838" s="10" t="s">
        <v>7235</v>
      </c>
      <c r="E838" s="8" t="s">
        <v>7236</v>
      </c>
      <c r="F838" s="8" t="s">
        <v>4774</v>
      </c>
      <c r="G838" s="10" t="s">
        <v>29</v>
      </c>
      <c r="H838" s="8" t="s">
        <v>7230</v>
      </c>
      <c r="I838" s="10" t="s">
        <v>7237</v>
      </c>
      <c r="J838" s="8" t="s">
        <v>2769</v>
      </c>
      <c r="K838" s="8" t="s">
        <v>29</v>
      </c>
      <c r="L838" s="8" t="s">
        <v>29</v>
      </c>
      <c r="M838" s="10" t="s">
        <v>29</v>
      </c>
      <c r="N838" s="8" t="s">
        <v>29</v>
      </c>
      <c r="O838" s="10" t="s">
        <v>19</v>
      </c>
      <c r="P838" s="8" t="s">
        <v>7238</v>
      </c>
      <c r="Q838" s="10" t="s">
        <v>174</v>
      </c>
      <c r="R838" s="10" t="s">
        <v>1387</v>
      </c>
      <c r="S838" s="8" t="s">
        <v>7239</v>
      </c>
      <c r="T838" s="10" t="s">
        <v>6915</v>
      </c>
      <c r="U838" s="10" t="s">
        <v>29</v>
      </c>
    </row>
    <row r="839" spans="1:21" s="10" customFormat="1" x14ac:dyDescent="0.25">
      <c r="A839" s="10" t="s">
        <v>7240</v>
      </c>
      <c r="B839" s="10" t="s">
        <v>6907</v>
      </c>
      <c r="C839" s="11" t="s">
        <v>297</v>
      </c>
      <c r="D839" s="10" t="s">
        <v>7241</v>
      </c>
      <c r="E839" s="8" t="s">
        <v>7242</v>
      </c>
      <c r="F839" s="8" t="s">
        <v>7243</v>
      </c>
      <c r="G839" s="10" t="s">
        <v>29</v>
      </c>
      <c r="H839" s="8" t="s">
        <v>7244</v>
      </c>
      <c r="I839" s="10" t="s">
        <v>7245</v>
      </c>
      <c r="J839" s="8" t="s">
        <v>2769</v>
      </c>
      <c r="K839" s="8" t="s">
        <v>29</v>
      </c>
      <c r="L839" s="8" t="s">
        <v>29</v>
      </c>
      <c r="M839" s="10" t="s">
        <v>29</v>
      </c>
      <c r="N839" s="8" t="s">
        <v>29</v>
      </c>
      <c r="O839" s="10" t="s">
        <v>19</v>
      </c>
      <c r="P839" s="8" t="s">
        <v>7246</v>
      </c>
      <c r="Q839" s="10" t="s">
        <v>190</v>
      </c>
      <c r="R839" s="10" t="s">
        <v>1387</v>
      </c>
      <c r="S839" s="8" t="s">
        <v>4874</v>
      </c>
      <c r="T839" s="10" t="s">
        <v>6915</v>
      </c>
      <c r="U839" s="10" t="s">
        <v>29</v>
      </c>
    </row>
    <row r="840" spans="1:21" s="10" customFormat="1" x14ac:dyDescent="0.25">
      <c r="A840" s="10" t="s">
        <v>7247</v>
      </c>
      <c r="B840" s="10" t="s">
        <v>6907</v>
      </c>
      <c r="C840" s="10" t="s">
        <v>166</v>
      </c>
      <c r="D840" s="10" t="s">
        <v>7248</v>
      </c>
      <c r="E840" s="8" t="s">
        <v>7249</v>
      </c>
      <c r="F840" s="8" t="s">
        <v>7250</v>
      </c>
      <c r="G840" s="10" t="s">
        <v>29</v>
      </c>
      <c r="H840" s="8" t="s">
        <v>7251</v>
      </c>
      <c r="I840" s="10" t="s">
        <v>7252</v>
      </c>
      <c r="J840" s="8" t="s">
        <v>2769</v>
      </c>
      <c r="K840" s="8" t="s">
        <v>29</v>
      </c>
      <c r="L840" s="8" t="s">
        <v>29</v>
      </c>
      <c r="M840" s="10" t="s">
        <v>29</v>
      </c>
      <c r="N840" s="8" t="s">
        <v>29</v>
      </c>
      <c r="O840" s="10" t="s">
        <v>19</v>
      </c>
      <c r="P840" s="8" t="s">
        <v>7253</v>
      </c>
      <c r="Q840" s="10" t="s">
        <v>174</v>
      </c>
      <c r="R840" s="10" t="s">
        <v>1387</v>
      </c>
      <c r="S840" s="8" t="s">
        <v>7254</v>
      </c>
      <c r="T840" s="10" t="s">
        <v>6915</v>
      </c>
      <c r="U840" s="10" t="s">
        <v>29</v>
      </c>
    </row>
    <row r="841" spans="1:21" s="10" customFormat="1" x14ac:dyDescent="0.25">
      <c r="A841" s="10" t="s">
        <v>7255</v>
      </c>
      <c r="B841" s="10" t="s">
        <v>6907</v>
      </c>
      <c r="C841" s="10" t="s">
        <v>166</v>
      </c>
      <c r="D841" s="10" t="s">
        <v>7256</v>
      </c>
      <c r="E841" s="8" t="s">
        <v>7257</v>
      </c>
      <c r="F841" s="8" t="s">
        <v>7258</v>
      </c>
      <c r="G841" s="10" t="s">
        <v>29</v>
      </c>
      <c r="H841" s="8" t="s">
        <v>7259</v>
      </c>
      <c r="I841" s="10" t="s">
        <v>7245</v>
      </c>
      <c r="J841" s="8" t="s">
        <v>2769</v>
      </c>
      <c r="K841" s="8" t="s">
        <v>29</v>
      </c>
      <c r="L841" s="8" t="s">
        <v>29</v>
      </c>
      <c r="M841" s="10" t="s">
        <v>29</v>
      </c>
      <c r="N841" s="8" t="s">
        <v>29</v>
      </c>
      <c r="O841" s="10" t="s">
        <v>19</v>
      </c>
      <c r="P841" s="8" t="s">
        <v>7260</v>
      </c>
      <c r="Q841" s="10" t="s">
        <v>190</v>
      </c>
      <c r="R841" s="10" t="s">
        <v>1387</v>
      </c>
      <c r="S841" s="8" t="s">
        <v>7261</v>
      </c>
      <c r="T841" s="10" t="s">
        <v>6915</v>
      </c>
      <c r="U841" s="10" t="s">
        <v>29</v>
      </c>
    </row>
    <row r="842" spans="1:21" s="10" customFormat="1" x14ac:dyDescent="0.25">
      <c r="A842" s="10" t="s">
        <v>7262</v>
      </c>
      <c r="B842" s="10" t="s">
        <v>6907</v>
      </c>
      <c r="C842" s="10" t="s">
        <v>166</v>
      </c>
      <c r="D842" s="10" t="s">
        <v>7263</v>
      </c>
      <c r="E842" s="8" t="s">
        <v>7264</v>
      </c>
      <c r="F842" s="8" t="s">
        <v>7149</v>
      </c>
      <c r="G842" s="10" t="s">
        <v>29</v>
      </c>
      <c r="H842" s="8" t="s">
        <v>7230</v>
      </c>
      <c r="I842" s="10" t="s">
        <v>7252</v>
      </c>
      <c r="J842" s="8" t="s">
        <v>2769</v>
      </c>
      <c r="K842" s="8" t="s">
        <v>29</v>
      </c>
      <c r="L842" s="8" t="s">
        <v>29</v>
      </c>
      <c r="M842" s="10" t="s">
        <v>29</v>
      </c>
      <c r="N842" s="8" t="s">
        <v>29</v>
      </c>
      <c r="O842" s="10" t="s">
        <v>19</v>
      </c>
      <c r="P842" s="8" t="s">
        <v>7265</v>
      </c>
      <c r="Q842" s="10" t="s">
        <v>174</v>
      </c>
      <c r="R842" s="10" t="s">
        <v>1387</v>
      </c>
      <c r="S842" s="8" t="s">
        <v>7266</v>
      </c>
      <c r="T842" s="10" t="s">
        <v>6915</v>
      </c>
      <c r="U842" s="10" t="s">
        <v>29</v>
      </c>
    </row>
    <row r="843" spans="1:21" s="10" customFormat="1" x14ac:dyDescent="0.25">
      <c r="A843" s="10" t="s">
        <v>7267</v>
      </c>
      <c r="B843" s="10" t="s">
        <v>6907</v>
      </c>
      <c r="C843" s="11" t="s">
        <v>297</v>
      </c>
      <c r="D843" s="10" t="s">
        <v>7268</v>
      </c>
      <c r="E843" s="8" t="s">
        <v>7269</v>
      </c>
      <c r="F843" s="8" t="s">
        <v>7270</v>
      </c>
      <c r="G843" s="10" t="s">
        <v>29</v>
      </c>
      <c r="H843" s="8" t="s">
        <v>1604</v>
      </c>
      <c r="I843" s="10" t="s">
        <v>7271</v>
      </c>
      <c r="J843" s="8" t="s">
        <v>1606</v>
      </c>
      <c r="K843" s="8" t="s">
        <v>29</v>
      </c>
      <c r="L843" s="8" t="s">
        <v>29</v>
      </c>
      <c r="M843" s="10" t="s">
        <v>29</v>
      </c>
      <c r="N843" s="8" t="s">
        <v>29</v>
      </c>
      <c r="O843" s="10" t="s">
        <v>19</v>
      </c>
      <c r="P843" s="8" t="s">
        <v>7272</v>
      </c>
      <c r="Q843" s="10" t="s">
        <v>1399</v>
      </c>
      <c r="R843" s="10" t="s">
        <v>1608</v>
      </c>
      <c r="S843" s="8" t="s">
        <v>5121</v>
      </c>
      <c r="T843" s="10" t="s">
        <v>6915</v>
      </c>
      <c r="U843" s="10" t="s">
        <v>29</v>
      </c>
    </row>
    <row r="844" spans="1:21" s="10" customFormat="1" x14ac:dyDescent="0.25">
      <c r="A844" s="10" t="s">
        <v>7273</v>
      </c>
      <c r="B844" s="10" t="s">
        <v>6907</v>
      </c>
      <c r="C844" s="10" t="s">
        <v>166</v>
      </c>
      <c r="D844" s="10" t="s">
        <v>7274</v>
      </c>
      <c r="E844" s="8" t="s">
        <v>7275</v>
      </c>
      <c r="F844" s="8" t="s">
        <v>7276</v>
      </c>
      <c r="G844" s="10" t="s">
        <v>29</v>
      </c>
      <c r="H844" s="8" t="s">
        <v>7230</v>
      </c>
      <c r="I844" s="10" t="s">
        <v>7245</v>
      </c>
      <c r="J844" s="8" t="s">
        <v>2769</v>
      </c>
      <c r="K844" s="8" t="s">
        <v>29</v>
      </c>
      <c r="L844" s="8" t="s">
        <v>29</v>
      </c>
      <c r="M844" s="10" t="s">
        <v>29</v>
      </c>
      <c r="N844" s="8" t="s">
        <v>29</v>
      </c>
      <c r="O844" s="10" t="s">
        <v>19</v>
      </c>
      <c r="P844" s="8" t="s">
        <v>7277</v>
      </c>
      <c r="Q844" s="10" t="s">
        <v>174</v>
      </c>
      <c r="R844" s="10" t="s">
        <v>1387</v>
      </c>
      <c r="S844" s="8" t="s">
        <v>1599</v>
      </c>
      <c r="T844" s="10" t="s">
        <v>6915</v>
      </c>
      <c r="U844" s="10" t="s">
        <v>29</v>
      </c>
    </row>
    <row r="845" spans="1:21" s="10" customFormat="1" x14ac:dyDescent="0.25">
      <c r="A845" s="10" t="s">
        <v>7278</v>
      </c>
      <c r="B845" s="10" t="s">
        <v>6907</v>
      </c>
      <c r="C845" s="10" t="s">
        <v>166</v>
      </c>
      <c r="D845" s="10" t="s">
        <v>7279</v>
      </c>
      <c r="E845" s="8" t="s">
        <v>7280</v>
      </c>
      <c r="F845" s="8" t="s">
        <v>7281</v>
      </c>
      <c r="G845" s="10" t="s">
        <v>29</v>
      </c>
      <c r="H845" s="8" t="s">
        <v>7282</v>
      </c>
      <c r="I845" s="10" t="s">
        <v>7283</v>
      </c>
      <c r="J845" s="8" t="s">
        <v>2769</v>
      </c>
      <c r="K845" s="8" t="s">
        <v>29</v>
      </c>
      <c r="L845" s="8" t="s">
        <v>29</v>
      </c>
      <c r="M845" s="10" t="s">
        <v>29</v>
      </c>
      <c r="N845" s="8" t="s">
        <v>29</v>
      </c>
      <c r="O845" s="10" t="s">
        <v>19</v>
      </c>
      <c r="P845" s="8" t="s">
        <v>7284</v>
      </c>
      <c r="Q845" s="10" t="s">
        <v>174</v>
      </c>
      <c r="R845" s="10" t="s">
        <v>1387</v>
      </c>
      <c r="S845" s="8" t="s">
        <v>7285</v>
      </c>
      <c r="T845" s="10" t="s">
        <v>6915</v>
      </c>
      <c r="U845" s="10" t="s">
        <v>29</v>
      </c>
    </row>
    <row r="846" spans="1:21" s="10" customFormat="1" x14ac:dyDescent="0.25">
      <c r="A846" s="10" t="s">
        <v>7286</v>
      </c>
      <c r="B846" s="10" t="s">
        <v>6907</v>
      </c>
      <c r="C846" s="11" t="s">
        <v>297</v>
      </c>
      <c r="D846" s="10" t="s">
        <v>7287</v>
      </c>
      <c r="E846" s="8" t="s">
        <v>7288</v>
      </c>
      <c r="F846" s="8" t="s">
        <v>7289</v>
      </c>
      <c r="G846" s="10" t="s">
        <v>29</v>
      </c>
      <c r="H846" s="8" t="s">
        <v>7282</v>
      </c>
      <c r="I846" s="10" t="s">
        <v>7283</v>
      </c>
      <c r="J846" s="8" t="s">
        <v>2769</v>
      </c>
      <c r="K846" s="8" t="s">
        <v>29</v>
      </c>
      <c r="L846" s="8" t="s">
        <v>29</v>
      </c>
      <c r="M846" s="10" t="s">
        <v>29</v>
      </c>
      <c r="N846" s="8" t="s">
        <v>29</v>
      </c>
      <c r="O846" s="10" t="s">
        <v>19</v>
      </c>
      <c r="P846" s="8" t="s">
        <v>7290</v>
      </c>
      <c r="Q846" s="10" t="s">
        <v>174</v>
      </c>
      <c r="R846" s="10" t="s">
        <v>1387</v>
      </c>
      <c r="S846" s="8" t="s">
        <v>7291</v>
      </c>
      <c r="T846" s="10" t="s">
        <v>6915</v>
      </c>
      <c r="U846" s="10" t="s">
        <v>29</v>
      </c>
    </row>
    <row r="847" spans="1:21" s="10" customFormat="1" x14ac:dyDescent="0.25">
      <c r="A847" s="10" t="s">
        <v>7292</v>
      </c>
      <c r="B847" s="10" t="s">
        <v>6907</v>
      </c>
      <c r="C847" s="11" t="s">
        <v>297</v>
      </c>
      <c r="D847" s="10" t="s">
        <v>7293</v>
      </c>
      <c r="E847" s="8" t="s">
        <v>7294</v>
      </c>
      <c r="F847" s="8" t="s">
        <v>7295</v>
      </c>
      <c r="G847" s="10" t="s">
        <v>29</v>
      </c>
      <c r="H847" s="8" t="s">
        <v>7282</v>
      </c>
      <c r="I847" s="10" t="s">
        <v>7283</v>
      </c>
      <c r="J847" s="8" t="s">
        <v>2769</v>
      </c>
      <c r="K847" s="8" t="s">
        <v>29</v>
      </c>
      <c r="L847" s="8" t="s">
        <v>29</v>
      </c>
      <c r="M847" s="10" t="s">
        <v>29</v>
      </c>
      <c r="N847" s="8" t="s">
        <v>29</v>
      </c>
      <c r="O847" s="10" t="s">
        <v>19</v>
      </c>
      <c r="P847" s="8" t="s">
        <v>7296</v>
      </c>
      <c r="Q847" s="10" t="s">
        <v>197</v>
      </c>
      <c r="R847" s="10" t="s">
        <v>1387</v>
      </c>
      <c r="S847" s="8" t="s">
        <v>7297</v>
      </c>
      <c r="T847" s="10" t="s">
        <v>6915</v>
      </c>
      <c r="U847" s="10" t="s">
        <v>29</v>
      </c>
    </row>
    <row r="848" spans="1:21" s="10" customFormat="1" x14ac:dyDescent="0.25">
      <c r="A848" s="10" t="s">
        <v>7298</v>
      </c>
      <c r="B848" s="10" t="s">
        <v>6907</v>
      </c>
      <c r="C848" s="10" t="s">
        <v>166</v>
      </c>
      <c r="D848" s="10" t="s">
        <v>7299</v>
      </c>
      <c r="E848" s="8" t="s">
        <v>7300</v>
      </c>
      <c r="F848" s="8" t="s">
        <v>7301</v>
      </c>
      <c r="G848" s="10" t="s">
        <v>29</v>
      </c>
      <c r="H848" s="8" t="s">
        <v>7302</v>
      </c>
      <c r="I848" s="10" t="s">
        <v>7283</v>
      </c>
      <c r="J848" s="8" t="s">
        <v>2769</v>
      </c>
      <c r="K848" s="8" t="s">
        <v>29</v>
      </c>
      <c r="L848" s="8" t="s">
        <v>29</v>
      </c>
      <c r="M848" s="10" t="s">
        <v>29</v>
      </c>
      <c r="N848" s="8" t="s">
        <v>29</v>
      </c>
      <c r="O848" s="10" t="s">
        <v>19</v>
      </c>
      <c r="P848" s="8" t="s">
        <v>7303</v>
      </c>
      <c r="Q848" s="10" t="s">
        <v>190</v>
      </c>
      <c r="R848" s="10" t="s">
        <v>1387</v>
      </c>
      <c r="S848" s="8" t="s">
        <v>7304</v>
      </c>
      <c r="T848" s="10" t="s">
        <v>6915</v>
      </c>
      <c r="U848" s="10" t="s">
        <v>29</v>
      </c>
    </row>
    <row r="849" spans="1:21" s="10" customFormat="1" x14ac:dyDescent="0.25">
      <c r="A849" s="10" t="s">
        <v>7305</v>
      </c>
      <c r="B849" s="10" t="s">
        <v>6907</v>
      </c>
      <c r="C849" s="11" t="s">
        <v>297</v>
      </c>
      <c r="D849" s="10" t="s">
        <v>7306</v>
      </c>
      <c r="E849" s="8" t="s">
        <v>7307</v>
      </c>
      <c r="F849" s="8" t="s">
        <v>7308</v>
      </c>
      <c r="G849" s="10" t="s">
        <v>29</v>
      </c>
      <c r="H849" s="8" t="s">
        <v>7282</v>
      </c>
      <c r="I849" s="10" t="s">
        <v>7283</v>
      </c>
      <c r="J849" s="8" t="s">
        <v>2769</v>
      </c>
      <c r="K849" s="8" t="s">
        <v>29</v>
      </c>
      <c r="L849" s="8" t="s">
        <v>29</v>
      </c>
      <c r="M849" s="10" t="s">
        <v>29</v>
      </c>
      <c r="N849" s="8" t="s">
        <v>29</v>
      </c>
      <c r="O849" s="10" t="s">
        <v>19</v>
      </c>
      <c r="P849" s="8" t="s">
        <v>7309</v>
      </c>
      <c r="Q849" s="10" t="s">
        <v>174</v>
      </c>
      <c r="R849" s="10" t="s">
        <v>1387</v>
      </c>
      <c r="S849" s="8" t="s">
        <v>7310</v>
      </c>
      <c r="T849" s="10" t="s">
        <v>6915</v>
      </c>
      <c r="U849" s="10" t="s">
        <v>29</v>
      </c>
    </row>
    <row r="850" spans="1:21" s="10" customFormat="1" x14ac:dyDescent="0.25">
      <c r="A850" s="10" t="s">
        <v>7311</v>
      </c>
      <c r="B850" s="10" t="s">
        <v>6907</v>
      </c>
      <c r="C850" s="11" t="s">
        <v>297</v>
      </c>
      <c r="D850" s="10" t="s">
        <v>7312</v>
      </c>
      <c r="E850" s="8" t="s">
        <v>7313</v>
      </c>
      <c r="F850" s="8" t="s">
        <v>7314</v>
      </c>
      <c r="G850" s="10" t="s">
        <v>29</v>
      </c>
      <c r="H850" s="8" t="s">
        <v>7282</v>
      </c>
      <c r="I850" s="10" t="s">
        <v>7283</v>
      </c>
      <c r="J850" s="8" t="s">
        <v>2769</v>
      </c>
      <c r="K850" s="8" t="s">
        <v>29</v>
      </c>
      <c r="L850" s="8" t="s">
        <v>29</v>
      </c>
      <c r="M850" s="10" t="s">
        <v>29</v>
      </c>
      <c r="N850" s="8" t="s">
        <v>29</v>
      </c>
      <c r="O850" s="10" t="s">
        <v>19</v>
      </c>
      <c r="P850" s="8" t="s">
        <v>7315</v>
      </c>
      <c r="Q850" s="10" t="s">
        <v>1399</v>
      </c>
      <c r="R850" s="10" t="s">
        <v>1387</v>
      </c>
      <c r="S850" s="8" t="s">
        <v>7316</v>
      </c>
      <c r="T850" s="10" t="s">
        <v>6915</v>
      </c>
      <c r="U850" s="10" t="s">
        <v>29</v>
      </c>
    </row>
    <row r="851" spans="1:21" s="10" customFormat="1" x14ac:dyDescent="0.25">
      <c r="A851" s="10" t="s">
        <v>7317</v>
      </c>
      <c r="B851" s="10" t="s">
        <v>6907</v>
      </c>
      <c r="C851" s="10" t="s">
        <v>166</v>
      </c>
      <c r="D851" s="10" t="s">
        <v>7318</v>
      </c>
      <c r="E851" s="8" t="s">
        <v>7319</v>
      </c>
      <c r="F851" s="8" t="s">
        <v>7320</v>
      </c>
      <c r="G851" s="10" t="s">
        <v>29</v>
      </c>
      <c r="H851" s="8" t="s">
        <v>7282</v>
      </c>
      <c r="I851" s="10" t="s">
        <v>964</v>
      </c>
      <c r="J851" s="8" t="s">
        <v>2769</v>
      </c>
      <c r="K851" s="8" t="s">
        <v>29</v>
      </c>
      <c r="L851" s="8" t="s">
        <v>29</v>
      </c>
      <c r="M851" s="10" t="s">
        <v>29</v>
      </c>
      <c r="N851" s="8" t="s">
        <v>29</v>
      </c>
      <c r="O851" s="10" t="s">
        <v>19</v>
      </c>
      <c r="P851" s="8" t="s">
        <v>7321</v>
      </c>
      <c r="Q851" s="10" t="s">
        <v>174</v>
      </c>
      <c r="R851" s="10" t="s">
        <v>1387</v>
      </c>
      <c r="S851" s="8" t="s">
        <v>2270</v>
      </c>
      <c r="T851" s="10" t="s">
        <v>6915</v>
      </c>
      <c r="U851" s="10" t="s">
        <v>29</v>
      </c>
    </row>
    <row r="852" spans="1:21" s="10" customFormat="1" x14ac:dyDescent="0.25">
      <c r="A852" s="10" t="s">
        <v>7322</v>
      </c>
      <c r="B852" s="10" t="s">
        <v>6907</v>
      </c>
      <c r="C852" s="11" t="s">
        <v>297</v>
      </c>
      <c r="D852" s="10" t="s">
        <v>7323</v>
      </c>
      <c r="E852" s="8" t="s">
        <v>7324</v>
      </c>
      <c r="F852" s="8" t="s">
        <v>7325</v>
      </c>
      <c r="G852" s="10" t="s">
        <v>29</v>
      </c>
      <c r="H852" s="8" t="s">
        <v>1604</v>
      </c>
      <c r="I852" s="10" t="s">
        <v>7326</v>
      </c>
      <c r="J852" s="8" t="s">
        <v>1606</v>
      </c>
      <c r="K852" s="8" t="s">
        <v>29</v>
      </c>
      <c r="L852" s="8" t="s">
        <v>29</v>
      </c>
      <c r="M852" s="10" t="s">
        <v>29</v>
      </c>
      <c r="N852" s="8" t="s">
        <v>29</v>
      </c>
      <c r="O852" s="10" t="s">
        <v>19</v>
      </c>
      <c r="P852" s="8" t="s">
        <v>7327</v>
      </c>
      <c r="Q852" s="10" t="s">
        <v>1399</v>
      </c>
      <c r="R852" s="10" t="s">
        <v>1608</v>
      </c>
      <c r="S852" s="8" t="s">
        <v>7328</v>
      </c>
      <c r="T852" s="10" t="s">
        <v>6915</v>
      </c>
      <c r="U852" s="10" t="s">
        <v>29</v>
      </c>
    </row>
    <row r="853" spans="1:21" s="10" customFormat="1" x14ac:dyDescent="0.25">
      <c r="A853" s="10" t="s">
        <v>7329</v>
      </c>
      <c r="B853" s="10" t="s">
        <v>6907</v>
      </c>
      <c r="C853" s="11" t="s">
        <v>297</v>
      </c>
      <c r="D853" s="10" t="s">
        <v>7330</v>
      </c>
      <c r="E853" s="8" t="s">
        <v>7331</v>
      </c>
      <c r="F853" s="8" t="s">
        <v>1613</v>
      </c>
      <c r="G853" s="10" t="s">
        <v>29</v>
      </c>
      <c r="H853" s="8" t="s">
        <v>2120</v>
      </c>
      <c r="I853" s="10" t="s">
        <v>7283</v>
      </c>
      <c r="J853" s="8" t="s">
        <v>1615</v>
      </c>
      <c r="K853" s="8" t="s">
        <v>29</v>
      </c>
      <c r="L853" s="8" t="s">
        <v>29</v>
      </c>
      <c r="M853" s="10" t="s">
        <v>29</v>
      </c>
      <c r="N853" s="8" t="s">
        <v>29</v>
      </c>
      <c r="O853" s="10" t="s">
        <v>19</v>
      </c>
      <c r="P853" s="8" t="s">
        <v>7332</v>
      </c>
      <c r="Q853" s="10" t="s">
        <v>776</v>
      </c>
      <c r="R853" s="10" t="s">
        <v>2122</v>
      </c>
      <c r="S853" s="8" t="s">
        <v>1618</v>
      </c>
      <c r="T853" s="10" t="s">
        <v>6915</v>
      </c>
      <c r="U853" s="10" t="s">
        <v>29</v>
      </c>
    </row>
    <row r="854" spans="1:21" s="10" customFormat="1" x14ac:dyDescent="0.25">
      <c r="A854" s="10" t="s">
        <v>7333</v>
      </c>
      <c r="B854" s="10" t="s">
        <v>6907</v>
      </c>
      <c r="C854" s="10" t="s">
        <v>166</v>
      </c>
      <c r="D854" s="10" t="s">
        <v>7334</v>
      </c>
      <c r="E854" s="8" t="s">
        <v>7335</v>
      </c>
      <c r="F854" s="8" t="s">
        <v>7336</v>
      </c>
      <c r="G854" s="10" t="s">
        <v>29</v>
      </c>
      <c r="H854" s="8" t="s">
        <v>7282</v>
      </c>
      <c r="I854" s="10" t="s">
        <v>7283</v>
      </c>
      <c r="J854" s="8" t="s">
        <v>2769</v>
      </c>
      <c r="K854" s="8" t="s">
        <v>29</v>
      </c>
      <c r="L854" s="8" t="s">
        <v>29</v>
      </c>
      <c r="M854" s="10" t="s">
        <v>29</v>
      </c>
      <c r="N854" s="8" t="s">
        <v>29</v>
      </c>
      <c r="O854" s="10" t="s">
        <v>19</v>
      </c>
      <c r="P854" s="8" t="s">
        <v>7337</v>
      </c>
      <c r="Q854" s="10" t="s">
        <v>174</v>
      </c>
      <c r="R854" s="10" t="s">
        <v>1387</v>
      </c>
      <c r="S854" s="8" t="s">
        <v>1599</v>
      </c>
      <c r="T854" s="10" t="s">
        <v>6915</v>
      </c>
      <c r="U854" s="10" t="s">
        <v>29</v>
      </c>
    </row>
    <row r="855" spans="1:21" s="10" customFormat="1" x14ac:dyDescent="0.25">
      <c r="A855" s="10" t="s">
        <v>7338</v>
      </c>
      <c r="B855" s="10" t="s">
        <v>6907</v>
      </c>
      <c r="C855" s="10" t="s">
        <v>166</v>
      </c>
      <c r="D855" s="10" t="s">
        <v>7339</v>
      </c>
      <c r="E855" s="8" t="s">
        <v>7340</v>
      </c>
      <c r="F855" s="8" t="s">
        <v>7341</v>
      </c>
      <c r="G855" s="10" t="s">
        <v>29</v>
      </c>
      <c r="H855" s="8" t="s">
        <v>7342</v>
      </c>
      <c r="I855" s="10" t="s">
        <v>7283</v>
      </c>
      <c r="J855" s="8" t="s">
        <v>2769</v>
      </c>
      <c r="K855" s="8" t="s">
        <v>29</v>
      </c>
      <c r="L855" s="8" t="s">
        <v>29</v>
      </c>
      <c r="M855" s="10" t="s">
        <v>29</v>
      </c>
      <c r="N855" s="8" t="s">
        <v>29</v>
      </c>
      <c r="O855" s="10" t="s">
        <v>19</v>
      </c>
      <c r="P855" s="8" t="s">
        <v>7343</v>
      </c>
      <c r="Q855" s="10" t="s">
        <v>174</v>
      </c>
      <c r="R855" s="10" t="s">
        <v>1387</v>
      </c>
      <c r="S855" s="8" t="s">
        <v>7344</v>
      </c>
      <c r="T855" s="10" t="s">
        <v>6915</v>
      </c>
      <c r="U855" s="10" t="s">
        <v>29</v>
      </c>
    </row>
    <row r="856" spans="1:21" s="10" customFormat="1" x14ac:dyDescent="0.25">
      <c r="A856" s="10" t="s">
        <v>7345</v>
      </c>
      <c r="B856" s="10" t="s">
        <v>6907</v>
      </c>
      <c r="C856" s="11" t="s">
        <v>297</v>
      </c>
      <c r="D856" s="10" t="s">
        <v>7346</v>
      </c>
      <c r="E856" s="8" t="s">
        <v>7347</v>
      </c>
      <c r="F856" s="8" t="s">
        <v>7348</v>
      </c>
      <c r="G856" s="10" t="s">
        <v>29</v>
      </c>
      <c r="H856" s="8" t="s">
        <v>7342</v>
      </c>
      <c r="I856" s="10" t="s">
        <v>964</v>
      </c>
      <c r="J856" s="8" t="s">
        <v>2769</v>
      </c>
      <c r="K856" s="8" t="s">
        <v>29</v>
      </c>
      <c r="L856" s="8" t="s">
        <v>29</v>
      </c>
      <c r="M856" s="10" t="s">
        <v>29</v>
      </c>
      <c r="N856" s="8" t="s">
        <v>29</v>
      </c>
      <c r="O856" s="10" t="s">
        <v>19</v>
      </c>
      <c r="P856" s="8" t="s">
        <v>7349</v>
      </c>
      <c r="Q856" s="10" t="s">
        <v>174</v>
      </c>
      <c r="R856" s="10" t="s">
        <v>1387</v>
      </c>
      <c r="S856" s="8" t="s">
        <v>7350</v>
      </c>
      <c r="T856" s="10" t="s">
        <v>6915</v>
      </c>
      <c r="U856" s="10" t="s">
        <v>29</v>
      </c>
    </row>
    <row r="857" spans="1:21" s="10" customFormat="1" x14ac:dyDescent="0.25">
      <c r="A857" s="10" t="s">
        <v>7351</v>
      </c>
      <c r="B857" s="10" t="s">
        <v>6907</v>
      </c>
      <c r="C857" s="11" t="s">
        <v>297</v>
      </c>
      <c r="D857" s="10" t="s">
        <v>7352</v>
      </c>
      <c r="E857" s="8" t="s">
        <v>7353</v>
      </c>
      <c r="F857" s="8" t="s">
        <v>7354</v>
      </c>
      <c r="G857" s="10" t="s">
        <v>29</v>
      </c>
      <c r="H857" s="8" t="s">
        <v>7259</v>
      </c>
      <c r="I857" s="10" t="s">
        <v>7283</v>
      </c>
      <c r="J857" s="8" t="s">
        <v>2769</v>
      </c>
      <c r="K857" s="8" t="s">
        <v>29</v>
      </c>
      <c r="L857" s="8" t="s">
        <v>29</v>
      </c>
      <c r="M857" s="10" t="s">
        <v>29</v>
      </c>
      <c r="N857" s="8" t="s">
        <v>29</v>
      </c>
      <c r="O857" s="10" t="s">
        <v>19</v>
      </c>
      <c r="P857" s="8" t="s">
        <v>7355</v>
      </c>
      <c r="Q857" s="10" t="s">
        <v>190</v>
      </c>
      <c r="R857" s="10" t="s">
        <v>1387</v>
      </c>
      <c r="S857" s="8" t="s">
        <v>7356</v>
      </c>
      <c r="T857" s="10" t="s">
        <v>6915</v>
      </c>
      <c r="U857" s="10" t="s">
        <v>29</v>
      </c>
    </row>
    <row r="858" spans="1:21" s="10" customFormat="1" x14ac:dyDescent="0.25">
      <c r="A858" s="10" t="s">
        <v>7357</v>
      </c>
      <c r="B858" s="10" t="s">
        <v>6907</v>
      </c>
      <c r="C858" s="10" t="s">
        <v>166</v>
      </c>
      <c r="D858" s="10" t="s">
        <v>7358</v>
      </c>
      <c r="E858" s="8" t="s">
        <v>7359</v>
      </c>
      <c r="F858" s="8" t="s">
        <v>7360</v>
      </c>
      <c r="G858" s="10" t="s">
        <v>29</v>
      </c>
      <c r="H858" s="8" t="s">
        <v>7361</v>
      </c>
      <c r="I858" s="10" t="s">
        <v>964</v>
      </c>
      <c r="J858" s="8" t="s">
        <v>2769</v>
      </c>
      <c r="K858" s="8" t="s">
        <v>29</v>
      </c>
      <c r="L858" s="8" t="s">
        <v>29</v>
      </c>
      <c r="M858" s="10" t="s">
        <v>29</v>
      </c>
      <c r="N858" s="8" t="s">
        <v>29</v>
      </c>
      <c r="O858" s="10" t="s">
        <v>19</v>
      </c>
      <c r="P858" s="8" t="s">
        <v>7362</v>
      </c>
      <c r="Q858" s="10" t="s">
        <v>190</v>
      </c>
      <c r="R858" s="10" t="s">
        <v>1387</v>
      </c>
      <c r="S858" s="8" t="s">
        <v>7363</v>
      </c>
      <c r="T858" s="10" t="s">
        <v>6915</v>
      </c>
      <c r="U858" s="10" t="s">
        <v>29</v>
      </c>
    </row>
    <row r="859" spans="1:21" s="10" customFormat="1" x14ac:dyDescent="0.25">
      <c r="A859" s="10" t="s">
        <v>7364</v>
      </c>
      <c r="B859" s="10" t="s">
        <v>6907</v>
      </c>
      <c r="C859" s="10" t="s">
        <v>166</v>
      </c>
      <c r="D859" s="10" t="s">
        <v>7365</v>
      </c>
      <c r="E859" s="8" t="s">
        <v>7366</v>
      </c>
      <c r="F859" s="8" t="s">
        <v>7367</v>
      </c>
      <c r="G859" s="10" t="s">
        <v>29</v>
      </c>
      <c r="H859" s="8" t="s">
        <v>7368</v>
      </c>
      <c r="I859" s="10" t="s">
        <v>7283</v>
      </c>
      <c r="J859" s="8" t="s">
        <v>2769</v>
      </c>
      <c r="K859" s="8" t="s">
        <v>29</v>
      </c>
      <c r="L859" s="8" t="s">
        <v>29</v>
      </c>
      <c r="M859" s="10" t="s">
        <v>29</v>
      </c>
      <c r="N859" s="8" t="s">
        <v>29</v>
      </c>
      <c r="O859" s="10" t="s">
        <v>19</v>
      </c>
      <c r="P859" s="8" t="s">
        <v>7369</v>
      </c>
      <c r="Q859" s="10" t="s">
        <v>174</v>
      </c>
      <c r="R859" s="10" t="s">
        <v>1387</v>
      </c>
      <c r="S859" s="8" t="s">
        <v>7370</v>
      </c>
      <c r="T859" s="10" t="s">
        <v>6915</v>
      </c>
      <c r="U859" s="10" t="s">
        <v>29</v>
      </c>
    </row>
    <row r="860" spans="1:21" s="10" customFormat="1" x14ac:dyDescent="0.25">
      <c r="A860" s="10" t="s">
        <v>7371</v>
      </c>
      <c r="B860" s="10" t="s">
        <v>6907</v>
      </c>
      <c r="C860" s="11" t="s">
        <v>297</v>
      </c>
      <c r="D860" s="10" t="s">
        <v>7372</v>
      </c>
      <c r="E860" s="8" t="s">
        <v>7373</v>
      </c>
      <c r="F860" s="8" t="s">
        <v>7374</v>
      </c>
      <c r="G860" s="10" t="s">
        <v>29</v>
      </c>
      <c r="H860" s="8" t="s">
        <v>7375</v>
      </c>
      <c r="I860" s="10" t="s">
        <v>7283</v>
      </c>
      <c r="J860" s="8" t="s">
        <v>2769</v>
      </c>
      <c r="K860" s="8" t="s">
        <v>29</v>
      </c>
      <c r="L860" s="8" t="s">
        <v>29</v>
      </c>
      <c r="M860" s="10" t="s">
        <v>29</v>
      </c>
      <c r="N860" s="8" t="s">
        <v>29</v>
      </c>
      <c r="O860" s="10" t="s">
        <v>19</v>
      </c>
      <c r="P860" s="8" t="s">
        <v>7376</v>
      </c>
      <c r="Q860" s="10" t="s">
        <v>197</v>
      </c>
      <c r="R860" s="10" t="s">
        <v>1387</v>
      </c>
      <c r="S860" s="8" t="s">
        <v>7377</v>
      </c>
      <c r="T860" s="10" t="s">
        <v>6915</v>
      </c>
      <c r="U860" s="10" t="s">
        <v>29</v>
      </c>
    </row>
    <row r="861" spans="1:21" s="10" customFormat="1" x14ac:dyDescent="0.25">
      <c r="A861" s="10" t="s">
        <v>7378</v>
      </c>
      <c r="B861" s="10" t="s">
        <v>6907</v>
      </c>
      <c r="C861" s="11" t="s">
        <v>297</v>
      </c>
      <c r="D861" s="10" t="s">
        <v>7379</v>
      </c>
      <c r="E861" s="8" t="s">
        <v>7380</v>
      </c>
      <c r="F861" s="8" t="s">
        <v>7381</v>
      </c>
      <c r="G861" s="10" t="s">
        <v>29</v>
      </c>
      <c r="H861" s="8" t="s">
        <v>1604</v>
      </c>
      <c r="I861" s="10" t="s">
        <v>7326</v>
      </c>
      <c r="J861" s="8" t="s">
        <v>1606</v>
      </c>
      <c r="K861" s="8" t="s">
        <v>29</v>
      </c>
      <c r="L861" s="8" t="s">
        <v>29</v>
      </c>
      <c r="M861" s="10" t="s">
        <v>29</v>
      </c>
      <c r="N861" s="8" t="s">
        <v>29</v>
      </c>
      <c r="O861" s="10" t="s">
        <v>19</v>
      </c>
      <c r="P861" s="8" t="s">
        <v>7382</v>
      </c>
      <c r="Q861" s="10" t="s">
        <v>1399</v>
      </c>
      <c r="R861" s="10" t="s">
        <v>1608</v>
      </c>
      <c r="S861" s="8" t="s">
        <v>7383</v>
      </c>
      <c r="T861" s="10" t="s">
        <v>6915</v>
      </c>
      <c r="U861" s="10" t="s">
        <v>29</v>
      </c>
    </row>
    <row r="862" spans="1:21" s="10" customFormat="1" x14ac:dyDescent="0.25">
      <c r="A862" s="10" t="s">
        <v>7384</v>
      </c>
      <c r="B862" s="10" t="s">
        <v>6907</v>
      </c>
      <c r="C862" s="10" t="s">
        <v>166</v>
      </c>
      <c r="D862" s="10" t="s">
        <v>7385</v>
      </c>
      <c r="E862" s="8" t="s">
        <v>7386</v>
      </c>
      <c r="F862" s="8" t="s">
        <v>7336</v>
      </c>
      <c r="G862" s="10" t="s">
        <v>29</v>
      </c>
      <c r="H862" s="8" t="s">
        <v>7342</v>
      </c>
      <c r="I862" s="10" t="s">
        <v>7283</v>
      </c>
      <c r="J862" s="8" t="s">
        <v>2769</v>
      </c>
      <c r="K862" s="8" t="s">
        <v>29</v>
      </c>
      <c r="L862" s="8" t="s">
        <v>29</v>
      </c>
      <c r="M862" s="10" t="s">
        <v>29</v>
      </c>
      <c r="N862" s="8" t="s">
        <v>29</v>
      </c>
      <c r="O862" s="10" t="s">
        <v>19</v>
      </c>
      <c r="P862" s="8" t="s">
        <v>7387</v>
      </c>
      <c r="Q862" s="10" t="s">
        <v>174</v>
      </c>
      <c r="R862" s="10" t="s">
        <v>1387</v>
      </c>
      <c r="S862" s="8" t="s">
        <v>1599</v>
      </c>
      <c r="T862" s="10" t="s">
        <v>6915</v>
      </c>
      <c r="U862" s="10" t="s">
        <v>29</v>
      </c>
    </row>
    <row r="863" spans="1:21" s="10" customFormat="1" x14ac:dyDescent="0.25">
      <c r="A863" s="10" t="s">
        <v>7388</v>
      </c>
      <c r="B863" s="10" t="s">
        <v>6907</v>
      </c>
      <c r="C863" s="10" t="s">
        <v>166</v>
      </c>
      <c r="D863" s="10" t="s">
        <v>7389</v>
      </c>
      <c r="E863" s="8" t="s">
        <v>7390</v>
      </c>
      <c r="F863" s="8" t="s">
        <v>7391</v>
      </c>
      <c r="G863" s="10" t="s">
        <v>29</v>
      </c>
      <c r="H863" s="8" t="s">
        <v>7392</v>
      </c>
      <c r="I863" s="10" t="s">
        <v>7393</v>
      </c>
      <c r="J863" s="8" t="s">
        <v>2769</v>
      </c>
      <c r="K863" s="8" t="s">
        <v>29</v>
      </c>
      <c r="L863" s="8" t="s">
        <v>29</v>
      </c>
      <c r="M863" s="10" t="s">
        <v>29</v>
      </c>
      <c r="N863" s="8" t="s">
        <v>29</v>
      </c>
      <c r="O863" s="10" t="s">
        <v>19</v>
      </c>
      <c r="P863" s="8" t="s">
        <v>7394</v>
      </c>
      <c r="Q863" s="10" t="s">
        <v>174</v>
      </c>
      <c r="R863" s="10" t="s">
        <v>1387</v>
      </c>
      <c r="S863" s="8" t="s">
        <v>7395</v>
      </c>
      <c r="T863" s="10" t="s">
        <v>6915</v>
      </c>
      <c r="U863" s="10" t="s">
        <v>29</v>
      </c>
    </row>
    <row r="864" spans="1:21" s="10" customFormat="1" x14ac:dyDescent="0.25">
      <c r="A864" s="10" t="s">
        <v>7396</v>
      </c>
      <c r="B864" s="10" t="s">
        <v>6907</v>
      </c>
      <c r="C864" s="11" t="s">
        <v>297</v>
      </c>
      <c r="D864" s="10" t="s">
        <v>7397</v>
      </c>
      <c r="E864" s="8" t="s">
        <v>7398</v>
      </c>
      <c r="F864" s="8" t="s">
        <v>7399</v>
      </c>
      <c r="G864" s="10" t="s">
        <v>29</v>
      </c>
      <c r="H864" s="8" t="s">
        <v>7392</v>
      </c>
      <c r="I864" s="10" t="s">
        <v>7400</v>
      </c>
      <c r="J864" s="8" t="s">
        <v>2769</v>
      </c>
      <c r="K864" s="8" t="s">
        <v>29</v>
      </c>
      <c r="L864" s="8" t="s">
        <v>29</v>
      </c>
      <c r="M864" s="10" t="s">
        <v>29</v>
      </c>
      <c r="N864" s="8" t="s">
        <v>29</v>
      </c>
      <c r="O864" s="10" t="s">
        <v>19</v>
      </c>
      <c r="P864" s="8" t="s">
        <v>7401</v>
      </c>
      <c r="Q864" s="10" t="s">
        <v>174</v>
      </c>
      <c r="R864" s="10" t="s">
        <v>1387</v>
      </c>
      <c r="S864" s="8" t="s">
        <v>7402</v>
      </c>
      <c r="T864" s="10" t="s">
        <v>6915</v>
      </c>
      <c r="U864" s="10" t="s">
        <v>29</v>
      </c>
    </row>
    <row r="865" spans="1:21" s="10" customFormat="1" x14ac:dyDescent="0.25">
      <c r="A865" s="10" t="s">
        <v>7403</v>
      </c>
      <c r="B865" s="10" t="s">
        <v>6907</v>
      </c>
      <c r="C865" s="11" t="s">
        <v>297</v>
      </c>
      <c r="D865" s="10" t="s">
        <v>7404</v>
      </c>
      <c r="E865" s="8" t="s">
        <v>7405</v>
      </c>
      <c r="F865" s="8" t="s">
        <v>5068</v>
      </c>
      <c r="G865" s="10" t="s">
        <v>29</v>
      </c>
      <c r="H865" s="8" t="s">
        <v>7406</v>
      </c>
      <c r="I865" s="10" t="s">
        <v>5070</v>
      </c>
      <c r="J865" s="8" t="s">
        <v>2769</v>
      </c>
      <c r="K865" s="8" t="s">
        <v>29</v>
      </c>
      <c r="L865" s="8" t="s">
        <v>29</v>
      </c>
      <c r="M865" s="10" t="s">
        <v>29</v>
      </c>
      <c r="N865" s="8" t="s">
        <v>29</v>
      </c>
      <c r="O865" s="10" t="s">
        <v>19</v>
      </c>
      <c r="P865" s="8" t="s">
        <v>7407</v>
      </c>
      <c r="Q865" s="10" t="s">
        <v>190</v>
      </c>
      <c r="R865" s="10" t="s">
        <v>1387</v>
      </c>
      <c r="S865" s="8" t="s">
        <v>4874</v>
      </c>
      <c r="T865" s="10" t="s">
        <v>6915</v>
      </c>
      <c r="U865" s="10" t="s">
        <v>29</v>
      </c>
    </row>
    <row r="866" spans="1:21" s="10" customFormat="1" x14ac:dyDescent="0.25">
      <c r="A866" s="10" t="s">
        <v>7408</v>
      </c>
      <c r="B866" s="10" t="s">
        <v>6907</v>
      </c>
      <c r="C866" s="10" t="s">
        <v>166</v>
      </c>
      <c r="D866" s="10" t="s">
        <v>7409</v>
      </c>
      <c r="E866" s="8" t="s">
        <v>7410</v>
      </c>
      <c r="F866" s="8" t="s">
        <v>7411</v>
      </c>
      <c r="G866" s="10" t="s">
        <v>29</v>
      </c>
      <c r="H866" s="8" t="s">
        <v>7412</v>
      </c>
      <c r="I866" s="10" t="s">
        <v>7413</v>
      </c>
      <c r="J866" s="8" t="s">
        <v>2769</v>
      </c>
      <c r="K866" s="8" t="s">
        <v>29</v>
      </c>
      <c r="L866" s="8" t="s">
        <v>29</v>
      </c>
      <c r="M866" s="10" t="s">
        <v>29</v>
      </c>
      <c r="N866" s="8" t="s">
        <v>29</v>
      </c>
      <c r="O866" s="10" t="s">
        <v>19</v>
      </c>
      <c r="P866" s="8" t="s">
        <v>7414</v>
      </c>
      <c r="Q866" s="10" t="s">
        <v>174</v>
      </c>
      <c r="R866" s="10" t="s">
        <v>1387</v>
      </c>
      <c r="S866" s="8" t="s">
        <v>7415</v>
      </c>
      <c r="T866" s="10" t="s">
        <v>6915</v>
      </c>
      <c r="U866" s="10" t="s">
        <v>29</v>
      </c>
    </row>
    <row r="867" spans="1:21" s="10" customFormat="1" x14ac:dyDescent="0.25">
      <c r="A867" s="10" t="s">
        <v>7416</v>
      </c>
      <c r="B867" s="10" t="s">
        <v>6907</v>
      </c>
      <c r="C867" s="10" t="s">
        <v>166</v>
      </c>
      <c r="D867" s="10" t="s">
        <v>7417</v>
      </c>
      <c r="E867" s="8" t="s">
        <v>7418</v>
      </c>
      <c r="F867" s="8" t="s">
        <v>7419</v>
      </c>
      <c r="G867" s="10" t="s">
        <v>29</v>
      </c>
      <c r="H867" s="8" t="s">
        <v>7392</v>
      </c>
      <c r="I867" s="10" t="s">
        <v>7393</v>
      </c>
      <c r="J867" s="8" t="s">
        <v>2769</v>
      </c>
      <c r="K867" s="8" t="s">
        <v>29</v>
      </c>
      <c r="L867" s="8" t="s">
        <v>29</v>
      </c>
      <c r="M867" s="10" t="s">
        <v>29</v>
      </c>
      <c r="N867" s="8" t="s">
        <v>29</v>
      </c>
      <c r="O867" s="10" t="s">
        <v>19</v>
      </c>
      <c r="P867" s="8" t="s">
        <v>7420</v>
      </c>
      <c r="Q867" s="10" t="s">
        <v>174</v>
      </c>
      <c r="R867" s="10" t="s">
        <v>1387</v>
      </c>
      <c r="S867" s="8" t="s">
        <v>7421</v>
      </c>
      <c r="T867" s="10" t="s">
        <v>6915</v>
      </c>
      <c r="U867" s="10" t="s">
        <v>29</v>
      </c>
    </row>
    <row r="868" spans="1:21" s="10" customFormat="1" x14ac:dyDescent="0.25">
      <c r="A868" s="10" t="s">
        <v>7422</v>
      </c>
      <c r="B868" s="10" t="s">
        <v>6907</v>
      </c>
      <c r="C868" s="10" t="s">
        <v>166</v>
      </c>
      <c r="D868" s="10" t="s">
        <v>7423</v>
      </c>
      <c r="E868" s="8" t="s">
        <v>7424</v>
      </c>
      <c r="F868" s="8" t="s">
        <v>7425</v>
      </c>
      <c r="G868" s="10" t="s">
        <v>29</v>
      </c>
      <c r="H868" s="8" t="s">
        <v>7392</v>
      </c>
      <c r="I868" s="10" t="s">
        <v>7426</v>
      </c>
      <c r="J868" s="8" t="s">
        <v>2769</v>
      </c>
      <c r="K868" s="8" t="s">
        <v>29</v>
      </c>
      <c r="L868" s="8" t="s">
        <v>29</v>
      </c>
      <c r="M868" s="10" t="s">
        <v>29</v>
      </c>
      <c r="N868" s="8" t="s">
        <v>29</v>
      </c>
      <c r="O868" s="10" t="s">
        <v>19</v>
      </c>
      <c r="P868" s="8" t="s">
        <v>7427</v>
      </c>
      <c r="Q868" s="10" t="s">
        <v>174</v>
      </c>
      <c r="R868" s="10" t="s">
        <v>1387</v>
      </c>
      <c r="S868" s="8" t="s">
        <v>7428</v>
      </c>
      <c r="T868" s="10" t="s">
        <v>6915</v>
      </c>
      <c r="U868" s="10" t="s">
        <v>29</v>
      </c>
    </row>
    <row r="869" spans="1:21" s="10" customFormat="1" x14ac:dyDescent="0.25">
      <c r="A869" s="10" t="s">
        <v>7429</v>
      </c>
      <c r="B869" s="10" t="s">
        <v>6907</v>
      </c>
      <c r="C869" s="11" t="s">
        <v>297</v>
      </c>
      <c r="D869" s="10" t="s">
        <v>7430</v>
      </c>
      <c r="E869" s="8" t="s">
        <v>7431</v>
      </c>
      <c r="F869" s="8" t="s">
        <v>7432</v>
      </c>
      <c r="G869" s="10" t="s">
        <v>29</v>
      </c>
      <c r="H869" s="8" t="s">
        <v>1604</v>
      </c>
      <c r="I869" s="10" t="s">
        <v>5119</v>
      </c>
      <c r="J869" s="8" t="s">
        <v>1606</v>
      </c>
      <c r="K869" s="8" t="s">
        <v>29</v>
      </c>
      <c r="L869" s="8" t="s">
        <v>29</v>
      </c>
      <c r="M869" s="10" t="s">
        <v>29</v>
      </c>
      <c r="N869" s="8" t="s">
        <v>29</v>
      </c>
      <c r="O869" s="10" t="s">
        <v>19</v>
      </c>
      <c r="P869" s="8" t="s">
        <v>7433</v>
      </c>
      <c r="Q869" s="10" t="s">
        <v>1399</v>
      </c>
      <c r="R869" s="10" t="s">
        <v>1608</v>
      </c>
      <c r="S869" s="8" t="s">
        <v>5121</v>
      </c>
      <c r="T869" s="10" t="s">
        <v>6915</v>
      </c>
      <c r="U869" s="10" t="s">
        <v>29</v>
      </c>
    </row>
    <row r="870" spans="1:21" s="10" customFormat="1" x14ac:dyDescent="0.25">
      <c r="A870" s="10" t="s">
        <v>7434</v>
      </c>
      <c r="B870" s="10" t="s">
        <v>6907</v>
      </c>
      <c r="C870" s="11" t="s">
        <v>297</v>
      </c>
      <c r="D870" s="10" t="s">
        <v>7435</v>
      </c>
      <c r="E870" s="8" t="s">
        <v>7436</v>
      </c>
      <c r="F870" s="8" t="s">
        <v>1613</v>
      </c>
      <c r="G870" s="10" t="s">
        <v>29</v>
      </c>
      <c r="H870" s="8" t="s">
        <v>7437</v>
      </c>
      <c r="I870" s="10" t="s">
        <v>5070</v>
      </c>
      <c r="J870" s="8" t="s">
        <v>1615</v>
      </c>
      <c r="K870" s="8" t="s">
        <v>29</v>
      </c>
      <c r="L870" s="8" t="s">
        <v>29</v>
      </c>
      <c r="M870" s="10" t="s">
        <v>29</v>
      </c>
      <c r="N870" s="8" t="s">
        <v>29</v>
      </c>
      <c r="O870" s="10" t="s">
        <v>19</v>
      </c>
      <c r="P870" s="8" t="s">
        <v>7438</v>
      </c>
      <c r="Q870" s="10" t="s">
        <v>776</v>
      </c>
      <c r="R870" s="10" t="s">
        <v>7439</v>
      </c>
      <c r="S870" s="8" t="s">
        <v>1618</v>
      </c>
      <c r="T870" s="10" t="s">
        <v>6915</v>
      </c>
      <c r="U870" s="10" t="s">
        <v>29</v>
      </c>
    </row>
    <row r="871" spans="1:21" s="10" customFormat="1" x14ac:dyDescent="0.25">
      <c r="A871" s="10" t="s">
        <v>7440</v>
      </c>
      <c r="B871" s="10" t="s">
        <v>6907</v>
      </c>
      <c r="C871" s="10" t="s">
        <v>166</v>
      </c>
      <c r="D871" s="10" t="s">
        <v>7441</v>
      </c>
      <c r="E871" s="8" t="s">
        <v>7442</v>
      </c>
      <c r="F871" s="8" t="s">
        <v>7443</v>
      </c>
      <c r="G871" s="10" t="s">
        <v>29</v>
      </c>
      <c r="H871" s="8" t="s">
        <v>7444</v>
      </c>
      <c r="I871" s="10" t="s">
        <v>7445</v>
      </c>
      <c r="J871" s="8" t="s">
        <v>2769</v>
      </c>
      <c r="K871" s="8" t="s">
        <v>29</v>
      </c>
      <c r="L871" s="8" t="s">
        <v>29</v>
      </c>
      <c r="M871" s="10" t="s">
        <v>29</v>
      </c>
      <c r="N871" s="8" t="s">
        <v>29</v>
      </c>
      <c r="O871" s="10" t="s">
        <v>19</v>
      </c>
      <c r="P871" s="8" t="s">
        <v>7446</v>
      </c>
      <c r="Q871" s="10" t="s">
        <v>174</v>
      </c>
      <c r="R871" s="10" t="s">
        <v>1387</v>
      </c>
      <c r="S871" s="8" t="s">
        <v>7447</v>
      </c>
      <c r="T871" s="10" t="s">
        <v>7448</v>
      </c>
      <c r="U871" s="10" t="s">
        <v>29</v>
      </c>
    </row>
    <row r="872" spans="1:21" s="10" customFormat="1" x14ac:dyDescent="0.25">
      <c r="A872" s="10" t="s">
        <v>7449</v>
      </c>
      <c r="B872" s="10" t="s">
        <v>6907</v>
      </c>
      <c r="C872" s="11" t="s">
        <v>297</v>
      </c>
      <c r="D872" s="10" t="s">
        <v>7450</v>
      </c>
      <c r="E872" s="8" t="s">
        <v>7451</v>
      </c>
      <c r="F872" s="8" t="s">
        <v>7452</v>
      </c>
      <c r="G872" s="10" t="s">
        <v>29</v>
      </c>
      <c r="H872" s="8" t="s">
        <v>7444</v>
      </c>
      <c r="I872" s="10" t="s">
        <v>7453</v>
      </c>
      <c r="J872" s="8" t="s">
        <v>2769</v>
      </c>
      <c r="K872" s="8" t="s">
        <v>29</v>
      </c>
      <c r="L872" s="8" t="s">
        <v>29</v>
      </c>
      <c r="M872" s="10" t="s">
        <v>29</v>
      </c>
      <c r="N872" s="8" t="s">
        <v>29</v>
      </c>
      <c r="O872" s="10" t="s">
        <v>19</v>
      </c>
      <c r="P872" s="8" t="s">
        <v>7454</v>
      </c>
      <c r="Q872" s="10" t="s">
        <v>174</v>
      </c>
      <c r="R872" s="10" t="s">
        <v>1387</v>
      </c>
      <c r="S872" s="8" t="s">
        <v>7455</v>
      </c>
      <c r="T872" s="10" t="s">
        <v>7448</v>
      </c>
      <c r="U872" s="10" t="s">
        <v>29</v>
      </c>
    </row>
    <row r="873" spans="1:21" s="10" customFormat="1" x14ac:dyDescent="0.25">
      <c r="A873" s="10" t="s">
        <v>7456</v>
      </c>
      <c r="B873" s="10" t="s">
        <v>6907</v>
      </c>
      <c r="C873" s="10" t="s">
        <v>166</v>
      </c>
      <c r="D873" s="10" t="s">
        <v>7457</v>
      </c>
      <c r="E873" s="8" t="s">
        <v>7458</v>
      </c>
      <c r="F873" s="8" t="s">
        <v>7459</v>
      </c>
      <c r="G873" s="10" t="s">
        <v>29</v>
      </c>
      <c r="H873" s="8" t="s">
        <v>7444</v>
      </c>
      <c r="I873" s="10" t="s">
        <v>1192</v>
      </c>
      <c r="J873" s="8" t="s">
        <v>2769</v>
      </c>
      <c r="K873" s="8" t="s">
        <v>29</v>
      </c>
      <c r="L873" s="8" t="s">
        <v>29</v>
      </c>
      <c r="M873" s="10" t="s">
        <v>29</v>
      </c>
      <c r="N873" s="8" t="s">
        <v>29</v>
      </c>
      <c r="O873" s="10" t="s">
        <v>19</v>
      </c>
      <c r="P873" s="8" t="s">
        <v>7460</v>
      </c>
      <c r="Q873" s="10" t="s">
        <v>174</v>
      </c>
      <c r="R873" s="10" t="s">
        <v>1387</v>
      </c>
      <c r="S873" s="8" t="s">
        <v>7461</v>
      </c>
      <c r="T873" s="10" t="s">
        <v>7448</v>
      </c>
      <c r="U873" s="10" t="s">
        <v>29</v>
      </c>
    </row>
    <row r="874" spans="1:21" s="10" customFormat="1" x14ac:dyDescent="0.25">
      <c r="A874" s="10" t="s">
        <v>7462</v>
      </c>
      <c r="B874" s="10" t="s">
        <v>6907</v>
      </c>
      <c r="C874" s="11" t="s">
        <v>297</v>
      </c>
      <c r="D874" s="10" t="s">
        <v>7463</v>
      </c>
      <c r="E874" s="8" t="s">
        <v>7464</v>
      </c>
      <c r="F874" s="8" t="s">
        <v>7465</v>
      </c>
      <c r="G874" s="10" t="s">
        <v>29</v>
      </c>
      <c r="H874" s="8" t="s">
        <v>7466</v>
      </c>
      <c r="I874" s="10" t="s">
        <v>7453</v>
      </c>
      <c r="J874" s="8" t="s">
        <v>2769</v>
      </c>
      <c r="K874" s="8" t="s">
        <v>29</v>
      </c>
      <c r="L874" s="8" t="s">
        <v>29</v>
      </c>
      <c r="M874" s="10" t="s">
        <v>29</v>
      </c>
      <c r="N874" s="8" t="s">
        <v>29</v>
      </c>
      <c r="O874" s="10" t="s">
        <v>19</v>
      </c>
      <c r="P874" s="8" t="s">
        <v>7467</v>
      </c>
      <c r="Q874" s="10" t="s">
        <v>197</v>
      </c>
      <c r="R874" s="10" t="s">
        <v>1387</v>
      </c>
      <c r="S874" s="8" t="s">
        <v>7468</v>
      </c>
      <c r="T874" s="10" t="s">
        <v>7448</v>
      </c>
      <c r="U874" s="10" t="s">
        <v>29</v>
      </c>
    </row>
    <row r="875" spans="1:21" s="10" customFormat="1" x14ac:dyDescent="0.25">
      <c r="A875" s="10" t="s">
        <v>7469</v>
      </c>
      <c r="B875" s="10" t="s">
        <v>6907</v>
      </c>
      <c r="C875" s="10" t="s">
        <v>166</v>
      </c>
      <c r="D875" s="10" t="s">
        <v>7470</v>
      </c>
      <c r="E875" s="8" t="s">
        <v>7471</v>
      </c>
      <c r="F875" s="8" t="s">
        <v>7472</v>
      </c>
      <c r="G875" s="10" t="s">
        <v>29</v>
      </c>
      <c r="H875" s="8" t="s">
        <v>7473</v>
      </c>
      <c r="I875" s="10" t="s">
        <v>7474</v>
      </c>
      <c r="J875" s="8" t="s">
        <v>2769</v>
      </c>
      <c r="K875" s="8" t="s">
        <v>29</v>
      </c>
      <c r="L875" s="8" t="s">
        <v>29</v>
      </c>
      <c r="M875" s="10" t="s">
        <v>29</v>
      </c>
      <c r="N875" s="8" t="s">
        <v>29</v>
      </c>
      <c r="O875" s="10" t="s">
        <v>19</v>
      </c>
      <c r="P875" s="8" t="s">
        <v>7475</v>
      </c>
      <c r="Q875" s="10" t="s">
        <v>1399</v>
      </c>
      <c r="R875" s="10" t="s">
        <v>1387</v>
      </c>
      <c r="S875" s="8" t="s">
        <v>7476</v>
      </c>
      <c r="T875" s="10" t="s">
        <v>7448</v>
      </c>
      <c r="U875" s="10" t="s">
        <v>29</v>
      </c>
    </row>
    <row r="876" spans="1:21" s="10" customFormat="1" x14ac:dyDescent="0.25">
      <c r="A876" s="10" t="s">
        <v>7477</v>
      </c>
      <c r="B876" s="10" t="s">
        <v>6907</v>
      </c>
      <c r="C876" s="10" t="s">
        <v>166</v>
      </c>
      <c r="D876" s="10" t="s">
        <v>7478</v>
      </c>
      <c r="E876" s="8" t="s">
        <v>7479</v>
      </c>
      <c r="F876" s="8" t="s">
        <v>7480</v>
      </c>
      <c r="G876" s="10" t="s">
        <v>29</v>
      </c>
      <c r="H876" s="8" t="s">
        <v>7444</v>
      </c>
      <c r="I876" s="10" t="s">
        <v>1192</v>
      </c>
      <c r="J876" s="8" t="s">
        <v>2769</v>
      </c>
      <c r="K876" s="8" t="s">
        <v>29</v>
      </c>
      <c r="L876" s="8" t="s">
        <v>29</v>
      </c>
      <c r="M876" s="10" t="s">
        <v>29</v>
      </c>
      <c r="N876" s="8" t="s">
        <v>29</v>
      </c>
      <c r="O876" s="10" t="s">
        <v>19</v>
      </c>
      <c r="P876" s="8" t="s">
        <v>7481</v>
      </c>
      <c r="Q876" s="10" t="s">
        <v>174</v>
      </c>
      <c r="R876" s="10" t="s">
        <v>1387</v>
      </c>
      <c r="S876" s="8" t="s">
        <v>7482</v>
      </c>
      <c r="T876" s="10" t="s">
        <v>7448</v>
      </c>
      <c r="U876" s="10" t="s">
        <v>29</v>
      </c>
    </row>
    <row r="877" spans="1:21" s="10" customFormat="1" x14ac:dyDescent="0.25">
      <c r="A877" s="10" t="s">
        <v>7483</v>
      </c>
      <c r="B877" s="10" t="s">
        <v>6907</v>
      </c>
      <c r="C877" s="11" t="s">
        <v>297</v>
      </c>
      <c r="D877" s="10" t="s">
        <v>7484</v>
      </c>
      <c r="E877" s="8" t="s">
        <v>7485</v>
      </c>
      <c r="F877" s="8" t="s">
        <v>7486</v>
      </c>
      <c r="G877" s="10" t="s">
        <v>29</v>
      </c>
      <c r="H877" s="8" t="s">
        <v>1604</v>
      </c>
      <c r="I877" s="10" t="s">
        <v>2741</v>
      </c>
      <c r="J877" s="8" t="s">
        <v>1606</v>
      </c>
      <c r="K877" s="8" t="s">
        <v>29</v>
      </c>
      <c r="L877" s="8" t="s">
        <v>29</v>
      </c>
      <c r="M877" s="10" t="s">
        <v>29</v>
      </c>
      <c r="N877" s="8" t="s">
        <v>29</v>
      </c>
      <c r="O877" s="10" t="s">
        <v>19</v>
      </c>
      <c r="P877" s="8" t="s">
        <v>7487</v>
      </c>
      <c r="Q877" s="10" t="s">
        <v>1399</v>
      </c>
      <c r="R877" s="10" t="s">
        <v>1608</v>
      </c>
      <c r="S877" s="8" t="s">
        <v>7488</v>
      </c>
      <c r="T877" s="10" t="s">
        <v>7448</v>
      </c>
      <c r="U877" s="10" t="s">
        <v>29</v>
      </c>
    </row>
    <row r="878" spans="1:21" s="10" customFormat="1" x14ac:dyDescent="0.25">
      <c r="A878" s="10" t="s">
        <v>7489</v>
      </c>
      <c r="B878" s="10" t="s">
        <v>6907</v>
      </c>
      <c r="C878" s="10" t="s">
        <v>166</v>
      </c>
      <c r="D878" s="10" t="s">
        <v>7490</v>
      </c>
      <c r="E878" s="8" t="s">
        <v>7491</v>
      </c>
      <c r="F878" s="8" t="s">
        <v>1613</v>
      </c>
      <c r="G878" s="10" t="s">
        <v>29</v>
      </c>
      <c r="H878" s="8" t="s">
        <v>2747</v>
      </c>
      <c r="I878" s="10" t="s">
        <v>1192</v>
      </c>
      <c r="J878" s="8" t="s">
        <v>1615</v>
      </c>
      <c r="K878" s="8" t="s">
        <v>29</v>
      </c>
      <c r="L878" s="8" t="s">
        <v>29</v>
      </c>
      <c r="M878" s="10" t="s">
        <v>29</v>
      </c>
      <c r="N878" s="8" t="s">
        <v>29</v>
      </c>
      <c r="O878" s="10" t="s">
        <v>19</v>
      </c>
      <c r="P878" s="8" t="s">
        <v>7492</v>
      </c>
      <c r="Q878" s="10" t="s">
        <v>776</v>
      </c>
      <c r="R878" s="10" t="s">
        <v>2749</v>
      </c>
      <c r="S878" s="8" t="s">
        <v>1618</v>
      </c>
      <c r="T878" s="10" t="s">
        <v>7448</v>
      </c>
      <c r="U878" s="10" t="s">
        <v>29</v>
      </c>
    </row>
    <row r="879" spans="1:21" s="10" customFormat="1" x14ac:dyDescent="0.25">
      <c r="A879" s="10" t="s">
        <v>7493</v>
      </c>
      <c r="B879" s="10" t="s">
        <v>6907</v>
      </c>
      <c r="C879" s="10" t="s">
        <v>166</v>
      </c>
      <c r="D879" s="10" t="s">
        <v>7494</v>
      </c>
      <c r="E879" s="8" t="s">
        <v>7495</v>
      </c>
      <c r="F879" s="8" t="s">
        <v>7496</v>
      </c>
      <c r="G879" s="10" t="s">
        <v>29</v>
      </c>
      <c r="H879" s="8" t="s">
        <v>7444</v>
      </c>
      <c r="I879" s="10" t="s">
        <v>1192</v>
      </c>
      <c r="J879" s="8" t="s">
        <v>2769</v>
      </c>
      <c r="K879" s="8" t="s">
        <v>29</v>
      </c>
      <c r="L879" s="8" t="s">
        <v>29</v>
      </c>
      <c r="M879" s="10" t="s">
        <v>29</v>
      </c>
      <c r="N879" s="8" t="s">
        <v>29</v>
      </c>
      <c r="O879" s="10" t="s">
        <v>19</v>
      </c>
      <c r="P879" s="8" t="s">
        <v>7497</v>
      </c>
      <c r="Q879" s="10" t="s">
        <v>174</v>
      </c>
      <c r="R879" s="10" t="s">
        <v>1387</v>
      </c>
      <c r="S879" s="8" t="s">
        <v>7498</v>
      </c>
      <c r="T879" s="10" t="s">
        <v>7448</v>
      </c>
      <c r="U879" s="10" t="s">
        <v>29</v>
      </c>
    </row>
    <row r="880" spans="1:21" s="10" customFormat="1" x14ac:dyDescent="0.25">
      <c r="A880" s="10" t="s">
        <v>7499</v>
      </c>
      <c r="B880" s="10" t="s">
        <v>6907</v>
      </c>
      <c r="C880" s="10" t="s">
        <v>166</v>
      </c>
      <c r="D880" s="10" t="s">
        <v>7500</v>
      </c>
      <c r="E880" s="8" t="s">
        <v>7501</v>
      </c>
      <c r="F880" s="8" t="s">
        <v>7502</v>
      </c>
      <c r="G880" s="10" t="s">
        <v>29</v>
      </c>
      <c r="H880" s="8" t="s">
        <v>7444</v>
      </c>
      <c r="I880" s="10" t="s">
        <v>1192</v>
      </c>
      <c r="J880" s="8" t="s">
        <v>2769</v>
      </c>
      <c r="K880" s="8" t="s">
        <v>29</v>
      </c>
      <c r="L880" s="8" t="s">
        <v>29</v>
      </c>
      <c r="M880" s="10" t="s">
        <v>29</v>
      </c>
      <c r="N880" s="8" t="s">
        <v>29</v>
      </c>
      <c r="O880" s="10" t="s">
        <v>19</v>
      </c>
      <c r="P880" s="8" t="s">
        <v>7503</v>
      </c>
      <c r="Q880" s="10" t="s">
        <v>174</v>
      </c>
      <c r="R880" s="10" t="s">
        <v>1387</v>
      </c>
      <c r="S880" s="8" t="s">
        <v>1599</v>
      </c>
      <c r="T880" s="10" t="s">
        <v>7448</v>
      </c>
      <c r="U880" s="10" t="s">
        <v>29</v>
      </c>
    </row>
    <row r="881" spans="1:21" s="10" customFormat="1" x14ac:dyDescent="0.25">
      <c r="A881" s="10" t="s">
        <v>7504</v>
      </c>
      <c r="B881" s="10" t="s">
        <v>6907</v>
      </c>
      <c r="C881" s="10" t="s">
        <v>166</v>
      </c>
      <c r="D881" s="10" t="s">
        <v>7505</v>
      </c>
      <c r="E881" s="8" t="s">
        <v>7506</v>
      </c>
      <c r="F881" s="8" t="s">
        <v>7507</v>
      </c>
      <c r="G881" s="10" t="s">
        <v>29</v>
      </c>
      <c r="H881" s="8" t="s">
        <v>7508</v>
      </c>
      <c r="I881" s="10" t="s">
        <v>7509</v>
      </c>
      <c r="J881" s="8" t="s">
        <v>2769</v>
      </c>
      <c r="K881" s="8" t="s">
        <v>29</v>
      </c>
      <c r="L881" s="8" t="s">
        <v>29</v>
      </c>
      <c r="M881" s="10" t="s">
        <v>29</v>
      </c>
      <c r="N881" s="8" t="s">
        <v>29</v>
      </c>
      <c r="O881" s="10" t="s">
        <v>19</v>
      </c>
      <c r="P881" s="8" t="s">
        <v>7510</v>
      </c>
      <c r="Q881" s="10" t="s">
        <v>174</v>
      </c>
      <c r="R881" s="10" t="s">
        <v>1387</v>
      </c>
      <c r="S881" s="8" t="s">
        <v>7511</v>
      </c>
      <c r="T881" s="10" t="s">
        <v>7448</v>
      </c>
      <c r="U881" s="10" t="s">
        <v>29</v>
      </c>
    </row>
    <row r="882" spans="1:21" s="10" customFormat="1" x14ac:dyDescent="0.25">
      <c r="A882" s="10" t="s">
        <v>7512</v>
      </c>
      <c r="B882" s="10" t="s">
        <v>6907</v>
      </c>
      <c r="C882" s="11" t="s">
        <v>297</v>
      </c>
      <c r="D882" s="10" t="s">
        <v>7513</v>
      </c>
      <c r="E882" s="8" t="s">
        <v>7514</v>
      </c>
      <c r="F882" s="8" t="s">
        <v>7515</v>
      </c>
      <c r="G882" s="10" t="s">
        <v>29</v>
      </c>
      <c r="H882" s="8" t="s">
        <v>7516</v>
      </c>
      <c r="I882" s="10" t="s">
        <v>7517</v>
      </c>
      <c r="J882" s="8" t="s">
        <v>2769</v>
      </c>
      <c r="K882" s="8" t="s">
        <v>29</v>
      </c>
      <c r="L882" s="8" t="s">
        <v>29</v>
      </c>
      <c r="M882" s="10" t="s">
        <v>29</v>
      </c>
      <c r="N882" s="8" t="s">
        <v>29</v>
      </c>
      <c r="O882" s="10" t="s">
        <v>19</v>
      </c>
      <c r="P882" s="8" t="s">
        <v>7518</v>
      </c>
      <c r="Q882" s="10" t="s">
        <v>174</v>
      </c>
      <c r="R882" s="10" t="s">
        <v>1387</v>
      </c>
      <c r="S882" s="8" t="s">
        <v>7519</v>
      </c>
      <c r="T882" s="10" t="s">
        <v>7448</v>
      </c>
      <c r="U882" s="10" t="s">
        <v>29</v>
      </c>
    </row>
    <row r="883" spans="1:21" s="10" customFormat="1" x14ac:dyDescent="0.25">
      <c r="A883" s="10" t="s">
        <v>7520</v>
      </c>
      <c r="B883" s="10" t="s">
        <v>6907</v>
      </c>
      <c r="C883" s="10" t="s">
        <v>166</v>
      </c>
      <c r="D883" s="10" t="s">
        <v>7521</v>
      </c>
      <c r="E883" s="8" t="s">
        <v>7522</v>
      </c>
      <c r="F883" s="8" t="s">
        <v>7523</v>
      </c>
      <c r="G883" s="10" t="s">
        <v>29</v>
      </c>
      <c r="H883" s="8" t="s">
        <v>7524</v>
      </c>
      <c r="I883" s="10" t="s">
        <v>951</v>
      </c>
      <c r="J883" s="8" t="s">
        <v>2769</v>
      </c>
      <c r="K883" s="8" t="s">
        <v>29</v>
      </c>
      <c r="L883" s="8" t="s">
        <v>29</v>
      </c>
      <c r="M883" s="10" t="s">
        <v>29</v>
      </c>
      <c r="N883" s="8" t="s">
        <v>29</v>
      </c>
      <c r="O883" s="10" t="s">
        <v>19</v>
      </c>
      <c r="P883" s="8" t="s">
        <v>7525</v>
      </c>
      <c r="Q883" s="10" t="s">
        <v>190</v>
      </c>
      <c r="R883" s="10" t="s">
        <v>1387</v>
      </c>
      <c r="S883" s="8" t="s">
        <v>7526</v>
      </c>
      <c r="T883" s="10" t="s">
        <v>7448</v>
      </c>
      <c r="U883" s="10" t="s">
        <v>29</v>
      </c>
    </row>
    <row r="884" spans="1:21" s="10" customFormat="1" x14ac:dyDescent="0.25">
      <c r="A884" s="10" t="s">
        <v>7527</v>
      </c>
      <c r="B884" s="10" t="s">
        <v>6907</v>
      </c>
      <c r="C884" s="11" t="s">
        <v>297</v>
      </c>
      <c r="D884" s="10" t="s">
        <v>7528</v>
      </c>
      <c r="E884" s="8" t="s">
        <v>7529</v>
      </c>
      <c r="F884" s="8" t="s">
        <v>7530</v>
      </c>
      <c r="G884" s="10" t="s">
        <v>29</v>
      </c>
      <c r="H884" s="8" t="s">
        <v>7531</v>
      </c>
      <c r="I884" s="10" t="s">
        <v>7509</v>
      </c>
      <c r="J884" s="8" t="s">
        <v>2769</v>
      </c>
      <c r="K884" s="8" t="s">
        <v>29</v>
      </c>
      <c r="L884" s="8" t="s">
        <v>29</v>
      </c>
      <c r="M884" s="10" t="s">
        <v>29</v>
      </c>
      <c r="N884" s="8" t="s">
        <v>29</v>
      </c>
      <c r="O884" s="10" t="s">
        <v>19</v>
      </c>
      <c r="P884" s="8" t="s">
        <v>7532</v>
      </c>
      <c r="Q884" s="10" t="s">
        <v>174</v>
      </c>
      <c r="R884" s="10" t="s">
        <v>1387</v>
      </c>
      <c r="S884" s="8" t="s">
        <v>7533</v>
      </c>
      <c r="T884" s="10" t="s">
        <v>7448</v>
      </c>
      <c r="U884" s="10" t="s">
        <v>29</v>
      </c>
    </row>
    <row r="885" spans="1:21" s="10" customFormat="1" x14ac:dyDescent="0.25">
      <c r="A885" s="10" t="s">
        <v>7534</v>
      </c>
      <c r="B885" s="10" t="s">
        <v>6907</v>
      </c>
      <c r="C885" s="11" t="s">
        <v>297</v>
      </c>
      <c r="D885" s="10" t="s">
        <v>7535</v>
      </c>
      <c r="E885" s="8" t="s">
        <v>7536</v>
      </c>
      <c r="F885" s="8" t="s">
        <v>7537</v>
      </c>
      <c r="G885" s="10" t="s">
        <v>29</v>
      </c>
      <c r="H885" s="8" t="s">
        <v>7531</v>
      </c>
      <c r="I885" s="10" t="s">
        <v>7509</v>
      </c>
      <c r="J885" s="8" t="s">
        <v>2769</v>
      </c>
      <c r="K885" s="8" t="s">
        <v>29</v>
      </c>
      <c r="L885" s="8" t="s">
        <v>29</v>
      </c>
      <c r="M885" s="10" t="s">
        <v>29</v>
      </c>
      <c r="N885" s="8" t="s">
        <v>29</v>
      </c>
      <c r="O885" s="10" t="s">
        <v>19</v>
      </c>
      <c r="P885" s="8" t="s">
        <v>7538</v>
      </c>
      <c r="Q885" s="10" t="s">
        <v>197</v>
      </c>
      <c r="R885" s="10" t="s">
        <v>1387</v>
      </c>
      <c r="S885" s="8" t="s">
        <v>7539</v>
      </c>
      <c r="T885" s="10" t="s">
        <v>7448</v>
      </c>
      <c r="U885" s="10" t="s">
        <v>29</v>
      </c>
    </row>
    <row r="886" spans="1:21" s="10" customFormat="1" x14ac:dyDescent="0.25">
      <c r="A886" s="10" t="s">
        <v>7540</v>
      </c>
      <c r="B886" s="10" t="s">
        <v>6907</v>
      </c>
      <c r="C886" s="10" t="s">
        <v>166</v>
      </c>
      <c r="D886" s="10" t="s">
        <v>7541</v>
      </c>
      <c r="E886" s="8" t="s">
        <v>7542</v>
      </c>
      <c r="F886" s="8" t="s">
        <v>7543</v>
      </c>
      <c r="G886" s="10" t="s">
        <v>29</v>
      </c>
      <c r="H886" s="8" t="s">
        <v>7544</v>
      </c>
      <c r="I886" s="10" t="s">
        <v>7545</v>
      </c>
      <c r="J886" s="8" t="s">
        <v>2769</v>
      </c>
      <c r="K886" s="8" t="s">
        <v>29</v>
      </c>
      <c r="L886" s="8" t="s">
        <v>29</v>
      </c>
      <c r="M886" s="10" t="s">
        <v>29</v>
      </c>
      <c r="N886" s="8" t="s">
        <v>29</v>
      </c>
      <c r="O886" s="10" t="s">
        <v>19</v>
      </c>
      <c r="P886" s="8" t="s">
        <v>7546</v>
      </c>
      <c r="Q886" s="10" t="s">
        <v>174</v>
      </c>
      <c r="R886" s="10" t="s">
        <v>1387</v>
      </c>
      <c r="S886" s="8" t="s">
        <v>7547</v>
      </c>
      <c r="T886" s="10" t="s">
        <v>7448</v>
      </c>
      <c r="U886" s="10" t="s">
        <v>29</v>
      </c>
    </row>
    <row r="887" spans="1:21" s="10" customFormat="1" x14ac:dyDescent="0.25">
      <c r="A887" s="10" t="s">
        <v>7548</v>
      </c>
      <c r="B887" s="10" t="s">
        <v>6907</v>
      </c>
      <c r="C887" s="11" t="s">
        <v>297</v>
      </c>
      <c r="D887" s="10" t="s">
        <v>7549</v>
      </c>
      <c r="E887" s="8" t="s">
        <v>7550</v>
      </c>
      <c r="F887" s="8" t="s">
        <v>7551</v>
      </c>
      <c r="G887" s="10" t="s">
        <v>29</v>
      </c>
      <c r="H887" s="8" t="s">
        <v>7552</v>
      </c>
      <c r="I887" s="10" t="s">
        <v>7553</v>
      </c>
      <c r="J887" s="8" t="s">
        <v>1606</v>
      </c>
      <c r="K887" s="8" t="s">
        <v>29</v>
      </c>
      <c r="L887" s="8" t="s">
        <v>29</v>
      </c>
      <c r="M887" s="10" t="s">
        <v>29</v>
      </c>
      <c r="N887" s="8" t="s">
        <v>29</v>
      </c>
      <c r="O887" s="10" t="s">
        <v>19</v>
      </c>
      <c r="P887" s="8" t="s">
        <v>7554</v>
      </c>
      <c r="Q887" s="10" t="s">
        <v>190</v>
      </c>
      <c r="R887" s="10" t="s">
        <v>1387</v>
      </c>
      <c r="S887" s="8" t="s">
        <v>7555</v>
      </c>
      <c r="T887" s="10" t="s">
        <v>7448</v>
      </c>
      <c r="U887" s="10" t="s">
        <v>29</v>
      </c>
    </row>
    <row r="888" spans="1:21" s="10" customFormat="1" x14ac:dyDescent="0.25">
      <c r="A888" s="10" t="s">
        <v>7556</v>
      </c>
      <c r="B888" s="10" t="s">
        <v>6907</v>
      </c>
      <c r="C888" s="11" t="s">
        <v>297</v>
      </c>
      <c r="D888" s="10" t="s">
        <v>7557</v>
      </c>
      <c r="E888" s="8" t="s">
        <v>7558</v>
      </c>
      <c r="F888" s="8" t="s">
        <v>1613</v>
      </c>
      <c r="G888" s="10" t="s">
        <v>29</v>
      </c>
      <c r="H888" s="8" t="s">
        <v>2120</v>
      </c>
      <c r="I888" s="10" t="s">
        <v>7559</v>
      </c>
      <c r="J888" s="8" t="s">
        <v>1615</v>
      </c>
      <c r="K888" s="8" t="s">
        <v>29</v>
      </c>
      <c r="L888" s="8" t="s">
        <v>29</v>
      </c>
      <c r="M888" s="10" t="s">
        <v>29</v>
      </c>
      <c r="N888" s="8" t="s">
        <v>29</v>
      </c>
      <c r="O888" s="10" t="s">
        <v>19</v>
      </c>
      <c r="P888" s="8" t="s">
        <v>7560</v>
      </c>
      <c r="Q888" s="10" t="s">
        <v>776</v>
      </c>
      <c r="R888" s="10" t="s">
        <v>2122</v>
      </c>
      <c r="S888" s="8" t="s">
        <v>1618</v>
      </c>
      <c r="T888" s="10" t="s">
        <v>7448</v>
      </c>
      <c r="U888" s="10" t="s">
        <v>29</v>
      </c>
    </row>
    <row r="889" spans="1:21" s="10" customFormat="1" x14ac:dyDescent="0.25">
      <c r="A889" s="10" t="s">
        <v>7561</v>
      </c>
      <c r="B889" s="10" t="s">
        <v>6907</v>
      </c>
      <c r="C889" s="11" t="s">
        <v>297</v>
      </c>
      <c r="D889" s="10" t="s">
        <v>7562</v>
      </c>
      <c r="E889" s="8" t="s">
        <v>7563</v>
      </c>
      <c r="F889" s="8" t="s">
        <v>7564</v>
      </c>
      <c r="G889" s="10" t="s">
        <v>29</v>
      </c>
      <c r="H889" s="8" t="s">
        <v>1604</v>
      </c>
      <c r="I889" s="10" t="s">
        <v>7565</v>
      </c>
      <c r="J889" s="8" t="s">
        <v>1606</v>
      </c>
      <c r="K889" s="8" t="s">
        <v>29</v>
      </c>
      <c r="L889" s="8" t="s">
        <v>29</v>
      </c>
      <c r="M889" s="10" t="s">
        <v>29</v>
      </c>
      <c r="N889" s="8" t="s">
        <v>29</v>
      </c>
      <c r="O889" s="10" t="s">
        <v>19</v>
      </c>
      <c r="P889" s="8" t="s">
        <v>7566</v>
      </c>
      <c r="Q889" s="10" t="s">
        <v>1399</v>
      </c>
      <c r="R889" s="10" t="s">
        <v>1608</v>
      </c>
      <c r="S889" s="8" t="s">
        <v>7567</v>
      </c>
      <c r="T889" s="10" t="s">
        <v>7448</v>
      </c>
      <c r="U889" s="10" t="s">
        <v>29</v>
      </c>
    </row>
    <row r="890" spans="1:21" s="10" customFormat="1" x14ac:dyDescent="0.25">
      <c r="A890" s="10" t="s">
        <v>7568</v>
      </c>
      <c r="B890" s="10" t="s">
        <v>6907</v>
      </c>
      <c r="C890" s="10" t="s">
        <v>166</v>
      </c>
      <c r="D890" s="10" t="s">
        <v>7569</v>
      </c>
      <c r="E890" s="8" t="s">
        <v>7570</v>
      </c>
      <c r="F890" s="8" t="s">
        <v>7571</v>
      </c>
      <c r="G890" s="10" t="s">
        <v>29</v>
      </c>
      <c r="H890" s="8" t="s">
        <v>7572</v>
      </c>
      <c r="I890" s="10" t="s">
        <v>7559</v>
      </c>
      <c r="J890" s="8" t="s">
        <v>2769</v>
      </c>
      <c r="K890" s="8" t="s">
        <v>29</v>
      </c>
      <c r="L890" s="8" t="s">
        <v>29</v>
      </c>
      <c r="M890" s="10" t="s">
        <v>29</v>
      </c>
      <c r="N890" s="8" t="s">
        <v>29</v>
      </c>
      <c r="O890" s="10" t="s">
        <v>19</v>
      </c>
      <c r="P890" s="8" t="s">
        <v>7573</v>
      </c>
      <c r="Q890" s="10" t="s">
        <v>174</v>
      </c>
      <c r="R890" s="10" t="s">
        <v>1387</v>
      </c>
      <c r="S890" s="8" t="s">
        <v>1599</v>
      </c>
      <c r="T890" s="10" t="s">
        <v>7448</v>
      </c>
      <c r="U890" s="10" t="s">
        <v>29</v>
      </c>
    </row>
    <row r="891" spans="1:21" s="10" customFormat="1" x14ac:dyDescent="0.25">
      <c r="A891" s="10" t="s">
        <v>7574</v>
      </c>
      <c r="B891" s="10" t="s">
        <v>6907</v>
      </c>
      <c r="C891" s="10" t="s">
        <v>166</v>
      </c>
      <c r="D891" s="10" t="s">
        <v>7575</v>
      </c>
      <c r="E891" s="8" t="s">
        <v>7576</v>
      </c>
      <c r="F891" s="8" t="s">
        <v>7577</v>
      </c>
      <c r="G891" s="10" t="s">
        <v>29</v>
      </c>
      <c r="H891" s="8" t="s">
        <v>7578</v>
      </c>
      <c r="I891" s="10" t="s">
        <v>7579</v>
      </c>
      <c r="J891" s="8" t="s">
        <v>2769</v>
      </c>
      <c r="K891" s="8" t="s">
        <v>29</v>
      </c>
      <c r="L891" s="8" t="s">
        <v>29</v>
      </c>
      <c r="M891" s="10" t="s">
        <v>29</v>
      </c>
      <c r="N891" s="8" t="s">
        <v>29</v>
      </c>
      <c r="O891" s="10" t="s">
        <v>19</v>
      </c>
      <c r="P891" s="8" t="s">
        <v>7580</v>
      </c>
      <c r="Q891" s="10" t="s">
        <v>174</v>
      </c>
      <c r="R891" s="10" t="s">
        <v>1387</v>
      </c>
      <c r="S891" s="8" t="s">
        <v>7581</v>
      </c>
      <c r="T891" s="10" t="s">
        <v>7448</v>
      </c>
      <c r="U891" s="10" t="s">
        <v>29</v>
      </c>
    </row>
    <row r="892" spans="1:21" s="10" customFormat="1" x14ac:dyDescent="0.25">
      <c r="A892" s="10" t="s">
        <v>7582</v>
      </c>
      <c r="B892" s="10" t="s">
        <v>6907</v>
      </c>
      <c r="C892" s="11" t="s">
        <v>297</v>
      </c>
      <c r="D892" s="10" t="s">
        <v>7583</v>
      </c>
      <c r="E892" s="8" t="s">
        <v>7584</v>
      </c>
      <c r="F892" s="8" t="s">
        <v>7585</v>
      </c>
      <c r="G892" s="10" t="s">
        <v>29</v>
      </c>
      <c r="H892" s="8" t="s">
        <v>7586</v>
      </c>
      <c r="I892" s="10" t="s">
        <v>7587</v>
      </c>
      <c r="J892" s="8" t="s">
        <v>2769</v>
      </c>
      <c r="K892" s="8" t="s">
        <v>29</v>
      </c>
      <c r="L892" s="8" t="s">
        <v>29</v>
      </c>
      <c r="M892" s="10" t="s">
        <v>29</v>
      </c>
      <c r="N892" s="8" t="s">
        <v>29</v>
      </c>
      <c r="O892" s="10" t="s">
        <v>19</v>
      </c>
      <c r="P892" s="8" t="s">
        <v>7588</v>
      </c>
      <c r="Q892" s="10" t="s">
        <v>174</v>
      </c>
      <c r="R892" s="10" t="s">
        <v>1387</v>
      </c>
      <c r="S892" s="8" t="s">
        <v>7589</v>
      </c>
      <c r="T892" s="10" t="s">
        <v>7448</v>
      </c>
      <c r="U892" s="10" t="s">
        <v>29</v>
      </c>
    </row>
    <row r="893" spans="1:21" s="10" customFormat="1" x14ac:dyDescent="0.25">
      <c r="A893" s="10" t="s">
        <v>7590</v>
      </c>
      <c r="B893" s="10" t="s">
        <v>6907</v>
      </c>
      <c r="C893" s="11" t="s">
        <v>297</v>
      </c>
      <c r="D893" s="10" t="s">
        <v>7591</v>
      </c>
      <c r="E893" s="8" t="s">
        <v>7592</v>
      </c>
      <c r="F893" s="8" t="s">
        <v>7593</v>
      </c>
      <c r="G893" s="10" t="s">
        <v>29</v>
      </c>
      <c r="H893" s="8" t="s">
        <v>7594</v>
      </c>
      <c r="I893" s="10" t="s">
        <v>7595</v>
      </c>
      <c r="J893" s="8" t="s">
        <v>2769</v>
      </c>
      <c r="K893" s="8" t="s">
        <v>29</v>
      </c>
      <c r="L893" s="8" t="s">
        <v>29</v>
      </c>
      <c r="M893" s="10" t="s">
        <v>29</v>
      </c>
      <c r="N893" s="8" t="s">
        <v>29</v>
      </c>
      <c r="O893" s="10" t="s">
        <v>19</v>
      </c>
      <c r="P893" s="8" t="s">
        <v>7596</v>
      </c>
      <c r="Q893" s="10" t="s">
        <v>197</v>
      </c>
      <c r="R893" s="10" t="s">
        <v>1387</v>
      </c>
      <c r="S893" s="8" t="s">
        <v>7597</v>
      </c>
      <c r="T893" s="10" t="s">
        <v>7448</v>
      </c>
      <c r="U893" s="10" t="s">
        <v>29</v>
      </c>
    </row>
    <row r="894" spans="1:21" s="10" customFormat="1" x14ac:dyDescent="0.25">
      <c r="A894" s="10" t="s">
        <v>7598</v>
      </c>
      <c r="B894" s="10" t="s">
        <v>6907</v>
      </c>
      <c r="C894" s="11" t="s">
        <v>297</v>
      </c>
      <c r="D894" s="10" t="s">
        <v>7599</v>
      </c>
      <c r="E894" s="8" t="s">
        <v>7600</v>
      </c>
      <c r="F894" s="8" t="s">
        <v>7601</v>
      </c>
      <c r="G894" s="10" t="s">
        <v>29</v>
      </c>
      <c r="H894" s="8" t="s">
        <v>7602</v>
      </c>
      <c r="I894" s="10" t="s">
        <v>7517</v>
      </c>
      <c r="J894" s="8" t="s">
        <v>2769</v>
      </c>
      <c r="K894" s="8" t="s">
        <v>29</v>
      </c>
      <c r="L894" s="8" t="s">
        <v>29</v>
      </c>
      <c r="M894" s="10" t="s">
        <v>29</v>
      </c>
      <c r="N894" s="8" t="s">
        <v>29</v>
      </c>
      <c r="O894" s="10" t="s">
        <v>19</v>
      </c>
      <c r="P894" s="8" t="s">
        <v>7603</v>
      </c>
      <c r="Q894" s="10" t="s">
        <v>197</v>
      </c>
      <c r="R894" s="10" t="s">
        <v>1387</v>
      </c>
      <c r="S894" s="8" t="s">
        <v>7604</v>
      </c>
      <c r="T894" s="10" t="s">
        <v>7448</v>
      </c>
      <c r="U894" s="10" t="s">
        <v>29</v>
      </c>
    </row>
    <row r="895" spans="1:21" s="10" customFormat="1" x14ac:dyDescent="0.25">
      <c r="A895" s="10" t="s">
        <v>7605</v>
      </c>
      <c r="B895" s="10" t="s">
        <v>6907</v>
      </c>
      <c r="C895" s="10" t="s">
        <v>166</v>
      </c>
      <c r="D895" s="10" t="s">
        <v>7606</v>
      </c>
      <c r="E895" s="8" t="s">
        <v>7607</v>
      </c>
      <c r="F895" s="8" t="s">
        <v>4774</v>
      </c>
      <c r="G895" s="10" t="s">
        <v>29</v>
      </c>
      <c r="H895" s="8" t="s">
        <v>7608</v>
      </c>
      <c r="I895" s="10" t="s">
        <v>7517</v>
      </c>
      <c r="J895" s="8" t="s">
        <v>2769</v>
      </c>
      <c r="K895" s="8" t="s">
        <v>29</v>
      </c>
      <c r="L895" s="8" t="s">
        <v>29</v>
      </c>
      <c r="M895" s="10" t="s">
        <v>29</v>
      </c>
      <c r="N895" s="8" t="s">
        <v>29</v>
      </c>
      <c r="O895" s="10" t="s">
        <v>19</v>
      </c>
      <c r="P895" s="8" t="s">
        <v>7609</v>
      </c>
      <c r="Q895" s="10" t="s">
        <v>174</v>
      </c>
      <c r="R895" s="10" t="s">
        <v>1387</v>
      </c>
      <c r="S895" s="8" t="s">
        <v>7610</v>
      </c>
      <c r="T895" s="10" t="s">
        <v>7448</v>
      </c>
      <c r="U895" s="10" t="s">
        <v>29</v>
      </c>
    </row>
    <row r="896" spans="1:21" s="10" customFormat="1" x14ac:dyDescent="0.25">
      <c r="A896" s="10" t="s">
        <v>7611</v>
      </c>
      <c r="B896" s="10" t="s">
        <v>6907</v>
      </c>
      <c r="C896" s="10" t="s">
        <v>166</v>
      </c>
      <c r="D896" s="10" t="s">
        <v>7612</v>
      </c>
      <c r="E896" s="8" t="s">
        <v>7613</v>
      </c>
      <c r="F896" s="8" t="s">
        <v>7614</v>
      </c>
      <c r="G896" s="10" t="s">
        <v>29</v>
      </c>
      <c r="H896" s="8" t="s">
        <v>7615</v>
      </c>
      <c r="I896" s="10" t="s">
        <v>7587</v>
      </c>
      <c r="J896" s="8" t="s">
        <v>2769</v>
      </c>
      <c r="K896" s="8" t="s">
        <v>29</v>
      </c>
      <c r="L896" s="8" t="s">
        <v>29</v>
      </c>
      <c r="M896" s="10" t="s">
        <v>29</v>
      </c>
      <c r="N896" s="8" t="s">
        <v>29</v>
      </c>
      <c r="O896" s="10" t="s">
        <v>19</v>
      </c>
      <c r="P896" s="8" t="s">
        <v>7616</v>
      </c>
      <c r="Q896" s="10" t="s">
        <v>174</v>
      </c>
      <c r="R896" s="10" t="s">
        <v>1387</v>
      </c>
      <c r="S896" s="8" t="s">
        <v>7617</v>
      </c>
      <c r="T896" s="10" t="s">
        <v>7448</v>
      </c>
      <c r="U896" s="10" t="s">
        <v>29</v>
      </c>
    </row>
    <row r="897" spans="1:21" s="10" customFormat="1" x14ac:dyDescent="0.25">
      <c r="A897" s="10" t="s">
        <v>7618</v>
      </c>
      <c r="B897" s="10" t="s">
        <v>6907</v>
      </c>
      <c r="C897" s="11" t="s">
        <v>297</v>
      </c>
      <c r="D897" s="10" t="s">
        <v>7619</v>
      </c>
      <c r="E897" s="8" t="s">
        <v>7620</v>
      </c>
      <c r="F897" s="8" t="s">
        <v>7621</v>
      </c>
      <c r="G897" s="10" t="s">
        <v>29</v>
      </c>
      <c r="H897" s="8" t="s">
        <v>1604</v>
      </c>
      <c r="I897" s="10" t="s">
        <v>7622</v>
      </c>
      <c r="J897" s="8" t="s">
        <v>1606</v>
      </c>
      <c r="K897" s="8" t="s">
        <v>29</v>
      </c>
      <c r="L897" s="8" t="s">
        <v>29</v>
      </c>
      <c r="M897" s="10" t="s">
        <v>29</v>
      </c>
      <c r="N897" s="8" t="s">
        <v>29</v>
      </c>
      <c r="O897" s="10" t="s">
        <v>19</v>
      </c>
      <c r="P897" s="8" t="s">
        <v>7623</v>
      </c>
      <c r="Q897" s="10" t="s">
        <v>1399</v>
      </c>
      <c r="R897" s="10" t="s">
        <v>1608</v>
      </c>
      <c r="S897" s="8" t="s">
        <v>7624</v>
      </c>
      <c r="T897" s="10" t="s">
        <v>7448</v>
      </c>
      <c r="U897" s="10" t="s">
        <v>29</v>
      </c>
    </row>
    <row r="898" spans="1:21" s="10" customFormat="1" x14ac:dyDescent="0.25">
      <c r="A898" s="10" t="s">
        <v>7625</v>
      </c>
      <c r="B898" s="10" t="s">
        <v>6907</v>
      </c>
      <c r="C898" s="11" t="s">
        <v>297</v>
      </c>
      <c r="D898" s="10" t="s">
        <v>7626</v>
      </c>
      <c r="E898" s="8" t="s">
        <v>7627</v>
      </c>
      <c r="F898" s="8" t="s">
        <v>7628</v>
      </c>
      <c r="G898" s="10" t="s">
        <v>29</v>
      </c>
      <c r="H898" s="8" t="s">
        <v>7222</v>
      </c>
      <c r="I898" s="10" t="s">
        <v>7517</v>
      </c>
      <c r="J898" s="8" t="s">
        <v>1615</v>
      </c>
      <c r="K898" s="8" t="s">
        <v>29</v>
      </c>
      <c r="L898" s="8" t="s">
        <v>29</v>
      </c>
      <c r="M898" s="10" t="s">
        <v>29</v>
      </c>
      <c r="N898" s="8" t="s">
        <v>29</v>
      </c>
      <c r="O898" s="10" t="s">
        <v>19</v>
      </c>
      <c r="P898" s="8" t="s">
        <v>7629</v>
      </c>
      <c r="Q898" s="10" t="s">
        <v>776</v>
      </c>
      <c r="R898" s="10" t="s">
        <v>7225</v>
      </c>
      <c r="S898" s="8" t="s">
        <v>1618</v>
      </c>
      <c r="T898" s="10" t="s">
        <v>7448</v>
      </c>
      <c r="U898" s="10" t="s">
        <v>29</v>
      </c>
    </row>
    <row r="899" spans="1:21" s="10" customFormat="1" x14ac:dyDescent="0.25">
      <c r="A899" s="10" t="s">
        <v>7630</v>
      </c>
      <c r="B899" s="10" t="s">
        <v>6907</v>
      </c>
      <c r="C899" s="10" t="s">
        <v>166</v>
      </c>
      <c r="D899" s="10" t="s">
        <v>7631</v>
      </c>
      <c r="E899" s="8" t="s">
        <v>7632</v>
      </c>
      <c r="F899" s="8" t="s">
        <v>7633</v>
      </c>
      <c r="G899" s="10" t="s">
        <v>29</v>
      </c>
      <c r="H899" s="8" t="s">
        <v>7634</v>
      </c>
      <c r="I899" s="10" t="s">
        <v>7635</v>
      </c>
      <c r="J899" s="8" t="s">
        <v>2769</v>
      </c>
      <c r="K899" s="8" t="s">
        <v>29</v>
      </c>
      <c r="L899" s="8" t="s">
        <v>29</v>
      </c>
      <c r="M899" s="10" t="s">
        <v>29</v>
      </c>
      <c r="N899" s="8" t="s">
        <v>29</v>
      </c>
      <c r="O899" s="10" t="s">
        <v>19</v>
      </c>
      <c r="P899" s="8" t="s">
        <v>7636</v>
      </c>
      <c r="Q899" s="10" t="s">
        <v>174</v>
      </c>
      <c r="R899" s="10" t="s">
        <v>1387</v>
      </c>
      <c r="S899" s="8" t="s">
        <v>7637</v>
      </c>
      <c r="T899" s="10" t="s">
        <v>7448</v>
      </c>
      <c r="U899" s="10" t="s">
        <v>29</v>
      </c>
    </row>
    <row r="900" spans="1:21" s="10" customFormat="1" x14ac:dyDescent="0.25">
      <c r="A900" s="10" t="s">
        <v>7638</v>
      </c>
      <c r="B900" s="10" t="s">
        <v>6907</v>
      </c>
      <c r="C900" s="11" t="s">
        <v>297</v>
      </c>
      <c r="D900" s="10" t="s">
        <v>7639</v>
      </c>
      <c r="E900" s="8" t="s">
        <v>7640</v>
      </c>
      <c r="F900" s="8" t="s">
        <v>7641</v>
      </c>
      <c r="G900" s="10" t="s">
        <v>29</v>
      </c>
      <c r="H900" s="8" t="s">
        <v>7642</v>
      </c>
      <c r="I900" s="10" t="s">
        <v>7643</v>
      </c>
      <c r="J900" s="8" t="s">
        <v>2769</v>
      </c>
      <c r="K900" s="8" t="s">
        <v>29</v>
      </c>
      <c r="L900" s="8" t="s">
        <v>29</v>
      </c>
      <c r="M900" s="10" t="s">
        <v>29</v>
      </c>
      <c r="N900" s="8" t="s">
        <v>29</v>
      </c>
      <c r="O900" s="10" t="s">
        <v>19</v>
      </c>
      <c r="P900" s="8" t="s">
        <v>7644</v>
      </c>
      <c r="Q900" s="10" t="s">
        <v>1399</v>
      </c>
      <c r="R900" s="10" t="s">
        <v>1387</v>
      </c>
      <c r="S900" s="8" t="s">
        <v>7645</v>
      </c>
      <c r="T900" s="10" t="s">
        <v>7448</v>
      </c>
      <c r="U900" s="10" t="s">
        <v>29</v>
      </c>
    </row>
    <row r="901" spans="1:21" s="10" customFormat="1" x14ac:dyDescent="0.25">
      <c r="A901" s="10" t="s">
        <v>7646</v>
      </c>
      <c r="B901" s="10" t="s">
        <v>6907</v>
      </c>
      <c r="C901" s="10" t="s">
        <v>166</v>
      </c>
      <c r="D901" s="10" t="s">
        <v>7647</v>
      </c>
      <c r="E901" s="8" t="s">
        <v>7648</v>
      </c>
      <c r="F901" s="8" t="s">
        <v>7649</v>
      </c>
      <c r="G901" s="10" t="s">
        <v>29</v>
      </c>
      <c r="H901" s="8" t="s">
        <v>2383</v>
      </c>
      <c r="I901" s="10" t="s">
        <v>4229</v>
      </c>
      <c r="J901" s="8" t="s">
        <v>2769</v>
      </c>
      <c r="K901" s="8" t="s">
        <v>29</v>
      </c>
      <c r="L901" s="8" t="s">
        <v>29</v>
      </c>
      <c r="M901" s="10" t="s">
        <v>29</v>
      </c>
      <c r="N901" s="8" t="s">
        <v>29</v>
      </c>
      <c r="O901" s="10" t="s">
        <v>19</v>
      </c>
      <c r="P901" s="8" t="s">
        <v>7650</v>
      </c>
      <c r="Q901" s="10" t="s">
        <v>174</v>
      </c>
      <c r="R901" s="10" t="s">
        <v>1387</v>
      </c>
      <c r="S901" s="8" t="s">
        <v>7651</v>
      </c>
      <c r="T901" s="10" t="s">
        <v>7448</v>
      </c>
      <c r="U901" s="10" t="s">
        <v>29</v>
      </c>
    </row>
    <row r="902" spans="1:21" s="10" customFormat="1" x14ac:dyDescent="0.25">
      <c r="A902" s="10" t="s">
        <v>7652</v>
      </c>
      <c r="B902" s="10" t="s">
        <v>6907</v>
      </c>
      <c r="C902" s="10" t="s">
        <v>166</v>
      </c>
      <c r="D902" s="10" t="s">
        <v>7653</v>
      </c>
      <c r="E902" s="8" t="s">
        <v>7654</v>
      </c>
      <c r="F902" s="8" t="s">
        <v>7655</v>
      </c>
      <c r="G902" s="10" t="s">
        <v>29</v>
      </c>
      <c r="H902" s="8" t="s">
        <v>7656</v>
      </c>
      <c r="I902" s="10" t="s">
        <v>4221</v>
      </c>
      <c r="J902" s="8" t="s">
        <v>2769</v>
      </c>
      <c r="K902" s="8" t="s">
        <v>29</v>
      </c>
      <c r="L902" s="8" t="s">
        <v>29</v>
      </c>
      <c r="M902" s="10" t="s">
        <v>29</v>
      </c>
      <c r="N902" s="8" t="s">
        <v>29</v>
      </c>
      <c r="O902" s="10" t="s">
        <v>19</v>
      </c>
      <c r="P902" s="8" t="s">
        <v>7657</v>
      </c>
      <c r="Q902" s="10" t="s">
        <v>174</v>
      </c>
      <c r="R902" s="10" t="s">
        <v>1387</v>
      </c>
      <c r="S902" s="8" t="s">
        <v>2412</v>
      </c>
      <c r="T902" s="10" t="s">
        <v>7448</v>
      </c>
      <c r="U902" s="10" t="s">
        <v>29</v>
      </c>
    </row>
    <row r="903" spans="1:21" s="10" customFormat="1" x14ac:dyDescent="0.25">
      <c r="A903" s="10" t="s">
        <v>7658</v>
      </c>
      <c r="B903" s="10" t="s">
        <v>6907</v>
      </c>
      <c r="C903" s="10" t="s">
        <v>166</v>
      </c>
      <c r="D903" s="10" t="s">
        <v>7659</v>
      </c>
      <c r="E903" s="8" t="s">
        <v>7660</v>
      </c>
      <c r="F903" s="8" t="s">
        <v>7661</v>
      </c>
      <c r="G903" s="10" t="s">
        <v>29</v>
      </c>
      <c r="H903" s="8" t="s">
        <v>7662</v>
      </c>
      <c r="I903" s="10" t="s">
        <v>7663</v>
      </c>
      <c r="J903" s="8" t="s">
        <v>2769</v>
      </c>
      <c r="K903" s="8" t="s">
        <v>29</v>
      </c>
      <c r="L903" s="8" t="s">
        <v>29</v>
      </c>
      <c r="M903" s="10" t="s">
        <v>29</v>
      </c>
      <c r="N903" s="8" t="s">
        <v>29</v>
      </c>
      <c r="O903" s="10" t="s">
        <v>19</v>
      </c>
      <c r="P903" s="8" t="s">
        <v>7664</v>
      </c>
      <c r="Q903" s="10" t="s">
        <v>174</v>
      </c>
      <c r="R903" s="10" t="s">
        <v>1387</v>
      </c>
      <c r="S903" s="8" t="s">
        <v>2412</v>
      </c>
      <c r="T903" s="10" t="s">
        <v>7448</v>
      </c>
      <c r="U903" s="10" t="s">
        <v>29</v>
      </c>
    </row>
    <row r="904" spans="1:21" s="10" customFormat="1" x14ac:dyDescent="0.25">
      <c r="A904" s="10" t="s">
        <v>7665</v>
      </c>
      <c r="B904" s="10" t="s">
        <v>6907</v>
      </c>
      <c r="C904" s="10" t="s">
        <v>166</v>
      </c>
      <c r="D904" s="10" t="s">
        <v>7666</v>
      </c>
      <c r="E904" s="8" t="s">
        <v>7667</v>
      </c>
      <c r="F904" s="8" t="s">
        <v>7668</v>
      </c>
      <c r="G904" s="10" t="s">
        <v>29</v>
      </c>
      <c r="H904" s="8" t="s">
        <v>7669</v>
      </c>
      <c r="I904" s="10" t="s">
        <v>4221</v>
      </c>
      <c r="J904" s="8" t="s">
        <v>2769</v>
      </c>
      <c r="K904" s="8" t="s">
        <v>29</v>
      </c>
      <c r="L904" s="8" t="s">
        <v>29</v>
      </c>
      <c r="M904" s="10" t="s">
        <v>29</v>
      </c>
      <c r="N904" s="8" t="s">
        <v>29</v>
      </c>
      <c r="O904" s="10" t="s">
        <v>19</v>
      </c>
      <c r="P904" s="8" t="s">
        <v>7670</v>
      </c>
      <c r="Q904" s="10" t="s">
        <v>174</v>
      </c>
      <c r="R904" s="10" t="s">
        <v>1387</v>
      </c>
      <c r="S904" s="8" t="s">
        <v>7671</v>
      </c>
      <c r="T904" s="10" t="s">
        <v>7448</v>
      </c>
      <c r="U904" s="10" t="s">
        <v>29</v>
      </c>
    </row>
    <row r="905" spans="1:21" s="10" customFormat="1" x14ac:dyDescent="0.25">
      <c r="A905" s="10" t="s">
        <v>7672</v>
      </c>
      <c r="B905" s="10" t="s">
        <v>6907</v>
      </c>
      <c r="C905" s="11" t="s">
        <v>297</v>
      </c>
      <c r="D905" s="10" t="s">
        <v>7673</v>
      </c>
      <c r="E905" s="8" t="s">
        <v>7674</v>
      </c>
      <c r="F905" s="8" t="s">
        <v>7675</v>
      </c>
      <c r="G905" s="10" t="s">
        <v>29</v>
      </c>
      <c r="H905" s="8" t="s">
        <v>7676</v>
      </c>
      <c r="I905" s="10" t="s">
        <v>7677</v>
      </c>
      <c r="J905" s="8" t="s">
        <v>2769</v>
      </c>
      <c r="K905" s="8" t="s">
        <v>29</v>
      </c>
      <c r="L905" s="8" t="s">
        <v>29</v>
      </c>
      <c r="M905" s="10" t="s">
        <v>29</v>
      </c>
      <c r="N905" s="8" t="s">
        <v>29</v>
      </c>
      <c r="O905" s="10" t="s">
        <v>19</v>
      </c>
      <c r="P905" s="8" t="s">
        <v>7678</v>
      </c>
      <c r="Q905" s="10" t="s">
        <v>190</v>
      </c>
      <c r="R905" s="10" t="s">
        <v>1387</v>
      </c>
      <c r="S905" s="8" t="s">
        <v>7679</v>
      </c>
      <c r="T905" s="10" t="s">
        <v>7448</v>
      </c>
      <c r="U905" s="10" t="s">
        <v>29</v>
      </c>
    </row>
    <row r="906" spans="1:21" s="10" customFormat="1" x14ac:dyDescent="0.25">
      <c r="A906" s="10" t="s">
        <v>7680</v>
      </c>
      <c r="B906" s="10" t="s">
        <v>6907</v>
      </c>
      <c r="C906" s="11" t="s">
        <v>297</v>
      </c>
      <c r="D906" s="10" t="s">
        <v>7681</v>
      </c>
      <c r="E906" s="8" t="s">
        <v>7682</v>
      </c>
      <c r="F906" s="8" t="s">
        <v>7683</v>
      </c>
      <c r="G906" s="10" t="s">
        <v>29</v>
      </c>
      <c r="H906" s="8" t="s">
        <v>1604</v>
      </c>
      <c r="I906" s="10" t="s">
        <v>7684</v>
      </c>
      <c r="J906" s="8" t="s">
        <v>1606</v>
      </c>
      <c r="K906" s="8" t="s">
        <v>29</v>
      </c>
      <c r="L906" s="8" t="s">
        <v>29</v>
      </c>
      <c r="M906" s="10" t="s">
        <v>29</v>
      </c>
      <c r="N906" s="8" t="s">
        <v>29</v>
      </c>
      <c r="O906" s="10" t="s">
        <v>19</v>
      </c>
      <c r="P906" s="8" t="s">
        <v>7685</v>
      </c>
      <c r="Q906" s="10" t="s">
        <v>1399</v>
      </c>
      <c r="R906" s="10" t="s">
        <v>1608</v>
      </c>
      <c r="S906" s="8" t="s">
        <v>7686</v>
      </c>
      <c r="T906" s="10" t="s">
        <v>7448</v>
      </c>
      <c r="U906" s="10" t="s">
        <v>29</v>
      </c>
    </row>
    <row r="907" spans="1:21" s="10" customFormat="1" x14ac:dyDescent="0.25">
      <c r="A907" s="10" t="s">
        <v>7687</v>
      </c>
      <c r="B907" s="10" t="s">
        <v>7688</v>
      </c>
      <c r="C907" s="11" t="s">
        <v>297</v>
      </c>
      <c r="D907" s="10" t="s">
        <v>7689</v>
      </c>
      <c r="E907" s="8" t="s">
        <v>7690</v>
      </c>
      <c r="F907" s="8" t="s">
        <v>7691</v>
      </c>
      <c r="G907" s="10" t="s">
        <v>29</v>
      </c>
      <c r="H907" s="8" t="s">
        <v>7692</v>
      </c>
      <c r="I907" s="10" t="s">
        <v>3950</v>
      </c>
      <c r="J907" s="8" t="s">
        <v>7693</v>
      </c>
      <c r="K907" s="8" t="s">
        <v>29</v>
      </c>
      <c r="L907" s="8" t="s">
        <v>29</v>
      </c>
      <c r="M907" s="10" t="s">
        <v>29</v>
      </c>
      <c r="N907" s="8" t="s">
        <v>29</v>
      </c>
      <c r="O907" s="10" t="s">
        <v>19</v>
      </c>
      <c r="P907" s="8" t="s">
        <v>7694</v>
      </c>
      <c r="Q907" s="10" t="s">
        <v>1399</v>
      </c>
      <c r="R907" s="10" t="s">
        <v>1387</v>
      </c>
      <c r="S907" s="8" t="s">
        <v>7695</v>
      </c>
      <c r="T907" s="10" t="s">
        <v>7696</v>
      </c>
      <c r="U907" s="10" t="s">
        <v>29</v>
      </c>
    </row>
    <row r="908" spans="1:21" s="10" customFormat="1" x14ac:dyDescent="0.25">
      <c r="A908" s="10" t="s">
        <v>7697</v>
      </c>
      <c r="B908" s="10" t="s">
        <v>7688</v>
      </c>
      <c r="C908" s="11" t="s">
        <v>297</v>
      </c>
      <c r="D908" s="10" t="s">
        <v>7698</v>
      </c>
      <c r="E908" s="8" t="s">
        <v>7699</v>
      </c>
      <c r="F908" s="8" t="s">
        <v>7700</v>
      </c>
      <c r="G908" s="10" t="s">
        <v>29</v>
      </c>
      <c r="H908" s="8" t="s">
        <v>7701</v>
      </c>
      <c r="I908" s="10" t="s">
        <v>3648</v>
      </c>
      <c r="J908" s="8" t="s">
        <v>7693</v>
      </c>
      <c r="K908" s="8" t="s">
        <v>29</v>
      </c>
      <c r="L908" s="8" t="s">
        <v>29</v>
      </c>
      <c r="M908" s="10" t="s">
        <v>29</v>
      </c>
      <c r="N908" s="8" t="s">
        <v>29</v>
      </c>
      <c r="O908" s="10" t="s">
        <v>19</v>
      </c>
      <c r="P908" s="8" t="s">
        <v>7702</v>
      </c>
      <c r="Q908" s="10" t="s">
        <v>1399</v>
      </c>
      <c r="R908" s="10" t="s">
        <v>1387</v>
      </c>
      <c r="S908" s="8" t="s">
        <v>7703</v>
      </c>
      <c r="T908" s="10" t="s">
        <v>7696</v>
      </c>
      <c r="U908" s="10" t="s">
        <v>29</v>
      </c>
    </row>
    <row r="909" spans="1:21" s="10" customFormat="1" x14ac:dyDescent="0.25">
      <c r="A909" s="10" t="s">
        <v>7704</v>
      </c>
      <c r="B909" s="10" t="s">
        <v>7688</v>
      </c>
      <c r="C909" s="11" t="s">
        <v>297</v>
      </c>
      <c r="D909" s="10" t="s">
        <v>7705</v>
      </c>
      <c r="E909" s="8" t="s">
        <v>7706</v>
      </c>
      <c r="F909" s="8" t="s">
        <v>7707</v>
      </c>
      <c r="G909" s="10" t="s">
        <v>29</v>
      </c>
      <c r="H909" s="8" t="s">
        <v>7708</v>
      </c>
      <c r="I909" s="10" t="s">
        <v>3648</v>
      </c>
      <c r="J909" s="8" t="s">
        <v>7693</v>
      </c>
      <c r="K909" s="8" t="s">
        <v>29</v>
      </c>
      <c r="L909" s="8" t="s">
        <v>29</v>
      </c>
      <c r="M909" s="10" t="s">
        <v>29</v>
      </c>
      <c r="N909" s="8" t="s">
        <v>29</v>
      </c>
      <c r="O909" s="10" t="s">
        <v>19</v>
      </c>
      <c r="P909" s="8" t="s">
        <v>7709</v>
      </c>
      <c r="Q909" s="10" t="s">
        <v>1399</v>
      </c>
      <c r="R909" s="10" t="s">
        <v>1387</v>
      </c>
      <c r="S909" s="8" t="s">
        <v>7710</v>
      </c>
      <c r="T909" s="10" t="s">
        <v>7696</v>
      </c>
      <c r="U909" s="10" t="s">
        <v>29</v>
      </c>
    </row>
    <row r="910" spans="1:21" s="10" customFormat="1" x14ac:dyDescent="0.25">
      <c r="A910" s="10" t="s">
        <v>7711</v>
      </c>
      <c r="B910" s="10" t="s">
        <v>7688</v>
      </c>
      <c r="C910" s="11" t="s">
        <v>297</v>
      </c>
      <c r="D910" s="10" t="s">
        <v>7712</v>
      </c>
      <c r="E910" s="8" t="s">
        <v>7713</v>
      </c>
      <c r="F910" s="8" t="s">
        <v>7714</v>
      </c>
      <c r="G910" s="10" t="s">
        <v>29</v>
      </c>
      <c r="H910" s="8" t="s">
        <v>5356</v>
      </c>
      <c r="I910" s="10" t="s">
        <v>7715</v>
      </c>
      <c r="J910" s="8" t="s">
        <v>7693</v>
      </c>
      <c r="K910" s="8" t="s">
        <v>29</v>
      </c>
      <c r="L910" s="8" t="s">
        <v>29</v>
      </c>
      <c r="M910" s="10" t="s">
        <v>29</v>
      </c>
      <c r="N910" s="8" t="s">
        <v>29</v>
      </c>
      <c r="O910" s="10" t="s">
        <v>19</v>
      </c>
      <c r="P910" s="8" t="s">
        <v>7716</v>
      </c>
      <c r="Q910" s="10" t="s">
        <v>1399</v>
      </c>
      <c r="R910" s="10" t="s">
        <v>1387</v>
      </c>
      <c r="S910" s="8" t="s">
        <v>5359</v>
      </c>
      <c r="T910" s="10" t="s">
        <v>7696</v>
      </c>
      <c r="U910" s="10" t="s">
        <v>29</v>
      </c>
    </row>
    <row r="911" spans="1:21" s="10" customFormat="1" x14ac:dyDescent="0.25">
      <c r="A911" s="10" t="s">
        <v>7717</v>
      </c>
      <c r="B911" s="10" t="s">
        <v>7688</v>
      </c>
      <c r="C911" s="11" t="s">
        <v>297</v>
      </c>
      <c r="D911" s="10" t="s">
        <v>7718</v>
      </c>
      <c r="E911" s="8" t="s">
        <v>7719</v>
      </c>
      <c r="F911" s="8" t="s">
        <v>7720</v>
      </c>
      <c r="G911" s="10" t="s">
        <v>29</v>
      </c>
      <c r="H911" s="8" t="s">
        <v>5138</v>
      </c>
      <c r="I911" s="10" t="s">
        <v>5304</v>
      </c>
      <c r="J911" s="8" t="s">
        <v>7693</v>
      </c>
      <c r="K911" s="8" t="s">
        <v>29</v>
      </c>
      <c r="L911" s="8" t="s">
        <v>29</v>
      </c>
      <c r="M911" s="10" t="s">
        <v>29</v>
      </c>
      <c r="N911" s="8" t="s">
        <v>29</v>
      </c>
      <c r="O911" s="10" t="s">
        <v>19</v>
      </c>
      <c r="P911" s="8" t="s">
        <v>7721</v>
      </c>
      <c r="Q911" s="10" t="s">
        <v>1399</v>
      </c>
      <c r="R911" s="10" t="s">
        <v>1387</v>
      </c>
      <c r="S911" s="8" t="s">
        <v>5141</v>
      </c>
      <c r="T911" s="10" t="s">
        <v>7696</v>
      </c>
      <c r="U911" s="10" t="s">
        <v>29</v>
      </c>
    </row>
    <row r="912" spans="1:21" s="10" customFormat="1" x14ac:dyDescent="0.25">
      <c r="A912" s="10" t="s">
        <v>7722</v>
      </c>
      <c r="B912" s="10" t="s">
        <v>7688</v>
      </c>
      <c r="C912" s="11" t="s">
        <v>297</v>
      </c>
      <c r="D912" s="10" t="s">
        <v>7723</v>
      </c>
      <c r="E912" s="8" t="s">
        <v>7724</v>
      </c>
      <c r="F912" s="8" t="s">
        <v>7725</v>
      </c>
      <c r="G912" s="10" t="s">
        <v>29</v>
      </c>
      <c r="H912" s="8" t="s">
        <v>5733</v>
      </c>
      <c r="I912" s="10" t="s">
        <v>5748</v>
      </c>
      <c r="J912" s="8" t="s">
        <v>7693</v>
      </c>
      <c r="K912" s="8" t="s">
        <v>29</v>
      </c>
      <c r="L912" s="8" t="s">
        <v>29</v>
      </c>
      <c r="M912" s="10" t="s">
        <v>29</v>
      </c>
      <c r="N912" s="8" t="s">
        <v>29</v>
      </c>
      <c r="O912" s="10" t="s">
        <v>19</v>
      </c>
      <c r="P912" s="8" t="s">
        <v>7726</v>
      </c>
      <c r="Q912" s="10" t="s">
        <v>1399</v>
      </c>
      <c r="R912" s="10" t="s">
        <v>1387</v>
      </c>
      <c r="S912" s="8" t="s">
        <v>7727</v>
      </c>
      <c r="T912" s="10" t="s">
        <v>7696</v>
      </c>
      <c r="U912" s="10" t="s">
        <v>29</v>
      </c>
    </row>
    <row r="913" spans="1:21" s="10" customFormat="1" x14ac:dyDescent="0.25">
      <c r="A913" s="10" t="s">
        <v>7728</v>
      </c>
      <c r="B913" s="10" t="s">
        <v>7688</v>
      </c>
      <c r="C913" s="10" t="s">
        <v>166</v>
      </c>
      <c r="D913" s="10" t="s">
        <v>7729</v>
      </c>
      <c r="E913" s="8" t="s">
        <v>7730</v>
      </c>
      <c r="F913" s="8" t="s">
        <v>7731</v>
      </c>
      <c r="G913" s="10" t="s">
        <v>29</v>
      </c>
      <c r="H913" s="8" t="s">
        <v>6249</v>
      </c>
      <c r="I913" s="10" t="s">
        <v>6258</v>
      </c>
      <c r="J913" s="8" t="s">
        <v>7693</v>
      </c>
      <c r="K913" s="8" t="s">
        <v>29</v>
      </c>
      <c r="L913" s="8" t="s">
        <v>29</v>
      </c>
      <c r="M913" s="10" t="s">
        <v>29</v>
      </c>
      <c r="N913" s="8" t="s">
        <v>29</v>
      </c>
      <c r="O913" s="10" t="s">
        <v>19</v>
      </c>
      <c r="P913" s="8" t="s">
        <v>7732</v>
      </c>
      <c r="Q913" s="10" t="s">
        <v>1399</v>
      </c>
      <c r="R913" s="10" t="s">
        <v>1387</v>
      </c>
      <c r="S913" s="8" t="s">
        <v>7733</v>
      </c>
      <c r="T913" s="10" t="s">
        <v>7696</v>
      </c>
      <c r="U913" s="10" t="s">
        <v>29</v>
      </c>
    </row>
    <row r="914" spans="1:21" s="10" customFormat="1" x14ac:dyDescent="0.25">
      <c r="A914" s="10" t="s">
        <v>7734</v>
      </c>
      <c r="B914" s="10" t="s">
        <v>7688</v>
      </c>
      <c r="C914" s="11" t="s">
        <v>297</v>
      </c>
      <c r="D914" s="10" t="s">
        <v>7735</v>
      </c>
      <c r="E914" s="8" t="s">
        <v>7736</v>
      </c>
      <c r="F914" s="8" t="s">
        <v>7737</v>
      </c>
      <c r="G914" s="10" t="s">
        <v>29</v>
      </c>
      <c r="H914" s="8" t="s">
        <v>7738</v>
      </c>
      <c r="I914" s="10" t="s">
        <v>4319</v>
      </c>
      <c r="J914" s="8" t="s">
        <v>7693</v>
      </c>
      <c r="K914" s="8" t="s">
        <v>29</v>
      </c>
      <c r="L914" s="8" t="s">
        <v>29</v>
      </c>
      <c r="M914" s="10" t="s">
        <v>29</v>
      </c>
      <c r="N914" s="8" t="s">
        <v>29</v>
      </c>
      <c r="O914" s="10" t="s">
        <v>19</v>
      </c>
      <c r="P914" s="8" t="s">
        <v>7739</v>
      </c>
      <c r="Q914" s="10" t="s">
        <v>1399</v>
      </c>
      <c r="R914" s="10" t="s">
        <v>1387</v>
      </c>
      <c r="S914" s="8" t="s">
        <v>7740</v>
      </c>
      <c r="T914" s="10" t="s">
        <v>7696</v>
      </c>
      <c r="U914" s="10" t="s">
        <v>29</v>
      </c>
    </row>
    <row r="915" spans="1:21" s="10" customFormat="1" x14ac:dyDescent="0.25">
      <c r="A915" s="10" t="s">
        <v>7741</v>
      </c>
      <c r="B915" s="10" t="s">
        <v>7688</v>
      </c>
      <c r="C915" s="11" t="s">
        <v>297</v>
      </c>
      <c r="D915" s="10" t="s">
        <v>7742</v>
      </c>
      <c r="E915" s="8" t="s">
        <v>7743</v>
      </c>
      <c r="F915" s="8" t="s">
        <v>7744</v>
      </c>
      <c r="G915" s="10" t="s">
        <v>29</v>
      </c>
      <c r="H915" s="8" t="s">
        <v>7745</v>
      </c>
      <c r="I915" s="10" t="s">
        <v>5202</v>
      </c>
      <c r="J915" s="8" t="s">
        <v>7693</v>
      </c>
      <c r="K915" s="8" t="s">
        <v>29</v>
      </c>
      <c r="L915" s="8" t="s">
        <v>29</v>
      </c>
      <c r="M915" s="10" t="s">
        <v>29</v>
      </c>
      <c r="N915" s="8" t="s">
        <v>29</v>
      </c>
      <c r="O915" s="10" t="s">
        <v>19</v>
      </c>
      <c r="P915" s="8" t="s">
        <v>7746</v>
      </c>
      <c r="Q915" s="10" t="s">
        <v>1399</v>
      </c>
      <c r="R915" s="10" t="s">
        <v>1387</v>
      </c>
      <c r="S915" s="8" t="s">
        <v>7747</v>
      </c>
      <c r="T915" s="10" t="s">
        <v>7696</v>
      </c>
      <c r="U915" s="10" t="s">
        <v>29</v>
      </c>
    </row>
    <row r="916" spans="1:21" s="10" customFormat="1" x14ac:dyDescent="0.25">
      <c r="A916" s="10" t="s">
        <v>7748</v>
      </c>
      <c r="B916" s="10" t="s">
        <v>7688</v>
      </c>
      <c r="C916" s="11" t="s">
        <v>297</v>
      </c>
      <c r="D916" s="10" t="s">
        <v>7749</v>
      </c>
      <c r="E916" s="8" t="s">
        <v>7750</v>
      </c>
      <c r="F916" s="8" t="s">
        <v>7751</v>
      </c>
      <c r="G916" s="10" t="s">
        <v>29</v>
      </c>
      <c r="H916" s="8" t="s">
        <v>7752</v>
      </c>
      <c r="I916" s="10" t="s">
        <v>5156</v>
      </c>
      <c r="J916" s="8" t="s">
        <v>7693</v>
      </c>
      <c r="K916" s="8" t="s">
        <v>29</v>
      </c>
      <c r="L916" s="8" t="s">
        <v>29</v>
      </c>
      <c r="M916" s="10" t="s">
        <v>29</v>
      </c>
      <c r="N916" s="8" t="s">
        <v>29</v>
      </c>
      <c r="O916" s="10" t="s">
        <v>19</v>
      </c>
      <c r="P916" s="8" t="s">
        <v>7753</v>
      </c>
      <c r="Q916" s="10" t="s">
        <v>1399</v>
      </c>
      <c r="R916" s="10" t="s">
        <v>1387</v>
      </c>
      <c r="S916" s="8" t="s">
        <v>7754</v>
      </c>
      <c r="T916" s="10" t="s">
        <v>7696</v>
      </c>
      <c r="U916" s="10" t="s">
        <v>29</v>
      </c>
    </row>
    <row r="917" spans="1:21" s="10" customFormat="1" x14ac:dyDescent="0.25">
      <c r="A917" s="10" t="s">
        <v>7755</v>
      </c>
      <c r="B917" s="10" t="s">
        <v>7688</v>
      </c>
      <c r="C917" s="11" t="s">
        <v>297</v>
      </c>
      <c r="D917" s="10" t="s">
        <v>7756</v>
      </c>
      <c r="E917" s="8" t="s">
        <v>7757</v>
      </c>
      <c r="F917" s="8" t="s">
        <v>7758</v>
      </c>
      <c r="G917" s="10" t="s">
        <v>29</v>
      </c>
      <c r="H917" s="8" t="s">
        <v>5179</v>
      </c>
      <c r="I917" s="10" t="s">
        <v>5172</v>
      </c>
      <c r="J917" s="8" t="s">
        <v>7693</v>
      </c>
      <c r="K917" s="8" t="s">
        <v>29</v>
      </c>
      <c r="L917" s="8" t="s">
        <v>29</v>
      </c>
      <c r="M917" s="10" t="s">
        <v>29</v>
      </c>
      <c r="N917" s="8" t="s">
        <v>29</v>
      </c>
      <c r="O917" s="10" t="s">
        <v>19</v>
      </c>
      <c r="P917" s="8" t="s">
        <v>7759</v>
      </c>
      <c r="Q917" s="10" t="s">
        <v>1399</v>
      </c>
      <c r="R917" s="10" t="s">
        <v>1387</v>
      </c>
      <c r="S917" s="8" t="s">
        <v>7760</v>
      </c>
      <c r="T917" s="10" t="s">
        <v>7696</v>
      </c>
      <c r="U917" s="10" t="s">
        <v>29</v>
      </c>
    </row>
    <row r="918" spans="1:21" s="10" customFormat="1" x14ac:dyDescent="0.25">
      <c r="A918" s="10" t="s">
        <v>7761</v>
      </c>
      <c r="B918" s="10" t="s">
        <v>7688</v>
      </c>
      <c r="C918" s="11" t="s">
        <v>297</v>
      </c>
      <c r="D918" s="10" t="s">
        <v>7762</v>
      </c>
      <c r="E918" s="8" t="s">
        <v>7763</v>
      </c>
      <c r="F918" s="8" t="s">
        <v>7764</v>
      </c>
      <c r="G918" s="10" t="s">
        <v>29</v>
      </c>
      <c r="H918" s="8" t="s">
        <v>7765</v>
      </c>
      <c r="I918" s="10" t="s">
        <v>5202</v>
      </c>
      <c r="J918" s="8" t="s">
        <v>7693</v>
      </c>
      <c r="K918" s="8" t="s">
        <v>29</v>
      </c>
      <c r="L918" s="8" t="s">
        <v>29</v>
      </c>
      <c r="M918" s="10" t="s">
        <v>29</v>
      </c>
      <c r="N918" s="8" t="s">
        <v>29</v>
      </c>
      <c r="O918" s="10" t="s">
        <v>19</v>
      </c>
      <c r="P918" s="8" t="s">
        <v>7766</v>
      </c>
      <c r="Q918" s="10" t="s">
        <v>1399</v>
      </c>
      <c r="R918" s="10" t="s">
        <v>1387</v>
      </c>
      <c r="S918" s="8" t="s">
        <v>7767</v>
      </c>
      <c r="T918" s="10" t="s">
        <v>7696</v>
      </c>
      <c r="U918" s="10" t="s">
        <v>29</v>
      </c>
    </row>
    <row r="919" spans="1:21" s="10" customFormat="1" x14ac:dyDescent="0.25">
      <c r="A919" s="10" t="s">
        <v>7768</v>
      </c>
      <c r="B919" s="10" t="s">
        <v>7688</v>
      </c>
      <c r="C919" s="10" t="s">
        <v>166</v>
      </c>
      <c r="D919" s="10" t="s">
        <v>7769</v>
      </c>
      <c r="E919" s="8" t="s">
        <v>7770</v>
      </c>
      <c r="F919" s="8" t="s">
        <v>7771</v>
      </c>
      <c r="G919" s="10" t="s">
        <v>29</v>
      </c>
      <c r="H919" s="8" t="s">
        <v>7772</v>
      </c>
      <c r="I919" s="10" t="s">
        <v>5231</v>
      </c>
      <c r="J919" s="8" t="s">
        <v>7693</v>
      </c>
      <c r="K919" s="8" t="s">
        <v>29</v>
      </c>
      <c r="L919" s="8" t="s">
        <v>29</v>
      </c>
      <c r="M919" s="10" t="s">
        <v>29</v>
      </c>
      <c r="N919" s="8" t="s">
        <v>29</v>
      </c>
      <c r="O919" s="10" t="s">
        <v>19</v>
      </c>
      <c r="P919" s="8" t="s">
        <v>7773</v>
      </c>
      <c r="Q919" s="10" t="s">
        <v>1399</v>
      </c>
      <c r="R919" s="10" t="s">
        <v>1387</v>
      </c>
      <c r="S919" s="8" t="s">
        <v>5233</v>
      </c>
      <c r="T919" s="10" t="s">
        <v>7696</v>
      </c>
      <c r="U919" s="10" t="s">
        <v>29</v>
      </c>
    </row>
    <row r="920" spans="1:21" s="10" customFormat="1" x14ac:dyDescent="0.25">
      <c r="A920" s="10" t="s">
        <v>7774</v>
      </c>
      <c r="B920" s="10" t="s">
        <v>7688</v>
      </c>
      <c r="C920" s="11" t="s">
        <v>297</v>
      </c>
      <c r="D920" s="10" t="s">
        <v>7775</v>
      </c>
      <c r="E920" s="8" t="s">
        <v>7776</v>
      </c>
      <c r="F920" s="8" t="s">
        <v>7777</v>
      </c>
      <c r="G920" s="10" t="s">
        <v>29</v>
      </c>
      <c r="H920" s="8" t="s">
        <v>7778</v>
      </c>
      <c r="I920" s="10" t="s">
        <v>889</v>
      </c>
      <c r="J920" s="8" t="s">
        <v>7693</v>
      </c>
      <c r="K920" s="8" t="s">
        <v>29</v>
      </c>
      <c r="L920" s="8" t="s">
        <v>29</v>
      </c>
      <c r="M920" s="10" t="s">
        <v>29</v>
      </c>
      <c r="N920" s="8" t="s">
        <v>29</v>
      </c>
      <c r="O920" s="10" t="s">
        <v>19</v>
      </c>
      <c r="P920" s="8" t="s">
        <v>7779</v>
      </c>
      <c r="Q920" s="10" t="s">
        <v>1399</v>
      </c>
      <c r="R920" s="10" t="s">
        <v>1387</v>
      </c>
      <c r="S920" s="8" t="s">
        <v>5641</v>
      </c>
      <c r="T920" s="10" t="s">
        <v>7696</v>
      </c>
      <c r="U920" s="10" t="s">
        <v>29</v>
      </c>
    </row>
    <row r="921" spans="1:21" s="10" customFormat="1" x14ac:dyDescent="0.25">
      <c r="A921" s="10" t="s">
        <v>7780</v>
      </c>
      <c r="B921" s="10" t="s">
        <v>7688</v>
      </c>
      <c r="C921" s="11" t="s">
        <v>297</v>
      </c>
      <c r="D921" s="10" t="s">
        <v>7781</v>
      </c>
      <c r="E921" s="8" t="s">
        <v>7782</v>
      </c>
      <c r="F921" s="8" t="s">
        <v>7783</v>
      </c>
      <c r="G921" s="10" t="s">
        <v>29</v>
      </c>
      <c r="H921" s="8" t="s">
        <v>7784</v>
      </c>
      <c r="I921" s="10" t="s">
        <v>5662</v>
      </c>
      <c r="J921" s="8" t="s">
        <v>7693</v>
      </c>
      <c r="K921" s="8" t="s">
        <v>29</v>
      </c>
      <c r="L921" s="8" t="s">
        <v>29</v>
      </c>
      <c r="M921" s="10" t="s">
        <v>29</v>
      </c>
      <c r="N921" s="8" t="s">
        <v>29</v>
      </c>
      <c r="O921" s="10" t="s">
        <v>19</v>
      </c>
      <c r="P921" s="8" t="s">
        <v>7785</v>
      </c>
      <c r="Q921" s="10" t="s">
        <v>1399</v>
      </c>
      <c r="R921" s="10" t="s">
        <v>1387</v>
      </c>
      <c r="S921" s="8" t="s">
        <v>7786</v>
      </c>
      <c r="T921" s="10" t="s">
        <v>7696</v>
      </c>
      <c r="U921" s="10" t="s">
        <v>29</v>
      </c>
    </row>
    <row r="922" spans="1:21" s="10" customFormat="1" x14ac:dyDescent="0.25">
      <c r="A922" s="10" t="s">
        <v>7787</v>
      </c>
      <c r="B922" s="10" t="s">
        <v>7688</v>
      </c>
      <c r="C922" s="11" t="s">
        <v>297</v>
      </c>
      <c r="D922" s="10" t="s">
        <v>7788</v>
      </c>
      <c r="E922" s="8" t="s">
        <v>7789</v>
      </c>
      <c r="F922" s="8" t="s">
        <v>7790</v>
      </c>
      <c r="G922" s="10" t="s">
        <v>29</v>
      </c>
      <c r="H922" s="8" t="s">
        <v>7791</v>
      </c>
      <c r="I922" s="10" t="s">
        <v>5691</v>
      </c>
      <c r="J922" s="8" t="s">
        <v>7693</v>
      </c>
      <c r="K922" s="8" t="s">
        <v>29</v>
      </c>
      <c r="L922" s="8" t="s">
        <v>29</v>
      </c>
      <c r="M922" s="10" t="s">
        <v>29</v>
      </c>
      <c r="N922" s="8" t="s">
        <v>29</v>
      </c>
      <c r="O922" s="10" t="s">
        <v>19</v>
      </c>
      <c r="P922" s="8" t="s">
        <v>7792</v>
      </c>
      <c r="Q922" s="10" t="s">
        <v>1399</v>
      </c>
      <c r="R922" s="10" t="s">
        <v>1387</v>
      </c>
      <c r="S922" s="8" t="s">
        <v>5708</v>
      </c>
      <c r="T922" s="10" t="s">
        <v>7696</v>
      </c>
      <c r="U922" s="10" t="s">
        <v>29</v>
      </c>
    </row>
    <row r="923" spans="1:21" s="10" customFormat="1" x14ac:dyDescent="0.25">
      <c r="A923" s="10" t="s">
        <v>7793</v>
      </c>
      <c r="B923" s="10" t="s">
        <v>7688</v>
      </c>
      <c r="C923" s="10" t="s">
        <v>166</v>
      </c>
      <c r="D923" s="10" t="s">
        <v>7794</v>
      </c>
      <c r="E923" s="8" t="s">
        <v>7795</v>
      </c>
      <c r="F923" s="8" t="s">
        <v>7796</v>
      </c>
      <c r="G923" s="10" t="s">
        <v>29</v>
      </c>
      <c r="H923" s="8" t="s">
        <v>7797</v>
      </c>
      <c r="I923" s="10" t="s">
        <v>5654</v>
      </c>
      <c r="J923" s="8" t="s">
        <v>7693</v>
      </c>
      <c r="K923" s="8" t="s">
        <v>29</v>
      </c>
      <c r="L923" s="8" t="s">
        <v>29</v>
      </c>
      <c r="M923" s="10" t="s">
        <v>29</v>
      </c>
      <c r="N923" s="8" t="s">
        <v>29</v>
      </c>
      <c r="O923" s="10" t="s">
        <v>19</v>
      </c>
      <c r="P923" s="8" t="s">
        <v>7798</v>
      </c>
      <c r="Q923" s="10" t="s">
        <v>1399</v>
      </c>
      <c r="R923" s="10" t="s">
        <v>1387</v>
      </c>
      <c r="S923" s="8" t="s">
        <v>5714</v>
      </c>
      <c r="T923" s="10" t="s">
        <v>7696</v>
      </c>
      <c r="U923" s="10" t="s">
        <v>29</v>
      </c>
    </row>
    <row r="924" spans="1:21" s="10" customFormat="1" x14ac:dyDescent="0.25">
      <c r="A924" s="10" t="s">
        <v>7799</v>
      </c>
      <c r="B924" s="10" t="s">
        <v>7688</v>
      </c>
      <c r="C924" s="11" t="s">
        <v>297</v>
      </c>
      <c r="D924" s="10" t="s">
        <v>7800</v>
      </c>
      <c r="E924" s="8" t="s">
        <v>7801</v>
      </c>
      <c r="F924" s="8" t="s">
        <v>7802</v>
      </c>
      <c r="G924" s="10" t="s">
        <v>29</v>
      </c>
      <c r="H924" s="8" t="s">
        <v>6437</v>
      </c>
      <c r="I924" s="10" t="s">
        <v>6438</v>
      </c>
      <c r="J924" s="8" t="s">
        <v>7693</v>
      </c>
      <c r="K924" s="8" t="s">
        <v>29</v>
      </c>
      <c r="L924" s="8" t="s">
        <v>29</v>
      </c>
      <c r="M924" s="10" t="s">
        <v>29</v>
      </c>
      <c r="N924" s="8" t="s">
        <v>29</v>
      </c>
      <c r="O924" s="10" t="s">
        <v>19</v>
      </c>
      <c r="P924" s="8" t="s">
        <v>7803</v>
      </c>
      <c r="Q924" s="10" t="s">
        <v>1399</v>
      </c>
      <c r="R924" s="10" t="s">
        <v>1387</v>
      </c>
      <c r="S924" s="8" t="s">
        <v>7804</v>
      </c>
      <c r="T924" s="10" t="s">
        <v>7696</v>
      </c>
      <c r="U924" s="10" t="s">
        <v>29</v>
      </c>
    </row>
    <row r="925" spans="1:21" s="10" customFormat="1" x14ac:dyDescent="0.25">
      <c r="A925" s="10" t="s">
        <v>7805</v>
      </c>
      <c r="B925" s="10" t="s">
        <v>7688</v>
      </c>
      <c r="C925" s="11" t="s">
        <v>297</v>
      </c>
      <c r="D925" s="10" t="s">
        <v>7806</v>
      </c>
      <c r="E925" s="8" t="s">
        <v>7807</v>
      </c>
      <c r="F925" s="8" t="s">
        <v>7808</v>
      </c>
      <c r="G925" s="10" t="s">
        <v>29</v>
      </c>
      <c r="H925" s="8" t="s">
        <v>7809</v>
      </c>
      <c r="I925" s="10" t="s">
        <v>5475</v>
      </c>
      <c r="J925" s="8" t="s">
        <v>7693</v>
      </c>
      <c r="K925" s="8" t="s">
        <v>29</v>
      </c>
      <c r="L925" s="8" t="s">
        <v>29</v>
      </c>
      <c r="M925" s="10" t="s">
        <v>29</v>
      </c>
      <c r="N925" s="8" t="s">
        <v>29</v>
      </c>
      <c r="O925" s="10" t="s">
        <v>19</v>
      </c>
      <c r="P925" s="8" t="s">
        <v>7810</v>
      </c>
      <c r="Q925" s="10" t="s">
        <v>1399</v>
      </c>
      <c r="R925" s="10" t="s">
        <v>1387</v>
      </c>
      <c r="S925" s="8" t="s">
        <v>7811</v>
      </c>
      <c r="T925" s="10" t="s">
        <v>7696</v>
      </c>
      <c r="U925" s="10" t="s">
        <v>29</v>
      </c>
    </row>
    <row r="926" spans="1:21" s="10" customFormat="1" x14ac:dyDescent="0.25">
      <c r="A926" s="10" t="s">
        <v>7812</v>
      </c>
      <c r="B926" s="10" t="s">
        <v>7688</v>
      </c>
      <c r="C926" s="11" t="s">
        <v>297</v>
      </c>
      <c r="D926" s="10" t="s">
        <v>7813</v>
      </c>
      <c r="E926" s="8" t="s">
        <v>7814</v>
      </c>
      <c r="F926" s="8" t="s">
        <v>7815</v>
      </c>
      <c r="G926" s="10" t="s">
        <v>29</v>
      </c>
      <c r="H926" s="8" t="s">
        <v>7816</v>
      </c>
      <c r="I926" s="10" t="s">
        <v>7817</v>
      </c>
      <c r="J926" s="8" t="s">
        <v>7693</v>
      </c>
      <c r="K926" s="8" t="s">
        <v>29</v>
      </c>
      <c r="L926" s="8" t="s">
        <v>29</v>
      </c>
      <c r="M926" s="10" t="s">
        <v>29</v>
      </c>
      <c r="N926" s="8" t="s">
        <v>29</v>
      </c>
      <c r="O926" s="10" t="s">
        <v>19</v>
      </c>
      <c r="P926" s="8" t="s">
        <v>7818</v>
      </c>
      <c r="Q926" s="10" t="s">
        <v>1399</v>
      </c>
      <c r="R926" s="10" t="s">
        <v>1387</v>
      </c>
      <c r="S926" s="8" t="s">
        <v>7819</v>
      </c>
      <c r="T926" s="10" t="s">
        <v>7696</v>
      </c>
      <c r="U926" s="10" t="s">
        <v>29</v>
      </c>
    </row>
    <row r="927" spans="1:21" s="10" customFormat="1" x14ac:dyDescent="0.25">
      <c r="A927" s="10" t="s">
        <v>7820</v>
      </c>
      <c r="B927" s="10" t="s">
        <v>7688</v>
      </c>
      <c r="C927" s="11" t="s">
        <v>297</v>
      </c>
      <c r="D927" s="10" t="s">
        <v>7821</v>
      </c>
      <c r="E927" s="8" t="s">
        <v>7822</v>
      </c>
      <c r="F927" s="8" t="s">
        <v>7823</v>
      </c>
      <c r="G927" s="10" t="s">
        <v>29</v>
      </c>
      <c r="H927" s="8" t="s">
        <v>7824</v>
      </c>
      <c r="I927" s="10" t="s">
        <v>7817</v>
      </c>
      <c r="J927" s="8" t="s">
        <v>7693</v>
      </c>
      <c r="K927" s="8" t="s">
        <v>29</v>
      </c>
      <c r="L927" s="8" t="s">
        <v>29</v>
      </c>
      <c r="M927" s="10" t="s">
        <v>29</v>
      </c>
      <c r="N927" s="8" t="s">
        <v>29</v>
      </c>
      <c r="O927" s="10" t="s">
        <v>19</v>
      </c>
      <c r="P927" s="8" t="s">
        <v>7825</v>
      </c>
      <c r="Q927" s="10" t="s">
        <v>1399</v>
      </c>
      <c r="R927" s="10" t="s">
        <v>1387</v>
      </c>
      <c r="S927" s="8" t="s">
        <v>7826</v>
      </c>
      <c r="T927" s="10" t="s">
        <v>7696</v>
      </c>
      <c r="U927" s="10" t="s">
        <v>29</v>
      </c>
    </row>
    <row r="928" spans="1:21" s="10" customFormat="1" x14ac:dyDescent="0.25">
      <c r="A928" s="10" t="s">
        <v>7827</v>
      </c>
      <c r="B928" s="10" t="s">
        <v>7688</v>
      </c>
      <c r="C928" s="10" t="s">
        <v>166</v>
      </c>
      <c r="D928" s="10" t="s">
        <v>7828</v>
      </c>
      <c r="E928" s="8" t="s">
        <v>7829</v>
      </c>
      <c r="F928" s="8" t="s">
        <v>7830</v>
      </c>
      <c r="G928" s="10" t="s">
        <v>29</v>
      </c>
      <c r="H928" s="8" t="s">
        <v>6864</v>
      </c>
      <c r="I928" s="10" t="s">
        <v>7831</v>
      </c>
      <c r="J928" s="8" t="s">
        <v>7693</v>
      </c>
      <c r="K928" s="8" t="s">
        <v>29</v>
      </c>
      <c r="L928" s="8" t="s">
        <v>29</v>
      </c>
      <c r="M928" s="10" t="s">
        <v>29</v>
      </c>
      <c r="N928" s="8" t="s">
        <v>29</v>
      </c>
      <c r="O928" s="10" t="s">
        <v>19</v>
      </c>
      <c r="P928" s="8" t="s">
        <v>7832</v>
      </c>
      <c r="Q928" s="10" t="s">
        <v>1399</v>
      </c>
      <c r="R928" s="10" t="s">
        <v>1387</v>
      </c>
      <c r="S928" s="8" t="s">
        <v>7833</v>
      </c>
      <c r="T928" s="10" t="s">
        <v>7696</v>
      </c>
      <c r="U928" s="10" t="s">
        <v>29</v>
      </c>
    </row>
    <row r="929" spans="1:21" s="10" customFormat="1" x14ac:dyDescent="0.25">
      <c r="A929" s="10" t="s">
        <v>7834</v>
      </c>
      <c r="B929" s="10" t="s">
        <v>7688</v>
      </c>
      <c r="C929" s="11" t="s">
        <v>297</v>
      </c>
      <c r="D929" s="10" t="s">
        <v>7835</v>
      </c>
      <c r="E929" s="8" t="s">
        <v>7836</v>
      </c>
      <c r="F929" s="8" t="s">
        <v>7837</v>
      </c>
      <c r="G929" s="10" t="s">
        <v>29</v>
      </c>
      <c r="H929" s="8" t="s">
        <v>7838</v>
      </c>
      <c r="I929" s="10" t="s">
        <v>2825</v>
      </c>
      <c r="J929" s="8" t="s">
        <v>7693</v>
      </c>
      <c r="K929" s="8" t="s">
        <v>29</v>
      </c>
      <c r="L929" s="8" t="s">
        <v>29</v>
      </c>
      <c r="M929" s="10" t="s">
        <v>29</v>
      </c>
      <c r="N929" s="8" t="s">
        <v>29</v>
      </c>
      <c r="O929" s="10" t="s">
        <v>19</v>
      </c>
      <c r="P929" s="8" t="s">
        <v>7839</v>
      </c>
      <c r="Q929" s="10" t="s">
        <v>1399</v>
      </c>
      <c r="R929" s="10" t="s">
        <v>1387</v>
      </c>
      <c r="S929" s="8" t="s">
        <v>7840</v>
      </c>
      <c r="T929" s="10" t="s">
        <v>7696</v>
      </c>
      <c r="U929" s="10" t="s">
        <v>29</v>
      </c>
    </row>
    <row r="930" spans="1:21" s="10" customFormat="1" x14ac:dyDescent="0.25">
      <c r="A930" s="10" t="s">
        <v>7841</v>
      </c>
      <c r="B930" s="10" t="s">
        <v>7688</v>
      </c>
      <c r="C930" s="11" t="s">
        <v>297</v>
      </c>
      <c r="D930" s="10" t="s">
        <v>7842</v>
      </c>
      <c r="E930" s="8" t="s">
        <v>7843</v>
      </c>
      <c r="F930" s="8" t="s">
        <v>7844</v>
      </c>
      <c r="G930" s="10" t="s">
        <v>29</v>
      </c>
      <c r="H930" s="8" t="s">
        <v>7845</v>
      </c>
      <c r="I930" s="10" t="s">
        <v>2791</v>
      </c>
      <c r="J930" s="8" t="s">
        <v>7693</v>
      </c>
      <c r="K930" s="8" t="s">
        <v>29</v>
      </c>
      <c r="L930" s="8" t="s">
        <v>29</v>
      </c>
      <c r="M930" s="10" t="s">
        <v>29</v>
      </c>
      <c r="N930" s="8" t="s">
        <v>29</v>
      </c>
      <c r="O930" s="10" t="s">
        <v>19</v>
      </c>
      <c r="P930" s="8" t="s">
        <v>7846</v>
      </c>
      <c r="Q930" s="10" t="s">
        <v>1399</v>
      </c>
      <c r="R930" s="10" t="s">
        <v>1387</v>
      </c>
      <c r="S930" s="8" t="s">
        <v>7847</v>
      </c>
      <c r="T930" s="10" t="s">
        <v>7696</v>
      </c>
      <c r="U930" s="10" t="s">
        <v>29</v>
      </c>
    </row>
    <row r="931" spans="1:21" s="10" customFormat="1" x14ac:dyDescent="0.25">
      <c r="A931" s="10" t="s">
        <v>7848</v>
      </c>
      <c r="B931" s="10" t="s">
        <v>7688</v>
      </c>
      <c r="C931" s="11" t="s">
        <v>297</v>
      </c>
      <c r="D931" s="10" t="s">
        <v>7849</v>
      </c>
      <c r="E931" s="8" t="s">
        <v>7850</v>
      </c>
      <c r="F931" s="8" t="s">
        <v>7851</v>
      </c>
      <c r="G931" s="10" t="s">
        <v>29</v>
      </c>
      <c r="H931" s="8" t="s">
        <v>4680</v>
      </c>
      <c r="I931" s="10" t="s">
        <v>7852</v>
      </c>
      <c r="J931" s="8" t="s">
        <v>7693</v>
      </c>
      <c r="K931" s="8" t="s">
        <v>29</v>
      </c>
      <c r="L931" s="8" t="s">
        <v>29</v>
      </c>
      <c r="M931" s="10" t="s">
        <v>29</v>
      </c>
      <c r="N931" s="8" t="s">
        <v>29</v>
      </c>
      <c r="O931" s="10" t="s">
        <v>19</v>
      </c>
      <c r="P931" s="8" t="s">
        <v>7853</v>
      </c>
      <c r="Q931" s="10" t="s">
        <v>1399</v>
      </c>
      <c r="R931" s="10" t="s">
        <v>1387</v>
      </c>
      <c r="S931" s="8" t="s">
        <v>7854</v>
      </c>
      <c r="T931" s="10" t="s">
        <v>7696</v>
      </c>
      <c r="U931" s="10" t="s">
        <v>29</v>
      </c>
    </row>
    <row r="932" spans="1:21" s="10" customFormat="1" x14ac:dyDescent="0.25">
      <c r="A932" s="10" t="s">
        <v>7855</v>
      </c>
      <c r="B932" s="10" t="s">
        <v>7688</v>
      </c>
      <c r="C932" s="11" t="s">
        <v>297</v>
      </c>
      <c r="D932" s="10" t="s">
        <v>7856</v>
      </c>
      <c r="E932" s="8" t="s">
        <v>7857</v>
      </c>
      <c r="F932" s="8" t="s">
        <v>7858</v>
      </c>
      <c r="G932" s="10" t="s">
        <v>29</v>
      </c>
      <c r="H932" s="8" t="s">
        <v>7859</v>
      </c>
      <c r="I932" s="10" t="s">
        <v>2825</v>
      </c>
      <c r="J932" s="8" t="s">
        <v>7693</v>
      </c>
      <c r="K932" s="8" t="s">
        <v>29</v>
      </c>
      <c r="L932" s="8" t="s">
        <v>29</v>
      </c>
      <c r="M932" s="10" t="s">
        <v>29</v>
      </c>
      <c r="N932" s="8" t="s">
        <v>29</v>
      </c>
      <c r="O932" s="10" t="s">
        <v>19</v>
      </c>
      <c r="P932" s="8" t="s">
        <v>7860</v>
      </c>
      <c r="Q932" s="10" t="s">
        <v>1399</v>
      </c>
      <c r="R932" s="10" t="s">
        <v>1387</v>
      </c>
      <c r="S932" s="8" t="s">
        <v>7861</v>
      </c>
      <c r="T932" s="10" t="s">
        <v>7696</v>
      </c>
      <c r="U932" s="10" t="s">
        <v>29</v>
      </c>
    </row>
    <row r="933" spans="1:21" s="10" customFormat="1" x14ac:dyDescent="0.25">
      <c r="A933" s="10" t="s">
        <v>7862</v>
      </c>
      <c r="B933" s="10" t="s">
        <v>7688</v>
      </c>
      <c r="C933" s="10" t="s">
        <v>166</v>
      </c>
      <c r="D933" s="10" t="s">
        <v>7863</v>
      </c>
      <c r="E933" s="8" t="s">
        <v>7864</v>
      </c>
      <c r="F933" s="8" t="s">
        <v>7865</v>
      </c>
      <c r="G933" s="10" t="s">
        <v>29</v>
      </c>
      <c r="H933" s="8" t="s">
        <v>6332</v>
      </c>
      <c r="I933" s="10" t="s">
        <v>6333</v>
      </c>
      <c r="J933" s="8" t="s">
        <v>7693</v>
      </c>
      <c r="K933" s="8" t="s">
        <v>29</v>
      </c>
      <c r="L933" s="8" t="s">
        <v>29</v>
      </c>
      <c r="M933" s="10" t="s">
        <v>29</v>
      </c>
      <c r="N933" s="8" t="s">
        <v>29</v>
      </c>
      <c r="O933" s="10" t="s">
        <v>19</v>
      </c>
      <c r="P933" s="8" t="s">
        <v>7866</v>
      </c>
      <c r="Q933" s="10" t="s">
        <v>1399</v>
      </c>
      <c r="R933" s="10" t="s">
        <v>1387</v>
      </c>
      <c r="S933" s="8" t="s">
        <v>7867</v>
      </c>
      <c r="T933" s="10" t="s">
        <v>7696</v>
      </c>
      <c r="U933" s="10" t="s">
        <v>29</v>
      </c>
    </row>
    <row r="934" spans="1:21" s="10" customFormat="1" x14ac:dyDescent="0.25">
      <c r="A934" s="10" t="s">
        <v>7868</v>
      </c>
      <c r="B934" s="10" t="s">
        <v>7688</v>
      </c>
      <c r="C934" s="10" t="s">
        <v>166</v>
      </c>
      <c r="D934" s="10" t="s">
        <v>7869</v>
      </c>
      <c r="E934" s="8" t="s">
        <v>7870</v>
      </c>
      <c r="F934" s="8" t="s">
        <v>7871</v>
      </c>
      <c r="G934" s="10" t="s">
        <v>29</v>
      </c>
      <c r="H934" s="8" t="s">
        <v>6135</v>
      </c>
      <c r="I934" s="10" t="s">
        <v>6151</v>
      </c>
      <c r="J934" s="8" t="s">
        <v>7693</v>
      </c>
      <c r="K934" s="8" t="s">
        <v>29</v>
      </c>
      <c r="L934" s="8" t="s">
        <v>29</v>
      </c>
      <c r="M934" s="10" t="s">
        <v>29</v>
      </c>
      <c r="N934" s="8" t="s">
        <v>29</v>
      </c>
      <c r="O934" s="10" t="s">
        <v>19</v>
      </c>
      <c r="P934" s="8" t="s">
        <v>7872</v>
      </c>
      <c r="Q934" s="10" t="s">
        <v>1399</v>
      </c>
      <c r="R934" s="10" t="s">
        <v>1387</v>
      </c>
      <c r="S934" s="8" t="s">
        <v>7873</v>
      </c>
      <c r="T934" s="10" t="s">
        <v>7696</v>
      </c>
      <c r="U934" s="10" t="s">
        <v>29</v>
      </c>
    </row>
    <row r="935" spans="1:21" s="10" customFormat="1" x14ac:dyDescent="0.25">
      <c r="A935" s="10" t="s">
        <v>7874</v>
      </c>
      <c r="B935" s="10" t="s">
        <v>7688</v>
      </c>
      <c r="C935" s="10" t="s">
        <v>166</v>
      </c>
      <c r="D935" s="10" t="s">
        <v>7875</v>
      </c>
      <c r="E935" s="8" t="s">
        <v>7876</v>
      </c>
      <c r="F935" s="8" t="s">
        <v>7877</v>
      </c>
      <c r="G935" s="10" t="s">
        <v>29</v>
      </c>
      <c r="H935" s="8" t="s">
        <v>4631</v>
      </c>
      <c r="I935" s="10" t="s">
        <v>7878</v>
      </c>
      <c r="J935" s="8" t="s">
        <v>7693</v>
      </c>
      <c r="K935" s="8" t="s">
        <v>29</v>
      </c>
      <c r="L935" s="8" t="s">
        <v>29</v>
      </c>
      <c r="M935" s="10" t="s">
        <v>29</v>
      </c>
      <c r="N935" s="8" t="s">
        <v>29</v>
      </c>
      <c r="O935" s="10" t="s">
        <v>19</v>
      </c>
      <c r="P935" s="8" t="s">
        <v>7879</v>
      </c>
      <c r="Q935" s="10" t="s">
        <v>1399</v>
      </c>
      <c r="R935" s="10" t="s">
        <v>1387</v>
      </c>
      <c r="S935" s="8" t="s">
        <v>7880</v>
      </c>
      <c r="T935" s="10" t="s">
        <v>7696</v>
      </c>
      <c r="U935" s="10" t="s">
        <v>29</v>
      </c>
    </row>
    <row r="936" spans="1:21" s="10" customFormat="1" x14ac:dyDescent="0.25">
      <c r="A936" s="10" t="s">
        <v>7881</v>
      </c>
      <c r="B936" s="10" t="s">
        <v>7688</v>
      </c>
      <c r="C936" s="11" t="s">
        <v>297</v>
      </c>
      <c r="D936" s="10" t="s">
        <v>7882</v>
      </c>
      <c r="E936" s="8" t="s">
        <v>7883</v>
      </c>
      <c r="F936" s="8" t="s">
        <v>7884</v>
      </c>
      <c r="G936" s="10" t="s">
        <v>29</v>
      </c>
      <c r="H936" s="8" t="s">
        <v>4831</v>
      </c>
      <c r="I936" s="10" t="s">
        <v>1827</v>
      </c>
      <c r="J936" s="8" t="s">
        <v>7693</v>
      </c>
      <c r="K936" s="8" t="s">
        <v>29</v>
      </c>
      <c r="L936" s="8" t="s">
        <v>29</v>
      </c>
      <c r="M936" s="10" t="s">
        <v>29</v>
      </c>
      <c r="N936" s="8" t="s">
        <v>29</v>
      </c>
      <c r="O936" s="10" t="s">
        <v>19</v>
      </c>
      <c r="P936" s="8" t="s">
        <v>7885</v>
      </c>
      <c r="Q936" s="10" t="s">
        <v>1399</v>
      </c>
      <c r="R936" s="10" t="s">
        <v>1387</v>
      </c>
      <c r="S936" s="8" t="s">
        <v>7886</v>
      </c>
      <c r="T936" s="10" t="s">
        <v>7696</v>
      </c>
      <c r="U936" s="10" t="s">
        <v>29</v>
      </c>
    </row>
    <row r="937" spans="1:21" s="10" customFormat="1" x14ac:dyDescent="0.25">
      <c r="A937" s="10" t="s">
        <v>7887</v>
      </c>
      <c r="B937" s="10" t="s">
        <v>7688</v>
      </c>
      <c r="C937" s="11" t="s">
        <v>297</v>
      </c>
      <c r="D937" s="10" t="s">
        <v>7888</v>
      </c>
      <c r="E937" s="8" t="s">
        <v>7889</v>
      </c>
      <c r="F937" s="8" t="s">
        <v>7890</v>
      </c>
      <c r="G937" s="10" t="s">
        <v>29</v>
      </c>
      <c r="H937" s="8" t="s">
        <v>7891</v>
      </c>
      <c r="I937" s="10" t="s">
        <v>1835</v>
      </c>
      <c r="J937" s="8" t="s">
        <v>7693</v>
      </c>
      <c r="K937" s="8" t="s">
        <v>29</v>
      </c>
      <c r="L937" s="8" t="s">
        <v>29</v>
      </c>
      <c r="M937" s="10" t="s">
        <v>29</v>
      </c>
      <c r="N937" s="8" t="s">
        <v>29</v>
      </c>
      <c r="O937" s="10" t="s">
        <v>19</v>
      </c>
      <c r="P937" s="8" t="s">
        <v>7892</v>
      </c>
      <c r="Q937" s="10" t="s">
        <v>1399</v>
      </c>
      <c r="R937" s="10" t="s">
        <v>1387</v>
      </c>
      <c r="S937" s="8" t="s">
        <v>7893</v>
      </c>
      <c r="T937" s="10" t="s">
        <v>7696</v>
      </c>
      <c r="U937" s="10" t="s">
        <v>29</v>
      </c>
    </row>
    <row r="938" spans="1:21" s="10" customFormat="1" x14ac:dyDescent="0.25">
      <c r="A938" s="10" t="s">
        <v>7894</v>
      </c>
      <c r="B938" s="10" t="s">
        <v>7688</v>
      </c>
      <c r="C938" s="11" t="s">
        <v>297</v>
      </c>
      <c r="D938" s="10" t="s">
        <v>7895</v>
      </c>
      <c r="E938" s="8" t="s">
        <v>7896</v>
      </c>
      <c r="F938" s="8" t="s">
        <v>7897</v>
      </c>
      <c r="G938" s="10" t="s">
        <v>29</v>
      </c>
      <c r="H938" s="8" t="s">
        <v>7898</v>
      </c>
      <c r="I938" s="10" t="s">
        <v>2925</v>
      </c>
      <c r="J938" s="8" t="s">
        <v>7693</v>
      </c>
      <c r="K938" s="8" t="s">
        <v>29</v>
      </c>
      <c r="L938" s="8" t="s">
        <v>29</v>
      </c>
      <c r="M938" s="10" t="s">
        <v>29</v>
      </c>
      <c r="N938" s="8" t="s">
        <v>29</v>
      </c>
      <c r="O938" s="10" t="s">
        <v>19</v>
      </c>
      <c r="P938" s="8" t="s">
        <v>7899</v>
      </c>
      <c r="Q938" s="10" t="s">
        <v>1399</v>
      </c>
      <c r="R938" s="10" t="s">
        <v>1387</v>
      </c>
      <c r="S938" s="8" t="s">
        <v>7900</v>
      </c>
      <c r="T938" s="10" t="s">
        <v>7696</v>
      </c>
      <c r="U938" s="10" t="s">
        <v>29</v>
      </c>
    </row>
    <row r="939" spans="1:21" s="10" customFormat="1" x14ac:dyDescent="0.25">
      <c r="A939" s="10" t="s">
        <v>7901</v>
      </c>
      <c r="B939" s="10" t="s">
        <v>7688</v>
      </c>
      <c r="C939" s="11" t="s">
        <v>297</v>
      </c>
      <c r="D939" s="10" t="s">
        <v>7902</v>
      </c>
      <c r="E939" s="8" t="s">
        <v>7903</v>
      </c>
      <c r="F939" s="8" t="s">
        <v>7904</v>
      </c>
      <c r="G939" s="10" t="s">
        <v>29</v>
      </c>
      <c r="H939" s="8" t="s">
        <v>4943</v>
      </c>
      <c r="I939" s="10" t="s">
        <v>1579</v>
      </c>
      <c r="J939" s="8" t="s">
        <v>7693</v>
      </c>
      <c r="K939" s="8" t="s">
        <v>29</v>
      </c>
      <c r="L939" s="8" t="s">
        <v>29</v>
      </c>
      <c r="M939" s="10" t="s">
        <v>29</v>
      </c>
      <c r="N939" s="8" t="s">
        <v>29</v>
      </c>
      <c r="O939" s="10" t="s">
        <v>19</v>
      </c>
      <c r="P939" s="8" t="s">
        <v>7905</v>
      </c>
      <c r="Q939" s="10" t="s">
        <v>1399</v>
      </c>
      <c r="R939" s="10" t="s">
        <v>1387</v>
      </c>
      <c r="S939" s="8" t="s">
        <v>7906</v>
      </c>
      <c r="T939" s="10" t="s">
        <v>7696</v>
      </c>
      <c r="U939" s="10" t="s">
        <v>29</v>
      </c>
    </row>
    <row r="940" spans="1:21" s="10" customFormat="1" x14ac:dyDescent="0.25">
      <c r="A940" s="10" t="s">
        <v>7907</v>
      </c>
      <c r="B940" s="10" t="s">
        <v>7688</v>
      </c>
      <c r="C940" s="11" t="s">
        <v>297</v>
      </c>
      <c r="D940" s="10" t="s">
        <v>7908</v>
      </c>
      <c r="E940" s="8" t="s">
        <v>7909</v>
      </c>
      <c r="F940" s="8" t="s">
        <v>7910</v>
      </c>
      <c r="G940" s="10" t="s">
        <v>29</v>
      </c>
      <c r="H940" s="8" t="s">
        <v>7911</v>
      </c>
      <c r="I940" s="10" t="s">
        <v>5054</v>
      </c>
      <c r="J940" s="8" t="s">
        <v>7693</v>
      </c>
      <c r="K940" s="8" t="s">
        <v>29</v>
      </c>
      <c r="L940" s="8" t="s">
        <v>29</v>
      </c>
      <c r="M940" s="10" t="s">
        <v>29</v>
      </c>
      <c r="N940" s="8" t="s">
        <v>29</v>
      </c>
      <c r="O940" s="10" t="s">
        <v>19</v>
      </c>
      <c r="P940" s="8" t="s">
        <v>7912</v>
      </c>
      <c r="Q940" s="10" t="s">
        <v>1399</v>
      </c>
      <c r="R940" s="10" t="s">
        <v>1387</v>
      </c>
      <c r="S940" s="8" t="s">
        <v>7913</v>
      </c>
      <c r="T940" s="10" t="s">
        <v>7696</v>
      </c>
      <c r="U940" s="10" t="s">
        <v>29</v>
      </c>
    </row>
    <row r="941" spans="1:21" s="10" customFormat="1" x14ac:dyDescent="0.25">
      <c r="A941" s="10" t="s">
        <v>7914</v>
      </c>
      <c r="B941" s="10" t="s">
        <v>7688</v>
      </c>
      <c r="C941" s="10" t="s">
        <v>166</v>
      </c>
      <c r="D941" s="10" t="s">
        <v>7915</v>
      </c>
      <c r="E941" s="8" t="s">
        <v>7916</v>
      </c>
      <c r="F941" s="8" t="s">
        <v>7917</v>
      </c>
      <c r="G941" s="10" t="s">
        <v>29</v>
      </c>
      <c r="H941" s="8" t="s">
        <v>7918</v>
      </c>
      <c r="I941" s="10" t="s">
        <v>1945</v>
      </c>
      <c r="J941" s="8" t="s">
        <v>7693</v>
      </c>
      <c r="K941" s="8" t="s">
        <v>29</v>
      </c>
      <c r="L941" s="8" t="s">
        <v>29</v>
      </c>
      <c r="M941" s="10" t="s">
        <v>29</v>
      </c>
      <c r="N941" s="8" t="s">
        <v>29</v>
      </c>
      <c r="O941" s="10" t="s">
        <v>19</v>
      </c>
      <c r="P941" s="8" t="s">
        <v>7919</v>
      </c>
      <c r="Q941" s="10" t="s">
        <v>1399</v>
      </c>
      <c r="R941" s="10" t="s">
        <v>1387</v>
      </c>
      <c r="S941" s="8" t="s">
        <v>7920</v>
      </c>
      <c r="T941" s="10" t="s">
        <v>7696</v>
      </c>
      <c r="U941" s="10" t="s">
        <v>29</v>
      </c>
    </row>
    <row r="942" spans="1:21" s="10" customFormat="1" x14ac:dyDescent="0.25">
      <c r="A942" s="10" t="s">
        <v>7921</v>
      </c>
      <c r="B942" s="10" t="s">
        <v>7688</v>
      </c>
      <c r="C942" s="10" t="s">
        <v>166</v>
      </c>
      <c r="D942" s="10" t="s">
        <v>7922</v>
      </c>
      <c r="E942" s="8" t="s">
        <v>7923</v>
      </c>
      <c r="F942" s="8" t="s">
        <v>7924</v>
      </c>
      <c r="G942" s="10" t="s">
        <v>29</v>
      </c>
      <c r="H942" s="8" t="s">
        <v>3497</v>
      </c>
      <c r="I942" s="10" t="s">
        <v>7925</v>
      </c>
      <c r="J942" s="8" t="s">
        <v>7693</v>
      </c>
      <c r="K942" s="8" t="s">
        <v>29</v>
      </c>
      <c r="L942" s="8" t="s">
        <v>29</v>
      </c>
      <c r="M942" s="10" t="s">
        <v>29</v>
      </c>
      <c r="N942" s="8" t="s">
        <v>29</v>
      </c>
      <c r="O942" s="10" t="s">
        <v>19</v>
      </c>
      <c r="P942" s="8" t="s">
        <v>7926</v>
      </c>
      <c r="Q942" s="10" t="s">
        <v>1399</v>
      </c>
      <c r="R942" s="10" t="s">
        <v>1387</v>
      </c>
      <c r="S942" s="8" t="s">
        <v>7927</v>
      </c>
      <c r="T942" s="10" t="s">
        <v>7696</v>
      </c>
      <c r="U942" s="10" t="s">
        <v>29</v>
      </c>
    </row>
    <row r="943" spans="1:21" s="10" customFormat="1" x14ac:dyDescent="0.25">
      <c r="A943" s="10" t="s">
        <v>7928</v>
      </c>
      <c r="B943" s="10" t="s">
        <v>7688</v>
      </c>
      <c r="C943" s="11" t="s">
        <v>297</v>
      </c>
      <c r="D943" s="10" t="s">
        <v>7929</v>
      </c>
      <c r="E943" s="8" t="s">
        <v>7930</v>
      </c>
      <c r="F943" s="8" t="s">
        <v>7931</v>
      </c>
      <c r="G943" s="10" t="s">
        <v>29</v>
      </c>
      <c r="H943" s="8" t="s">
        <v>4752</v>
      </c>
      <c r="I943" s="10" t="s">
        <v>4753</v>
      </c>
      <c r="J943" s="8" t="s">
        <v>7693</v>
      </c>
      <c r="K943" s="8" t="s">
        <v>29</v>
      </c>
      <c r="L943" s="8" t="s">
        <v>29</v>
      </c>
      <c r="M943" s="10" t="s">
        <v>29</v>
      </c>
      <c r="N943" s="8" t="s">
        <v>29</v>
      </c>
      <c r="O943" s="10" t="s">
        <v>19</v>
      </c>
      <c r="P943" s="8" t="s">
        <v>7932</v>
      </c>
      <c r="Q943" s="10" t="s">
        <v>1399</v>
      </c>
      <c r="R943" s="10" t="s">
        <v>1387</v>
      </c>
      <c r="S943" s="8" t="s">
        <v>7933</v>
      </c>
      <c r="T943" s="10" t="s">
        <v>7696</v>
      </c>
      <c r="U943" s="10" t="s">
        <v>29</v>
      </c>
    </row>
    <row r="944" spans="1:21" s="10" customFormat="1" x14ac:dyDescent="0.25">
      <c r="A944" s="10" t="s">
        <v>7934</v>
      </c>
      <c r="B944" s="10" t="s">
        <v>7688</v>
      </c>
      <c r="C944" s="11" t="s">
        <v>297</v>
      </c>
      <c r="D944" s="10" t="s">
        <v>7935</v>
      </c>
      <c r="E944" s="8" t="s">
        <v>7936</v>
      </c>
      <c r="F944" s="8" t="s">
        <v>7937</v>
      </c>
      <c r="G944" s="10" t="s">
        <v>29</v>
      </c>
      <c r="H944" s="8" t="s">
        <v>7938</v>
      </c>
      <c r="I944" s="10" t="s">
        <v>4697</v>
      </c>
      <c r="J944" s="8" t="s">
        <v>7693</v>
      </c>
      <c r="K944" s="8" t="s">
        <v>29</v>
      </c>
      <c r="L944" s="8" t="s">
        <v>29</v>
      </c>
      <c r="M944" s="10" t="s">
        <v>29</v>
      </c>
      <c r="N944" s="8" t="s">
        <v>29</v>
      </c>
      <c r="O944" s="10" t="s">
        <v>19</v>
      </c>
      <c r="P944" s="8" t="s">
        <v>7939</v>
      </c>
      <c r="Q944" s="10" t="s">
        <v>1399</v>
      </c>
      <c r="R944" s="10" t="s">
        <v>1387</v>
      </c>
      <c r="S944" s="8" t="s">
        <v>7940</v>
      </c>
      <c r="T944" s="10" t="s">
        <v>7696</v>
      </c>
      <c r="U944" s="10" t="s">
        <v>29</v>
      </c>
    </row>
    <row r="945" spans="1:21" s="10" customFormat="1" x14ac:dyDescent="0.25">
      <c r="A945" s="10" t="s">
        <v>7941</v>
      </c>
      <c r="B945" s="10" t="s">
        <v>7688</v>
      </c>
      <c r="C945" s="11" t="s">
        <v>297</v>
      </c>
      <c r="D945" s="10" t="s">
        <v>7942</v>
      </c>
      <c r="E945" s="8" t="s">
        <v>7943</v>
      </c>
      <c r="F945" s="8" t="s">
        <v>7944</v>
      </c>
      <c r="G945" s="10" t="s">
        <v>29</v>
      </c>
      <c r="H945" s="8" t="s">
        <v>7945</v>
      </c>
      <c r="I945" s="10" t="s">
        <v>1456</v>
      </c>
      <c r="J945" s="8" t="s">
        <v>7693</v>
      </c>
      <c r="K945" s="8" t="s">
        <v>29</v>
      </c>
      <c r="L945" s="8" t="s">
        <v>29</v>
      </c>
      <c r="M945" s="10" t="s">
        <v>29</v>
      </c>
      <c r="N945" s="8" t="s">
        <v>29</v>
      </c>
      <c r="O945" s="10" t="s">
        <v>19</v>
      </c>
      <c r="P945" s="8" t="s">
        <v>7946</v>
      </c>
      <c r="Q945" s="10" t="s">
        <v>1399</v>
      </c>
      <c r="R945" s="10" t="s">
        <v>1387</v>
      </c>
      <c r="S945" s="8" t="s">
        <v>7947</v>
      </c>
      <c r="T945" s="10" t="s">
        <v>7696</v>
      </c>
      <c r="U945" s="10" t="s">
        <v>29</v>
      </c>
    </row>
    <row r="946" spans="1:21" s="10" customFormat="1" x14ac:dyDescent="0.25">
      <c r="A946" s="10" t="s">
        <v>7948</v>
      </c>
      <c r="B946" s="10" t="s">
        <v>7688</v>
      </c>
      <c r="C946" s="10" t="s">
        <v>166</v>
      </c>
      <c r="D946" s="10" t="s">
        <v>7949</v>
      </c>
      <c r="E946" s="8" t="s">
        <v>7950</v>
      </c>
      <c r="F946" s="8" t="s">
        <v>7951</v>
      </c>
      <c r="G946" s="10" t="s">
        <v>29</v>
      </c>
      <c r="H946" s="8" t="s">
        <v>7952</v>
      </c>
      <c r="I946" s="10" t="s">
        <v>944</v>
      </c>
      <c r="J946" s="8" t="s">
        <v>7693</v>
      </c>
      <c r="K946" s="8" t="s">
        <v>29</v>
      </c>
      <c r="L946" s="8" t="s">
        <v>29</v>
      </c>
      <c r="M946" s="10" t="s">
        <v>29</v>
      </c>
      <c r="N946" s="8" t="s">
        <v>29</v>
      </c>
      <c r="O946" s="10" t="s">
        <v>19</v>
      </c>
      <c r="P946" s="8" t="s">
        <v>7953</v>
      </c>
      <c r="Q946" s="10" t="s">
        <v>1399</v>
      </c>
      <c r="R946" s="10" t="s">
        <v>1387</v>
      </c>
      <c r="S946" s="8" t="s">
        <v>7954</v>
      </c>
      <c r="T946" s="10" t="s">
        <v>7696</v>
      </c>
      <c r="U946" s="10" t="s">
        <v>29</v>
      </c>
    </row>
    <row r="947" spans="1:21" s="10" customFormat="1" x14ac:dyDescent="0.25">
      <c r="A947" s="10" t="s">
        <v>7955</v>
      </c>
      <c r="B947" s="10" t="s">
        <v>7688</v>
      </c>
      <c r="C947" s="11" t="s">
        <v>297</v>
      </c>
      <c r="D947" s="10" t="s">
        <v>7956</v>
      </c>
      <c r="E947" s="8" t="s">
        <v>7957</v>
      </c>
      <c r="F947" s="8" t="s">
        <v>7958</v>
      </c>
      <c r="G947" s="10" t="s">
        <v>29</v>
      </c>
      <c r="H947" s="8" t="s">
        <v>7959</v>
      </c>
      <c r="I947" s="10" t="s">
        <v>2614</v>
      </c>
      <c r="J947" s="8" t="s">
        <v>7693</v>
      </c>
      <c r="K947" s="8" t="s">
        <v>29</v>
      </c>
      <c r="L947" s="8" t="s">
        <v>29</v>
      </c>
      <c r="M947" s="10" t="s">
        <v>29</v>
      </c>
      <c r="N947" s="8" t="s">
        <v>29</v>
      </c>
      <c r="O947" s="10" t="s">
        <v>19</v>
      </c>
      <c r="P947" s="8" t="s">
        <v>7960</v>
      </c>
      <c r="Q947" s="10" t="s">
        <v>1399</v>
      </c>
      <c r="R947" s="10" t="s">
        <v>1387</v>
      </c>
      <c r="S947" s="8" t="s">
        <v>7961</v>
      </c>
      <c r="T947" s="10" t="s">
        <v>7696</v>
      </c>
      <c r="U947" s="10" t="s">
        <v>29</v>
      </c>
    </row>
    <row r="948" spans="1:21" s="10" customFormat="1" x14ac:dyDescent="0.25">
      <c r="A948" s="10" t="s">
        <v>7962</v>
      </c>
      <c r="B948" s="10" t="s">
        <v>7688</v>
      </c>
      <c r="C948" s="10" t="s">
        <v>166</v>
      </c>
      <c r="D948" s="10" t="s">
        <v>7963</v>
      </c>
      <c r="E948" s="8" t="s">
        <v>7964</v>
      </c>
      <c r="F948" s="8" t="s">
        <v>7965</v>
      </c>
      <c r="G948" s="10" t="s">
        <v>29</v>
      </c>
      <c r="H948" s="8" t="s">
        <v>7444</v>
      </c>
      <c r="I948" s="10" t="s">
        <v>7966</v>
      </c>
      <c r="J948" s="8" t="s">
        <v>7693</v>
      </c>
      <c r="K948" s="8" t="s">
        <v>29</v>
      </c>
      <c r="L948" s="8" t="s">
        <v>29</v>
      </c>
      <c r="M948" s="10" t="s">
        <v>29</v>
      </c>
      <c r="N948" s="8" t="s">
        <v>29</v>
      </c>
      <c r="O948" s="10" t="s">
        <v>19</v>
      </c>
      <c r="P948" s="8" t="s">
        <v>7967</v>
      </c>
      <c r="Q948" s="10" t="s">
        <v>1399</v>
      </c>
      <c r="R948" s="10" t="s">
        <v>1387</v>
      </c>
      <c r="S948" s="8" t="s">
        <v>7968</v>
      </c>
      <c r="T948" s="10" t="s">
        <v>7696</v>
      </c>
      <c r="U948" s="10" t="s">
        <v>29</v>
      </c>
    </row>
    <row r="949" spans="1:21" s="10" customFormat="1" x14ac:dyDescent="0.25">
      <c r="A949" s="10" t="s">
        <v>7969</v>
      </c>
      <c r="B949" s="10" t="s">
        <v>7688</v>
      </c>
      <c r="C949" s="11" t="s">
        <v>297</v>
      </c>
      <c r="D949" s="10" t="s">
        <v>7970</v>
      </c>
      <c r="E949" s="8" t="s">
        <v>7971</v>
      </c>
      <c r="F949" s="8" t="s">
        <v>7972</v>
      </c>
      <c r="G949" s="10" t="s">
        <v>29</v>
      </c>
      <c r="H949" s="8" t="s">
        <v>7973</v>
      </c>
      <c r="I949" s="10" t="s">
        <v>1192</v>
      </c>
      <c r="J949" s="8" t="s">
        <v>7693</v>
      </c>
      <c r="K949" s="8" t="s">
        <v>29</v>
      </c>
      <c r="L949" s="8" t="s">
        <v>29</v>
      </c>
      <c r="M949" s="10" t="s">
        <v>29</v>
      </c>
      <c r="N949" s="8" t="s">
        <v>29</v>
      </c>
      <c r="O949" s="10" t="s">
        <v>19</v>
      </c>
      <c r="P949" s="8" t="s">
        <v>7974</v>
      </c>
      <c r="Q949" s="10" t="s">
        <v>1399</v>
      </c>
      <c r="R949" s="10" t="s">
        <v>1387</v>
      </c>
      <c r="S949" s="8" t="s">
        <v>7975</v>
      </c>
      <c r="T949" s="10" t="s">
        <v>7696</v>
      </c>
      <c r="U949" s="10" t="s">
        <v>29</v>
      </c>
    </row>
    <row r="950" spans="1:21" s="10" customFormat="1" x14ac:dyDescent="0.25">
      <c r="A950" s="10" t="s">
        <v>7976</v>
      </c>
      <c r="B950" s="10" t="s">
        <v>7688</v>
      </c>
      <c r="C950" s="11" t="s">
        <v>297</v>
      </c>
      <c r="D950" s="10" t="s">
        <v>7977</v>
      </c>
      <c r="E950" s="8" t="s">
        <v>7978</v>
      </c>
      <c r="F950" s="8" t="s">
        <v>7979</v>
      </c>
      <c r="G950" s="10" t="s">
        <v>29</v>
      </c>
      <c r="H950" s="8" t="s">
        <v>6594</v>
      </c>
      <c r="I950" s="10" t="s">
        <v>6587</v>
      </c>
      <c r="J950" s="8" t="s">
        <v>7693</v>
      </c>
      <c r="K950" s="8" t="s">
        <v>29</v>
      </c>
      <c r="L950" s="8" t="s">
        <v>29</v>
      </c>
      <c r="M950" s="10" t="s">
        <v>29</v>
      </c>
      <c r="N950" s="8" t="s">
        <v>29</v>
      </c>
      <c r="O950" s="10" t="s">
        <v>19</v>
      </c>
      <c r="P950" s="8" t="s">
        <v>7980</v>
      </c>
      <c r="Q950" s="10" t="s">
        <v>1399</v>
      </c>
      <c r="R950" s="10" t="s">
        <v>1387</v>
      </c>
      <c r="S950" s="8" t="s">
        <v>7981</v>
      </c>
      <c r="T950" s="10" t="s">
        <v>7696</v>
      </c>
      <c r="U950" s="10" t="s">
        <v>29</v>
      </c>
    </row>
    <row r="951" spans="1:21" s="10" customFormat="1" x14ac:dyDescent="0.25">
      <c r="A951" s="10" t="s">
        <v>7982</v>
      </c>
      <c r="B951" s="10" t="s">
        <v>7688</v>
      </c>
      <c r="C951" s="10" t="s">
        <v>166</v>
      </c>
      <c r="D951" s="10" t="s">
        <v>7983</v>
      </c>
      <c r="E951" s="8" t="s">
        <v>7984</v>
      </c>
      <c r="F951" s="8" t="s">
        <v>7985</v>
      </c>
      <c r="G951" s="10" t="s">
        <v>29</v>
      </c>
      <c r="H951" s="8" t="s">
        <v>7209</v>
      </c>
      <c r="I951" s="10" t="s">
        <v>7161</v>
      </c>
      <c r="J951" s="8" t="s">
        <v>7693</v>
      </c>
      <c r="K951" s="8" t="s">
        <v>29</v>
      </c>
      <c r="L951" s="8" t="s">
        <v>29</v>
      </c>
      <c r="M951" s="10" t="s">
        <v>29</v>
      </c>
      <c r="N951" s="8" t="s">
        <v>29</v>
      </c>
      <c r="O951" s="10" t="s">
        <v>19</v>
      </c>
      <c r="P951" s="8" t="s">
        <v>7986</v>
      </c>
      <c r="Q951" s="10" t="s">
        <v>1399</v>
      </c>
      <c r="R951" s="10" t="s">
        <v>1387</v>
      </c>
      <c r="S951" s="8" t="s">
        <v>7987</v>
      </c>
      <c r="T951" s="10" t="s">
        <v>7696</v>
      </c>
      <c r="U951" s="10" t="s">
        <v>29</v>
      </c>
    </row>
    <row r="952" spans="1:21" s="10" customFormat="1" x14ac:dyDescent="0.25">
      <c r="A952" s="10" t="s">
        <v>7988</v>
      </c>
      <c r="B952" s="10" t="s">
        <v>7688</v>
      </c>
      <c r="C952" s="11" t="s">
        <v>297</v>
      </c>
      <c r="D952" s="10" t="s">
        <v>7989</v>
      </c>
      <c r="E952" s="8" t="s">
        <v>7990</v>
      </c>
      <c r="F952" s="8" t="s">
        <v>7991</v>
      </c>
      <c r="G952" s="10" t="s">
        <v>29</v>
      </c>
      <c r="H952" s="8" t="s">
        <v>7992</v>
      </c>
      <c r="I952" s="10" t="s">
        <v>7993</v>
      </c>
      <c r="J952" s="8" t="s">
        <v>7693</v>
      </c>
      <c r="K952" s="8" t="s">
        <v>29</v>
      </c>
      <c r="L952" s="8" t="s">
        <v>29</v>
      </c>
      <c r="M952" s="10" t="s">
        <v>29</v>
      </c>
      <c r="N952" s="8" t="s">
        <v>29</v>
      </c>
      <c r="O952" s="10" t="s">
        <v>19</v>
      </c>
      <c r="P952" s="8" t="s">
        <v>7994</v>
      </c>
      <c r="Q952" s="10" t="s">
        <v>1399</v>
      </c>
      <c r="R952" s="10" t="s">
        <v>1387</v>
      </c>
      <c r="S952" s="8" t="s">
        <v>7995</v>
      </c>
      <c r="T952" s="10" t="s">
        <v>7696</v>
      </c>
      <c r="U952" s="10" t="s">
        <v>29</v>
      </c>
    </row>
    <row r="953" spans="1:21" s="10" customFormat="1" x14ac:dyDescent="0.25">
      <c r="A953" s="10" t="s">
        <v>7996</v>
      </c>
      <c r="B953" s="10" t="s">
        <v>7688</v>
      </c>
      <c r="C953" s="11" t="s">
        <v>297</v>
      </c>
      <c r="D953" s="10" t="s">
        <v>7997</v>
      </c>
      <c r="E953" s="8" t="s">
        <v>7998</v>
      </c>
      <c r="F953" s="8" t="s">
        <v>7999</v>
      </c>
      <c r="G953" s="10" t="s">
        <v>29</v>
      </c>
      <c r="H953" s="8" t="s">
        <v>1604</v>
      </c>
      <c r="I953" s="10" t="s">
        <v>8000</v>
      </c>
      <c r="J953" s="8" t="s">
        <v>7693</v>
      </c>
      <c r="K953" s="8" t="s">
        <v>29</v>
      </c>
      <c r="L953" s="8" t="s">
        <v>29</v>
      </c>
      <c r="M953" s="10" t="s">
        <v>29</v>
      </c>
      <c r="N953" s="8" t="s">
        <v>29</v>
      </c>
      <c r="O953" s="10" t="s">
        <v>19</v>
      </c>
      <c r="P953" s="8" t="s">
        <v>8001</v>
      </c>
      <c r="Q953" s="10" t="s">
        <v>1399</v>
      </c>
      <c r="R953" s="10" t="s">
        <v>1387</v>
      </c>
      <c r="S953" s="8" t="s">
        <v>8002</v>
      </c>
      <c r="T953" s="10" t="s">
        <v>7696</v>
      </c>
      <c r="U953" s="10" t="s">
        <v>29</v>
      </c>
    </row>
    <row r="954" spans="1:21" s="10" customFormat="1" x14ac:dyDescent="0.25">
      <c r="A954" s="10" t="s">
        <v>8003</v>
      </c>
      <c r="B954" s="10" t="s">
        <v>7688</v>
      </c>
      <c r="C954" s="11" t="s">
        <v>297</v>
      </c>
      <c r="D954" s="10" t="s">
        <v>8004</v>
      </c>
      <c r="E954" s="8" t="s">
        <v>8005</v>
      </c>
      <c r="F954" s="8" t="s">
        <v>8006</v>
      </c>
      <c r="G954" s="10" t="s">
        <v>29</v>
      </c>
      <c r="H954" s="8" t="s">
        <v>8007</v>
      </c>
      <c r="I954" s="10" t="s">
        <v>8008</v>
      </c>
      <c r="J954" s="8" t="s">
        <v>7693</v>
      </c>
      <c r="K954" s="8" t="s">
        <v>29</v>
      </c>
      <c r="L954" s="8" t="s">
        <v>29</v>
      </c>
      <c r="M954" s="10" t="s">
        <v>29</v>
      </c>
      <c r="N954" s="8" t="s">
        <v>29</v>
      </c>
      <c r="O954" s="10" t="s">
        <v>19</v>
      </c>
      <c r="P954" s="8" t="s">
        <v>8009</v>
      </c>
      <c r="Q954" s="10" t="s">
        <v>1399</v>
      </c>
      <c r="R954" s="10" t="s">
        <v>1387</v>
      </c>
      <c r="S954" s="8" t="s">
        <v>8010</v>
      </c>
      <c r="T954" s="10" t="s">
        <v>7696</v>
      </c>
      <c r="U954" s="10" t="s">
        <v>29</v>
      </c>
    </row>
    <row r="955" spans="1:21" s="10" customFormat="1" x14ac:dyDescent="0.25">
      <c r="A955" s="10" t="s">
        <v>8011</v>
      </c>
      <c r="B955" s="10" t="s">
        <v>8012</v>
      </c>
      <c r="C955" s="11" t="s">
        <v>297</v>
      </c>
      <c r="D955" s="10" t="s">
        <v>8013</v>
      </c>
      <c r="E955" s="8" t="s">
        <v>8014</v>
      </c>
      <c r="F955" s="8" t="s">
        <v>8015</v>
      </c>
      <c r="G955" s="10" t="s">
        <v>29</v>
      </c>
      <c r="H955" s="8" t="s">
        <v>8016</v>
      </c>
      <c r="I955" s="10" t="s">
        <v>8017</v>
      </c>
      <c r="J955" s="8" t="s">
        <v>8018</v>
      </c>
      <c r="K955" s="8" t="s">
        <v>29</v>
      </c>
      <c r="L955" s="8" t="s">
        <v>29</v>
      </c>
      <c r="M955" s="10" t="s">
        <v>29</v>
      </c>
      <c r="N955" s="8" t="s">
        <v>29</v>
      </c>
      <c r="O955" s="10" t="s">
        <v>19</v>
      </c>
      <c r="P955" s="8" t="s">
        <v>8019</v>
      </c>
      <c r="Q955" s="10" t="s">
        <v>776</v>
      </c>
      <c r="R955" s="10" t="s">
        <v>1608</v>
      </c>
      <c r="S955" s="8" t="s">
        <v>8020</v>
      </c>
      <c r="T955" s="10" t="s">
        <v>8021</v>
      </c>
      <c r="U955" s="10" t="s">
        <v>29</v>
      </c>
    </row>
    <row r="956" spans="1:21" s="10" customFormat="1" x14ac:dyDescent="0.25">
      <c r="A956" s="10" t="s">
        <v>8022</v>
      </c>
      <c r="B956" s="10" t="s">
        <v>8012</v>
      </c>
      <c r="C956" s="11" t="s">
        <v>297</v>
      </c>
      <c r="D956" s="10" t="s">
        <v>8023</v>
      </c>
      <c r="E956" s="8" t="s">
        <v>8024</v>
      </c>
      <c r="F956" s="8" t="s">
        <v>8025</v>
      </c>
      <c r="G956" s="10" t="s">
        <v>29</v>
      </c>
      <c r="H956" s="8" t="s">
        <v>8016</v>
      </c>
      <c r="I956" s="10" t="s">
        <v>2825</v>
      </c>
      <c r="J956" s="8" t="s">
        <v>8018</v>
      </c>
      <c r="K956" s="8" t="s">
        <v>29</v>
      </c>
      <c r="L956" s="8" t="s">
        <v>29</v>
      </c>
      <c r="M956" s="10" t="s">
        <v>29</v>
      </c>
      <c r="N956" s="8" t="s">
        <v>29</v>
      </c>
      <c r="O956" s="10" t="s">
        <v>19</v>
      </c>
      <c r="P956" s="8" t="s">
        <v>8026</v>
      </c>
      <c r="Q956" s="10" t="s">
        <v>776</v>
      </c>
      <c r="R956" s="10" t="s">
        <v>1608</v>
      </c>
      <c r="S956" s="8" t="s">
        <v>8027</v>
      </c>
      <c r="T956" s="10" t="s">
        <v>8021</v>
      </c>
      <c r="U956" s="10" t="s">
        <v>29</v>
      </c>
    </row>
    <row r="957" spans="1:21" s="10" customFormat="1" x14ac:dyDescent="0.25">
      <c r="A957" s="10" t="s">
        <v>8028</v>
      </c>
      <c r="B957" s="10" t="s">
        <v>8012</v>
      </c>
      <c r="C957" s="11" t="s">
        <v>297</v>
      </c>
      <c r="D957" s="10" t="s">
        <v>8029</v>
      </c>
      <c r="E957" s="8" t="s">
        <v>8030</v>
      </c>
      <c r="F957" s="8" t="s">
        <v>8031</v>
      </c>
      <c r="G957" s="10" t="s">
        <v>29</v>
      </c>
      <c r="H957" s="8" t="s">
        <v>8016</v>
      </c>
      <c r="I957" s="10" t="s">
        <v>430</v>
      </c>
      <c r="J957" s="8" t="s">
        <v>8018</v>
      </c>
      <c r="K957" s="8" t="s">
        <v>29</v>
      </c>
      <c r="L957" s="8" t="s">
        <v>29</v>
      </c>
      <c r="M957" s="10" t="s">
        <v>29</v>
      </c>
      <c r="N957" s="8" t="s">
        <v>29</v>
      </c>
      <c r="O957" s="10" t="s">
        <v>19</v>
      </c>
      <c r="P957" s="8" t="s">
        <v>8032</v>
      </c>
      <c r="Q957" s="10" t="s">
        <v>776</v>
      </c>
      <c r="R957" s="10" t="s">
        <v>1608</v>
      </c>
      <c r="S957" s="8" t="s">
        <v>8033</v>
      </c>
      <c r="T957" s="10" t="s">
        <v>8021</v>
      </c>
      <c r="U957" s="10" t="s">
        <v>29</v>
      </c>
    </row>
    <row r="958" spans="1:21" s="10" customFormat="1" x14ac:dyDescent="0.25">
      <c r="A958" s="10" t="s">
        <v>8034</v>
      </c>
      <c r="B958" s="10" t="s">
        <v>8012</v>
      </c>
      <c r="C958" s="11" t="s">
        <v>297</v>
      </c>
      <c r="D958" s="10" t="s">
        <v>8035</v>
      </c>
      <c r="E958" s="8" t="s">
        <v>8036</v>
      </c>
      <c r="F958" s="8" t="s">
        <v>8037</v>
      </c>
      <c r="G958" s="10" t="s">
        <v>29</v>
      </c>
      <c r="H958" s="8" t="s">
        <v>8016</v>
      </c>
      <c r="I958" s="10" t="s">
        <v>4472</v>
      </c>
      <c r="J958" s="8" t="s">
        <v>8018</v>
      </c>
      <c r="K958" s="8" t="s">
        <v>29</v>
      </c>
      <c r="L958" s="8" t="s">
        <v>29</v>
      </c>
      <c r="M958" s="10" t="s">
        <v>29</v>
      </c>
      <c r="N958" s="8" t="s">
        <v>29</v>
      </c>
      <c r="O958" s="10" t="s">
        <v>19</v>
      </c>
      <c r="P958" s="8" t="s">
        <v>8038</v>
      </c>
      <c r="Q958" s="10" t="s">
        <v>776</v>
      </c>
      <c r="R958" s="10" t="s">
        <v>1608</v>
      </c>
      <c r="S958" s="8" t="s">
        <v>8039</v>
      </c>
      <c r="T958" s="10" t="s">
        <v>8021</v>
      </c>
      <c r="U958" s="10" t="s">
        <v>29</v>
      </c>
    </row>
    <row r="959" spans="1:21" s="10" customFormat="1" x14ac:dyDescent="0.25">
      <c r="A959" s="10" t="s">
        <v>8040</v>
      </c>
      <c r="B959" s="10" t="s">
        <v>8012</v>
      </c>
      <c r="C959" s="11" t="s">
        <v>297</v>
      </c>
      <c r="D959" s="10" t="s">
        <v>8041</v>
      </c>
      <c r="E959" s="8" t="s">
        <v>8042</v>
      </c>
      <c r="F959" s="8" t="s">
        <v>8043</v>
      </c>
      <c r="G959" s="10" t="s">
        <v>29</v>
      </c>
      <c r="H959" s="8" t="s">
        <v>8016</v>
      </c>
      <c r="I959" s="10" t="s">
        <v>1508</v>
      </c>
      <c r="J959" s="8" t="s">
        <v>8018</v>
      </c>
      <c r="K959" s="8" t="s">
        <v>29</v>
      </c>
      <c r="L959" s="8" t="s">
        <v>29</v>
      </c>
      <c r="M959" s="10" t="s">
        <v>29</v>
      </c>
      <c r="N959" s="8" t="s">
        <v>29</v>
      </c>
      <c r="O959" s="10" t="s">
        <v>19</v>
      </c>
      <c r="P959" s="8" t="s">
        <v>8044</v>
      </c>
      <c r="Q959" s="10" t="s">
        <v>776</v>
      </c>
      <c r="R959" s="10" t="s">
        <v>1608</v>
      </c>
      <c r="S959" s="8" t="s">
        <v>8045</v>
      </c>
      <c r="T959" s="10" t="s">
        <v>8021</v>
      </c>
      <c r="U959" s="10" t="s">
        <v>29</v>
      </c>
    </row>
    <row r="960" spans="1:21" s="10" customFormat="1" x14ac:dyDescent="0.25">
      <c r="A960" s="10" t="s">
        <v>8046</v>
      </c>
      <c r="B960" s="10" t="s">
        <v>8012</v>
      </c>
      <c r="C960" s="11" t="s">
        <v>297</v>
      </c>
      <c r="D960" s="10" t="s">
        <v>8047</v>
      </c>
      <c r="E960" s="8" t="s">
        <v>8048</v>
      </c>
      <c r="F960" s="8" t="s">
        <v>8049</v>
      </c>
      <c r="G960" s="10" t="s">
        <v>29</v>
      </c>
      <c r="H960" s="8" t="s">
        <v>8016</v>
      </c>
      <c r="I960" s="10" t="s">
        <v>5475</v>
      </c>
      <c r="J960" s="8" t="s">
        <v>8018</v>
      </c>
      <c r="K960" s="8" t="s">
        <v>29</v>
      </c>
      <c r="L960" s="8" t="s">
        <v>29</v>
      </c>
      <c r="M960" s="10" t="s">
        <v>29</v>
      </c>
      <c r="N960" s="8" t="s">
        <v>29</v>
      </c>
      <c r="O960" s="10" t="s">
        <v>19</v>
      </c>
      <c r="P960" s="8" t="s">
        <v>8050</v>
      </c>
      <c r="Q960" s="10" t="s">
        <v>776</v>
      </c>
      <c r="R960" s="10" t="s">
        <v>1608</v>
      </c>
      <c r="S960" s="8" t="s">
        <v>8051</v>
      </c>
      <c r="T960" s="10" t="s">
        <v>8021</v>
      </c>
      <c r="U960" s="10" t="s">
        <v>29</v>
      </c>
    </row>
    <row r="961" spans="1:21" s="10" customFormat="1" x14ac:dyDescent="0.25">
      <c r="A961" s="10" t="s">
        <v>8052</v>
      </c>
      <c r="B961" s="10" t="s">
        <v>8012</v>
      </c>
      <c r="C961" s="11" t="s">
        <v>297</v>
      </c>
      <c r="D961" s="10" t="s">
        <v>8053</v>
      </c>
      <c r="E961" s="8" t="s">
        <v>8054</v>
      </c>
      <c r="F961" s="8" t="s">
        <v>8055</v>
      </c>
      <c r="G961" s="10" t="s">
        <v>29</v>
      </c>
      <c r="H961" s="8" t="s">
        <v>8016</v>
      </c>
      <c r="I961" s="10" t="s">
        <v>8056</v>
      </c>
      <c r="J961" s="8" t="s">
        <v>8018</v>
      </c>
      <c r="K961" s="8" t="s">
        <v>29</v>
      </c>
      <c r="L961" s="8" t="s">
        <v>29</v>
      </c>
      <c r="M961" s="10" t="s">
        <v>29</v>
      </c>
      <c r="N961" s="8" t="s">
        <v>29</v>
      </c>
      <c r="O961" s="10" t="s">
        <v>19</v>
      </c>
      <c r="P961" s="8" t="s">
        <v>8057</v>
      </c>
      <c r="Q961" s="10" t="s">
        <v>776</v>
      </c>
      <c r="R961" s="10" t="s">
        <v>1608</v>
      </c>
      <c r="S961" s="8" t="s">
        <v>8058</v>
      </c>
      <c r="T961" s="10" t="s">
        <v>8021</v>
      </c>
      <c r="U961" s="10" t="s">
        <v>29</v>
      </c>
    </row>
    <row r="962" spans="1:21" s="10" customFormat="1" x14ac:dyDescent="0.25">
      <c r="A962" s="10" t="s">
        <v>8059</v>
      </c>
      <c r="B962" s="10" t="s">
        <v>8012</v>
      </c>
      <c r="C962" s="11" t="s">
        <v>297</v>
      </c>
      <c r="D962" s="10" t="s">
        <v>8060</v>
      </c>
      <c r="E962" s="8" t="s">
        <v>8061</v>
      </c>
      <c r="F962" s="8" t="s">
        <v>8062</v>
      </c>
      <c r="G962" s="10" t="s">
        <v>29</v>
      </c>
      <c r="H962" s="8" t="s">
        <v>8016</v>
      </c>
      <c r="I962" s="10" t="s">
        <v>5202</v>
      </c>
      <c r="J962" s="8" t="s">
        <v>8018</v>
      </c>
      <c r="K962" s="8" t="s">
        <v>29</v>
      </c>
      <c r="L962" s="8" t="s">
        <v>29</v>
      </c>
      <c r="M962" s="10" t="s">
        <v>29</v>
      </c>
      <c r="N962" s="8" t="s">
        <v>29</v>
      </c>
      <c r="O962" s="10" t="s">
        <v>19</v>
      </c>
      <c r="P962" s="8" t="s">
        <v>8063</v>
      </c>
      <c r="Q962" s="10" t="s">
        <v>776</v>
      </c>
      <c r="R962" s="10" t="s">
        <v>1608</v>
      </c>
      <c r="S962" s="8" t="s">
        <v>8064</v>
      </c>
      <c r="T962" s="10" t="s">
        <v>8021</v>
      </c>
      <c r="U962" s="10" t="s">
        <v>29</v>
      </c>
    </row>
    <row r="963" spans="1:21" s="10" customFormat="1" x14ac:dyDescent="0.25">
      <c r="A963" s="10" t="s">
        <v>8065</v>
      </c>
      <c r="B963" s="10" t="s">
        <v>8012</v>
      </c>
      <c r="C963" s="11" t="s">
        <v>297</v>
      </c>
      <c r="D963" s="10" t="s">
        <v>8066</v>
      </c>
      <c r="E963" s="8" t="s">
        <v>8067</v>
      </c>
      <c r="F963" s="8" t="s">
        <v>8068</v>
      </c>
      <c r="G963" s="10" t="s">
        <v>29</v>
      </c>
      <c r="H963" s="8" t="s">
        <v>8016</v>
      </c>
      <c r="I963" s="10" t="s">
        <v>889</v>
      </c>
      <c r="J963" s="8" t="s">
        <v>8018</v>
      </c>
      <c r="K963" s="8" t="s">
        <v>29</v>
      </c>
      <c r="L963" s="8" t="s">
        <v>29</v>
      </c>
      <c r="M963" s="10" t="s">
        <v>29</v>
      </c>
      <c r="N963" s="8" t="s">
        <v>29</v>
      </c>
      <c r="O963" s="10" t="s">
        <v>19</v>
      </c>
      <c r="P963" s="8" t="s">
        <v>8069</v>
      </c>
      <c r="Q963" s="10" t="s">
        <v>776</v>
      </c>
      <c r="R963" s="10" t="s">
        <v>1608</v>
      </c>
      <c r="S963" s="8" t="s">
        <v>8070</v>
      </c>
      <c r="T963" s="10" t="s">
        <v>8021</v>
      </c>
      <c r="U963" s="10" t="s">
        <v>29</v>
      </c>
    </row>
    <row r="964" spans="1:21" s="10" customFormat="1" x14ac:dyDescent="0.25">
      <c r="A964" s="10" t="s">
        <v>8071</v>
      </c>
      <c r="B964" s="10" t="s">
        <v>8012</v>
      </c>
      <c r="C964" s="11" t="s">
        <v>297</v>
      </c>
      <c r="D964" s="10" t="s">
        <v>8072</v>
      </c>
      <c r="E964" s="8" t="s">
        <v>8073</v>
      </c>
      <c r="F964" s="8" t="s">
        <v>8074</v>
      </c>
      <c r="G964" s="10" t="s">
        <v>29</v>
      </c>
      <c r="H964" s="8" t="s">
        <v>8016</v>
      </c>
      <c r="I964" s="10" t="s">
        <v>5662</v>
      </c>
      <c r="J964" s="8" t="s">
        <v>8018</v>
      </c>
      <c r="K964" s="8" t="s">
        <v>29</v>
      </c>
      <c r="L964" s="8" t="s">
        <v>29</v>
      </c>
      <c r="M964" s="10" t="s">
        <v>29</v>
      </c>
      <c r="N964" s="8" t="s">
        <v>29</v>
      </c>
      <c r="O964" s="10" t="s">
        <v>19</v>
      </c>
      <c r="P964" s="8" t="s">
        <v>8075</v>
      </c>
      <c r="Q964" s="10" t="s">
        <v>776</v>
      </c>
      <c r="R964" s="10" t="s">
        <v>1608</v>
      </c>
      <c r="S964" s="8" t="s">
        <v>8076</v>
      </c>
      <c r="T964" s="10" t="s">
        <v>8021</v>
      </c>
      <c r="U964" s="10" t="s">
        <v>29</v>
      </c>
    </row>
    <row r="965" spans="1:21" s="10" customFormat="1" x14ac:dyDescent="0.25">
      <c r="A965" s="10" t="s">
        <v>8077</v>
      </c>
      <c r="B965" s="10" t="s">
        <v>8012</v>
      </c>
      <c r="C965" s="11" t="s">
        <v>297</v>
      </c>
      <c r="D965" s="10" t="s">
        <v>8078</v>
      </c>
      <c r="E965" s="8" t="s">
        <v>8079</v>
      </c>
      <c r="F965" s="8" t="s">
        <v>8080</v>
      </c>
      <c r="G965" s="10" t="s">
        <v>29</v>
      </c>
      <c r="H965" s="8" t="s">
        <v>8016</v>
      </c>
      <c r="I965" s="10" t="s">
        <v>1456</v>
      </c>
      <c r="J965" s="8" t="s">
        <v>8018</v>
      </c>
      <c r="K965" s="8" t="s">
        <v>29</v>
      </c>
      <c r="L965" s="8" t="s">
        <v>29</v>
      </c>
      <c r="M965" s="10" t="s">
        <v>29</v>
      </c>
      <c r="N965" s="8" t="s">
        <v>29</v>
      </c>
      <c r="O965" s="10" t="s">
        <v>19</v>
      </c>
      <c r="P965" s="8" t="s">
        <v>8081</v>
      </c>
      <c r="Q965" s="10" t="s">
        <v>776</v>
      </c>
      <c r="R965" s="10" t="s">
        <v>1608</v>
      </c>
      <c r="S965" s="8" t="s">
        <v>8082</v>
      </c>
      <c r="T965" s="10" t="s">
        <v>8021</v>
      </c>
      <c r="U965" s="10" t="s">
        <v>29</v>
      </c>
    </row>
    <row r="966" spans="1:21" s="10" customFormat="1" x14ac:dyDescent="0.25">
      <c r="A966" s="10" t="s">
        <v>8083</v>
      </c>
      <c r="B966" s="10" t="s">
        <v>8012</v>
      </c>
      <c r="C966" s="11" t="s">
        <v>297</v>
      </c>
      <c r="D966" s="10" t="s">
        <v>8084</v>
      </c>
      <c r="E966" s="8" t="s">
        <v>8085</v>
      </c>
      <c r="F966" s="8" t="s">
        <v>8086</v>
      </c>
      <c r="G966" s="10" t="s">
        <v>29</v>
      </c>
      <c r="H966" s="8" t="s">
        <v>8016</v>
      </c>
      <c r="I966" s="10" t="s">
        <v>7715</v>
      </c>
      <c r="J966" s="8" t="s">
        <v>8018</v>
      </c>
      <c r="K966" s="8" t="s">
        <v>29</v>
      </c>
      <c r="L966" s="8" t="s">
        <v>29</v>
      </c>
      <c r="M966" s="10" t="s">
        <v>29</v>
      </c>
      <c r="N966" s="8" t="s">
        <v>29</v>
      </c>
      <c r="O966" s="10" t="s">
        <v>19</v>
      </c>
      <c r="P966" s="8" t="s">
        <v>8087</v>
      </c>
      <c r="Q966" s="10" t="s">
        <v>776</v>
      </c>
      <c r="R966" s="10" t="s">
        <v>1608</v>
      </c>
      <c r="S966" s="8" t="s">
        <v>8088</v>
      </c>
      <c r="T966" s="10" t="s">
        <v>8021</v>
      </c>
      <c r="U966" s="10" t="s">
        <v>29</v>
      </c>
    </row>
    <row r="967" spans="1:21" s="10" customFormat="1" x14ac:dyDescent="0.25">
      <c r="A967" s="10" t="s">
        <v>8089</v>
      </c>
      <c r="B967" s="10" t="s">
        <v>8012</v>
      </c>
      <c r="C967" s="11" t="s">
        <v>297</v>
      </c>
      <c r="D967" s="10" t="s">
        <v>8090</v>
      </c>
      <c r="E967" s="8" t="s">
        <v>8091</v>
      </c>
      <c r="F967" s="8" t="s">
        <v>8092</v>
      </c>
      <c r="G967" s="10" t="s">
        <v>29</v>
      </c>
      <c r="H967" s="8" t="s">
        <v>8016</v>
      </c>
      <c r="I967" s="10" t="s">
        <v>8093</v>
      </c>
      <c r="J967" s="8" t="s">
        <v>8018</v>
      </c>
      <c r="K967" s="8" t="s">
        <v>29</v>
      </c>
      <c r="L967" s="8" t="s">
        <v>29</v>
      </c>
      <c r="M967" s="10" t="s">
        <v>29</v>
      </c>
      <c r="N967" s="8" t="s">
        <v>29</v>
      </c>
      <c r="O967" s="10" t="s">
        <v>19</v>
      </c>
      <c r="P967" s="8" t="s">
        <v>8094</v>
      </c>
      <c r="Q967" s="10" t="s">
        <v>776</v>
      </c>
      <c r="R967" s="10" t="s">
        <v>1608</v>
      </c>
      <c r="S967" s="8" t="s">
        <v>8095</v>
      </c>
      <c r="T967" s="10" t="s">
        <v>8021</v>
      </c>
      <c r="U967" s="10" t="s">
        <v>29</v>
      </c>
    </row>
    <row r="968" spans="1:21" s="10" customFormat="1" x14ac:dyDescent="0.25">
      <c r="A968" s="10" t="s">
        <v>8096</v>
      </c>
      <c r="B968" s="10" t="s">
        <v>8012</v>
      </c>
      <c r="C968" s="11" t="s">
        <v>297</v>
      </c>
      <c r="D968" s="10" t="s">
        <v>8097</v>
      </c>
      <c r="E968" s="8" t="s">
        <v>8098</v>
      </c>
      <c r="F968" s="8" t="s">
        <v>8099</v>
      </c>
      <c r="G968" s="10" t="s">
        <v>29</v>
      </c>
      <c r="H968" s="8" t="s">
        <v>8016</v>
      </c>
      <c r="I968" s="10" t="s">
        <v>8100</v>
      </c>
      <c r="J968" s="8" t="s">
        <v>8018</v>
      </c>
      <c r="K968" s="8" t="s">
        <v>29</v>
      </c>
      <c r="L968" s="8" t="s">
        <v>29</v>
      </c>
      <c r="M968" s="10" t="s">
        <v>29</v>
      </c>
      <c r="N968" s="8" t="s">
        <v>29</v>
      </c>
      <c r="O968" s="10" t="s">
        <v>19</v>
      </c>
      <c r="P968" s="8" t="s">
        <v>8101</v>
      </c>
      <c r="Q968" s="10" t="s">
        <v>776</v>
      </c>
      <c r="R968" s="10" t="s">
        <v>1608</v>
      </c>
      <c r="S968" s="8" t="s">
        <v>8102</v>
      </c>
      <c r="T968" s="10" t="s">
        <v>8021</v>
      </c>
      <c r="U968" s="10" t="s">
        <v>29</v>
      </c>
    </row>
    <row r="969" spans="1:21" s="10" customFormat="1" x14ac:dyDescent="0.25">
      <c r="A969" s="10" t="s">
        <v>8103</v>
      </c>
      <c r="B969" s="10" t="s">
        <v>8012</v>
      </c>
      <c r="C969" s="11" t="s">
        <v>297</v>
      </c>
      <c r="D969" s="10" t="s">
        <v>8104</v>
      </c>
      <c r="E969" s="8" t="s">
        <v>8105</v>
      </c>
      <c r="F969" s="8" t="s">
        <v>8106</v>
      </c>
      <c r="G969" s="10" t="s">
        <v>29</v>
      </c>
      <c r="H969" s="8" t="s">
        <v>8016</v>
      </c>
      <c r="I969" s="10" t="s">
        <v>308</v>
      </c>
      <c r="J969" s="8" t="s">
        <v>8018</v>
      </c>
      <c r="K969" s="8" t="s">
        <v>29</v>
      </c>
      <c r="L969" s="8" t="s">
        <v>29</v>
      </c>
      <c r="M969" s="10" t="s">
        <v>29</v>
      </c>
      <c r="N969" s="8" t="s">
        <v>29</v>
      </c>
      <c r="O969" s="10" t="s">
        <v>19</v>
      </c>
      <c r="P969" s="8" t="s">
        <v>8107</v>
      </c>
      <c r="Q969" s="10" t="s">
        <v>776</v>
      </c>
      <c r="R969" s="10" t="s">
        <v>1608</v>
      </c>
      <c r="S969" s="8" t="s">
        <v>8108</v>
      </c>
      <c r="T969" s="10" t="s">
        <v>8021</v>
      </c>
      <c r="U969" s="10" t="s">
        <v>29</v>
      </c>
    </row>
    <row r="970" spans="1:21" s="10" customFormat="1" x14ac:dyDescent="0.25">
      <c r="A970" s="10" t="s">
        <v>8109</v>
      </c>
      <c r="B970" s="10" t="s">
        <v>8012</v>
      </c>
      <c r="C970" s="11" t="s">
        <v>297</v>
      </c>
      <c r="D970" s="10" t="s">
        <v>8110</v>
      </c>
      <c r="E970" s="8" t="s">
        <v>8111</v>
      </c>
      <c r="F970" s="8" t="s">
        <v>8112</v>
      </c>
      <c r="G970" s="10" t="s">
        <v>29</v>
      </c>
      <c r="H970" s="8" t="s">
        <v>8016</v>
      </c>
      <c r="I970" s="10" t="s">
        <v>8113</v>
      </c>
      <c r="J970" s="8" t="s">
        <v>8018</v>
      </c>
      <c r="K970" s="8" t="s">
        <v>29</v>
      </c>
      <c r="L970" s="8" t="s">
        <v>29</v>
      </c>
      <c r="M970" s="10" t="s">
        <v>29</v>
      </c>
      <c r="N970" s="8" t="s">
        <v>29</v>
      </c>
      <c r="O970" s="10" t="s">
        <v>19</v>
      </c>
      <c r="P970" s="8" t="s">
        <v>8114</v>
      </c>
      <c r="Q970" s="10" t="s">
        <v>776</v>
      </c>
      <c r="R970" s="10" t="s">
        <v>1608</v>
      </c>
      <c r="S970" s="8" t="s">
        <v>8115</v>
      </c>
      <c r="T970" s="10" t="s">
        <v>8021</v>
      </c>
      <c r="U970" s="10" t="s">
        <v>29</v>
      </c>
    </row>
    <row r="971" spans="1:21" s="10" customFormat="1" x14ac:dyDescent="0.25">
      <c r="A971" s="10" t="s">
        <v>8116</v>
      </c>
      <c r="B971" s="10" t="s">
        <v>8012</v>
      </c>
      <c r="C971" s="11" t="s">
        <v>297</v>
      </c>
      <c r="D971" s="10" t="s">
        <v>8117</v>
      </c>
      <c r="E971" s="8" t="s">
        <v>8118</v>
      </c>
      <c r="F971" s="8" t="s">
        <v>8119</v>
      </c>
      <c r="G971" s="10" t="s">
        <v>29</v>
      </c>
      <c r="H971" s="8" t="s">
        <v>8016</v>
      </c>
      <c r="I971" s="10" t="s">
        <v>4319</v>
      </c>
      <c r="J971" s="8" t="s">
        <v>8018</v>
      </c>
      <c r="K971" s="8" t="s">
        <v>29</v>
      </c>
      <c r="L971" s="8" t="s">
        <v>29</v>
      </c>
      <c r="M971" s="10" t="s">
        <v>29</v>
      </c>
      <c r="N971" s="8" t="s">
        <v>29</v>
      </c>
      <c r="O971" s="10" t="s">
        <v>19</v>
      </c>
      <c r="P971" s="8" t="s">
        <v>8120</v>
      </c>
      <c r="Q971" s="10" t="s">
        <v>776</v>
      </c>
      <c r="R971" s="10" t="s">
        <v>1608</v>
      </c>
      <c r="S971" s="8" t="s">
        <v>8121</v>
      </c>
      <c r="T971" s="10" t="s">
        <v>8021</v>
      </c>
      <c r="U971" s="10" t="s">
        <v>29</v>
      </c>
    </row>
    <row r="972" spans="1:21" s="10" customFormat="1" x14ac:dyDescent="0.25">
      <c r="A972" s="10" t="s">
        <v>8122</v>
      </c>
      <c r="B972" s="10" t="s">
        <v>8012</v>
      </c>
      <c r="C972" s="11" t="s">
        <v>297</v>
      </c>
      <c r="D972" s="10" t="s">
        <v>8123</v>
      </c>
      <c r="E972" s="8" t="s">
        <v>8124</v>
      </c>
      <c r="F972" s="8" t="s">
        <v>8125</v>
      </c>
      <c r="G972" s="10" t="s">
        <v>29</v>
      </c>
      <c r="H972" s="8" t="s">
        <v>8016</v>
      </c>
      <c r="I972" s="10" t="s">
        <v>3912</v>
      </c>
      <c r="J972" s="8" t="s">
        <v>8018</v>
      </c>
      <c r="K972" s="8" t="s">
        <v>29</v>
      </c>
      <c r="L972" s="8" t="s">
        <v>29</v>
      </c>
      <c r="M972" s="10" t="s">
        <v>29</v>
      </c>
      <c r="N972" s="8" t="s">
        <v>29</v>
      </c>
      <c r="O972" s="10" t="s">
        <v>19</v>
      </c>
      <c r="P972" s="8" t="s">
        <v>8126</v>
      </c>
      <c r="Q972" s="10" t="s">
        <v>776</v>
      </c>
      <c r="R972" s="10" t="s">
        <v>1608</v>
      </c>
      <c r="S972" s="8" t="s">
        <v>8127</v>
      </c>
      <c r="T972" s="10" t="s">
        <v>8021</v>
      </c>
      <c r="U972" s="10" t="s">
        <v>29</v>
      </c>
    </row>
    <row r="973" spans="1:21" s="10" customFormat="1" x14ac:dyDescent="0.25">
      <c r="A973" s="10" t="s">
        <v>8128</v>
      </c>
      <c r="B973" s="10" t="s">
        <v>8012</v>
      </c>
      <c r="C973" s="11" t="s">
        <v>297</v>
      </c>
      <c r="D973" s="10" t="s">
        <v>8129</v>
      </c>
      <c r="E973" s="8" t="s">
        <v>8130</v>
      </c>
      <c r="F973" s="8" t="s">
        <v>8131</v>
      </c>
      <c r="G973" s="10" t="s">
        <v>29</v>
      </c>
      <c r="H973" s="8" t="s">
        <v>8016</v>
      </c>
      <c r="I973" s="10" t="s">
        <v>1579</v>
      </c>
      <c r="J973" s="8" t="s">
        <v>8018</v>
      </c>
      <c r="K973" s="8" t="s">
        <v>29</v>
      </c>
      <c r="L973" s="8" t="s">
        <v>29</v>
      </c>
      <c r="M973" s="10" t="s">
        <v>29</v>
      </c>
      <c r="N973" s="8" t="s">
        <v>29</v>
      </c>
      <c r="O973" s="10" t="s">
        <v>19</v>
      </c>
      <c r="P973" s="8" t="s">
        <v>8132</v>
      </c>
      <c r="Q973" s="10" t="s">
        <v>776</v>
      </c>
      <c r="R973" s="10" t="s">
        <v>1608</v>
      </c>
      <c r="S973" s="8" t="s">
        <v>8133</v>
      </c>
      <c r="T973" s="10" t="s">
        <v>8021</v>
      </c>
      <c r="U973" s="10" t="s">
        <v>29</v>
      </c>
    </row>
    <row r="974" spans="1:21" s="10" customFormat="1" x14ac:dyDescent="0.25">
      <c r="A974" s="10" t="s">
        <v>8134</v>
      </c>
      <c r="B974" s="10" t="s">
        <v>8012</v>
      </c>
      <c r="C974" s="11" t="s">
        <v>297</v>
      </c>
      <c r="D974" s="10" t="s">
        <v>8135</v>
      </c>
      <c r="E974" s="8" t="s">
        <v>8136</v>
      </c>
      <c r="F974" s="8" t="s">
        <v>8137</v>
      </c>
      <c r="G974" s="10" t="s">
        <v>29</v>
      </c>
      <c r="H974" s="8" t="s">
        <v>8016</v>
      </c>
      <c r="I974" s="10" t="s">
        <v>4493</v>
      </c>
      <c r="J974" s="8" t="s">
        <v>8018</v>
      </c>
      <c r="K974" s="8" t="s">
        <v>29</v>
      </c>
      <c r="L974" s="8" t="s">
        <v>29</v>
      </c>
      <c r="M974" s="10" t="s">
        <v>29</v>
      </c>
      <c r="N974" s="8" t="s">
        <v>29</v>
      </c>
      <c r="O974" s="10" t="s">
        <v>19</v>
      </c>
      <c r="P974" s="8" t="s">
        <v>8138</v>
      </c>
      <c r="Q974" s="10" t="s">
        <v>776</v>
      </c>
      <c r="R974" s="10" t="s">
        <v>1608</v>
      </c>
      <c r="S974" s="8" t="s">
        <v>8139</v>
      </c>
      <c r="T974" s="10" t="s">
        <v>8021</v>
      </c>
      <c r="U974" s="10" t="s">
        <v>29</v>
      </c>
    </row>
    <row r="975" spans="1:21" s="10" customFormat="1" x14ac:dyDescent="0.25">
      <c r="A975" s="10" t="s">
        <v>8140</v>
      </c>
      <c r="B975" s="10" t="s">
        <v>8012</v>
      </c>
      <c r="C975" s="11" t="s">
        <v>297</v>
      </c>
      <c r="D975" s="10" t="s">
        <v>8141</v>
      </c>
      <c r="E975" s="8" t="s">
        <v>8142</v>
      </c>
      <c r="F975" s="8" t="s">
        <v>8143</v>
      </c>
      <c r="G975" s="10" t="s">
        <v>29</v>
      </c>
      <c r="H975" s="8" t="s">
        <v>8144</v>
      </c>
      <c r="I975" s="10" t="s">
        <v>8017</v>
      </c>
      <c r="J975" s="8" t="s">
        <v>8018</v>
      </c>
      <c r="K975" s="8" t="s">
        <v>29</v>
      </c>
      <c r="L975" s="8" t="s">
        <v>29</v>
      </c>
      <c r="M975" s="10" t="s">
        <v>29</v>
      </c>
      <c r="N975" s="8" t="s">
        <v>29</v>
      </c>
      <c r="O975" s="10" t="s">
        <v>19</v>
      </c>
      <c r="P975" s="8" t="s">
        <v>8145</v>
      </c>
      <c r="Q975" s="10" t="s">
        <v>776</v>
      </c>
      <c r="R975" s="10" t="s">
        <v>1608</v>
      </c>
      <c r="S975" s="8" t="s">
        <v>8146</v>
      </c>
      <c r="T975" s="10" t="s">
        <v>8021</v>
      </c>
      <c r="U975" s="10" t="s">
        <v>29</v>
      </c>
    </row>
    <row r="976" spans="1:21" s="10" customFormat="1" x14ac:dyDescent="0.25">
      <c r="A976" s="10" t="s">
        <v>8147</v>
      </c>
      <c r="B976" s="10" t="s">
        <v>8012</v>
      </c>
      <c r="C976" s="11" t="s">
        <v>297</v>
      </c>
      <c r="D976" s="10" t="s">
        <v>8148</v>
      </c>
      <c r="E976" s="8" t="s">
        <v>8149</v>
      </c>
      <c r="F976" s="8" t="s">
        <v>8150</v>
      </c>
      <c r="G976" s="10" t="s">
        <v>29</v>
      </c>
      <c r="H976" s="8" t="s">
        <v>8151</v>
      </c>
      <c r="I976" s="10" t="s">
        <v>2825</v>
      </c>
      <c r="J976" s="8" t="s">
        <v>8018</v>
      </c>
      <c r="K976" s="8" t="s">
        <v>29</v>
      </c>
      <c r="L976" s="8" t="s">
        <v>29</v>
      </c>
      <c r="M976" s="10" t="s">
        <v>29</v>
      </c>
      <c r="N976" s="8" t="s">
        <v>29</v>
      </c>
      <c r="O976" s="10" t="s">
        <v>19</v>
      </c>
      <c r="P976" s="8" t="s">
        <v>8152</v>
      </c>
      <c r="Q976" s="10" t="s">
        <v>776</v>
      </c>
      <c r="R976" s="10" t="s">
        <v>1608</v>
      </c>
      <c r="S976" s="8" t="s">
        <v>8153</v>
      </c>
      <c r="T976" s="10" t="s">
        <v>8021</v>
      </c>
      <c r="U976" s="10" t="s">
        <v>29</v>
      </c>
    </row>
    <row r="977" spans="1:21" s="10" customFormat="1" x14ac:dyDescent="0.25">
      <c r="A977" s="10" t="s">
        <v>8154</v>
      </c>
      <c r="B977" s="10" t="s">
        <v>8012</v>
      </c>
      <c r="C977" s="11" t="s">
        <v>297</v>
      </c>
      <c r="D977" s="10" t="s">
        <v>8155</v>
      </c>
      <c r="E977" s="8" t="s">
        <v>8156</v>
      </c>
      <c r="F977" s="8" t="s">
        <v>8157</v>
      </c>
      <c r="G977" s="10" t="s">
        <v>29</v>
      </c>
      <c r="H977" s="8" t="s">
        <v>8158</v>
      </c>
      <c r="I977" s="10" t="s">
        <v>4493</v>
      </c>
      <c r="J977" s="8" t="s">
        <v>8018</v>
      </c>
      <c r="K977" s="8" t="s">
        <v>29</v>
      </c>
      <c r="L977" s="8" t="s">
        <v>29</v>
      </c>
      <c r="M977" s="10" t="s">
        <v>29</v>
      </c>
      <c r="N977" s="8" t="s">
        <v>29</v>
      </c>
      <c r="O977" s="10" t="s">
        <v>19</v>
      </c>
      <c r="P977" s="8" t="s">
        <v>8159</v>
      </c>
      <c r="Q977" s="10" t="s">
        <v>776</v>
      </c>
      <c r="R977" s="10" t="s">
        <v>1608</v>
      </c>
      <c r="S977" s="8" t="s">
        <v>8160</v>
      </c>
      <c r="T977" s="10" t="s">
        <v>8021</v>
      </c>
      <c r="U977" s="10" t="s">
        <v>29</v>
      </c>
    </row>
    <row r="978" spans="1:21" s="10" customFormat="1" x14ac:dyDescent="0.25">
      <c r="A978" s="10" t="s">
        <v>8161</v>
      </c>
      <c r="B978" s="10" t="s">
        <v>8012</v>
      </c>
      <c r="C978" s="11" t="s">
        <v>297</v>
      </c>
      <c r="D978" s="10" t="s">
        <v>8162</v>
      </c>
      <c r="E978" s="8" t="s">
        <v>8163</v>
      </c>
      <c r="F978" s="8" t="s">
        <v>8164</v>
      </c>
      <c r="G978" s="10" t="s">
        <v>29</v>
      </c>
      <c r="H978" s="8" t="s">
        <v>8165</v>
      </c>
      <c r="I978" s="10" t="s">
        <v>8017</v>
      </c>
      <c r="J978" s="8" t="s">
        <v>8018</v>
      </c>
      <c r="K978" s="8" t="s">
        <v>29</v>
      </c>
      <c r="L978" s="8" t="s">
        <v>29</v>
      </c>
      <c r="M978" s="10" t="s">
        <v>29</v>
      </c>
      <c r="N978" s="8" t="s">
        <v>29</v>
      </c>
      <c r="O978" s="10" t="s">
        <v>19</v>
      </c>
      <c r="P978" s="8" t="s">
        <v>8166</v>
      </c>
      <c r="Q978" s="10" t="s">
        <v>776</v>
      </c>
      <c r="R978" s="10" t="s">
        <v>1387</v>
      </c>
      <c r="S978" s="8" t="s">
        <v>8167</v>
      </c>
      <c r="T978" s="10" t="s">
        <v>8021</v>
      </c>
      <c r="U978" s="10" t="s">
        <v>29</v>
      </c>
    </row>
    <row r="979" spans="1:21" s="10" customFormat="1" x14ac:dyDescent="0.25">
      <c r="A979" s="10" t="s">
        <v>8168</v>
      </c>
      <c r="B979" s="10" t="s">
        <v>8012</v>
      </c>
      <c r="C979" s="11" t="s">
        <v>297</v>
      </c>
      <c r="D979" s="10" t="s">
        <v>8169</v>
      </c>
      <c r="E979" s="8" t="s">
        <v>8170</v>
      </c>
      <c r="F979" s="8" t="s">
        <v>8171</v>
      </c>
      <c r="G979" s="10" t="s">
        <v>29</v>
      </c>
      <c r="H979" s="8" t="s">
        <v>8172</v>
      </c>
      <c r="I979" s="10" t="s">
        <v>308</v>
      </c>
      <c r="J979" s="8" t="s">
        <v>8018</v>
      </c>
      <c r="K979" s="8" t="s">
        <v>29</v>
      </c>
      <c r="L979" s="8" t="s">
        <v>29</v>
      </c>
      <c r="M979" s="10" t="s">
        <v>29</v>
      </c>
      <c r="N979" s="8" t="s">
        <v>29</v>
      </c>
      <c r="O979" s="10" t="s">
        <v>19</v>
      </c>
      <c r="P979" s="8" t="s">
        <v>8173</v>
      </c>
      <c r="Q979" s="10" t="s">
        <v>776</v>
      </c>
      <c r="R979" s="10" t="s">
        <v>8174</v>
      </c>
      <c r="S979" s="8" t="s">
        <v>8175</v>
      </c>
      <c r="T979" s="10" t="s">
        <v>8021</v>
      </c>
      <c r="U979" s="10" t="s">
        <v>29</v>
      </c>
    </row>
    <row r="980" spans="1:21" s="10" customFormat="1" x14ac:dyDescent="0.25">
      <c r="A980" s="10" t="s">
        <v>8176</v>
      </c>
      <c r="B980" s="10" t="s">
        <v>8012</v>
      </c>
      <c r="C980" s="11" t="s">
        <v>297</v>
      </c>
      <c r="D980" s="10" t="s">
        <v>8177</v>
      </c>
      <c r="E980" s="8" t="s">
        <v>8178</v>
      </c>
      <c r="F980" s="8" t="s">
        <v>8179</v>
      </c>
      <c r="G980" s="10" t="s">
        <v>29</v>
      </c>
      <c r="H980" s="8" t="s">
        <v>8172</v>
      </c>
      <c r="I980" s="10" t="s">
        <v>8113</v>
      </c>
      <c r="J980" s="8" t="s">
        <v>8018</v>
      </c>
      <c r="K980" s="8" t="s">
        <v>29</v>
      </c>
      <c r="L980" s="8" t="s">
        <v>29</v>
      </c>
      <c r="M980" s="10" t="s">
        <v>29</v>
      </c>
      <c r="N980" s="8" t="s">
        <v>29</v>
      </c>
      <c r="O980" s="10" t="s">
        <v>19</v>
      </c>
      <c r="P980" s="8" t="s">
        <v>8180</v>
      </c>
      <c r="Q980" s="10" t="s">
        <v>776</v>
      </c>
      <c r="R980" s="10" t="s">
        <v>8174</v>
      </c>
      <c r="S980" s="8" t="s">
        <v>8181</v>
      </c>
      <c r="T980" s="10" t="s">
        <v>8021</v>
      </c>
      <c r="U980" s="10" t="s">
        <v>29</v>
      </c>
    </row>
    <row r="981" spans="1:21" s="10" customFormat="1" x14ac:dyDescent="0.25">
      <c r="A981" s="10" t="s">
        <v>8182</v>
      </c>
      <c r="B981" s="10" t="s">
        <v>8012</v>
      </c>
      <c r="C981" s="11" t="s">
        <v>297</v>
      </c>
      <c r="D981" s="10" t="s">
        <v>8183</v>
      </c>
      <c r="E981" s="8" t="s">
        <v>8184</v>
      </c>
      <c r="F981" s="8" t="s">
        <v>8185</v>
      </c>
      <c r="G981" s="10" t="s">
        <v>29</v>
      </c>
      <c r="H981" s="8" t="s">
        <v>8186</v>
      </c>
      <c r="I981" s="10" t="s">
        <v>8187</v>
      </c>
      <c r="J981" s="8" t="s">
        <v>8018</v>
      </c>
      <c r="K981" s="8" t="s">
        <v>29</v>
      </c>
      <c r="L981" s="8" t="s">
        <v>29</v>
      </c>
      <c r="M981" s="10" t="s">
        <v>29</v>
      </c>
      <c r="N981" s="8" t="s">
        <v>29</v>
      </c>
      <c r="O981" s="10" t="s">
        <v>19</v>
      </c>
      <c r="P981" s="8" t="s">
        <v>8188</v>
      </c>
      <c r="Q981" s="10" t="s">
        <v>776</v>
      </c>
      <c r="R981" s="10" t="s">
        <v>1608</v>
      </c>
      <c r="S981" s="8" t="s">
        <v>8189</v>
      </c>
      <c r="T981" s="10" t="s">
        <v>8021</v>
      </c>
      <c r="U981" s="10" t="s">
        <v>29</v>
      </c>
    </row>
    <row r="982" spans="1:21" s="10" customFormat="1" x14ac:dyDescent="0.25">
      <c r="A982" s="10" t="s">
        <v>8190</v>
      </c>
      <c r="B982" s="10" t="s">
        <v>8012</v>
      </c>
      <c r="C982" s="11" t="s">
        <v>297</v>
      </c>
      <c r="D982" s="10" t="s">
        <v>8191</v>
      </c>
      <c r="E982" s="8" t="s">
        <v>8192</v>
      </c>
      <c r="F982" s="8" t="s">
        <v>8193</v>
      </c>
      <c r="G982" s="10" t="s">
        <v>29</v>
      </c>
      <c r="H982" s="8" t="s">
        <v>8194</v>
      </c>
      <c r="I982" s="10" t="s">
        <v>8008</v>
      </c>
      <c r="J982" s="8" t="s">
        <v>8018</v>
      </c>
      <c r="K982" s="8" t="s">
        <v>29</v>
      </c>
      <c r="L982" s="8" t="s">
        <v>29</v>
      </c>
      <c r="M982" s="10" t="s">
        <v>29</v>
      </c>
      <c r="N982" s="8" t="s">
        <v>29</v>
      </c>
      <c r="O982" s="10" t="s">
        <v>19</v>
      </c>
      <c r="P982" s="8" t="s">
        <v>8195</v>
      </c>
      <c r="Q982" s="10" t="s">
        <v>776</v>
      </c>
      <c r="R982" s="10" t="s">
        <v>1608</v>
      </c>
      <c r="S982" s="8" t="s">
        <v>8196</v>
      </c>
      <c r="T982" s="10" t="s">
        <v>8021</v>
      </c>
      <c r="U982" s="10" t="s">
        <v>29</v>
      </c>
    </row>
    <row r="983" spans="1:21" s="10" customFormat="1" x14ac:dyDescent="0.25">
      <c r="A983" s="10" t="s">
        <v>8197</v>
      </c>
      <c r="B983" s="10" t="s">
        <v>8012</v>
      </c>
      <c r="C983" s="11" t="s">
        <v>297</v>
      </c>
      <c r="D983" s="10" t="s">
        <v>8198</v>
      </c>
      <c r="E983" s="8" t="s">
        <v>8199</v>
      </c>
      <c r="F983" s="8" t="s">
        <v>8200</v>
      </c>
      <c r="G983" s="10" t="s">
        <v>29</v>
      </c>
      <c r="H983" s="8" t="s">
        <v>8201</v>
      </c>
      <c r="I983" s="10" t="s">
        <v>8202</v>
      </c>
      <c r="J983" s="8" t="s">
        <v>8018</v>
      </c>
      <c r="K983" s="8" t="s">
        <v>29</v>
      </c>
      <c r="L983" s="8" t="s">
        <v>29</v>
      </c>
      <c r="M983" s="10" t="s">
        <v>29</v>
      </c>
      <c r="N983" s="8" t="s">
        <v>29</v>
      </c>
      <c r="O983" s="10" t="s">
        <v>19</v>
      </c>
      <c r="P983" s="8" t="s">
        <v>8203</v>
      </c>
      <c r="Q983" s="10" t="s">
        <v>776</v>
      </c>
      <c r="R983" s="10" t="s">
        <v>2749</v>
      </c>
      <c r="S983" s="8" t="s">
        <v>8204</v>
      </c>
      <c r="T983" s="10" t="s">
        <v>8021</v>
      </c>
      <c r="U983" s="10" t="s">
        <v>29</v>
      </c>
    </row>
    <row r="984" spans="1:21" s="10" customFormat="1" x14ac:dyDescent="0.25">
      <c r="A984" s="10" t="s">
        <v>8205</v>
      </c>
      <c r="B984" s="10" t="s">
        <v>8012</v>
      </c>
      <c r="C984" s="11" t="s">
        <v>297</v>
      </c>
      <c r="D984" s="10" t="s">
        <v>8206</v>
      </c>
      <c r="E984" s="8" t="s">
        <v>8207</v>
      </c>
      <c r="F984" s="8" t="s">
        <v>8200</v>
      </c>
      <c r="G984" s="10" t="s">
        <v>29</v>
      </c>
      <c r="H984" s="8" t="s">
        <v>8208</v>
      </c>
      <c r="I984" s="10" t="s">
        <v>8202</v>
      </c>
      <c r="J984" s="8" t="s">
        <v>8018</v>
      </c>
      <c r="K984" s="8" t="s">
        <v>29</v>
      </c>
      <c r="L984" s="8" t="s">
        <v>29</v>
      </c>
      <c r="M984" s="10" t="s">
        <v>29</v>
      </c>
      <c r="N984" s="8" t="s">
        <v>29</v>
      </c>
      <c r="O984" s="10" t="s">
        <v>19</v>
      </c>
      <c r="P984" s="8" t="s">
        <v>8209</v>
      </c>
      <c r="Q984" s="10" t="s">
        <v>776</v>
      </c>
      <c r="R984" s="10" t="s">
        <v>1617</v>
      </c>
      <c r="S984" s="8" t="s">
        <v>8204</v>
      </c>
      <c r="T984" s="10" t="s">
        <v>8021</v>
      </c>
      <c r="U984" s="10" t="s">
        <v>29</v>
      </c>
    </row>
    <row r="985" spans="1:21" s="10" customFormat="1" x14ac:dyDescent="0.25">
      <c r="A985" s="10" t="s">
        <v>8210</v>
      </c>
      <c r="B985" s="10" t="s">
        <v>8012</v>
      </c>
      <c r="C985" s="11" t="s">
        <v>297</v>
      </c>
      <c r="D985" s="10" t="s">
        <v>8211</v>
      </c>
      <c r="E985" s="8" t="s">
        <v>8212</v>
      </c>
      <c r="F985" s="8" t="s">
        <v>8200</v>
      </c>
      <c r="G985" s="10" t="s">
        <v>29</v>
      </c>
      <c r="H985" s="8" t="s">
        <v>8213</v>
      </c>
      <c r="I985" s="10" t="s">
        <v>8202</v>
      </c>
      <c r="J985" s="8" t="s">
        <v>8018</v>
      </c>
      <c r="K985" s="8" t="s">
        <v>29</v>
      </c>
      <c r="L985" s="8" t="s">
        <v>29</v>
      </c>
      <c r="M985" s="10" t="s">
        <v>29</v>
      </c>
      <c r="N985" s="8" t="s">
        <v>29</v>
      </c>
      <c r="O985" s="10" t="s">
        <v>19</v>
      </c>
      <c r="P985" s="8" t="s">
        <v>8214</v>
      </c>
      <c r="Q985" s="10" t="s">
        <v>776</v>
      </c>
      <c r="R985" s="10" t="s">
        <v>2122</v>
      </c>
      <c r="S985" s="8" t="s">
        <v>8204</v>
      </c>
      <c r="T985" s="10" t="s">
        <v>8021</v>
      </c>
      <c r="U985" s="10" t="s">
        <v>29</v>
      </c>
    </row>
    <row r="986" spans="1:21" s="10" customFormat="1" x14ac:dyDescent="0.25">
      <c r="A986" s="10" t="s">
        <v>8215</v>
      </c>
      <c r="B986" s="10" t="s">
        <v>8012</v>
      </c>
      <c r="C986" s="11" t="s">
        <v>297</v>
      </c>
      <c r="D986" s="10" t="s">
        <v>8216</v>
      </c>
      <c r="E986" s="8" t="s">
        <v>8217</v>
      </c>
      <c r="F986" s="8" t="s">
        <v>8200</v>
      </c>
      <c r="G986" s="10" t="s">
        <v>29</v>
      </c>
      <c r="H986" s="8" t="s">
        <v>8218</v>
      </c>
      <c r="I986" s="10" t="s">
        <v>8202</v>
      </c>
      <c r="J986" s="8" t="s">
        <v>8018</v>
      </c>
      <c r="K986" s="8" t="s">
        <v>29</v>
      </c>
      <c r="L986" s="8" t="s">
        <v>29</v>
      </c>
      <c r="M986" s="10" t="s">
        <v>29</v>
      </c>
      <c r="N986" s="8" t="s">
        <v>29</v>
      </c>
      <c r="O986" s="10" t="s">
        <v>19</v>
      </c>
      <c r="P986" s="8" t="s">
        <v>8219</v>
      </c>
      <c r="Q986" s="10" t="s">
        <v>776</v>
      </c>
      <c r="R986" s="10" t="s">
        <v>8220</v>
      </c>
      <c r="S986" s="8" t="s">
        <v>8204</v>
      </c>
      <c r="T986" s="10" t="s">
        <v>8021</v>
      </c>
      <c r="U986" s="10" t="s">
        <v>29</v>
      </c>
    </row>
    <row r="987" spans="1:21" s="10" customFormat="1" x14ac:dyDescent="0.25">
      <c r="A987" s="10" t="s">
        <v>8221</v>
      </c>
      <c r="B987" s="10" t="s">
        <v>8012</v>
      </c>
      <c r="C987" s="11" t="s">
        <v>297</v>
      </c>
      <c r="D987" s="10" t="s">
        <v>8222</v>
      </c>
      <c r="E987" s="8" t="s">
        <v>8223</v>
      </c>
      <c r="F987" s="8" t="s">
        <v>8200</v>
      </c>
      <c r="G987" s="10" t="s">
        <v>29</v>
      </c>
      <c r="H987" s="8" t="s">
        <v>8224</v>
      </c>
      <c r="I987" s="10" t="s">
        <v>8202</v>
      </c>
      <c r="J987" s="8" t="s">
        <v>8018</v>
      </c>
      <c r="K987" s="8" t="s">
        <v>29</v>
      </c>
      <c r="L987" s="8" t="s">
        <v>29</v>
      </c>
      <c r="M987" s="10" t="s">
        <v>29</v>
      </c>
      <c r="N987" s="8" t="s">
        <v>29</v>
      </c>
      <c r="O987" s="10" t="s">
        <v>19</v>
      </c>
      <c r="P987" s="8" t="s">
        <v>8225</v>
      </c>
      <c r="Q987" s="10" t="s">
        <v>776</v>
      </c>
      <c r="R987" s="10" t="s">
        <v>7013</v>
      </c>
      <c r="S987" s="8" t="s">
        <v>8204</v>
      </c>
      <c r="T987" s="10" t="s">
        <v>8021</v>
      </c>
      <c r="U987" s="10" t="s">
        <v>29</v>
      </c>
    </row>
    <row r="988" spans="1:21" s="10" customFormat="1" x14ac:dyDescent="0.25">
      <c r="A988" s="10" t="s">
        <v>8226</v>
      </c>
      <c r="B988" s="10" t="s">
        <v>8012</v>
      </c>
      <c r="C988" s="11" t="s">
        <v>297</v>
      </c>
      <c r="D988" s="10" t="s">
        <v>8227</v>
      </c>
      <c r="E988" s="8" t="s">
        <v>8228</v>
      </c>
      <c r="F988" s="8" t="s">
        <v>8200</v>
      </c>
      <c r="G988" s="10" t="s">
        <v>29</v>
      </c>
      <c r="H988" s="8" t="s">
        <v>8229</v>
      </c>
      <c r="I988" s="10" t="s">
        <v>8202</v>
      </c>
      <c r="J988" s="8" t="s">
        <v>8018</v>
      </c>
      <c r="K988" s="8" t="s">
        <v>29</v>
      </c>
      <c r="L988" s="8" t="s">
        <v>29</v>
      </c>
      <c r="M988" s="10" t="s">
        <v>29</v>
      </c>
      <c r="N988" s="8" t="s">
        <v>29</v>
      </c>
      <c r="O988" s="10" t="s">
        <v>19</v>
      </c>
      <c r="P988" s="8" t="s">
        <v>8230</v>
      </c>
      <c r="Q988" s="10" t="s">
        <v>776</v>
      </c>
      <c r="R988" s="10" t="s">
        <v>8231</v>
      </c>
      <c r="S988" s="8" t="s">
        <v>8204</v>
      </c>
      <c r="T988" s="10" t="s">
        <v>8021</v>
      </c>
      <c r="U988" s="10" t="s">
        <v>29</v>
      </c>
    </row>
    <row r="989" spans="1:21" s="10" customFormat="1" x14ac:dyDescent="0.25">
      <c r="A989" s="10" t="s">
        <v>8232</v>
      </c>
      <c r="B989" s="10" t="s">
        <v>8012</v>
      </c>
      <c r="C989" s="11" t="s">
        <v>297</v>
      </c>
      <c r="D989" s="10" t="s">
        <v>8233</v>
      </c>
      <c r="E989" s="8" t="s">
        <v>8234</v>
      </c>
      <c r="F989" s="8" t="s">
        <v>8200</v>
      </c>
      <c r="G989" s="10" t="s">
        <v>29</v>
      </c>
      <c r="H989" s="8" t="s">
        <v>8235</v>
      </c>
      <c r="I989" s="10" t="s">
        <v>8202</v>
      </c>
      <c r="J989" s="8" t="s">
        <v>8018</v>
      </c>
      <c r="K989" s="8" t="s">
        <v>29</v>
      </c>
      <c r="L989" s="8" t="s">
        <v>29</v>
      </c>
      <c r="M989" s="10" t="s">
        <v>29</v>
      </c>
      <c r="N989" s="8" t="s">
        <v>29</v>
      </c>
      <c r="O989" s="10" t="s">
        <v>19</v>
      </c>
      <c r="P989" s="8" t="s">
        <v>8236</v>
      </c>
      <c r="Q989" s="10" t="s">
        <v>776</v>
      </c>
      <c r="R989" s="10" t="s">
        <v>8237</v>
      </c>
      <c r="S989" s="8" t="s">
        <v>8204</v>
      </c>
      <c r="T989" s="10" t="s">
        <v>8021</v>
      </c>
      <c r="U989" s="10" t="s">
        <v>29</v>
      </c>
    </row>
    <row r="990" spans="1:21" s="10" customFormat="1" x14ac:dyDescent="0.25">
      <c r="A990" s="10" t="s">
        <v>8238</v>
      </c>
      <c r="B990" s="10" t="s">
        <v>8012</v>
      </c>
      <c r="C990" s="11" t="s">
        <v>297</v>
      </c>
      <c r="D990" s="10" t="s">
        <v>8239</v>
      </c>
      <c r="E990" s="8" t="s">
        <v>8240</v>
      </c>
      <c r="F990" s="8" t="s">
        <v>8200</v>
      </c>
      <c r="G990" s="10" t="s">
        <v>29</v>
      </c>
      <c r="H990" s="8" t="s">
        <v>8241</v>
      </c>
      <c r="I990" s="10" t="s">
        <v>8202</v>
      </c>
      <c r="J990" s="8" t="s">
        <v>8018</v>
      </c>
      <c r="K990" s="8" t="s">
        <v>29</v>
      </c>
      <c r="L990" s="8" t="s">
        <v>29</v>
      </c>
      <c r="M990" s="10" t="s">
        <v>29</v>
      </c>
      <c r="N990" s="8" t="s">
        <v>29</v>
      </c>
      <c r="O990" s="10" t="s">
        <v>19</v>
      </c>
      <c r="P990" s="8" t="s">
        <v>8242</v>
      </c>
      <c r="Q990" s="10" t="s">
        <v>776</v>
      </c>
      <c r="R990" s="10" t="s">
        <v>4933</v>
      </c>
      <c r="S990" s="8" t="s">
        <v>8204</v>
      </c>
      <c r="T990" s="10" t="s">
        <v>8021</v>
      </c>
      <c r="U990" s="10" t="s">
        <v>29</v>
      </c>
    </row>
    <row r="991" spans="1:21" s="10" customFormat="1" x14ac:dyDescent="0.25">
      <c r="A991" s="10" t="s">
        <v>8243</v>
      </c>
      <c r="B991" s="10" t="s">
        <v>8012</v>
      </c>
      <c r="C991" s="11" t="s">
        <v>297</v>
      </c>
      <c r="D991" s="10" t="s">
        <v>8244</v>
      </c>
      <c r="E991" s="8" t="s">
        <v>8245</v>
      </c>
      <c r="F991" s="8" t="s">
        <v>8200</v>
      </c>
      <c r="G991" s="10" t="s">
        <v>29</v>
      </c>
      <c r="H991" s="8" t="s">
        <v>8246</v>
      </c>
      <c r="I991" s="10" t="s">
        <v>8202</v>
      </c>
      <c r="J991" s="8" t="s">
        <v>8018</v>
      </c>
      <c r="K991" s="8" t="s">
        <v>29</v>
      </c>
      <c r="L991" s="8" t="s">
        <v>29</v>
      </c>
      <c r="M991" s="10" t="s">
        <v>29</v>
      </c>
      <c r="N991" s="8" t="s">
        <v>29</v>
      </c>
      <c r="O991" s="10" t="s">
        <v>19</v>
      </c>
      <c r="P991" s="8" t="s">
        <v>8247</v>
      </c>
      <c r="Q991" s="10" t="s">
        <v>776</v>
      </c>
      <c r="R991" s="10" t="s">
        <v>8248</v>
      </c>
      <c r="S991" s="8" t="s">
        <v>8204</v>
      </c>
      <c r="T991" s="10" t="s">
        <v>8021</v>
      </c>
      <c r="U991" s="10" t="s">
        <v>29</v>
      </c>
    </row>
    <row r="992" spans="1:21" s="10" customFormat="1" x14ac:dyDescent="0.25">
      <c r="A992" s="10" t="s">
        <v>8249</v>
      </c>
      <c r="B992" s="10" t="s">
        <v>8012</v>
      </c>
      <c r="C992" s="11" t="s">
        <v>297</v>
      </c>
      <c r="D992" s="10" t="s">
        <v>8250</v>
      </c>
      <c r="E992" s="8" t="s">
        <v>8251</v>
      </c>
      <c r="F992" s="8" t="s">
        <v>8200</v>
      </c>
      <c r="G992" s="10" t="s">
        <v>29</v>
      </c>
      <c r="H992" s="8" t="s">
        <v>8252</v>
      </c>
      <c r="I992" s="10" t="s">
        <v>8202</v>
      </c>
      <c r="J992" s="8" t="s">
        <v>8018</v>
      </c>
      <c r="K992" s="8" t="s">
        <v>29</v>
      </c>
      <c r="L992" s="8" t="s">
        <v>29</v>
      </c>
      <c r="M992" s="10" t="s">
        <v>29</v>
      </c>
      <c r="N992" s="8" t="s">
        <v>29</v>
      </c>
      <c r="O992" s="10" t="s">
        <v>19</v>
      </c>
      <c r="P992" s="8" t="s">
        <v>8253</v>
      </c>
      <c r="Q992" s="10" t="s">
        <v>776</v>
      </c>
      <c r="R992" s="10" t="s">
        <v>7439</v>
      </c>
      <c r="S992" s="8" t="s">
        <v>8204</v>
      </c>
      <c r="T992" s="10" t="s">
        <v>8021</v>
      </c>
      <c r="U992" s="10" t="s">
        <v>29</v>
      </c>
    </row>
    <row r="993" spans="1:21" s="10" customFormat="1" x14ac:dyDescent="0.25">
      <c r="A993" s="10" t="s">
        <v>8254</v>
      </c>
      <c r="B993" s="10" t="s">
        <v>8012</v>
      </c>
      <c r="C993" s="11" t="s">
        <v>297</v>
      </c>
      <c r="D993" s="10" t="s">
        <v>8255</v>
      </c>
      <c r="E993" s="8" t="s">
        <v>8256</v>
      </c>
      <c r="F993" s="8" t="s">
        <v>8200</v>
      </c>
      <c r="G993" s="10" t="s">
        <v>29</v>
      </c>
      <c r="H993" s="8" t="s">
        <v>8257</v>
      </c>
      <c r="I993" s="10" t="s">
        <v>8202</v>
      </c>
      <c r="J993" s="8" t="s">
        <v>8018</v>
      </c>
      <c r="K993" s="8" t="s">
        <v>29</v>
      </c>
      <c r="L993" s="8" t="s">
        <v>29</v>
      </c>
      <c r="M993" s="10" t="s">
        <v>29</v>
      </c>
      <c r="N993" s="8" t="s">
        <v>29</v>
      </c>
      <c r="O993" s="10" t="s">
        <v>19</v>
      </c>
      <c r="P993" s="8" t="s">
        <v>8258</v>
      </c>
      <c r="Q993" s="10" t="s">
        <v>776</v>
      </c>
      <c r="R993" s="10" t="s">
        <v>8259</v>
      </c>
      <c r="S993" s="8" t="s">
        <v>8204</v>
      </c>
      <c r="T993" s="10" t="s">
        <v>8021</v>
      </c>
      <c r="U993" s="10" t="s">
        <v>29</v>
      </c>
    </row>
    <row r="994" spans="1:21" s="10" customFormat="1" x14ac:dyDescent="0.25">
      <c r="A994" s="10" t="s">
        <v>8260</v>
      </c>
      <c r="B994" s="10" t="s">
        <v>8012</v>
      </c>
      <c r="C994" s="11" t="s">
        <v>297</v>
      </c>
      <c r="D994" s="10" t="s">
        <v>8261</v>
      </c>
      <c r="E994" s="8" t="s">
        <v>8262</v>
      </c>
      <c r="F994" s="8" t="s">
        <v>8200</v>
      </c>
      <c r="G994" s="10" t="s">
        <v>29</v>
      </c>
      <c r="H994" s="8" t="s">
        <v>8263</v>
      </c>
      <c r="I994" s="10" t="s">
        <v>8202</v>
      </c>
      <c r="J994" s="8" t="s">
        <v>8018</v>
      </c>
      <c r="K994" s="8" t="s">
        <v>29</v>
      </c>
      <c r="L994" s="8" t="s">
        <v>29</v>
      </c>
      <c r="M994" s="10" t="s">
        <v>29</v>
      </c>
      <c r="N994" s="8" t="s">
        <v>29</v>
      </c>
      <c r="O994" s="10" t="s">
        <v>19</v>
      </c>
      <c r="P994" s="8" t="s">
        <v>8264</v>
      </c>
      <c r="Q994" s="10" t="s">
        <v>776</v>
      </c>
      <c r="R994" s="10" t="s">
        <v>8265</v>
      </c>
      <c r="S994" s="8" t="s">
        <v>8204</v>
      </c>
      <c r="T994" s="10" t="s">
        <v>8021</v>
      </c>
      <c r="U994" s="10" t="s">
        <v>29</v>
      </c>
    </row>
    <row r="995" spans="1:21" s="10" customFormat="1" x14ac:dyDescent="0.25">
      <c r="A995" s="10" t="s">
        <v>8266</v>
      </c>
      <c r="B995" s="10" t="s">
        <v>8012</v>
      </c>
      <c r="C995" s="11" t="s">
        <v>297</v>
      </c>
      <c r="D995" s="10" t="s">
        <v>8267</v>
      </c>
      <c r="E995" s="8" t="s">
        <v>8268</v>
      </c>
      <c r="F995" s="8" t="s">
        <v>8200</v>
      </c>
      <c r="G995" s="10" t="s">
        <v>29</v>
      </c>
      <c r="H995" s="8" t="s">
        <v>8269</v>
      </c>
      <c r="I995" s="10" t="s">
        <v>8202</v>
      </c>
      <c r="J995" s="8" t="s">
        <v>8018</v>
      </c>
      <c r="K995" s="8" t="s">
        <v>29</v>
      </c>
      <c r="L995" s="8" t="s">
        <v>29</v>
      </c>
      <c r="M995" s="10" t="s">
        <v>29</v>
      </c>
      <c r="N995" s="8" t="s">
        <v>29</v>
      </c>
      <c r="O995" s="10" t="s">
        <v>19</v>
      </c>
      <c r="P995" s="8" t="s">
        <v>8270</v>
      </c>
      <c r="Q995" s="10" t="s">
        <v>776</v>
      </c>
      <c r="R995" s="10" t="s">
        <v>8271</v>
      </c>
      <c r="S995" s="8" t="s">
        <v>8204</v>
      </c>
      <c r="T995" s="10" t="s">
        <v>8021</v>
      </c>
      <c r="U995" s="10" t="s">
        <v>29</v>
      </c>
    </row>
    <row r="996" spans="1:21" s="10" customFormat="1" x14ac:dyDescent="0.25">
      <c r="A996" s="10" t="s">
        <v>8272</v>
      </c>
      <c r="B996" s="10" t="s">
        <v>8012</v>
      </c>
      <c r="C996" s="11" t="s">
        <v>297</v>
      </c>
      <c r="D996" s="10" t="s">
        <v>8273</v>
      </c>
      <c r="E996" s="8" t="s">
        <v>8274</v>
      </c>
      <c r="F996" s="8" t="s">
        <v>8200</v>
      </c>
      <c r="G996" s="10" t="s">
        <v>29</v>
      </c>
      <c r="H996" s="8" t="s">
        <v>8275</v>
      </c>
      <c r="I996" s="10" t="s">
        <v>8202</v>
      </c>
      <c r="J996" s="8" t="s">
        <v>8018</v>
      </c>
      <c r="K996" s="8" t="s">
        <v>29</v>
      </c>
      <c r="L996" s="8" t="s">
        <v>29</v>
      </c>
      <c r="M996" s="10" t="s">
        <v>29</v>
      </c>
      <c r="N996" s="8" t="s">
        <v>29</v>
      </c>
      <c r="O996" s="10" t="s">
        <v>19</v>
      </c>
      <c r="P996" s="8" t="s">
        <v>8276</v>
      </c>
      <c r="Q996" s="10" t="s">
        <v>776</v>
      </c>
      <c r="R996" s="10" t="s">
        <v>7225</v>
      </c>
      <c r="S996" s="8" t="s">
        <v>8204</v>
      </c>
      <c r="T996" s="10" t="s">
        <v>8021</v>
      </c>
      <c r="U996" s="10" t="s">
        <v>29</v>
      </c>
    </row>
    <row r="997" spans="1:21" s="10" customFormat="1" x14ac:dyDescent="0.25">
      <c r="A997" s="10" t="s">
        <v>8277</v>
      </c>
      <c r="B997" s="10" t="s">
        <v>8012</v>
      </c>
      <c r="C997" s="11" t="s">
        <v>297</v>
      </c>
      <c r="D997" s="10" t="s">
        <v>8278</v>
      </c>
      <c r="E997" s="8" t="s">
        <v>8279</v>
      </c>
      <c r="F997" s="8" t="s">
        <v>8280</v>
      </c>
      <c r="G997" s="10" t="s">
        <v>29</v>
      </c>
      <c r="H997" s="8" t="s">
        <v>8281</v>
      </c>
      <c r="I997" s="10" t="s">
        <v>8202</v>
      </c>
      <c r="J997" s="8" t="s">
        <v>8018</v>
      </c>
      <c r="K997" s="8" t="s">
        <v>29</v>
      </c>
      <c r="L997" s="8" t="s">
        <v>29</v>
      </c>
      <c r="M997" s="10" t="s">
        <v>29</v>
      </c>
      <c r="N997" s="8" t="s">
        <v>29</v>
      </c>
      <c r="O997" s="10" t="s">
        <v>19</v>
      </c>
      <c r="P997" s="8" t="s">
        <v>8282</v>
      </c>
      <c r="Q997" s="10" t="s">
        <v>776</v>
      </c>
      <c r="R997" s="10" t="s">
        <v>1387</v>
      </c>
      <c r="S997" s="8" t="s">
        <v>8283</v>
      </c>
      <c r="T997" s="10" t="s">
        <v>8021</v>
      </c>
      <c r="U997" s="10" t="s">
        <v>29</v>
      </c>
    </row>
    <row r="998" spans="1:21" s="10" customFormat="1" x14ac:dyDescent="0.25">
      <c r="A998" s="10" t="s">
        <v>8284</v>
      </c>
      <c r="B998" s="10" t="s">
        <v>8012</v>
      </c>
      <c r="C998" s="11" t="s">
        <v>297</v>
      </c>
      <c r="D998" s="10" t="s">
        <v>8285</v>
      </c>
      <c r="E998" s="8" t="s">
        <v>8286</v>
      </c>
      <c r="F998" s="8" t="s">
        <v>8287</v>
      </c>
      <c r="G998" s="10" t="s">
        <v>29</v>
      </c>
      <c r="H998" s="8" t="s">
        <v>8201</v>
      </c>
      <c r="I998" s="10" t="s">
        <v>8288</v>
      </c>
      <c r="J998" s="8" t="s">
        <v>8018</v>
      </c>
      <c r="K998" s="8" t="s">
        <v>29</v>
      </c>
      <c r="L998" s="8" t="s">
        <v>29</v>
      </c>
      <c r="M998" s="10" t="s">
        <v>29</v>
      </c>
      <c r="N998" s="8" t="s">
        <v>29</v>
      </c>
      <c r="O998" s="10" t="s">
        <v>19</v>
      </c>
      <c r="P998" s="8" t="s">
        <v>8289</v>
      </c>
      <c r="Q998" s="10" t="s">
        <v>776</v>
      </c>
      <c r="R998" s="10" t="s">
        <v>2749</v>
      </c>
      <c r="S998" s="8" t="s">
        <v>8290</v>
      </c>
      <c r="T998" s="10" t="s">
        <v>8021</v>
      </c>
      <c r="U998" s="10" t="s">
        <v>29</v>
      </c>
    </row>
    <row r="999" spans="1:21" s="10" customFormat="1" x14ac:dyDescent="0.25">
      <c r="A999" s="10" t="s">
        <v>8291</v>
      </c>
      <c r="B999" s="10" t="s">
        <v>8012</v>
      </c>
      <c r="C999" s="11" t="s">
        <v>297</v>
      </c>
      <c r="D999" s="10" t="s">
        <v>8292</v>
      </c>
      <c r="E999" s="8" t="s">
        <v>8293</v>
      </c>
      <c r="F999" s="8" t="s">
        <v>8294</v>
      </c>
      <c r="G999" s="10" t="s">
        <v>29</v>
      </c>
      <c r="H999" s="8" t="s">
        <v>8201</v>
      </c>
      <c r="I999" s="10" t="s">
        <v>8295</v>
      </c>
      <c r="J999" s="8" t="s">
        <v>8018</v>
      </c>
      <c r="K999" s="8" t="s">
        <v>29</v>
      </c>
      <c r="L999" s="8" t="s">
        <v>29</v>
      </c>
      <c r="M999" s="10" t="s">
        <v>29</v>
      </c>
      <c r="N999" s="8" t="s">
        <v>29</v>
      </c>
      <c r="O999" s="10" t="s">
        <v>19</v>
      </c>
      <c r="P999" s="8" t="s">
        <v>8296</v>
      </c>
      <c r="Q999" s="10" t="s">
        <v>776</v>
      </c>
      <c r="R999" s="10" t="s">
        <v>2749</v>
      </c>
      <c r="S999" s="8" t="s">
        <v>8297</v>
      </c>
      <c r="T999" s="10" t="s">
        <v>8021</v>
      </c>
      <c r="U999" s="10" t="s">
        <v>29</v>
      </c>
    </row>
    <row r="1000" spans="1:21" s="10" customFormat="1" x14ac:dyDescent="0.25">
      <c r="A1000" s="10" t="s">
        <v>8298</v>
      </c>
      <c r="B1000" s="10" t="s">
        <v>8012</v>
      </c>
      <c r="C1000" s="11" t="s">
        <v>297</v>
      </c>
      <c r="D1000" s="10" t="s">
        <v>8299</v>
      </c>
      <c r="E1000" s="8" t="s">
        <v>8300</v>
      </c>
      <c r="F1000" s="8" t="s">
        <v>8301</v>
      </c>
      <c r="G1000" s="10" t="s">
        <v>29</v>
      </c>
      <c r="H1000" s="8" t="s">
        <v>8201</v>
      </c>
      <c r="I1000" s="10" t="s">
        <v>8302</v>
      </c>
      <c r="J1000" s="8" t="s">
        <v>8018</v>
      </c>
      <c r="K1000" s="8" t="s">
        <v>29</v>
      </c>
      <c r="L1000" s="8" t="s">
        <v>29</v>
      </c>
      <c r="M1000" s="10" t="s">
        <v>29</v>
      </c>
      <c r="N1000" s="8" t="s">
        <v>29</v>
      </c>
      <c r="O1000" s="10" t="s">
        <v>19</v>
      </c>
      <c r="P1000" s="8" t="s">
        <v>8303</v>
      </c>
      <c r="Q1000" s="10" t="s">
        <v>776</v>
      </c>
      <c r="R1000" s="10" t="s">
        <v>2749</v>
      </c>
      <c r="S1000" s="8" t="s">
        <v>8304</v>
      </c>
      <c r="T1000" s="10" t="s">
        <v>8021</v>
      </c>
      <c r="U1000" s="10" t="s">
        <v>29</v>
      </c>
    </row>
    <row r="1001" spans="1:21" s="10" customFormat="1" x14ac:dyDescent="0.25">
      <c r="A1001" s="10" t="s">
        <v>8305</v>
      </c>
      <c r="B1001" s="10" t="s">
        <v>8012</v>
      </c>
      <c r="C1001" s="11" t="s">
        <v>297</v>
      </c>
      <c r="D1001" s="10" t="s">
        <v>8306</v>
      </c>
      <c r="E1001" s="8" t="s">
        <v>8307</v>
      </c>
      <c r="F1001" s="8" t="s">
        <v>8308</v>
      </c>
      <c r="G1001" s="10" t="s">
        <v>29</v>
      </c>
      <c r="H1001" s="8" t="s">
        <v>8309</v>
      </c>
      <c r="I1001" s="10" t="s">
        <v>8310</v>
      </c>
      <c r="J1001" s="8" t="s">
        <v>8018</v>
      </c>
      <c r="K1001" s="8" t="s">
        <v>29</v>
      </c>
      <c r="L1001" s="8" t="s">
        <v>29</v>
      </c>
      <c r="M1001" s="10" t="s">
        <v>29</v>
      </c>
      <c r="N1001" s="8" t="s">
        <v>29</v>
      </c>
      <c r="O1001" s="10" t="s">
        <v>19</v>
      </c>
      <c r="P1001" s="8" t="s">
        <v>8311</v>
      </c>
      <c r="Q1001" s="10" t="s">
        <v>776</v>
      </c>
      <c r="R1001" s="10" t="s">
        <v>1608</v>
      </c>
      <c r="S1001" s="8" t="s">
        <v>8312</v>
      </c>
      <c r="T1001" s="10" t="s">
        <v>8021</v>
      </c>
      <c r="U1001" s="10" t="s">
        <v>29</v>
      </c>
    </row>
    <row r="1002" spans="1:21" s="10" customFormat="1" x14ac:dyDescent="0.25">
      <c r="A1002" s="10" t="s">
        <v>8313</v>
      </c>
      <c r="B1002" s="10" t="s">
        <v>8012</v>
      </c>
      <c r="C1002" s="10" t="s">
        <v>166</v>
      </c>
      <c r="D1002" s="10" t="s">
        <v>8314</v>
      </c>
      <c r="E1002" s="8" t="s">
        <v>8315</v>
      </c>
      <c r="F1002" s="8" t="s">
        <v>8316</v>
      </c>
      <c r="G1002" s="10" t="s">
        <v>29</v>
      </c>
      <c r="H1002" s="8" t="s">
        <v>8317</v>
      </c>
      <c r="I1002" s="10" t="s">
        <v>8318</v>
      </c>
      <c r="J1002" s="8" t="s">
        <v>8018</v>
      </c>
      <c r="K1002" s="8" t="s">
        <v>29</v>
      </c>
      <c r="L1002" s="8" t="s">
        <v>29</v>
      </c>
      <c r="M1002" s="10" t="s">
        <v>29</v>
      </c>
      <c r="N1002" s="8" t="s">
        <v>29</v>
      </c>
      <c r="O1002" s="10" t="s">
        <v>19</v>
      </c>
      <c r="P1002" s="8" t="s">
        <v>8319</v>
      </c>
      <c r="Q1002" s="10" t="s">
        <v>776</v>
      </c>
      <c r="R1002" s="10" t="s">
        <v>1617</v>
      </c>
      <c r="S1002" s="8" t="s">
        <v>8320</v>
      </c>
      <c r="T1002" s="10" t="s">
        <v>8021</v>
      </c>
      <c r="U1002" s="10" t="s">
        <v>29</v>
      </c>
    </row>
    <row r="1003" spans="1:21" s="10" customFormat="1" x14ac:dyDescent="0.25">
      <c r="A1003" s="10" t="s">
        <v>8321</v>
      </c>
      <c r="B1003" s="10" t="s">
        <v>8322</v>
      </c>
      <c r="C1003" s="11" t="s">
        <v>297</v>
      </c>
      <c r="D1003" s="10" t="s">
        <v>8323</v>
      </c>
      <c r="E1003" s="8" t="s">
        <v>8324</v>
      </c>
      <c r="F1003" s="8" t="s">
        <v>8325</v>
      </c>
      <c r="G1003" s="10" t="s">
        <v>29</v>
      </c>
      <c r="H1003" s="8" t="s">
        <v>8326</v>
      </c>
      <c r="I1003" s="10" t="s">
        <v>8327</v>
      </c>
      <c r="J1003" s="8" t="s">
        <v>8328</v>
      </c>
      <c r="K1003" s="8" t="s">
        <v>29</v>
      </c>
      <c r="L1003" s="8" t="s">
        <v>29</v>
      </c>
      <c r="M1003" s="10" t="s">
        <v>29</v>
      </c>
      <c r="N1003" s="8" t="s">
        <v>29</v>
      </c>
      <c r="O1003" s="10" t="s">
        <v>19</v>
      </c>
      <c r="P1003" s="8" t="s">
        <v>8329</v>
      </c>
      <c r="Q1003" s="10" t="s">
        <v>1399</v>
      </c>
      <c r="R1003" s="10" t="s">
        <v>1387</v>
      </c>
      <c r="S1003" s="8" t="s">
        <v>8330</v>
      </c>
      <c r="T1003" s="10" t="s">
        <v>8331</v>
      </c>
      <c r="U1003" s="10" t="s">
        <v>29</v>
      </c>
    </row>
    <row r="1004" spans="1:21" s="10" customFormat="1" x14ac:dyDescent="0.25">
      <c r="A1004" s="10" t="s">
        <v>8332</v>
      </c>
      <c r="B1004" s="10" t="s">
        <v>8322</v>
      </c>
      <c r="C1004" s="11" t="s">
        <v>297</v>
      </c>
      <c r="D1004" s="10" t="s">
        <v>8333</v>
      </c>
      <c r="E1004" s="8" t="s">
        <v>8334</v>
      </c>
      <c r="F1004" s="8" t="s">
        <v>8335</v>
      </c>
      <c r="G1004" s="10" t="s">
        <v>29</v>
      </c>
      <c r="H1004" s="8" t="s">
        <v>8336</v>
      </c>
      <c r="I1004" s="10" t="s">
        <v>8327</v>
      </c>
      <c r="J1004" s="8" t="s">
        <v>8328</v>
      </c>
      <c r="K1004" s="8" t="s">
        <v>29</v>
      </c>
      <c r="L1004" s="8" t="s">
        <v>29</v>
      </c>
      <c r="M1004" s="10" t="s">
        <v>29</v>
      </c>
      <c r="N1004" s="8" t="s">
        <v>29</v>
      </c>
      <c r="O1004" s="10" t="s">
        <v>19</v>
      </c>
      <c r="P1004" s="8" t="s">
        <v>8337</v>
      </c>
      <c r="Q1004" s="10" t="s">
        <v>1399</v>
      </c>
      <c r="R1004" s="10" t="s">
        <v>1387</v>
      </c>
      <c r="S1004" s="8" t="s">
        <v>8338</v>
      </c>
      <c r="T1004" s="10" t="s">
        <v>8331</v>
      </c>
      <c r="U1004" s="10" t="s">
        <v>29</v>
      </c>
    </row>
    <row r="1005" spans="1:21" s="10" customFormat="1" x14ac:dyDescent="0.25">
      <c r="A1005" s="10" t="s">
        <v>8339</v>
      </c>
      <c r="B1005" s="10" t="s">
        <v>8322</v>
      </c>
      <c r="C1005" s="11" t="s">
        <v>297</v>
      </c>
      <c r="D1005" s="10" t="s">
        <v>8340</v>
      </c>
      <c r="E1005" s="8" t="s">
        <v>8341</v>
      </c>
      <c r="F1005" s="8" t="s">
        <v>8342</v>
      </c>
      <c r="G1005" s="10" t="s">
        <v>29</v>
      </c>
      <c r="H1005" s="8" t="s">
        <v>8343</v>
      </c>
      <c r="I1005" s="10" t="s">
        <v>8327</v>
      </c>
      <c r="J1005" s="8" t="s">
        <v>8328</v>
      </c>
      <c r="K1005" s="8" t="s">
        <v>29</v>
      </c>
      <c r="L1005" s="8" t="s">
        <v>29</v>
      </c>
      <c r="M1005" s="10" t="s">
        <v>29</v>
      </c>
      <c r="N1005" s="8" t="s">
        <v>29</v>
      </c>
      <c r="O1005" s="10" t="s">
        <v>19</v>
      </c>
      <c r="P1005" s="8" t="s">
        <v>8344</v>
      </c>
      <c r="Q1005" s="10" t="s">
        <v>1399</v>
      </c>
      <c r="R1005" s="10" t="s">
        <v>1387</v>
      </c>
      <c r="S1005" s="8" t="s">
        <v>8345</v>
      </c>
      <c r="T1005" s="10" t="s">
        <v>8331</v>
      </c>
      <c r="U1005" s="10" t="s">
        <v>29</v>
      </c>
    </row>
    <row r="1006" spans="1:21" s="10" customFormat="1" x14ac:dyDescent="0.25">
      <c r="A1006" s="10" t="s">
        <v>8346</v>
      </c>
      <c r="B1006" s="10" t="s">
        <v>8322</v>
      </c>
      <c r="C1006" s="11" t="s">
        <v>297</v>
      </c>
      <c r="D1006" s="10" t="s">
        <v>8347</v>
      </c>
      <c r="E1006" s="8" t="s">
        <v>8348</v>
      </c>
      <c r="F1006" s="8" t="s">
        <v>8349</v>
      </c>
      <c r="G1006" s="10" t="s">
        <v>29</v>
      </c>
      <c r="H1006" s="8" t="s">
        <v>8350</v>
      </c>
      <c r="I1006" s="10" t="s">
        <v>8327</v>
      </c>
      <c r="J1006" s="8" t="s">
        <v>8328</v>
      </c>
      <c r="K1006" s="8" t="s">
        <v>29</v>
      </c>
      <c r="L1006" s="8" t="s">
        <v>29</v>
      </c>
      <c r="M1006" s="10" t="s">
        <v>29</v>
      </c>
      <c r="N1006" s="8" t="s">
        <v>29</v>
      </c>
      <c r="O1006" s="10" t="s">
        <v>19</v>
      </c>
      <c r="P1006" s="8" t="s">
        <v>8351</v>
      </c>
      <c r="Q1006" s="10" t="s">
        <v>1399</v>
      </c>
      <c r="R1006" s="10" t="s">
        <v>1387</v>
      </c>
      <c r="S1006" s="8" t="s">
        <v>8352</v>
      </c>
      <c r="T1006" s="10" t="s">
        <v>8331</v>
      </c>
      <c r="U1006" s="10" t="s">
        <v>29</v>
      </c>
    </row>
    <row r="1007" spans="1:21" s="10" customFormat="1" x14ac:dyDescent="0.25">
      <c r="A1007" s="10" t="s">
        <v>8353</v>
      </c>
      <c r="B1007" s="10" t="s">
        <v>8322</v>
      </c>
      <c r="C1007" s="11" t="s">
        <v>297</v>
      </c>
      <c r="D1007" s="10" t="s">
        <v>8354</v>
      </c>
      <c r="E1007" s="8" t="s">
        <v>8355</v>
      </c>
      <c r="F1007" s="8" t="s">
        <v>8356</v>
      </c>
      <c r="G1007" s="10" t="s">
        <v>29</v>
      </c>
      <c r="H1007" s="8" t="s">
        <v>8357</v>
      </c>
      <c r="I1007" s="10" t="s">
        <v>8327</v>
      </c>
      <c r="J1007" s="8" t="s">
        <v>8328</v>
      </c>
      <c r="K1007" s="8" t="s">
        <v>29</v>
      </c>
      <c r="L1007" s="8" t="s">
        <v>29</v>
      </c>
      <c r="M1007" s="10" t="s">
        <v>29</v>
      </c>
      <c r="N1007" s="8" t="s">
        <v>29</v>
      </c>
      <c r="O1007" s="10" t="s">
        <v>19</v>
      </c>
      <c r="P1007" s="8" t="s">
        <v>8358</v>
      </c>
      <c r="Q1007" s="10" t="s">
        <v>1399</v>
      </c>
      <c r="R1007" s="10" t="s">
        <v>1387</v>
      </c>
      <c r="S1007" s="8" t="s">
        <v>8359</v>
      </c>
      <c r="T1007" s="10" t="s">
        <v>8331</v>
      </c>
      <c r="U1007" s="10" t="s">
        <v>29</v>
      </c>
    </row>
    <row r="1008" spans="1:21" s="10" customFormat="1" x14ac:dyDescent="0.25">
      <c r="A1008" s="10" t="s">
        <v>8360</v>
      </c>
      <c r="B1008" s="10" t="s">
        <v>8322</v>
      </c>
      <c r="C1008" s="11" t="s">
        <v>297</v>
      </c>
      <c r="D1008" s="10" t="s">
        <v>8361</v>
      </c>
      <c r="E1008" s="8" t="s">
        <v>8362</v>
      </c>
      <c r="F1008" s="8" t="s">
        <v>8363</v>
      </c>
      <c r="G1008" s="10" t="s">
        <v>29</v>
      </c>
      <c r="H1008" s="8" t="s">
        <v>8364</v>
      </c>
      <c r="I1008" s="10" t="s">
        <v>8327</v>
      </c>
      <c r="J1008" s="8" t="s">
        <v>8328</v>
      </c>
      <c r="K1008" s="8" t="s">
        <v>29</v>
      </c>
      <c r="L1008" s="8" t="s">
        <v>29</v>
      </c>
      <c r="M1008" s="10" t="s">
        <v>29</v>
      </c>
      <c r="N1008" s="8" t="s">
        <v>29</v>
      </c>
      <c r="O1008" s="10" t="s">
        <v>19</v>
      </c>
      <c r="P1008" s="8" t="s">
        <v>8365</v>
      </c>
      <c r="Q1008" s="10" t="s">
        <v>1399</v>
      </c>
      <c r="R1008" s="10" t="s">
        <v>1387</v>
      </c>
      <c r="S1008" s="8" t="s">
        <v>8366</v>
      </c>
      <c r="T1008" s="10" t="s">
        <v>8331</v>
      </c>
      <c r="U1008" s="10" t="s">
        <v>29</v>
      </c>
    </row>
    <row r="1009" spans="1:21" s="10" customFormat="1" x14ac:dyDescent="0.25">
      <c r="A1009" s="10" t="s">
        <v>8367</v>
      </c>
      <c r="B1009" s="10" t="s">
        <v>8322</v>
      </c>
      <c r="C1009" s="11" t="s">
        <v>297</v>
      </c>
      <c r="D1009" s="10" t="s">
        <v>8368</v>
      </c>
      <c r="E1009" s="8" t="s">
        <v>8369</v>
      </c>
      <c r="F1009" s="8" t="s">
        <v>8370</v>
      </c>
      <c r="G1009" s="10" t="s">
        <v>29</v>
      </c>
      <c r="H1009" s="8" t="s">
        <v>8371</v>
      </c>
      <c r="I1009" s="10" t="s">
        <v>8327</v>
      </c>
      <c r="J1009" s="8" t="s">
        <v>8328</v>
      </c>
      <c r="K1009" s="8" t="s">
        <v>29</v>
      </c>
      <c r="L1009" s="8" t="s">
        <v>29</v>
      </c>
      <c r="M1009" s="10" t="s">
        <v>29</v>
      </c>
      <c r="N1009" s="8" t="s">
        <v>29</v>
      </c>
      <c r="O1009" s="10" t="s">
        <v>19</v>
      </c>
      <c r="P1009" s="8" t="s">
        <v>8372</v>
      </c>
      <c r="Q1009" s="10" t="s">
        <v>1399</v>
      </c>
      <c r="R1009" s="10" t="s">
        <v>1387</v>
      </c>
      <c r="S1009" s="8" t="s">
        <v>8366</v>
      </c>
      <c r="T1009" s="10" t="s">
        <v>8331</v>
      </c>
      <c r="U1009" s="10" t="s">
        <v>29</v>
      </c>
    </row>
    <row r="1010" spans="1:21" s="10" customFormat="1" x14ac:dyDescent="0.25">
      <c r="A1010" s="10" t="s">
        <v>8373</v>
      </c>
      <c r="B1010" s="10" t="s">
        <v>8322</v>
      </c>
      <c r="C1010" s="11" t="s">
        <v>297</v>
      </c>
      <c r="D1010" s="10" t="s">
        <v>8374</v>
      </c>
      <c r="E1010" s="8" t="s">
        <v>8375</v>
      </c>
      <c r="F1010" s="8" t="s">
        <v>8376</v>
      </c>
      <c r="G1010" s="10" t="s">
        <v>29</v>
      </c>
      <c r="H1010" s="8" t="s">
        <v>8377</v>
      </c>
      <c r="I1010" s="10" t="s">
        <v>8327</v>
      </c>
      <c r="J1010" s="8" t="s">
        <v>8328</v>
      </c>
      <c r="K1010" s="8" t="s">
        <v>29</v>
      </c>
      <c r="L1010" s="8" t="s">
        <v>29</v>
      </c>
      <c r="M1010" s="10" t="s">
        <v>29</v>
      </c>
      <c r="N1010" s="8" t="s">
        <v>29</v>
      </c>
      <c r="O1010" s="10" t="s">
        <v>19</v>
      </c>
      <c r="P1010" s="8" t="s">
        <v>8378</v>
      </c>
      <c r="Q1010" s="10" t="s">
        <v>1399</v>
      </c>
      <c r="R1010" s="10" t="s">
        <v>1387</v>
      </c>
      <c r="S1010" s="8" t="s">
        <v>8379</v>
      </c>
      <c r="T1010" s="10" t="s">
        <v>8331</v>
      </c>
      <c r="U1010" s="10" t="s">
        <v>29</v>
      </c>
    </row>
    <row r="1011" spans="1:21" s="10" customFormat="1" x14ac:dyDescent="0.25">
      <c r="A1011" s="10" t="s">
        <v>8380</v>
      </c>
      <c r="B1011" s="10" t="s">
        <v>8322</v>
      </c>
      <c r="C1011" s="11" t="s">
        <v>297</v>
      </c>
      <c r="D1011" s="10" t="s">
        <v>8381</v>
      </c>
      <c r="E1011" s="8" t="s">
        <v>8382</v>
      </c>
      <c r="F1011" s="8" t="s">
        <v>8383</v>
      </c>
      <c r="G1011" s="10" t="s">
        <v>29</v>
      </c>
      <c r="H1011" s="8" t="s">
        <v>8384</v>
      </c>
      <c r="I1011" s="10" t="s">
        <v>8327</v>
      </c>
      <c r="J1011" s="8" t="s">
        <v>8328</v>
      </c>
      <c r="K1011" s="8" t="s">
        <v>29</v>
      </c>
      <c r="L1011" s="8" t="s">
        <v>29</v>
      </c>
      <c r="M1011" s="10" t="s">
        <v>29</v>
      </c>
      <c r="N1011" s="8" t="s">
        <v>29</v>
      </c>
      <c r="O1011" s="10" t="s">
        <v>19</v>
      </c>
      <c r="P1011" s="8" t="s">
        <v>8385</v>
      </c>
      <c r="Q1011" s="10" t="s">
        <v>1399</v>
      </c>
      <c r="R1011" s="10" t="s">
        <v>1387</v>
      </c>
      <c r="S1011" s="8" t="s">
        <v>8386</v>
      </c>
      <c r="T1011" s="10" t="s">
        <v>8331</v>
      </c>
      <c r="U1011" s="10" t="s">
        <v>29</v>
      </c>
    </row>
    <row r="1012" spans="1:21" s="10" customFormat="1" x14ac:dyDescent="0.25">
      <c r="A1012" s="10" t="s">
        <v>8387</v>
      </c>
      <c r="B1012" s="10" t="s">
        <v>8322</v>
      </c>
      <c r="C1012" s="11" t="s">
        <v>297</v>
      </c>
      <c r="D1012" s="10" t="s">
        <v>8388</v>
      </c>
      <c r="E1012" s="8" t="s">
        <v>8389</v>
      </c>
      <c r="F1012" s="8" t="s">
        <v>8390</v>
      </c>
      <c r="G1012" s="10" t="s">
        <v>29</v>
      </c>
      <c r="H1012" s="8" t="s">
        <v>8391</v>
      </c>
      <c r="I1012" s="10" t="s">
        <v>8327</v>
      </c>
      <c r="J1012" s="8" t="s">
        <v>8328</v>
      </c>
      <c r="K1012" s="8" t="s">
        <v>29</v>
      </c>
      <c r="L1012" s="8" t="s">
        <v>29</v>
      </c>
      <c r="M1012" s="10" t="s">
        <v>29</v>
      </c>
      <c r="N1012" s="8" t="s">
        <v>29</v>
      </c>
      <c r="O1012" s="10" t="s">
        <v>19</v>
      </c>
      <c r="P1012" s="8" t="s">
        <v>8392</v>
      </c>
      <c r="Q1012" s="10" t="s">
        <v>1399</v>
      </c>
      <c r="R1012" s="10" t="s">
        <v>1387</v>
      </c>
      <c r="S1012" s="8" t="s">
        <v>8393</v>
      </c>
      <c r="T1012" s="10" t="s">
        <v>8331</v>
      </c>
      <c r="U1012" s="10" t="s">
        <v>29</v>
      </c>
    </row>
    <row r="1013" spans="1:21" s="10" customFormat="1" x14ac:dyDescent="0.25">
      <c r="A1013" s="10" t="s">
        <v>8394</v>
      </c>
      <c r="B1013" s="10" t="s">
        <v>8322</v>
      </c>
      <c r="C1013" s="11" t="s">
        <v>297</v>
      </c>
      <c r="D1013" s="10" t="s">
        <v>8395</v>
      </c>
      <c r="E1013" s="8" t="s">
        <v>8396</v>
      </c>
      <c r="F1013" s="8" t="s">
        <v>8397</v>
      </c>
      <c r="G1013" s="10" t="s">
        <v>29</v>
      </c>
      <c r="H1013" s="8" t="s">
        <v>8398</v>
      </c>
      <c r="I1013" s="10" t="s">
        <v>8327</v>
      </c>
      <c r="J1013" s="8" t="s">
        <v>8328</v>
      </c>
      <c r="K1013" s="8" t="s">
        <v>29</v>
      </c>
      <c r="L1013" s="8" t="s">
        <v>29</v>
      </c>
      <c r="M1013" s="10" t="s">
        <v>29</v>
      </c>
      <c r="N1013" s="8" t="s">
        <v>29</v>
      </c>
      <c r="O1013" s="10" t="s">
        <v>19</v>
      </c>
      <c r="P1013" s="8" t="s">
        <v>8399</v>
      </c>
      <c r="Q1013" s="10" t="s">
        <v>1399</v>
      </c>
      <c r="R1013" s="10" t="s">
        <v>1387</v>
      </c>
      <c r="S1013" s="8" t="s">
        <v>8400</v>
      </c>
      <c r="T1013" s="10" t="s">
        <v>8331</v>
      </c>
      <c r="U1013" s="10" t="s">
        <v>29</v>
      </c>
    </row>
    <row r="1014" spans="1:21" s="10" customFormat="1" x14ac:dyDescent="0.25">
      <c r="A1014" s="10" t="s">
        <v>8401</v>
      </c>
      <c r="B1014" s="10" t="s">
        <v>8322</v>
      </c>
      <c r="C1014" s="11" t="s">
        <v>297</v>
      </c>
      <c r="D1014" s="10" t="s">
        <v>8402</v>
      </c>
      <c r="E1014" s="8" t="s">
        <v>8403</v>
      </c>
      <c r="F1014" s="8" t="s">
        <v>8404</v>
      </c>
      <c r="G1014" s="10" t="s">
        <v>29</v>
      </c>
      <c r="H1014" s="8" t="s">
        <v>8405</v>
      </c>
      <c r="I1014" s="10" t="s">
        <v>8327</v>
      </c>
      <c r="J1014" s="8" t="s">
        <v>8328</v>
      </c>
      <c r="K1014" s="8" t="s">
        <v>29</v>
      </c>
      <c r="L1014" s="8" t="s">
        <v>29</v>
      </c>
      <c r="M1014" s="10" t="s">
        <v>29</v>
      </c>
      <c r="N1014" s="8" t="s">
        <v>29</v>
      </c>
      <c r="O1014" s="10" t="s">
        <v>19</v>
      </c>
      <c r="P1014" s="8" t="s">
        <v>8406</v>
      </c>
      <c r="Q1014" s="10" t="s">
        <v>1399</v>
      </c>
      <c r="R1014" s="10" t="s">
        <v>1387</v>
      </c>
      <c r="S1014" s="8" t="s">
        <v>8407</v>
      </c>
      <c r="T1014" s="10" t="s">
        <v>8331</v>
      </c>
      <c r="U1014" s="10" t="s">
        <v>29</v>
      </c>
    </row>
    <row r="1015" spans="1:21" s="10" customFormat="1" x14ac:dyDescent="0.25">
      <c r="A1015" s="10" t="s">
        <v>8408</v>
      </c>
      <c r="B1015" s="10" t="s">
        <v>8322</v>
      </c>
      <c r="C1015" s="11" t="s">
        <v>297</v>
      </c>
      <c r="D1015" s="10" t="s">
        <v>8409</v>
      </c>
      <c r="E1015" s="8" t="s">
        <v>8410</v>
      </c>
      <c r="F1015" s="8" t="s">
        <v>8411</v>
      </c>
      <c r="G1015" s="10" t="s">
        <v>29</v>
      </c>
      <c r="H1015" s="8" t="s">
        <v>8412</v>
      </c>
      <c r="I1015" s="10" t="s">
        <v>8327</v>
      </c>
      <c r="J1015" s="8" t="s">
        <v>8328</v>
      </c>
      <c r="K1015" s="8" t="s">
        <v>29</v>
      </c>
      <c r="L1015" s="8" t="s">
        <v>29</v>
      </c>
      <c r="M1015" s="10" t="s">
        <v>29</v>
      </c>
      <c r="N1015" s="8" t="s">
        <v>29</v>
      </c>
      <c r="O1015" s="10" t="s">
        <v>19</v>
      </c>
      <c r="P1015" s="8" t="s">
        <v>8413</v>
      </c>
      <c r="Q1015" s="10" t="s">
        <v>1399</v>
      </c>
      <c r="R1015" s="10" t="s">
        <v>1387</v>
      </c>
      <c r="S1015" s="8" t="s">
        <v>8414</v>
      </c>
      <c r="T1015" s="10" t="s">
        <v>8331</v>
      </c>
      <c r="U1015" s="10" t="s">
        <v>29</v>
      </c>
    </row>
    <row r="1016" spans="1:21" s="10" customFormat="1" x14ac:dyDescent="0.25">
      <c r="A1016" s="10" t="s">
        <v>8415</v>
      </c>
      <c r="B1016" s="10" t="s">
        <v>8322</v>
      </c>
      <c r="C1016" s="11" t="s">
        <v>297</v>
      </c>
      <c r="D1016" s="10" t="s">
        <v>8416</v>
      </c>
      <c r="E1016" s="8" t="s">
        <v>8417</v>
      </c>
      <c r="F1016" s="8" t="s">
        <v>8418</v>
      </c>
      <c r="G1016" s="10" t="s">
        <v>29</v>
      </c>
      <c r="H1016" s="8" t="s">
        <v>8419</v>
      </c>
      <c r="I1016" s="10" t="s">
        <v>8327</v>
      </c>
      <c r="J1016" s="8" t="s">
        <v>8328</v>
      </c>
      <c r="K1016" s="8" t="s">
        <v>29</v>
      </c>
      <c r="L1016" s="8" t="s">
        <v>29</v>
      </c>
      <c r="M1016" s="10" t="s">
        <v>29</v>
      </c>
      <c r="N1016" s="8" t="s">
        <v>29</v>
      </c>
      <c r="O1016" s="10" t="s">
        <v>19</v>
      </c>
      <c r="P1016" s="8" t="s">
        <v>8420</v>
      </c>
      <c r="Q1016" s="10" t="s">
        <v>1399</v>
      </c>
      <c r="R1016" s="10" t="s">
        <v>1387</v>
      </c>
      <c r="S1016" s="8" t="s">
        <v>8421</v>
      </c>
      <c r="T1016" s="10" t="s">
        <v>8331</v>
      </c>
      <c r="U1016" s="10" t="s">
        <v>29</v>
      </c>
    </row>
    <row r="1017" spans="1:21" s="10" customFormat="1" x14ac:dyDescent="0.25">
      <c r="A1017" s="10" t="s">
        <v>8422</v>
      </c>
      <c r="B1017" s="10" t="s">
        <v>8322</v>
      </c>
      <c r="C1017" s="11" t="s">
        <v>297</v>
      </c>
      <c r="D1017" s="10" t="s">
        <v>8423</v>
      </c>
      <c r="E1017" s="8" t="s">
        <v>8424</v>
      </c>
      <c r="F1017" s="8" t="s">
        <v>8425</v>
      </c>
      <c r="G1017" s="10" t="s">
        <v>29</v>
      </c>
      <c r="H1017" s="8" t="s">
        <v>8426</v>
      </c>
      <c r="I1017" s="10" t="s">
        <v>8327</v>
      </c>
      <c r="J1017" s="8" t="s">
        <v>8328</v>
      </c>
      <c r="K1017" s="8" t="s">
        <v>29</v>
      </c>
      <c r="L1017" s="8" t="s">
        <v>29</v>
      </c>
      <c r="M1017" s="10" t="s">
        <v>29</v>
      </c>
      <c r="N1017" s="8" t="s">
        <v>29</v>
      </c>
      <c r="O1017" s="10" t="s">
        <v>19</v>
      </c>
      <c r="P1017" s="8" t="s">
        <v>8427</v>
      </c>
      <c r="Q1017" s="10" t="s">
        <v>1399</v>
      </c>
      <c r="R1017" s="10" t="s">
        <v>1387</v>
      </c>
      <c r="S1017" s="8" t="s">
        <v>8428</v>
      </c>
      <c r="T1017" s="10" t="s">
        <v>8331</v>
      </c>
      <c r="U1017" s="10" t="s">
        <v>29</v>
      </c>
    </row>
    <row r="1018" spans="1:21" s="10" customFormat="1" x14ac:dyDescent="0.25">
      <c r="A1018" s="10" t="s">
        <v>8429</v>
      </c>
      <c r="B1018" s="10" t="s">
        <v>8322</v>
      </c>
      <c r="C1018" s="11" t="s">
        <v>297</v>
      </c>
      <c r="D1018" s="10" t="s">
        <v>8430</v>
      </c>
      <c r="E1018" s="8" t="s">
        <v>8431</v>
      </c>
      <c r="F1018" s="8" t="s">
        <v>8432</v>
      </c>
      <c r="G1018" s="10" t="s">
        <v>29</v>
      </c>
      <c r="H1018" s="8" t="s">
        <v>8433</v>
      </c>
      <c r="I1018" s="10" t="s">
        <v>8327</v>
      </c>
      <c r="J1018" s="8" t="s">
        <v>8328</v>
      </c>
      <c r="K1018" s="8" t="s">
        <v>29</v>
      </c>
      <c r="L1018" s="8" t="s">
        <v>29</v>
      </c>
      <c r="M1018" s="10" t="s">
        <v>29</v>
      </c>
      <c r="N1018" s="8" t="s">
        <v>29</v>
      </c>
      <c r="O1018" s="10" t="s">
        <v>19</v>
      </c>
      <c r="P1018" s="8" t="s">
        <v>8434</v>
      </c>
      <c r="Q1018" s="10" t="s">
        <v>1399</v>
      </c>
      <c r="R1018" s="10" t="s">
        <v>1387</v>
      </c>
      <c r="S1018" s="8" t="s">
        <v>8435</v>
      </c>
      <c r="T1018" s="10" t="s">
        <v>8331</v>
      </c>
      <c r="U1018" s="10" t="s">
        <v>29</v>
      </c>
    </row>
    <row r="1019" spans="1:21" s="10" customFormat="1" x14ac:dyDescent="0.25">
      <c r="A1019" s="10" t="s">
        <v>8436</v>
      </c>
      <c r="B1019" s="10" t="s">
        <v>8322</v>
      </c>
      <c r="C1019" s="11" t="s">
        <v>297</v>
      </c>
      <c r="D1019" s="10" t="s">
        <v>8437</v>
      </c>
      <c r="E1019" s="8" t="s">
        <v>8438</v>
      </c>
      <c r="F1019" s="8" t="s">
        <v>8439</v>
      </c>
      <c r="G1019" s="10" t="s">
        <v>29</v>
      </c>
      <c r="H1019" s="8" t="s">
        <v>8440</v>
      </c>
      <c r="I1019" s="10" t="s">
        <v>8327</v>
      </c>
      <c r="J1019" s="8" t="s">
        <v>8328</v>
      </c>
      <c r="K1019" s="8" t="s">
        <v>29</v>
      </c>
      <c r="L1019" s="8" t="s">
        <v>29</v>
      </c>
      <c r="M1019" s="10" t="s">
        <v>29</v>
      </c>
      <c r="N1019" s="8" t="s">
        <v>29</v>
      </c>
      <c r="O1019" s="10" t="s">
        <v>19</v>
      </c>
      <c r="P1019" s="8" t="s">
        <v>8441</v>
      </c>
      <c r="Q1019" s="10" t="s">
        <v>1399</v>
      </c>
      <c r="R1019" s="10" t="s">
        <v>1387</v>
      </c>
      <c r="S1019" s="8" t="s">
        <v>8442</v>
      </c>
      <c r="T1019" s="10" t="s">
        <v>8331</v>
      </c>
      <c r="U1019" s="10" t="s">
        <v>29</v>
      </c>
    </row>
    <row r="1020" spans="1:21" s="10" customFormat="1" x14ac:dyDescent="0.25">
      <c r="A1020" s="10" t="s">
        <v>8443</v>
      </c>
      <c r="B1020" s="10" t="s">
        <v>8322</v>
      </c>
      <c r="C1020" s="11" t="s">
        <v>297</v>
      </c>
      <c r="D1020" s="10" t="s">
        <v>8444</v>
      </c>
      <c r="E1020" s="8" t="s">
        <v>8445</v>
      </c>
      <c r="F1020" s="8" t="s">
        <v>8446</v>
      </c>
      <c r="G1020" s="10" t="s">
        <v>29</v>
      </c>
      <c r="H1020" s="8" t="s">
        <v>8447</v>
      </c>
      <c r="I1020" s="10" t="s">
        <v>8327</v>
      </c>
      <c r="J1020" s="8" t="s">
        <v>8328</v>
      </c>
      <c r="K1020" s="8" t="s">
        <v>29</v>
      </c>
      <c r="L1020" s="8" t="s">
        <v>29</v>
      </c>
      <c r="M1020" s="10" t="s">
        <v>29</v>
      </c>
      <c r="N1020" s="8" t="s">
        <v>29</v>
      </c>
      <c r="O1020" s="10" t="s">
        <v>19</v>
      </c>
      <c r="P1020" s="8" t="s">
        <v>8448</v>
      </c>
      <c r="Q1020" s="10" t="s">
        <v>1399</v>
      </c>
      <c r="R1020" s="10" t="s">
        <v>1387</v>
      </c>
      <c r="S1020" s="8" t="s">
        <v>8449</v>
      </c>
      <c r="T1020" s="10" t="s">
        <v>8331</v>
      </c>
      <c r="U1020" s="10" t="s">
        <v>29</v>
      </c>
    </row>
    <row r="1021" spans="1:21" s="10" customFormat="1" x14ac:dyDescent="0.25">
      <c r="A1021" s="10" t="s">
        <v>8450</v>
      </c>
      <c r="B1021" s="10" t="s">
        <v>8322</v>
      </c>
      <c r="C1021" s="11" t="s">
        <v>297</v>
      </c>
      <c r="D1021" s="10" t="s">
        <v>8451</v>
      </c>
      <c r="E1021" s="8" t="s">
        <v>8452</v>
      </c>
      <c r="F1021" s="8" t="s">
        <v>8453</v>
      </c>
      <c r="G1021" s="10" t="s">
        <v>29</v>
      </c>
      <c r="H1021" s="8" t="s">
        <v>8454</v>
      </c>
      <c r="I1021" s="10" t="s">
        <v>8327</v>
      </c>
      <c r="J1021" s="8" t="s">
        <v>8328</v>
      </c>
      <c r="K1021" s="8" t="s">
        <v>29</v>
      </c>
      <c r="L1021" s="8" t="s">
        <v>29</v>
      </c>
      <c r="M1021" s="10" t="s">
        <v>29</v>
      </c>
      <c r="N1021" s="8" t="s">
        <v>29</v>
      </c>
      <c r="O1021" s="10" t="s">
        <v>19</v>
      </c>
      <c r="P1021" s="8" t="s">
        <v>8455</v>
      </c>
      <c r="Q1021" s="10" t="s">
        <v>1399</v>
      </c>
      <c r="R1021" s="10" t="s">
        <v>1387</v>
      </c>
      <c r="S1021" s="8" t="s">
        <v>8456</v>
      </c>
      <c r="T1021" s="10" t="s">
        <v>8331</v>
      </c>
      <c r="U1021" s="10" t="s">
        <v>29</v>
      </c>
    </row>
    <row r="1022" spans="1:21" s="10" customFormat="1" x14ac:dyDescent="0.25">
      <c r="A1022" s="10" t="s">
        <v>8457</v>
      </c>
      <c r="B1022" s="10" t="s">
        <v>8322</v>
      </c>
      <c r="C1022" s="11" t="s">
        <v>297</v>
      </c>
      <c r="D1022" s="10" t="s">
        <v>8458</v>
      </c>
      <c r="E1022" s="8" t="s">
        <v>8459</v>
      </c>
      <c r="F1022" s="8" t="s">
        <v>8460</v>
      </c>
      <c r="G1022" s="10" t="s">
        <v>29</v>
      </c>
      <c r="H1022" s="8" t="s">
        <v>8461</v>
      </c>
      <c r="I1022" s="10" t="s">
        <v>8327</v>
      </c>
      <c r="J1022" s="8" t="s">
        <v>8328</v>
      </c>
      <c r="K1022" s="8" t="s">
        <v>29</v>
      </c>
      <c r="L1022" s="8" t="s">
        <v>29</v>
      </c>
      <c r="M1022" s="10" t="s">
        <v>29</v>
      </c>
      <c r="N1022" s="8" t="s">
        <v>29</v>
      </c>
      <c r="O1022" s="10" t="s">
        <v>19</v>
      </c>
      <c r="P1022" s="8" t="s">
        <v>8462</v>
      </c>
      <c r="Q1022" s="10" t="s">
        <v>1399</v>
      </c>
      <c r="R1022" s="10" t="s">
        <v>1387</v>
      </c>
      <c r="S1022" s="8" t="s">
        <v>8463</v>
      </c>
      <c r="T1022" s="10" t="s">
        <v>8331</v>
      </c>
      <c r="U1022" s="10" t="s">
        <v>29</v>
      </c>
    </row>
    <row r="1023" spans="1:21" s="10" customFormat="1" x14ac:dyDescent="0.25">
      <c r="A1023" s="10" t="s">
        <v>8464</v>
      </c>
      <c r="B1023" s="10" t="s">
        <v>8322</v>
      </c>
      <c r="C1023" s="11" t="s">
        <v>297</v>
      </c>
      <c r="D1023" s="10" t="s">
        <v>8465</v>
      </c>
      <c r="E1023" s="8" t="s">
        <v>8466</v>
      </c>
      <c r="F1023" s="8" t="s">
        <v>8467</v>
      </c>
      <c r="G1023" s="10" t="s">
        <v>29</v>
      </c>
      <c r="H1023" s="8" t="s">
        <v>8468</v>
      </c>
      <c r="I1023" s="10" t="s">
        <v>8327</v>
      </c>
      <c r="J1023" s="8" t="s">
        <v>8328</v>
      </c>
      <c r="K1023" s="8" t="s">
        <v>29</v>
      </c>
      <c r="L1023" s="8" t="s">
        <v>29</v>
      </c>
      <c r="M1023" s="10" t="s">
        <v>29</v>
      </c>
      <c r="N1023" s="8" t="s">
        <v>29</v>
      </c>
      <c r="O1023" s="10" t="s">
        <v>19</v>
      </c>
      <c r="P1023" s="8" t="s">
        <v>8469</v>
      </c>
      <c r="Q1023" s="10" t="s">
        <v>1399</v>
      </c>
      <c r="R1023" s="10" t="s">
        <v>1387</v>
      </c>
      <c r="S1023" s="8" t="s">
        <v>8470</v>
      </c>
      <c r="T1023" s="10" t="s">
        <v>8331</v>
      </c>
      <c r="U1023" s="10" t="s">
        <v>29</v>
      </c>
    </row>
    <row r="1024" spans="1:21" s="10" customFormat="1" x14ac:dyDescent="0.25">
      <c r="A1024" s="10" t="s">
        <v>8471</v>
      </c>
      <c r="B1024" s="10" t="s">
        <v>8322</v>
      </c>
      <c r="C1024" s="11" t="s">
        <v>297</v>
      </c>
      <c r="D1024" s="10" t="s">
        <v>8472</v>
      </c>
      <c r="E1024" s="8" t="s">
        <v>8473</v>
      </c>
      <c r="F1024" s="8" t="s">
        <v>8474</v>
      </c>
      <c r="G1024" s="10" t="s">
        <v>29</v>
      </c>
      <c r="H1024" s="8" t="s">
        <v>8475</v>
      </c>
      <c r="I1024" s="10" t="s">
        <v>8327</v>
      </c>
      <c r="J1024" s="8" t="s">
        <v>8328</v>
      </c>
      <c r="K1024" s="8" t="s">
        <v>29</v>
      </c>
      <c r="L1024" s="8" t="s">
        <v>29</v>
      </c>
      <c r="M1024" s="10" t="s">
        <v>29</v>
      </c>
      <c r="N1024" s="8" t="s">
        <v>29</v>
      </c>
      <c r="O1024" s="10" t="s">
        <v>19</v>
      </c>
      <c r="P1024" s="8" t="s">
        <v>8476</v>
      </c>
      <c r="Q1024" s="10" t="s">
        <v>1399</v>
      </c>
      <c r="R1024" s="10" t="s">
        <v>1387</v>
      </c>
      <c r="S1024" s="8" t="s">
        <v>8477</v>
      </c>
      <c r="T1024" s="10" t="s">
        <v>8331</v>
      </c>
      <c r="U1024" s="10" t="s">
        <v>29</v>
      </c>
    </row>
    <row r="1025" spans="1:21" s="10" customFormat="1" x14ac:dyDescent="0.25">
      <c r="A1025" s="10" t="s">
        <v>8478</v>
      </c>
      <c r="B1025" s="10" t="s">
        <v>8322</v>
      </c>
      <c r="C1025" s="11" t="s">
        <v>297</v>
      </c>
      <c r="D1025" s="10" t="s">
        <v>8479</v>
      </c>
      <c r="E1025" s="8" t="s">
        <v>8480</v>
      </c>
      <c r="F1025" s="8" t="s">
        <v>8481</v>
      </c>
      <c r="G1025" s="10" t="s">
        <v>29</v>
      </c>
      <c r="H1025" s="8" t="s">
        <v>8482</v>
      </c>
      <c r="I1025" s="10" t="s">
        <v>8327</v>
      </c>
      <c r="J1025" s="8" t="s">
        <v>8328</v>
      </c>
      <c r="K1025" s="8" t="s">
        <v>29</v>
      </c>
      <c r="L1025" s="8" t="s">
        <v>29</v>
      </c>
      <c r="M1025" s="10" t="s">
        <v>29</v>
      </c>
      <c r="N1025" s="8" t="s">
        <v>29</v>
      </c>
      <c r="O1025" s="10" t="s">
        <v>19</v>
      </c>
      <c r="P1025" s="8" t="s">
        <v>8483</v>
      </c>
      <c r="Q1025" s="10" t="s">
        <v>1399</v>
      </c>
      <c r="R1025" s="10" t="s">
        <v>1387</v>
      </c>
      <c r="S1025" s="8" t="s">
        <v>8484</v>
      </c>
      <c r="T1025" s="10" t="s">
        <v>8331</v>
      </c>
      <c r="U1025" s="10" t="s">
        <v>29</v>
      </c>
    </row>
    <row r="1026" spans="1:21" s="10" customFormat="1" x14ac:dyDescent="0.25">
      <c r="A1026" s="10" t="s">
        <v>8485</v>
      </c>
      <c r="B1026" s="10" t="s">
        <v>8322</v>
      </c>
      <c r="C1026" s="11" t="s">
        <v>297</v>
      </c>
      <c r="D1026" s="10" t="s">
        <v>8486</v>
      </c>
      <c r="E1026" s="8" t="s">
        <v>8487</v>
      </c>
      <c r="F1026" s="8" t="s">
        <v>8488</v>
      </c>
      <c r="G1026" s="10" t="s">
        <v>29</v>
      </c>
      <c r="H1026" s="8" t="s">
        <v>8489</v>
      </c>
      <c r="I1026" s="10" t="s">
        <v>8327</v>
      </c>
      <c r="J1026" s="8" t="s">
        <v>8328</v>
      </c>
      <c r="K1026" s="8" t="s">
        <v>29</v>
      </c>
      <c r="L1026" s="8" t="s">
        <v>29</v>
      </c>
      <c r="M1026" s="10" t="s">
        <v>29</v>
      </c>
      <c r="N1026" s="8" t="s">
        <v>29</v>
      </c>
      <c r="O1026" s="10" t="s">
        <v>19</v>
      </c>
      <c r="P1026" s="8" t="s">
        <v>8490</v>
      </c>
      <c r="Q1026" s="10" t="s">
        <v>1399</v>
      </c>
      <c r="R1026" s="10" t="s">
        <v>1387</v>
      </c>
      <c r="S1026" s="8" t="s">
        <v>8491</v>
      </c>
      <c r="T1026" s="10" t="s">
        <v>8331</v>
      </c>
      <c r="U1026" s="10" t="s">
        <v>29</v>
      </c>
    </row>
    <row r="1027" spans="1:21" s="10" customFormat="1" x14ac:dyDescent="0.25">
      <c r="A1027" s="10" t="s">
        <v>8492</v>
      </c>
      <c r="B1027" s="10" t="s">
        <v>8322</v>
      </c>
      <c r="C1027" s="11" t="s">
        <v>297</v>
      </c>
      <c r="D1027" s="10" t="s">
        <v>8493</v>
      </c>
      <c r="E1027" s="8" t="s">
        <v>8494</v>
      </c>
      <c r="F1027" s="8" t="s">
        <v>8495</v>
      </c>
      <c r="G1027" s="10" t="s">
        <v>29</v>
      </c>
      <c r="H1027" s="8" t="s">
        <v>8496</v>
      </c>
      <c r="I1027" s="10" t="s">
        <v>8327</v>
      </c>
      <c r="J1027" s="8" t="s">
        <v>8328</v>
      </c>
      <c r="K1027" s="8" t="s">
        <v>29</v>
      </c>
      <c r="L1027" s="8" t="s">
        <v>29</v>
      </c>
      <c r="M1027" s="10" t="s">
        <v>29</v>
      </c>
      <c r="N1027" s="8" t="s">
        <v>29</v>
      </c>
      <c r="O1027" s="10" t="s">
        <v>19</v>
      </c>
      <c r="P1027" s="8" t="s">
        <v>8497</v>
      </c>
      <c r="Q1027" s="10" t="s">
        <v>1399</v>
      </c>
      <c r="R1027" s="10" t="s">
        <v>1387</v>
      </c>
      <c r="S1027" s="8" t="s">
        <v>8498</v>
      </c>
      <c r="T1027" s="10" t="s">
        <v>8331</v>
      </c>
      <c r="U1027" s="10" t="s">
        <v>29</v>
      </c>
    </row>
    <row r="1028" spans="1:21" s="10" customFormat="1" x14ac:dyDescent="0.25">
      <c r="A1028" s="10" t="s">
        <v>8499</v>
      </c>
      <c r="B1028" s="10" t="s">
        <v>8322</v>
      </c>
      <c r="C1028" s="11" t="s">
        <v>297</v>
      </c>
      <c r="D1028" s="10" t="s">
        <v>8500</v>
      </c>
      <c r="E1028" s="8" t="s">
        <v>8501</v>
      </c>
      <c r="F1028" s="8" t="s">
        <v>8502</v>
      </c>
      <c r="G1028" s="10" t="s">
        <v>29</v>
      </c>
      <c r="H1028" s="8" t="s">
        <v>8503</v>
      </c>
      <c r="I1028" s="10" t="s">
        <v>8327</v>
      </c>
      <c r="J1028" s="8" t="s">
        <v>8328</v>
      </c>
      <c r="K1028" s="8" t="s">
        <v>29</v>
      </c>
      <c r="L1028" s="8" t="s">
        <v>29</v>
      </c>
      <c r="M1028" s="10" t="s">
        <v>29</v>
      </c>
      <c r="N1028" s="8" t="s">
        <v>29</v>
      </c>
      <c r="O1028" s="10" t="s">
        <v>19</v>
      </c>
      <c r="P1028" s="8" t="s">
        <v>8504</v>
      </c>
      <c r="Q1028" s="10" t="s">
        <v>1399</v>
      </c>
      <c r="R1028" s="10" t="s">
        <v>1387</v>
      </c>
      <c r="S1028" s="8" t="s">
        <v>8505</v>
      </c>
      <c r="T1028" s="10" t="s">
        <v>8331</v>
      </c>
      <c r="U1028" s="10" t="s">
        <v>29</v>
      </c>
    </row>
    <row r="1029" spans="1:21" s="10" customFormat="1" x14ac:dyDescent="0.25">
      <c r="A1029" s="10" t="s">
        <v>8506</v>
      </c>
      <c r="B1029" s="10" t="s">
        <v>8322</v>
      </c>
      <c r="C1029" s="11" t="s">
        <v>297</v>
      </c>
      <c r="D1029" s="10" t="s">
        <v>8507</v>
      </c>
      <c r="E1029" s="8" t="s">
        <v>8508</v>
      </c>
      <c r="F1029" s="8" t="s">
        <v>8509</v>
      </c>
      <c r="G1029" s="10" t="s">
        <v>29</v>
      </c>
      <c r="H1029" s="8" t="s">
        <v>8510</v>
      </c>
      <c r="I1029" s="10" t="s">
        <v>8327</v>
      </c>
      <c r="J1029" s="8" t="s">
        <v>8328</v>
      </c>
      <c r="K1029" s="8" t="s">
        <v>29</v>
      </c>
      <c r="L1029" s="8" t="s">
        <v>29</v>
      </c>
      <c r="M1029" s="10" t="s">
        <v>29</v>
      </c>
      <c r="N1029" s="8" t="s">
        <v>29</v>
      </c>
      <c r="O1029" s="10" t="s">
        <v>19</v>
      </c>
      <c r="P1029" s="8" t="s">
        <v>8511</v>
      </c>
      <c r="Q1029" s="10" t="s">
        <v>1399</v>
      </c>
      <c r="R1029" s="10" t="s">
        <v>1387</v>
      </c>
      <c r="S1029" s="8" t="s">
        <v>8512</v>
      </c>
      <c r="T1029" s="10" t="s">
        <v>8331</v>
      </c>
      <c r="U1029" s="10" t="s">
        <v>29</v>
      </c>
    </row>
    <row r="1030" spans="1:21" s="10" customFormat="1" x14ac:dyDescent="0.25">
      <c r="A1030" s="10" t="s">
        <v>8513</v>
      </c>
      <c r="B1030" s="10" t="s">
        <v>8322</v>
      </c>
      <c r="C1030" s="11" t="s">
        <v>297</v>
      </c>
      <c r="D1030" s="10" t="s">
        <v>8514</v>
      </c>
      <c r="E1030" s="8" t="s">
        <v>8515</v>
      </c>
      <c r="F1030" s="8" t="s">
        <v>8516</v>
      </c>
      <c r="G1030" s="10" t="s">
        <v>29</v>
      </c>
      <c r="H1030" s="8" t="s">
        <v>8517</v>
      </c>
      <c r="I1030" s="10" t="s">
        <v>8327</v>
      </c>
      <c r="J1030" s="8" t="s">
        <v>8328</v>
      </c>
      <c r="K1030" s="8" t="s">
        <v>29</v>
      </c>
      <c r="L1030" s="8" t="s">
        <v>29</v>
      </c>
      <c r="M1030" s="10" t="s">
        <v>29</v>
      </c>
      <c r="N1030" s="8" t="s">
        <v>29</v>
      </c>
      <c r="O1030" s="10" t="s">
        <v>19</v>
      </c>
      <c r="P1030" s="8" t="s">
        <v>8518</v>
      </c>
      <c r="Q1030" s="10" t="s">
        <v>1399</v>
      </c>
      <c r="R1030" s="10" t="s">
        <v>1387</v>
      </c>
      <c r="S1030" s="8" t="s">
        <v>8519</v>
      </c>
      <c r="T1030" s="10" t="s">
        <v>8331</v>
      </c>
      <c r="U1030" s="10" t="s">
        <v>29</v>
      </c>
    </row>
    <row r="1031" spans="1:21" s="10" customFormat="1" x14ac:dyDescent="0.25">
      <c r="A1031" s="10" t="s">
        <v>8520</v>
      </c>
      <c r="B1031" s="10" t="s">
        <v>8322</v>
      </c>
      <c r="C1031" s="11" t="s">
        <v>297</v>
      </c>
      <c r="D1031" s="10" t="s">
        <v>8521</v>
      </c>
      <c r="E1031" s="8" t="s">
        <v>8522</v>
      </c>
      <c r="F1031" s="8" t="s">
        <v>8523</v>
      </c>
      <c r="G1031" s="10" t="s">
        <v>29</v>
      </c>
      <c r="H1031" s="8" t="s">
        <v>8524</v>
      </c>
      <c r="I1031" s="10" t="s">
        <v>8327</v>
      </c>
      <c r="J1031" s="8" t="s">
        <v>8328</v>
      </c>
      <c r="K1031" s="8" t="s">
        <v>29</v>
      </c>
      <c r="L1031" s="8" t="s">
        <v>29</v>
      </c>
      <c r="M1031" s="10" t="s">
        <v>29</v>
      </c>
      <c r="N1031" s="8" t="s">
        <v>29</v>
      </c>
      <c r="O1031" s="10" t="s">
        <v>19</v>
      </c>
      <c r="P1031" s="8" t="s">
        <v>8525</v>
      </c>
      <c r="Q1031" s="10" t="s">
        <v>1399</v>
      </c>
      <c r="R1031" s="10" t="s">
        <v>1387</v>
      </c>
      <c r="S1031" s="8" t="s">
        <v>8526</v>
      </c>
      <c r="T1031" s="10" t="s">
        <v>8331</v>
      </c>
      <c r="U1031" s="10" t="s">
        <v>29</v>
      </c>
    </row>
    <row r="1032" spans="1:21" s="10" customFormat="1" x14ac:dyDescent="0.25">
      <c r="A1032" s="10" t="s">
        <v>8527</v>
      </c>
      <c r="B1032" s="10" t="s">
        <v>8322</v>
      </c>
      <c r="C1032" s="11" t="s">
        <v>297</v>
      </c>
      <c r="D1032" s="10" t="s">
        <v>8528</v>
      </c>
      <c r="E1032" s="8" t="s">
        <v>8529</v>
      </c>
      <c r="F1032" s="8" t="s">
        <v>8530</v>
      </c>
      <c r="G1032" s="10" t="s">
        <v>29</v>
      </c>
      <c r="H1032" s="8" t="s">
        <v>8531</v>
      </c>
      <c r="I1032" s="10" t="s">
        <v>8327</v>
      </c>
      <c r="J1032" s="8" t="s">
        <v>8328</v>
      </c>
      <c r="K1032" s="8" t="s">
        <v>29</v>
      </c>
      <c r="L1032" s="8" t="s">
        <v>29</v>
      </c>
      <c r="M1032" s="10" t="s">
        <v>29</v>
      </c>
      <c r="N1032" s="8" t="s">
        <v>29</v>
      </c>
      <c r="O1032" s="10" t="s">
        <v>19</v>
      </c>
      <c r="P1032" s="8" t="s">
        <v>8532</v>
      </c>
      <c r="Q1032" s="10" t="s">
        <v>1399</v>
      </c>
      <c r="R1032" s="10" t="s">
        <v>1387</v>
      </c>
      <c r="S1032" s="8" t="s">
        <v>8533</v>
      </c>
      <c r="T1032" s="10" t="s">
        <v>8331</v>
      </c>
      <c r="U1032" s="10" t="s">
        <v>29</v>
      </c>
    </row>
    <row r="1033" spans="1:21" s="10" customFormat="1" x14ac:dyDescent="0.25">
      <c r="A1033" s="10" t="s">
        <v>8534</v>
      </c>
      <c r="B1033" s="10" t="s">
        <v>8322</v>
      </c>
      <c r="C1033" s="11" t="s">
        <v>297</v>
      </c>
      <c r="D1033" s="10" t="s">
        <v>8535</v>
      </c>
      <c r="E1033" s="8" t="s">
        <v>8536</v>
      </c>
      <c r="F1033" s="8" t="s">
        <v>8537</v>
      </c>
      <c r="G1033" s="10" t="s">
        <v>29</v>
      </c>
      <c r="H1033" s="8" t="s">
        <v>8538</v>
      </c>
      <c r="I1033" s="10" t="s">
        <v>8327</v>
      </c>
      <c r="J1033" s="8" t="s">
        <v>8328</v>
      </c>
      <c r="K1033" s="8" t="s">
        <v>29</v>
      </c>
      <c r="L1033" s="8" t="s">
        <v>29</v>
      </c>
      <c r="M1033" s="10" t="s">
        <v>29</v>
      </c>
      <c r="N1033" s="8" t="s">
        <v>29</v>
      </c>
      <c r="O1033" s="10" t="s">
        <v>19</v>
      </c>
      <c r="P1033" s="8" t="s">
        <v>8539</v>
      </c>
      <c r="Q1033" s="10" t="s">
        <v>1399</v>
      </c>
      <c r="R1033" s="10" t="s">
        <v>1387</v>
      </c>
      <c r="S1033" s="8" t="s">
        <v>8540</v>
      </c>
      <c r="T1033" s="10" t="s">
        <v>8331</v>
      </c>
      <c r="U1033" s="10" t="s">
        <v>29</v>
      </c>
    </row>
    <row r="1034" spans="1:21" s="10" customFormat="1" x14ac:dyDescent="0.25">
      <c r="A1034" s="10" t="s">
        <v>8541</v>
      </c>
      <c r="B1034" s="10" t="s">
        <v>8322</v>
      </c>
      <c r="C1034" s="11" t="s">
        <v>297</v>
      </c>
      <c r="D1034" s="10" t="s">
        <v>8542</v>
      </c>
      <c r="E1034" s="8" t="s">
        <v>8543</v>
      </c>
      <c r="F1034" s="8" t="s">
        <v>8544</v>
      </c>
      <c r="G1034" s="10" t="s">
        <v>29</v>
      </c>
      <c r="H1034" s="8" t="s">
        <v>8545</v>
      </c>
      <c r="I1034" s="10" t="s">
        <v>8327</v>
      </c>
      <c r="J1034" s="8" t="s">
        <v>8328</v>
      </c>
      <c r="K1034" s="8" t="s">
        <v>29</v>
      </c>
      <c r="L1034" s="8" t="s">
        <v>29</v>
      </c>
      <c r="M1034" s="10" t="s">
        <v>29</v>
      </c>
      <c r="N1034" s="8" t="s">
        <v>29</v>
      </c>
      <c r="O1034" s="10" t="s">
        <v>19</v>
      </c>
      <c r="P1034" s="8" t="s">
        <v>8546</v>
      </c>
      <c r="Q1034" s="10" t="s">
        <v>1399</v>
      </c>
      <c r="R1034" s="10" t="s">
        <v>1387</v>
      </c>
      <c r="S1034" s="8" t="s">
        <v>8547</v>
      </c>
      <c r="T1034" s="10" t="s">
        <v>8331</v>
      </c>
      <c r="U1034" s="10" t="s">
        <v>29</v>
      </c>
    </row>
    <row r="1035" spans="1:21" s="10" customFormat="1" x14ac:dyDescent="0.25">
      <c r="A1035" s="10" t="s">
        <v>8548</v>
      </c>
      <c r="B1035" s="10" t="s">
        <v>8322</v>
      </c>
      <c r="C1035" s="11" t="s">
        <v>297</v>
      </c>
      <c r="D1035" s="10" t="s">
        <v>8549</v>
      </c>
      <c r="E1035" s="8" t="s">
        <v>8550</v>
      </c>
      <c r="F1035" s="8" t="s">
        <v>8551</v>
      </c>
      <c r="G1035" s="10" t="s">
        <v>29</v>
      </c>
      <c r="H1035" s="8" t="s">
        <v>8552</v>
      </c>
      <c r="I1035" s="10" t="s">
        <v>8327</v>
      </c>
      <c r="J1035" s="8" t="s">
        <v>8328</v>
      </c>
      <c r="K1035" s="8" t="s">
        <v>29</v>
      </c>
      <c r="L1035" s="8" t="s">
        <v>29</v>
      </c>
      <c r="M1035" s="10" t="s">
        <v>29</v>
      </c>
      <c r="N1035" s="8" t="s">
        <v>29</v>
      </c>
      <c r="O1035" s="10" t="s">
        <v>19</v>
      </c>
      <c r="P1035" s="8" t="s">
        <v>8553</v>
      </c>
      <c r="Q1035" s="10" t="s">
        <v>1399</v>
      </c>
      <c r="R1035" s="10" t="s">
        <v>1387</v>
      </c>
      <c r="S1035" s="8" t="s">
        <v>8554</v>
      </c>
      <c r="T1035" s="10" t="s">
        <v>8331</v>
      </c>
      <c r="U1035" s="10" t="s">
        <v>29</v>
      </c>
    </row>
    <row r="1036" spans="1:21" s="10" customFormat="1" x14ac:dyDescent="0.25">
      <c r="A1036" s="10" t="s">
        <v>8555</v>
      </c>
      <c r="B1036" s="10" t="s">
        <v>8322</v>
      </c>
      <c r="C1036" s="11" t="s">
        <v>297</v>
      </c>
      <c r="D1036" s="10" t="s">
        <v>8556</v>
      </c>
      <c r="E1036" s="8" t="s">
        <v>8557</v>
      </c>
      <c r="F1036" s="8" t="s">
        <v>8558</v>
      </c>
      <c r="G1036" s="10" t="s">
        <v>29</v>
      </c>
      <c r="H1036" s="8" t="s">
        <v>8559</v>
      </c>
      <c r="I1036" s="10" t="s">
        <v>8327</v>
      </c>
      <c r="J1036" s="8" t="s">
        <v>8328</v>
      </c>
      <c r="K1036" s="8" t="s">
        <v>29</v>
      </c>
      <c r="L1036" s="8" t="s">
        <v>29</v>
      </c>
      <c r="M1036" s="10" t="s">
        <v>29</v>
      </c>
      <c r="N1036" s="8" t="s">
        <v>29</v>
      </c>
      <c r="O1036" s="10" t="s">
        <v>19</v>
      </c>
      <c r="P1036" s="8" t="s">
        <v>8560</v>
      </c>
      <c r="Q1036" s="10" t="s">
        <v>1399</v>
      </c>
      <c r="R1036" s="10" t="s">
        <v>1387</v>
      </c>
      <c r="S1036" s="8" t="s">
        <v>8561</v>
      </c>
      <c r="T1036" s="10" t="s">
        <v>8331</v>
      </c>
      <c r="U1036" s="10" t="s">
        <v>29</v>
      </c>
    </row>
    <row r="1037" spans="1:21" s="10" customFormat="1" x14ac:dyDescent="0.25">
      <c r="A1037" s="10" t="s">
        <v>8562</v>
      </c>
      <c r="B1037" s="10" t="s">
        <v>8322</v>
      </c>
      <c r="C1037" s="11" t="s">
        <v>297</v>
      </c>
      <c r="D1037" s="10" t="s">
        <v>8563</v>
      </c>
      <c r="E1037" s="8" t="s">
        <v>8564</v>
      </c>
      <c r="F1037" s="8" t="s">
        <v>8565</v>
      </c>
      <c r="G1037" s="10" t="s">
        <v>29</v>
      </c>
      <c r="H1037" s="8" t="s">
        <v>8566</v>
      </c>
      <c r="I1037" s="10" t="s">
        <v>8327</v>
      </c>
      <c r="J1037" s="8" t="s">
        <v>8328</v>
      </c>
      <c r="K1037" s="8" t="s">
        <v>29</v>
      </c>
      <c r="L1037" s="8" t="s">
        <v>29</v>
      </c>
      <c r="M1037" s="10" t="s">
        <v>29</v>
      </c>
      <c r="N1037" s="8" t="s">
        <v>29</v>
      </c>
      <c r="O1037" s="10" t="s">
        <v>19</v>
      </c>
      <c r="P1037" s="8" t="s">
        <v>8567</v>
      </c>
      <c r="Q1037" s="10" t="s">
        <v>1399</v>
      </c>
      <c r="R1037" s="10" t="s">
        <v>1387</v>
      </c>
      <c r="S1037" s="8" t="s">
        <v>8568</v>
      </c>
      <c r="T1037" s="10" t="s">
        <v>8331</v>
      </c>
      <c r="U1037" s="10" t="s">
        <v>29</v>
      </c>
    </row>
    <row r="1038" spans="1:21" s="10" customFormat="1" x14ac:dyDescent="0.25">
      <c r="A1038" s="10" t="s">
        <v>8569</v>
      </c>
      <c r="B1038" s="10" t="s">
        <v>8322</v>
      </c>
      <c r="C1038" s="11" t="s">
        <v>297</v>
      </c>
      <c r="D1038" s="10" t="s">
        <v>8570</v>
      </c>
      <c r="E1038" s="8" t="s">
        <v>8571</v>
      </c>
      <c r="F1038" s="8" t="s">
        <v>8572</v>
      </c>
      <c r="G1038" s="10" t="s">
        <v>29</v>
      </c>
      <c r="H1038" s="8" t="s">
        <v>8573</v>
      </c>
      <c r="I1038" s="10" t="s">
        <v>8327</v>
      </c>
      <c r="J1038" s="8" t="s">
        <v>8328</v>
      </c>
      <c r="K1038" s="8" t="s">
        <v>29</v>
      </c>
      <c r="L1038" s="8" t="s">
        <v>29</v>
      </c>
      <c r="M1038" s="10" t="s">
        <v>29</v>
      </c>
      <c r="N1038" s="8" t="s">
        <v>29</v>
      </c>
      <c r="O1038" s="10" t="s">
        <v>19</v>
      </c>
      <c r="P1038" s="8" t="s">
        <v>8574</v>
      </c>
      <c r="Q1038" s="10" t="s">
        <v>1399</v>
      </c>
      <c r="R1038" s="10" t="s">
        <v>1387</v>
      </c>
      <c r="S1038" s="8" t="s">
        <v>8575</v>
      </c>
      <c r="T1038" s="10" t="s">
        <v>8331</v>
      </c>
      <c r="U1038" s="10" t="s">
        <v>29</v>
      </c>
    </row>
    <row r="1039" spans="1:21" s="10" customFormat="1" x14ac:dyDescent="0.25">
      <c r="A1039" s="10" t="s">
        <v>8576</v>
      </c>
      <c r="B1039" s="10" t="s">
        <v>8322</v>
      </c>
      <c r="C1039" s="11" t="s">
        <v>297</v>
      </c>
      <c r="D1039" s="10" t="s">
        <v>8577</v>
      </c>
      <c r="E1039" s="8" t="s">
        <v>8578</v>
      </c>
      <c r="F1039" s="8" t="s">
        <v>8579</v>
      </c>
      <c r="G1039" s="10" t="s">
        <v>29</v>
      </c>
      <c r="H1039" s="8" t="s">
        <v>8580</v>
      </c>
      <c r="I1039" s="10" t="s">
        <v>8327</v>
      </c>
      <c r="J1039" s="8" t="s">
        <v>8328</v>
      </c>
      <c r="K1039" s="8" t="s">
        <v>29</v>
      </c>
      <c r="L1039" s="8" t="s">
        <v>29</v>
      </c>
      <c r="M1039" s="10" t="s">
        <v>29</v>
      </c>
      <c r="N1039" s="8" t="s">
        <v>29</v>
      </c>
      <c r="O1039" s="10" t="s">
        <v>19</v>
      </c>
      <c r="P1039" s="8" t="s">
        <v>8581</v>
      </c>
      <c r="Q1039" s="10" t="s">
        <v>1399</v>
      </c>
      <c r="R1039" s="10" t="s">
        <v>1387</v>
      </c>
      <c r="S1039" s="8" t="s">
        <v>8582</v>
      </c>
      <c r="T1039" s="10" t="s">
        <v>8331</v>
      </c>
      <c r="U1039" s="10" t="s">
        <v>29</v>
      </c>
    </row>
    <row r="1040" spans="1:21" s="10" customFormat="1" x14ac:dyDescent="0.25">
      <c r="A1040" s="10" t="s">
        <v>8583</v>
      </c>
      <c r="B1040" s="10" t="s">
        <v>8322</v>
      </c>
      <c r="C1040" s="11" t="s">
        <v>297</v>
      </c>
      <c r="D1040" s="10" t="s">
        <v>8584</v>
      </c>
      <c r="E1040" s="8" t="s">
        <v>8585</v>
      </c>
      <c r="F1040" s="8" t="s">
        <v>8586</v>
      </c>
      <c r="G1040" s="10" t="s">
        <v>29</v>
      </c>
      <c r="H1040" s="8" t="s">
        <v>8587</v>
      </c>
      <c r="I1040" s="10" t="s">
        <v>8327</v>
      </c>
      <c r="J1040" s="8" t="s">
        <v>8328</v>
      </c>
      <c r="K1040" s="8" t="s">
        <v>29</v>
      </c>
      <c r="L1040" s="8" t="s">
        <v>29</v>
      </c>
      <c r="M1040" s="10" t="s">
        <v>29</v>
      </c>
      <c r="N1040" s="8" t="s">
        <v>29</v>
      </c>
      <c r="O1040" s="10" t="s">
        <v>19</v>
      </c>
      <c r="P1040" s="8" t="s">
        <v>8588</v>
      </c>
      <c r="Q1040" s="10" t="s">
        <v>1399</v>
      </c>
      <c r="R1040" s="10" t="s">
        <v>1387</v>
      </c>
      <c r="S1040" s="8" t="s">
        <v>8589</v>
      </c>
      <c r="T1040" s="10" t="s">
        <v>8331</v>
      </c>
      <c r="U1040" s="10" t="s">
        <v>29</v>
      </c>
    </row>
    <row r="1041" spans="1:21" s="10" customFormat="1" x14ac:dyDescent="0.25">
      <c r="A1041" s="10" t="s">
        <v>8590</v>
      </c>
      <c r="B1041" s="10" t="s">
        <v>8322</v>
      </c>
      <c r="C1041" s="11" t="s">
        <v>297</v>
      </c>
      <c r="D1041" s="10" t="s">
        <v>8591</v>
      </c>
      <c r="E1041" s="8" t="s">
        <v>8592</v>
      </c>
      <c r="F1041" s="8" t="s">
        <v>8593</v>
      </c>
      <c r="G1041" s="10" t="s">
        <v>29</v>
      </c>
      <c r="H1041" s="8" t="s">
        <v>8594</v>
      </c>
      <c r="I1041" s="10" t="s">
        <v>8327</v>
      </c>
      <c r="J1041" s="8" t="s">
        <v>8328</v>
      </c>
      <c r="K1041" s="8" t="s">
        <v>29</v>
      </c>
      <c r="L1041" s="8" t="s">
        <v>29</v>
      </c>
      <c r="M1041" s="10" t="s">
        <v>29</v>
      </c>
      <c r="N1041" s="8" t="s">
        <v>29</v>
      </c>
      <c r="O1041" s="10" t="s">
        <v>19</v>
      </c>
      <c r="P1041" s="8" t="s">
        <v>8595</v>
      </c>
      <c r="Q1041" s="10" t="s">
        <v>1399</v>
      </c>
      <c r="R1041" s="10" t="s">
        <v>1387</v>
      </c>
      <c r="S1041" s="8" t="s">
        <v>8596</v>
      </c>
      <c r="T1041" s="10" t="s">
        <v>8331</v>
      </c>
      <c r="U1041" s="10" t="s">
        <v>29</v>
      </c>
    </row>
    <row r="1042" spans="1:21" s="10" customFormat="1" x14ac:dyDescent="0.25">
      <c r="A1042" s="10" t="s">
        <v>8597</v>
      </c>
      <c r="B1042" s="10" t="s">
        <v>8322</v>
      </c>
      <c r="C1042" s="11" t="s">
        <v>297</v>
      </c>
      <c r="D1042" s="10" t="s">
        <v>8598</v>
      </c>
      <c r="E1042" s="8" t="s">
        <v>8599</v>
      </c>
      <c r="F1042" s="8" t="s">
        <v>8600</v>
      </c>
      <c r="G1042" s="10" t="s">
        <v>29</v>
      </c>
      <c r="H1042" s="8" t="s">
        <v>8601</v>
      </c>
      <c r="I1042" s="10" t="s">
        <v>8327</v>
      </c>
      <c r="J1042" s="8" t="s">
        <v>8328</v>
      </c>
      <c r="K1042" s="8" t="s">
        <v>29</v>
      </c>
      <c r="L1042" s="8" t="s">
        <v>29</v>
      </c>
      <c r="M1042" s="10" t="s">
        <v>29</v>
      </c>
      <c r="N1042" s="8" t="s">
        <v>29</v>
      </c>
      <c r="O1042" s="10" t="s">
        <v>19</v>
      </c>
      <c r="P1042" s="8" t="s">
        <v>8602</v>
      </c>
      <c r="Q1042" s="10" t="s">
        <v>1399</v>
      </c>
      <c r="R1042" s="10" t="s">
        <v>1387</v>
      </c>
      <c r="S1042" s="8" t="s">
        <v>8603</v>
      </c>
      <c r="T1042" s="10" t="s">
        <v>8331</v>
      </c>
      <c r="U1042" s="10" t="s">
        <v>29</v>
      </c>
    </row>
    <row r="1043" spans="1:21" s="10" customFormat="1" x14ac:dyDescent="0.25">
      <c r="A1043" s="10" t="s">
        <v>8604</v>
      </c>
      <c r="B1043" s="10" t="s">
        <v>8322</v>
      </c>
      <c r="C1043" s="11" t="s">
        <v>297</v>
      </c>
      <c r="D1043" s="10" t="s">
        <v>8605</v>
      </c>
      <c r="E1043" s="8" t="s">
        <v>8606</v>
      </c>
      <c r="F1043" s="8" t="s">
        <v>8607</v>
      </c>
      <c r="G1043" s="10" t="s">
        <v>29</v>
      </c>
      <c r="H1043" s="8" t="s">
        <v>8608</v>
      </c>
      <c r="I1043" s="10" t="s">
        <v>8327</v>
      </c>
      <c r="J1043" s="8" t="s">
        <v>8328</v>
      </c>
      <c r="K1043" s="8" t="s">
        <v>29</v>
      </c>
      <c r="L1043" s="8" t="s">
        <v>29</v>
      </c>
      <c r="M1043" s="10" t="s">
        <v>29</v>
      </c>
      <c r="N1043" s="8" t="s">
        <v>29</v>
      </c>
      <c r="O1043" s="10" t="s">
        <v>19</v>
      </c>
      <c r="P1043" s="8" t="s">
        <v>8609</v>
      </c>
      <c r="Q1043" s="10" t="s">
        <v>1399</v>
      </c>
      <c r="R1043" s="10" t="s">
        <v>1387</v>
      </c>
      <c r="S1043" s="8" t="s">
        <v>8610</v>
      </c>
      <c r="T1043" s="10" t="s">
        <v>8331</v>
      </c>
      <c r="U1043" s="10" t="s">
        <v>29</v>
      </c>
    </row>
    <row r="1044" spans="1:21" s="10" customFormat="1" x14ac:dyDescent="0.25">
      <c r="A1044" s="10" t="s">
        <v>8611</v>
      </c>
      <c r="B1044" s="10" t="s">
        <v>8322</v>
      </c>
      <c r="C1044" s="11" t="s">
        <v>297</v>
      </c>
      <c r="D1044" s="10" t="s">
        <v>8612</v>
      </c>
      <c r="E1044" s="8" t="s">
        <v>8613</v>
      </c>
      <c r="F1044" s="8" t="s">
        <v>8614</v>
      </c>
      <c r="G1044" s="10" t="s">
        <v>29</v>
      </c>
      <c r="H1044" s="8" t="s">
        <v>8615</v>
      </c>
      <c r="I1044" s="10" t="s">
        <v>8327</v>
      </c>
      <c r="J1044" s="8" t="s">
        <v>8328</v>
      </c>
      <c r="K1044" s="8" t="s">
        <v>29</v>
      </c>
      <c r="L1044" s="8" t="s">
        <v>29</v>
      </c>
      <c r="M1044" s="10" t="s">
        <v>29</v>
      </c>
      <c r="N1044" s="8" t="s">
        <v>29</v>
      </c>
      <c r="O1044" s="10" t="s">
        <v>19</v>
      </c>
      <c r="P1044" s="8" t="s">
        <v>8616</v>
      </c>
      <c r="Q1044" s="10" t="s">
        <v>1399</v>
      </c>
      <c r="R1044" s="10" t="s">
        <v>1387</v>
      </c>
      <c r="S1044" s="8" t="s">
        <v>8617</v>
      </c>
      <c r="T1044" s="10" t="s">
        <v>8331</v>
      </c>
      <c r="U1044" s="10" t="s">
        <v>29</v>
      </c>
    </row>
    <row r="1045" spans="1:21" s="10" customFormat="1" x14ac:dyDescent="0.25">
      <c r="A1045" s="10" t="s">
        <v>8618</v>
      </c>
      <c r="B1045" s="10" t="s">
        <v>8322</v>
      </c>
      <c r="C1045" s="11" t="s">
        <v>297</v>
      </c>
      <c r="D1045" s="10" t="s">
        <v>8619</v>
      </c>
      <c r="E1045" s="8" t="s">
        <v>8620</v>
      </c>
      <c r="F1045" s="8" t="s">
        <v>8621</v>
      </c>
      <c r="G1045" s="10" t="s">
        <v>29</v>
      </c>
      <c r="H1045" s="8" t="s">
        <v>8622</v>
      </c>
      <c r="I1045" s="10" t="s">
        <v>8327</v>
      </c>
      <c r="J1045" s="8" t="s">
        <v>8328</v>
      </c>
      <c r="K1045" s="8" t="s">
        <v>29</v>
      </c>
      <c r="L1045" s="8" t="s">
        <v>29</v>
      </c>
      <c r="M1045" s="10" t="s">
        <v>29</v>
      </c>
      <c r="N1045" s="8" t="s">
        <v>29</v>
      </c>
      <c r="O1045" s="10" t="s">
        <v>19</v>
      </c>
      <c r="P1045" s="8" t="s">
        <v>8623</v>
      </c>
      <c r="Q1045" s="10" t="s">
        <v>1399</v>
      </c>
      <c r="R1045" s="10" t="s">
        <v>1387</v>
      </c>
      <c r="S1045" s="8" t="s">
        <v>8624</v>
      </c>
      <c r="T1045" s="10" t="s">
        <v>8331</v>
      </c>
      <c r="U1045" s="10" t="s">
        <v>29</v>
      </c>
    </row>
    <row r="1046" spans="1:21" s="10" customFormat="1" x14ac:dyDescent="0.25">
      <c r="A1046" s="10" t="s">
        <v>8625</v>
      </c>
      <c r="B1046" s="10" t="s">
        <v>8322</v>
      </c>
      <c r="C1046" s="11" t="s">
        <v>297</v>
      </c>
      <c r="D1046" s="10" t="s">
        <v>8626</v>
      </c>
      <c r="E1046" s="8" t="s">
        <v>8627</v>
      </c>
      <c r="F1046" s="8" t="s">
        <v>8628</v>
      </c>
      <c r="G1046" s="10" t="s">
        <v>29</v>
      </c>
      <c r="H1046" s="8" t="s">
        <v>8629</v>
      </c>
      <c r="I1046" s="10" t="s">
        <v>8327</v>
      </c>
      <c r="J1046" s="8" t="s">
        <v>8328</v>
      </c>
      <c r="K1046" s="8" t="s">
        <v>29</v>
      </c>
      <c r="L1046" s="8" t="s">
        <v>29</v>
      </c>
      <c r="M1046" s="10" t="s">
        <v>29</v>
      </c>
      <c r="N1046" s="8" t="s">
        <v>29</v>
      </c>
      <c r="O1046" s="10" t="s">
        <v>19</v>
      </c>
      <c r="P1046" s="8" t="s">
        <v>8630</v>
      </c>
      <c r="Q1046" s="10" t="s">
        <v>1399</v>
      </c>
      <c r="R1046" s="10" t="s">
        <v>1387</v>
      </c>
      <c r="S1046" s="8" t="s">
        <v>8631</v>
      </c>
      <c r="T1046" s="10" t="s">
        <v>8331</v>
      </c>
      <c r="U1046" s="10" t="s">
        <v>29</v>
      </c>
    </row>
    <row r="1047" spans="1:21" s="10" customFormat="1" x14ac:dyDescent="0.25">
      <c r="A1047" s="10" t="s">
        <v>8632</v>
      </c>
      <c r="B1047" s="10" t="s">
        <v>8322</v>
      </c>
      <c r="C1047" s="11" t="s">
        <v>297</v>
      </c>
      <c r="D1047" s="10" t="s">
        <v>8633</v>
      </c>
      <c r="E1047" s="8" t="s">
        <v>8634</v>
      </c>
      <c r="F1047" s="8" t="s">
        <v>8635</v>
      </c>
      <c r="G1047" s="10" t="s">
        <v>29</v>
      </c>
      <c r="H1047" s="8" t="s">
        <v>8636</v>
      </c>
      <c r="I1047" s="10" t="s">
        <v>8327</v>
      </c>
      <c r="J1047" s="8" t="s">
        <v>8328</v>
      </c>
      <c r="K1047" s="8" t="s">
        <v>29</v>
      </c>
      <c r="L1047" s="8" t="s">
        <v>29</v>
      </c>
      <c r="M1047" s="10" t="s">
        <v>29</v>
      </c>
      <c r="N1047" s="8" t="s">
        <v>29</v>
      </c>
      <c r="O1047" s="10" t="s">
        <v>19</v>
      </c>
      <c r="P1047" s="8" t="s">
        <v>8637</v>
      </c>
      <c r="Q1047" s="10" t="s">
        <v>1399</v>
      </c>
      <c r="R1047" s="10" t="s">
        <v>1387</v>
      </c>
      <c r="S1047" s="8" t="s">
        <v>8638</v>
      </c>
      <c r="T1047" s="10" t="s">
        <v>8331</v>
      </c>
      <c r="U1047" s="10" t="s">
        <v>29</v>
      </c>
    </row>
    <row r="1048" spans="1:21" s="10" customFormat="1" x14ac:dyDescent="0.25">
      <c r="A1048" s="10" t="s">
        <v>8639</v>
      </c>
      <c r="B1048" s="10" t="s">
        <v>8322</v>
      </c>
      <c r="C1048" s="11" t="s">
        <v>297</v>
      </c>
      <c r="D1048" s="10" t="s">
        <v>8640</v>
      </c>
      <c r="E1048" s="8" t="s">
        <v>8641</v>
      </c>
      <c r="F1048" s="8" t="s">
        <v>8642</v>
      </c>
      <c r="G1048" s="10" t="s">
        <v>29</v>
      </c>
      <c r="H1048" s="8" t="s">
        <v>8643</v>
      </c>
      <c r="I1048" s="10" t="s">
        <v>8327</v>
      </c>
      <c r="J1048" s="8" t="s">
        <v>8328</v>
      </c>
      <c r="K1048" s="8" t="s">
        <v>29</v>
      </c>
      <c r="L1048" s="8" t="s">
        <v>29</v>
      </c>
      <c r="M1048" s="10" t="s">
        <v>29</v>
      </c>
      <c r="N1048" s="8" t="s">
        <v>29</v>
      </c>
      <c r="O1048" s="10" t="s">
        <v>19</v>
      </c>
      <c r="P1048" s="8" t="s">
        <v>8644</v>
      </c>
      <c r="Q1048" s="10" t="s">
        <v>1399</v>
      </c>
      <c r="R1048" s="10" t="s">
        <v>1387</v>
      </c>
      <c r="S1048" s="8" t="s">
        <v>8645</v>
      </c>
      <c r="T1048" s="10" t="s">
        <v>8331</v>
      </c>
      <c r="U1048" s="10" t="s">
        <v>29</v>
      </c>
    </row>
    <row r="1049" spans="1:21" s="10" customFormat="1" x14ac:dyDescent="0.25">
      <c r="A1049" s="10" t="s">
        <v>8646</v>
      </c>
      <c r="B1049" s="10" t="s">
        <v>8322</v>
      </c>
      <c r="C1049" s="11" t="s">
        <v>297</v>
      </c>
      <c r="D1049" s="10" t="s">
        <v>8647</v>
      </c>
      <c r="E1049" s="8" t="s">
        <v>8648</v>
      </c>
      <c r="F1049" s="8" t="s">
        <v>8649</v>
      </c>
      <c r="G1049" s="10" t="s">
        <v>29</v>
      </c>
      <c r="H1049" s="8" t="s">
        <v>8650</v>
      </c>
      <c r="I1049" s="10" t="s">
        <v>8327</v>
      </c>
      <c r="J1049" s="8" t="s">
        <v>8328</v>
      </c>
      <c r="K1049" s="8" t="s">
        <v>29</v>
      </c>
      <c r="L1049" s="8" t="s">
        <v>29</v>
      </c>
      <c r="M1049" s="10" t="s">
        <v>29</v>
      </c>
      <c r="N1049" s="8" t="s">
        <v>29</v>
      </c>
      <c r="O1049" s="10" t="s">
        <v>19</v>
      </c>
      <c r="P1049" s="8" t="s">
        <v>8651</v>
      </c>
      <c r="Q1049" s="10" t="s">
        <v>1399</v>
      </c>
      <c r="R1049" s="10" t="s">
        <v>1387</v>
      </c>
      <c r="S1049" s="8" t="s">
        <v>8652</v>
      </c>
      <c r="T1049" s="10" t="s">
        <v>8331</v>
      </c>
      <c r="U1049" s="10" t="s">
        <v>29</v>
      </c>
    </row>
    <row r="1050" spans="1:21" s="10" customFormat="1" x14ac:dyDescent="0.25">
      <c r="A1050" s="10" t="s">
        <v>8653</v>
      </c>
      <c r="B1050" s="10" t="s">
        <v>8322</v>
      </c>
      <c r="C1050" s="11" t="s">
        <v>297</v>
      </c>
      <c r="D1050" s="10" t="s">
        <v>8654</v>
      </c>
      <c r="E1050" s="8" t="s">
        <v>8655</v>
      </c>
      <c r="F1050" s="8" t="s">
        <v>8656</v>
      </c>
      <c r="G1050" s="10" t="s">
        <v>29</v>
      </c>
      <c r="H1050" s="8" t="s">
        <v>8657</v>
      </c>
      <c r="I1050" s="10" t="s">
        <v>8327</v>
      </c>
      <c r="J1050" s="8" t="s">
        <v>8328</v>
      </c>
      <c r="K1050" s="8" t="s">
        <v>29</v>
      </c>
      <c r="L1050" s="8" t="s">
        <v>29</v>
      </c>
      <c r="M1050" s="10" t="s">
        <v>29</v>
      </c>
      <c r="N1050" s="8" t="s">
        <v>29</v>
      </c>
      <c r="O1050" s="10" t="s">
        <v>19</v>
      </c>
      <c r="P1050" s="8" t="s">
        <v>8658</v>
      </c>
      <c r="Q1050" s="10" t="s">
        <v>1399</v>
      </c>
      <c r="R1050" s="10" t="s">
        <v>1387</v>
      </c>
      <c r="S1050" s="8" t="s">
        <v>8366</v>
      </c>
      <c r="T1050" s="10" t="s">
        <v>8331</v>
      </c>
      <c r="U1050" s="10" t="s">
        <v>29</v>
      </c>
    </row>
    <row r="1051" spans="1:21" s="10" customFormat="1" x14ac:dyDescent="0.25">
      <c r="A1051" s="10" t="s">
        <v>8659</v>
      </c>
      <c r="B1051" s="10" t="s">
        <v>8322</v>
      </c>
      <c r="C1051" s="11" t="s">
        <v>297</v>
      </c>
      <c r="D1051" s="10" t="s">
        <v>8660</v>
      </c>
      <c r="E1051" s="8" t="s">
        <v>8661</v>
      </c>
      <c r="F1051" s="8" t="s">
        <v>8662</v>
      </c>
      <c r="G1051" s="10" t="s">
        <v>29</v>
      </c>
      <c r="H1051" s="8" t="s">
        <v>8663</v>
      </c>
      <c r="I1051" s="10" t="s">
        <v>8327</v>
      </c>
      <c r="J1051" s="8" t="s">
        <v>8328</v>
      </c>
      <c r="K1051" s="8" t="s">
        <v>29</v>
      </c>
      <c r="L1051" s="8" t="s">
        <v>29</v>
      </c>
      <c r="M1051" s="10" t="s">
        <v>29</v>
      </c>
      <c r="N1051" s="8" t="s">
        <v>29</v>
      </c>
      <c r="O1051" s="10" t="s">
        <v>19</v>
      </c>
      <c r="P1051" s="8" t="s">
        <v>8664</v>
      </c>
      <c r="Q1051" s="10" t="s">
        <v>1399</v>
      </c>
      <c r="R1051" s="10" t="s">
        <v>1387</v>
      </c>
      <c r="S1051" s="8" t="s">
        <v>8665</v>
      </c>
      <c r="T1051" s="10" t="s">
        <v>8331</v>
      </c>
      <c r="U1051" s="10" t="s">
        <v>29</v>
      </c>
    </row>
    <row r="1052" spans="1:21" s="10" customFormat="1" x14ac:dyDescent="0.25">
      <c r="A1052" s="10" t="s">
        <v>8666</v>
      </c>
      <c r="B1052" s="10" t="s">
        <v>8322</v>
      </c>
      <c r="C1052" s="11" t="s">
        <v>297</v>
      </c>
      <c r="D1052" s="10" t="s">
        <v>8667</v>
      </c>
      <c r="E1052" s="8" t="s">
        <v>8668</v>
      </c>
      <c r="F1052" s="8" t="s">
        <v>8669</v>
      </c>
      <c r="G1052" s="10" t="s">
        <v>29</v>
      </c>
      <c r="H1052" s="8" t="s">
        <v>8670</v>
      </c>
      <c r="I1052" s="10" t="s">
        <v>8327</v>
      </c>
      <c r="J1052" s="8" t="s">
        <v>8328</v>
      </c>
      <c r="K1052" s="8" t="s">
        <v>29</v>
      </c>
      <c r="L1052" s="8" t="s">
        <v>29</v>
      </c>
      <c r="M1052" s="10" t="s">
        <v>29</v>
      </c>
      <c r="N1052" s="8" t="s">
        <v>29</v>
      </c>
      <c r="O1052" s="10" t="s">
        <v>19</v>
      </c>
      <c r="P1052" s="8" t="s">
        <v>8671</v>
      </c>
      <c r="Q1052" s="10" t="s">
        <v>1399</v>
      </c>
      <c r="R1052" s="10" t="s">
        <v>1387</v>
      </c>
      <c r="S1052" s="8" t="s">
        <v>8366</v>
      </c>
      <c r="T1052" s="10" t="s">
        <v>8331</v>
      </c>
      <c r="U1052" s="10" t="s">
        <v>29</v>
      </c>
    </row>
    <row r="1053" spans="1:21" s="10" customFormat="1" x14ac:dyDescent="0.25">
      <c r="A1053" s="10" t="s">
        <v>8672</v>
      </c>
      <c r="B1053" s="10" t="s">
        <v>8322</v>
      </c>
      <c r="C1053" s="11" t="s">
        <v>297</v>
      </c>
      <c r="D1053" s="10" t="s">
        <v>8673</v>
      </c>
      <c r="E1053" s="8" t="s">
        <v>8674</v>
      </c>
      <c r="F1053" s="8" t="s">
        <v>8675</v>
      </c>
      <c r="G1053" s="10" t="s">
        <v>29</v>
      </c>
      <c r="H1053" s="8" t="s">
        <v>8676</v>
      </c>
      <c r="I1053" s="10" t="s">
        <v>308</v>
      </c>
      <c r="J1053" s="8" t="s">
        <v>8328</v>
      </c>
      <c r="K1053" s="8" t="s">
        <v>29</v>
      </c>
      <c r="L1053" s="8" t="s">
        <v>29</v>
      </c>
      <c r="M1053" s="10" t="s">
        <v>29</v>
      </c>
      <c r="N1053" s="8" t="s">
        <v>29</v>
      </c>
      <c r="O1053" s="10" t="s">
        <v>19</v>
      </c>
      <c r="P1053" s="8" t="s">
        <v>8677</v>
      </c>
      <c r="Q1053" s="10" t="s">
        <v>1399</v>
      </c>
      <c r="R1053" s="10" t="s">
        <v>1387</v>
      </c>
      <c r="S1053" s="8" t="s">
        <v>8678</v>
      </c>
      <c r="T1053" s="10" t="s">
        <v>8331</v>
      </c>
      <c r="U1053" s="10" t="s">
        <v>29</v>
      </c>
    </row>
    <row r="1054" spans="1:21" s="10" customFormat="1" x14ac:dyDescent="0.25">
      <c r="A1054" s="10" t="s">
        <v>8679</v>
      </c>
      <c r="B1054" s="10" t="s">
        <v>8322</v>
      </c>
      <c r="C1054" s="11" t="s">
        <v>297</v>
      </c>
      <c r="D1054" s="10" t="s">
        <v>8680</v>
      </c>
      <c r="E1054" s="8" t="s">
        <v>8681</v>
      </c>
      <c r="F1054" s="8" t="s">
        <v>8682</v>
      </c>
      <c r="G1054" s="10" t="s">
        <v>29</v>
      </c>
      <c r="H1054" s="8" t="s">
        <v>8683</v>
      </c>
      <c r="I1054" s="10" t="s">
        <v>308</v>
      </c>
      <c r="J1054" s="8" t="s">
        <v>8328</v>
      </c>
      <c r="K1054" s="8" t="s">
        <v>29</v>
      </c>
      <c r="L1054" s="8" t="s">
        <v>29</v>
      </c>
      <c r="M1054" s="10" t="s">
        <v>29</v>
      </c>
      <c r="N1054" s="8" t="s">
        <v>29</v>
      </c>
      <c r="O1054" s="10" t="s">
        <v>19</v>
      </c>
      <c r="P1054" s="8" t="s">
        <v>8684</v>
      </c>
      <c r="Q1054" s="10" t="s">
        <v>1399</v>
      </c>
      <c r="R1054" s="10" t="s">
        <v>1387</v>
      </c>
      <c r="S1054" s="8" t="s">
        <v>8685</v>
      </c>
      <c r="T1054" s="10" t="s">
        <v>8331</v>
      </c>
      <c r="U1054" s="10" t="s">
        <v>29</v>
      </c>
    </row>
    <row r="1055" spans="1:21" s="10" customFormat="1" x14ac:dyDescent="0.25">
      <c r="A1055" s="10" t="s">
        <v>8686</v>
      </c>
      <c r="B1055" s="10" t="s">
        <v>8322</v>
      </c>
      <c r="C1055" s="11" t="s">
        <v>297</v>
      </c>
      <c r="D1055" s="10" t="s">
        <v>8687</v>
      </c>
      <c r="E1055" s="8" t="s">
        <v>8688</v>
      </c>
      <c r="F1055" s="8" t="s">
        <v>8689</v>
      </c>
      <c r="G1055" s="10" t="s">
        <v>29</v>
      </c>
      <c r="H1055" s="8" t="s">
        <v>8690</v>
      </c>
      <c r="I1055" s="10" t="s">
        <v>308</v>
      </c>
      <c r="J1055" s="8" t="s">
        <v>8328</v>
      </c>
      <c r="K1055" s="8" t="s">
        <v>29</v>
      </c>
      <c r="L1055" s="8" t="s">
        <v>29</v>
      </c>
      <c r="M1055" s="10" t="s">
        <v>29</v>
      </c>
      <c r="N1055" s="8" t="s">
        <v>29</v>
      </c>
      <c r="O1055" s="10" t="s">
        <v>19</v>
      </c>
      <c r="P1055" s="8" t="s">
        <v>8691</v>
      </c>
      <c r="Q1055" s="10" t="s">
        <v>1399</v>
      </c>
      <c r="R1055" s="10" t="s">
        <v>1387</v>
      </c>
      <c r="S1055" s="8" t="s">
        <v>8692</v>
      </c>
      <c r="T1055" s="10" t="s">
        <v>8331</v>
      </c>
      <c r="U1055" s="10" t="s">
        <v>29</v>
      </c>
    </row>
    <row r="1056" spans="1:21" s="10" customFormat="1" x14ac:dyDescent="0.25">
      <c r="A1056" s="10" t="s">
        <v>8693</v>
      </c>
      <c r="B1056" s="10" t="s">
        <v>8322</v>
      </c>
      <c r="C1056" s="11" t="s">
        <v>297</v>
      </c>
      <c r="D1056" s="10" t="s">
        <v>8694</v>
      </c>
      <c r="E1056" s="8" t="s">
        <v>8695</v>
      </c>
      <c r="F1056" s="8" t="s">
        <v>8696</v>
      </c>
      <c r="G1056" s="10" t="s">
        <v>29</v>
      </c>
      <c r="H1056" s="8" t="s">
        <v>8690</v>
      </c>
      <c r="I1056" s="10" t="s">
        <v>308</v>
      </c>
      <c r="J1056" s="8" t="s">
        <v>8328</v>
      </c>
      <c r="K1056" s="8" t="s">
        <v>29</v>
      </c>
      <c r="L1056" s="8" t="s">
        <v>29</v>
      </c>
      <c r="M1056" s="10" t="s">
        <v>29</v>
      </c>
      <c r="N1056" s="8" t="s">
        <v>29</v>
      </c>
      <c r="O1056" s="10" t="s">
        <v>19</v>
      </c>
      <c r="P1056" s="8" t="s">
        <v>8697</v>
      </c>
      <c r="Q1056" s="10" t="s">
        <v>1399</v>
      </c>
      <c r="R1056" s="10" t="s">
        <v>1387</v>
      </c>
      <c r="S1056" s="8" t="s">
        <v>8698</v>
      </c>
      <c r="T1056" s="10" t="s">
        <v>8331</v>
      </c>
      <c r="U1056" s="10" t="s">
        <v>29</v>
      </c>
    </row>
    <row r="1057" spans="1:21" s="10" customFormat="1" x14ac:dyDescent="0.25">
      <c r="A1057" s="10" t="s">
        <v>8699</v>
      </c>
      <c r="B1057" s="10" t="s">
        <v>8322</v>
      </c>
      <c r="C1057" s="11" t="s">
        <v>297</v>
      </c>
      <c r="D1057" s="10" t="s">
        <v>8700</v>
      </c>
      <c r="E1057" s="8" t="s">
        <v>8701</v>
      </c>
      <c r="F1057" s="8" t="s">
        <v>8702</v>
      </c>
      <c r="G1057" s="10" t="s">
        <v>29</v>
      </c>
      <c r="H1057" s="8" t="s">
        <v>8703</v>
      </c>
      <c r="I1057" s="10" t="s">
        <v>8704</v>
      </c>
      <c r="J1057" s="8" t="s">
        <v>8328</v>
      </c>
      <c r="K1057" s="8" t="s">
        <v>29</v>
      </c>
      <c r="L1057" s="8" t="s">
        <v>29</v>
      </c>
      <c r="M1057" s="10" t="s">
        <v>29</v>
      </c>
      <c r="N1057" s="8" t="s">
        <v>29</v>
      </c>
      <c r="O1057" s="10" t="s">
        <v>19</v>
      </c>
      <c r="P1057" s="8" t="s">
        <v>8705</v>
      </c>
      <c r="Q1057" s="10" t="s">
        <v>1399</v>
      </c>
      <c r="R1057" s="10" t="s">
        <v>1387</v>
      </c>
      <c r="S1057" s="8" t="s">
        <v>8706</v>
      </c>
      <c r="T1057" s="10" t="s">
        <v>8331</v>
      </c>
      <c r="U1057" s="10" t="s">
        <v>29</v>
      </c>
    </row>
  </sheetData>
  <autoFilter ref="A1:U1057"/>
  <conditionalFormatting sqref="G2:G1057">
    <cfRule type="cellIs" dxfId="14" priority="1" operator="equal">
      <formula>"PASS"</formula>
    </cfRule>
    <cfRule type="cellIs" dxfId="15" priority="2" operator="equal">
      <formula>"FAIL"</formula>
    </cfRule>
    <cfRule type="cellIs" dxfId="16" priority="3" operator="equal">
      <formula>"BLOCKED"</formula>
    </cfRule>
  </conditionalFormatting>
  <conditionalFormatting sqref="A2:U1057">
    <cfRule type="expression" dxfId="17" priority="10">
      <formula>$G2="FAIL"</formula>
    </cfRule>
  </conditionalFormatting>
  <dataValidations count="8">
    <dataValidation type="list" allowBlank="1" showErrorMessage="1" errorStyle="warning" errorTitle="Not a valid value" error="Choose one of: P1, P2, P3" sqref="C10:C1057">
      <formula1>"P1,P2,P3"</formula1>
    </dataValidation>
    <dataValidation type="list" allowBlank="1" showErrorMessage="1" errorStyle="warning" errorTitle="Not a valid value" error="Choose one of: P1, P2, P3" sqref="C2:C1057">
      <formula1>"P1,P2,P3"</formula1>
    </dataValidation>
    <dataValidation type="list" allowBlank="1" showErrorMessage="1" errorStyle="warning" errorTitle="Not a valid value" error="Choose one of: PASS, FAIL, BLOCKED, N/A" sqref="G10:G1057">
      <formula1>"PASS,FAIL,BLOCKED,N/A"</formula1>
    </dataValidation>
    <dataValidation type="list" allowBlank="1" showErrorMessage="1" errorStyle="warning" errorTitle="Not a valid value" error="Choose one of: PASS, FAIL, BLOCKED, N/A" sqref="G2:G1057">
      <formula1>"PASS,FAIL,BLOCKED,N/A"</formula1>
    </dataValidation>
    <dataValidation type="list" allowBlank="1" showErrorMessage="1" errorStyle="warning" errorTitle="Not a valid value" error="Choose one of: Y, N" sqref="M10:M1057">
      <formula1>"Y,N"</formula1>
    </dataValidation>
    <dataValidation type="list" allowBlank="1" showErrorMessage="1" errorStyle="warning" errorTitle="Not a valid value" error="Choose one of: Y, N" sqref="M2:M1057">
      <formula1>"Y,N"</formula1>
    </dataValidation>
    <dataValidation type="list" allowBlank="1" showErrorMessage="1" errorStyle="warning" errorTitle="Not a valid value" error="Choose one of: Positive, Negative, Boundary, RBAC, Cross-Module" sqref="Q10:Q1057">
      <formula1>"Positive,Negative,Boundary,RBAC,Cross-Module"</formula1>
    </dataValidation>
    <dataValidation type="list" allowBlank="1" showErrorMessage="1" errorStyle="warning" errorTitle="Not a valid value" error="Choose one of: Positive, Negative, Boundary, RBAC, Cross-Module" sqref="Q2:Q1057">
      <formula1>"Positive,Negative,Boundary,RBAC,Cross-Module"</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01"/>
  <sheetViews>
    <sheetView workbookViewId="0">
      <pane xSplit="1" ySplit="1" topLeftCell="B2" activePane="bottomRight" state="frozen"/>
      <selection pane="bottomRight"/>
    </sheetView>
  </sheetViews>
  <sheetFormatPr defaultRowHeight="18" outlineLevelRow="0" outlineLevelCol="0" x14ac:dyDescent="55" customHeight="1"/>
  <cols>
    <col min="1" max="1" width="16" customWidth="1"/>
    <col min="2" max="2" width="12" customWidth="1"/>
    <col min="3" max="3" width="10" customWidth="1"/>
    <col min="4" max="4" width="20" customWidth="1"/>
    <col min="5" max="5" width="18" customWidth="1"/>
    <col min="6" max="6" width="12" customWidth="1"/>
    <col min="7" max="7" width="50" customWidth="1"/>
    <col min="8" max="8" width="60" customWidth="1"/>
    <col min="9" max="9" width="44" customWidth="1"/>
    <col min="10" max="11" width="16" customWidth="1"/>
    <col min="12" max="12" width="14" customWidth="1"/>
    <col min="13" max="13" width="40" customWidth="1"/>
  </cols>
  <sheetData>
    <row r="1" ht="34" customHeight="1" spans="1:13" x14ac:dyDescent="0.25">
      <c r="A1" s="12" t="s">
        <v>163</v>
      </c>
      <c r="B1" s="12" t="s">
        <v>8707</v>
      </c>
      <c r="C1" s="12" t="s">
        <v>0</v>
      </c>
      <c r="D1" s="12" t="s">
        <v>145</v>
      </c>
      <c r="E1" s="12" t="s">
        <v>8708</v>
      </c>
      <c r="F1" s="12" t="s">
        <v>8709</v>
      </c>
      <c r="G1" s="12" t="s">
        <v>8710</v>
      </c>
      <c r="H1" s="12" t="s">
        <v>8711</v>
      </c>
      <c r="I1" s="12" t="s">
        <v>8712</v>
      </c>
      <c r="J1" s="12" t="s">
        <v>8713</v>
      </c>
      <c r="K1" s="12" t="s">
        <v>8714</v>
      </c>
      <c r="L1" s="12" t="s">
        <v>24</v>
      </c>
      <c r="M1" s="12" t="s">
        <v>8715</v>
      </c>
    </row>
    <row r="2" spans="6:12" x14ac:dyDescent="0.25"/>
    <row r="3" spans="6:12" x14ac:dyDescent="0.25"/>
    <row r="4" spans="6:12" x14ac:dyDescent="0.25"/>
    <row r="5" spans="6:12" x14ac:dyDescent="0.25"/>
    <row r="6" spans="6:12" x14ac:dyDescent="0.25"/>
    <row r="7" spans="6:12" x14ac:dyDescent="0.25"/>
    <row r="8" spans="6:12" x14ac:dyDescent="0.25"/>
    <row r="9" spans="6:12" x14ac:dyDescent="0.25"/>
    <row r="10" spans="6:12" x14ac:dyDescent="0.25"/>
    <row r="11" spans="6:12" x14ac:dyDescent="0.25"/>
    <row r="12" spans="6:12" x14ac:dyDescent="0.25"/>
    <row r="13" spans="6:12" x14ac:dyDescent="0.25"/>
    <row r="14" spans="6:12" x14ac:dyDescent="0.25"/>
    <row r="15" spans="6:12" x14ac:dyDescent="0.25"/>
    <row r="16" spans="6:12" x14ac:dyDescent="0.25"/>
    <row r="17" spans="6:12" x14ac:dyDescent="0.25"/>
    <row r="18" spans="6:12" x14ac:dyDescent="0.25"/>
    <row r="19" spans="6:12" x14ac:dyDescent="0.25"/>
    <row r="20" spans="6:12" x14ac:dyDescent="0.25"/>
    <row r="21" spans="6:12" x14ac:dyDescent="0.25"/>
    <row r="22" spans="6:12" x14ac:dyDescent="0.25"/>
    <row r="23" spans="6:12" x14ac:dyDescent="0.25"/>
    <row r="24" spans="6:12" x14ac:dyDescent="0.25"/>
    <row r="25" spans="6:12" x14ac:dyDescent="0.25"/>
    <row r="26" spans="6:12" x14ac:dyDescent="0.25"/>
    <row r="27" spans="6:12" x14ac:dyDescent="0.25"/>
    <row r="28" spans="6:12" x14ac:dyDescent="0.25"/>
    <row r="29" spans="6:12" x14ac:dyDescent="0.25"/>
    <row r="30" spans="6:12" x14ac:dyDescent="0.25"/>
    <row r="31" spans="6:12" x14ac:dyDescent="0.25"/>
    <row r="32" spans="6:12" x14ac:dyDescent="0.25"/>
    <row r="33" spans="6:12" x14ac:dyDescent="0.25"/>
    <row r="34" spans="6:12" x14ac:dyDescent="0.25"/>
    <row r="35" spans="6:12" x14ac:dyDescent="0.25"/>
    <row r="36" spans="6:12" x14ac:dyDescent="0.25"/>
    <row r="37" spans="6:12" x14ac:dyDescent="0.25"/>
    <row r="38" spans="6:12" x14ac:dyDescent="0.25"/>
    <row r="39" spans="6:12" x14ac:dyDescent="0.25"/>
    <row r="40" spans="6:12" x14ac:dyDescent="0.25"/>
    <row r="41" spans="6:12" x14ac:dyDescent="0.25"/>
    <row r="42" spans="6:12" x14ac:dyDescent="0.25"/>
    <row r="43" spans="6:12" x14ac:dyDescent="0.25"/>
    <row r="44" spans="6:12" x14ac:dyDescent="0.25"/>
    <row r="45" spans="6:12" x14ac:dyDescent="0.25"/>
    <row r="46" spans="6:12" x14ac:dyDescent="0.25"/>
    <row r="47" spans="6:12" x14ac:dyDescent="0.25"/>
    <row r="48" spans="6:12" x14ac:dyDescent="0.25"/>
    <row r="49" spans="6:12" x14ac:dyDescent="0.25"/>
    <row r="50" spans="6:12" x14ac:dyDescent="0.25"/>
    <row r="51" spans="6:12" x14ac:dyDescent="0.25"/>
    <row r="52" spans="6:12" x14ac:dyDescent="0.25"/>
    <row r="53" spans="6:12" x14ac:dyDescent="0.25"/>
    <row r="54" spans="6:12" x14ac:dyDescent="0.25"/>
    <row r="55" spans="6:12" x14ac:dyDescent="0.25"/>
    <row r="56" spans="6:12" x14ac:dyDescent="0.25"/>
    <row r="57" spans="6:12" x14ac:dyDescent="0.25"/>
    <row r="58" spans="6:12" x14ac:dyDescent="0.25"/>
    <row r="59" spans="6:12" x14ac:dyDescent="0.25"/>
    <row r="60" spans="6:12" x14ac:dyDescent="0.25"/>
    <row r="61" spans="6:12" x14ac:dyDescent="0.25"/>
    <row r="62" spans="6:12" x14ac:dyDescent="0.25"/>
    <row r="63" spans="6:12" x14ac:dyDescent="0.25"/>
    <row r="64" spans="6:12" x14ac:dyDescent="0.25"/>
    <row r="65" spans="6:12" x14ac:dyDescent="0.25"/>
    <row r="66" spans="6:12" x14ac:dyDescent="0.25"/>
    <row r="67" spans="6:12" x14ac:dyDescent="0.25"/>
    <row r="68" spans="6:12" x14ac:dyDescent="0.25"/>
    <row r="69" spans="6:12" x14ac:dyDescent="0.25"/>
    <row r="70" spans="6:12" x14ac:dyDescent="0.25"/>
    <row r="71" spans="6:12" x14ac:dyDescent="0.25"/>
    <row r="72" spans="6:12" x14ac:dyDescent="0.25"/>
    <row r="73" spans="6:12" x14ac:dyDescent="0.25"/>
    <row r="74" spans="6:12" x14ac:dyDescent="0.25"/>
    <row r="75" spans="6:12" x14ac:dyDescent="0.25"/>
    <row r="76" spans="6:12" x14ac:dyDescent="0.25"/>
    <row r="77" spans="6:12" x14ac:dyDescent="0.25"/>
    <row r="78" spans="6:12" x14ac:dyDescent="0.25"/>
    <row r="79" spans="6:12" x14ac:dyDescent="0.25"/>
    <row r="80" spans="6:12" x14ac:dyDescent="0.25"/>
    <row r="81" spans="6:12" x14ac:dyDescent="0.25"/>
    <row r="82" spans="6:12" x14ac:dyDescent="0.25"/>
    <row r="83" spans="6:12" x14ac:dyDescent="0.25"/>
    <row r="84" spans="6:12" x14ac:dyDescent="0.25"/>
    <row r="85" spans="6:12" x14ac:dyDescent="0.25"/>
    <row r="86" spans="6:12" x14ac:dyDescent="0.25"/>
    <row r="87" spans="6:12" x14ac:dyDescent="0.25"/>
    <row r="88" spans="6:12" x14ac:dyDescent="0.25"/>
    <row r="89" spans="6:12" x14ac:dyDescent="0.25"/>
    <row r="90" spans="6:12" x14ac:dyDescent="0.25"/>
    <row r="91" spans="6:12" x14ac:dyDescent="0.25"/>
    <row r="92" spans="6:12" x14ac:dyDescent="0.25"/>
    <row r="93" spans="6:12" x14ac:dyDescent="0.25"/>
    <row r="94" spans="6:12" x14ac:dyDescent="0.25"/>
    <row r="95" spans="6:12" x14ac:dyDescent="0.25"/>
    <row r="96" spans="6:12" x14ac:dyDescent="0.25"/>
    <row r="97" spans="6:12" x14ac:dyDescent="0.25"/>
    <row r="98" spans="6:12" x14ac:dyDescent="0.25"/>
    <row r="99" spans="6:12" x14ac:dyDescent="0.25"/>
    <row r="100" spans="6:12" x14ac:dyDescent="0.25"/>
    <row r="101" spans="6:12" x14ac:dyDescent="0.25"/>
    <row r="102" spans="6:12" x14ac:dyDescent="0.25"/>
    <row r="103" spans="6:12" x14ac:dyDescent="0.25"/>
    <row r="104" spans="6:12" x14ac:dyDescent="0.25"/>
    <row r="105" spans="6:12" x14ac:dyDescent="0.25"/>
    <row r="106" spans="6:12" x14ac:dyDescent="0.25"/>
    <row r="107" spans="6:12" x14ac:dyDescent="0.25"/>
    <row r="108" spans="6:12" x14ac:dyDescent="0.25"/>
    <row r="109" spans="6:12" x14ac:dyDescent="0.25"/>
    <row r="110" spans="6:12" x14ac:dyDescent="0.25"/>
    <row r="111" spans="6:12" x14ac:dyDescent="0.25"/>
    <row r="112" spans="6:12" x14ac:dyDescent="0.25"/>
    <row r="113" spans="6:12" x14ac:dyDescent="0.25"/>
    <row r="114" spans="6:12" x14ac:dyDescent="0.25"/>
    <row r="115" spans="6:12" x14ac:dyDescent="0.25"/>
    <row r="116" spans="6:12" x14ac:dyDescent="0.25"/>
    <row r="117" spans="6:12" x14ac:dyDescent="0.25"/>
    <row r="118" spans="6:12" x14ac:dyDescent="0.25"/>
    <row r="119" spans="6:12" x14ac:dyDescent="0.25"/>
    <row r="120" spans="6:12" x14ac:dyDescent="0.25"/>
    <row r="121" spans="6:12" x14ac:dyDescent="0.25"/>
    <row r="122" spans="6:12" x14ac:dyDescent="0.25"/>
    <row r="123" spans="6:12" x14ac:dyDescent="0.25"/>
    <row r="124" spans="6:12" x14ac:dyDescent="0.25"/>
    <row r="125" spans="6:12" x14ac:dyDescent="0.25"/>
    <row r="126" spans="6:12" x14ac:dyDescent="0.25"/>
    <row r="127" spans="6:12" x14ac:dyDescent="0.25"/>
    <row r="128" spans="6:12" x14ac:dyDescent="0.25"/>
    <row r="129" spans="6:12" x14ac:dyDescent="0.25"/>
    <row r="130" spans="6:12" x14ac:dyDescent="0.25"/>
    <row r="131" spans="6:12" x14ac:dyDescent="0.25"/>
    <row r="132" spans="6:12" x14ac:dyDescent="0.25"/>
    <row r="133" spans="6:12" x14ac:dyDescent="0.25"/>
    <row r="134" spans="6:12" x14ac:dyDescent="0.25"/>
    <row r="135" spans="6:12" x14ac:dyDescent="0.25"/>
    <row r="136" spans="6:12" x14ac:dyDescent="0.25"/>
    <row r="137" spans="6:12" x14ac:dyDescent="0.25"/>
    <row r="138" spans="6:12" x14ac:dyDescent="0.25"/>
    <row r="139" spans="6:12" x14ac:dyDescent="0.25"/>
    <row r="140" spans="6:12" x14ac:dyDescent="0.25"/>
    <row r="141" spans="6:12" x14ac:dyDescent="0.25"/>
    <row r="142" spans="6:12" x14ac:dyDescent="0.25"/>
    <row r="143" spans="6:12" x14ac:dyDescent="0.25"/>
    <row r="144" spans="6:12" x14ac:dyDescent="0.25"/>
    <row r="145" spans="6:12" x14ac:dyDescent="0.25"/>
    <row r="146" spans="6:12" x14ac:dyDescent="0.25"/>
    <row r="147" spans="6:12" x14ac:dyDescent="0.25"/>
    <row r="148" spans="6:12" x14ac:dyDescent="0.25"/>
    <row r="149" spans="6:12" x14ac:dyDescent="0.25"/>
    <row r="150" spans="6:12" x14ac:dyDescent="0.25"/>
    <row r="151" spans="6:12" x14ac:dyDescent="0.25"/>
    <row r="152" spans="6:12" x14ac:dyDescent="0.25"/>
    <row r="153" spans="6:12" x14ac:dyDescent="0.25"/>
    <row r="154" spans="6:12" x14ac:dyDescent="0.25"/>
    <row r="155" spans="6:12" x14ac:dyDescent="0.25"/>
    <row r="156" spans="6:12" x14ac:dyDescent="0.25"/>
    <row r="157" spans="6:12" x14ac:dyDescent="0.25"/>
    <row r="158" spans="6:12" x14ac:dyDescent="0.25"/>
    <row r="159" spans="6:12" x14ac:dyDescent="0.25"/>
    <row r="160" spans="6:12" x14ac:dyDescent="0.25"/>
    <row r="161" spans="6:12" x14ac:dyDescent="0.25"/>
    <row r="162" spans="6:12" x14ac:dyDescent="0.25"/>
    <row r="163" spans="6:12" x14ac:dyDescent="0.25"/>
    <row r="164" spans="6:12" x14ac:dyDescent="0.25"/>
    <row r="165" spans="6:12" x14ac:dyDescent="0.25"/>
    <row r="166" spans="6:12" x14ac:dyDescent="0.25"/>
    <row r="167" spans="6:12" x14ac:dyDescent="0.25"/>
    <row r="168" spans="6:12" x14ac:dyDescent="0.25"/>
    <row r="169" spans="6:12" x14ac:dyDescent="0.25"/>
    <row r="170" spans="6:12" x14ac:dyDescent="0.25"/>
    <row r="171" spans="6:12" x14ac:dyDescent="0.25"/>
    <row r="172" spans="6:12" x14ac:dyDescent="0.25"/>
    <row r="173" spans="6:12" x14ac:dyDescent="0.25"/>
    <row r="174" spans="6:12" x14ac:dyDescent="0.25"/>
    <row r="175" spans="6:12" x14ac:dyDescent="0.25"/>
    <row r="176" spans="6:12" x14ac:dyDescent="0.25"/>
    <row r="177" spans="6:12" x14ac:dyDescent="0.25"/>
    <row r="178" spans="6:12" x14ac:dyDescent="0.25"/>
    <row r="179" spans="6:12" x14ac:dyDescent="0.25"/>
    <row r="180" spans="6:12" x14ac:dyDescent="0.25"/>
    <row r="181" spans="6:12" x14ac:dyDescent="0.25"/>
    <row r="182" spans="6:12" x14ac:dyDescent="0.25"/>
    <row r="183" spans="6:12" x14ac:dyDescent="0.25"/>
    <row r="184" spans="6:12" x14ac:dyDescent="0.25"/>
    <row r="185" spans="6:12" x14ac:dyDescent="0.25"/>
    <row r="186" spans="6:12" x14ac:dyDescent="0.25"/>
    <row r="187" spans="6:12" x14ac:dyDescent="0.25"/>
    <row r="188" spans="6:12" x14ac:dyDescent="0.25"/>
    <row r="189" spans="6:12" x14ac:dyDescent="0.25"/>
    <row r="190" spans="6:12" x14ac:dyDescent="0.25"/>
    <row r="191" spans="6:12" x14ac:dyDescent="0.25"/>
    <row r="192" spans="6:12" x14ac:dyDescent="0.25"/>
    <row r="193" spans="6:12" x14ac:dyDescent="0.25"/>
    <row r="194" spans="6:12" x14ac:dyDescent="0.25"/>
    <row r="195" spans="6:12" x14ac:dyDescent="0.25"/>
    <row r="196" spans="6:12" x14ac:dyDescent="0.25"/>
    <row r="197" spans="6:12" x14ac:dyDescent="0.25"/>
    <row r="198" spans="6:12" x14ac:dyDescent="0.25"/>
    <row r="199" spans="6:12" x14ac:dyDescent="0.25"/>
    <row r="200" spans="6:12" x14ac:dyDescent="0.25"/>
    <row r="201" spans="6:12" x14ac:dyDescent="0.25"/>
  </sheetData>
  <conditionalFormatting sqref="L2:L201">
    <cfRule type="cellIs" dxfId="18" priority="1" operator="equal">
      <formula>"Verified"</formula>
    </cfRule>
    <cfRule type="cellIs" dxfId="19" priority="2" operator="equal">
      <formula>"Open"</formula>
    </cfRule>
    <cfRule type="cellIs" dxfId="20" priority="3" operator="equal">
      <formula>"Reopened"</formula>
    </cfRule>
  </conditionalFormatting>
  <dataValidations count="6">
    <dataValidation type="list" allowBlank="1" showErrorMessage="1" errorStyle="warning" sqref="F10:F201">
      <formula1>"P1 - Critical,P2 - Major,P3 - Minor"</formula1>
    </dataValidation>
    <dataValidation type="list" allowBlank="1" showErrorMessage="1" errorStyle="warning" sqref="F2:F201">
      <formula1>"P1 - Critical,P2 - Major,P3 - Minor"</formula1>
    </dataValidation>
    <dataValidation type="list" allowBlank="1" showErrorMessage="1" errorStyle="warning" sqref="K10:K201">
      <formula1>"Priya,Ravi,Meera,Kiran,Ananya,Arjun,Dr. Ramesh,Dr. Nalini,Sunita"</formula1>
    </dataValidation>
    <dataValidation type="list" allowBlank="1" showErrorMessage="1" errorStyle="warning" sqref="K2:K201">
      <formula1>"Priya,Ravi,Meera,Kiran,Ananya,Arjun,Dr. Ramesh,Dr. Nalini,Sunita"</formula1>
    </dataValidation>
    <dataValidation type="list" allowBlank="1" showErrorMessage="1" errorStyle="warning" sqref="L10:L201">
      <formula1>"Open,Fixing,Fixed,Verified,Reopened,Won't fix"</formula1>
    </dataValidation>
    <dataValidation type="list" allowBlank="1" showErrorMessage="1" errorStyle="warning" sqref="L2:L201">
      <formula1>"Open,Fixing,Fixed,Verified,Reopened,Won't fix"</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Summary</vt:lpstr>
      <vt:lpstr>Scenario Status</vt:lpstr>
      <vt:lpstr>Go-Live Readiness</vt:lpstr>
      <vt:lpstr>Phase 01 Foundation &amp; Access</vt:lpstr>
      <vt:lpstr>Phase 02 Settings &amp; Masters</vt:lpstr>
      <vt:lpstr>Defect Log</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Aumrti QA</dc:creator>
  <dc:title/>
  <dc:subject/>
  <dc:description/>
  <cp:keywords/>
  <cp:category/>
  <cp:lastModifiedBy>Unknown</cp:lastModifiedBy>
  <dcterms:created xsi:type="dcterms:W3CDTF">2026-08-14T04:33:33Z</dcterms:created>
  <dcterms:modified xsi:type="dcterms:W3CDTF">2026-08-14T04:33:33Z</dcterms:modified>
</cp:coreProperties>
</file>