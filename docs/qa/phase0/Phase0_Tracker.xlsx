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  <sheet name="Summary" sheetId="2" r:id="rId2"/>
    <sheet name="Defect Log" sheetId="3" r:id="rId3"/>
  </sheets>
  <definedNames>
    <definedName name="_xlnm._FilterDatabase" localSheetId="0">'Test Cases'!$A$1:$W$46</definedName>
    <definedName name="_xlnm._FilterDatabase" localSheetId="2">'Defect Log'!$A$1:$L$1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6"/>
  <sheetViews>
    <sheetView workbookViewId="0"/>
  </sheetViews>
  <cols>
    <col min="1" max="1" width="8.83203125" customWidth="1"/>
    <col min="2" max="2" width="16.83203125" customWidth="1"/>
    <col min="3" max="3" width="22.83203125" customWidth="1"/>
    <col min="4" max="4" width="12.83203125" customWidth="1"/>
    <col min="5" max="5" width="14.83203125" customWidth="1"/>
    <col min="6" max="6" width="7.83203125" customWidth="1"/>
    <col min="7" max="7" width="26.83203125" customWidth="1"/>
    <col min="8" max="8" width="32.83203125" customWidth="1"/>
    <col min="9" max="9" width="46.83203125" customWidth="1"/>
    <col min="10" max="10" width="42.83203125" customWidth="1"/>
    <col min="11" max="11" width="26.83203125" customWidth="1"/>
    <col min="12" max="12" width="14.83203125" customWidth="1"/>
    <col min="13" max="13" width="14.83203125" customWidth="1"/>
    <col min="14" max="14" width="26.83203125" customWidth="1"/>
    <col min="15" max="15" width="26.83203125" customWidth="1"/>
    <col min="16" max="16" width="10.83203125" customWidth="1"/>
    <col min="17" max="17" width="14.83203125" customWidth="1"/>
    <col min="18" max="18" width="12.83203125" customWidth="1"/>
    <col min="19" max="19" width="12.83203125" customWidth="1"/>
    <col min="20" max="20" width="16.83203125" customWidth="1"/>
    <col min="21" max="21" width="24.83203125" customWidth="1"/>
    <col min="22" max="22" width="30.83203125" customWidth="1"/>
    <col min="23" max="23" width="36.83203125" customWidth="1"/>
  </cols>
  <sheetData>
    <row r="1">
      <c r="A1" t="str">
        <v>TC#</v>
      </c>
      <c r="B1" t="str">
        <v>Section</v>
      </c>
      <c r="C1" t="str">
        <v>Module / Sub-tab</v>
      </c>
      <c r="D1" t="str">
        <v>Test Type</v>
      </c>
      <c r="E1" t="str">
        <v>Role / Persona</v>
      </c>
      <c r="F1" t="str">
        <v>Priority</v>
      </c>
      <c r="G1" t="str">
        <v>Precondition / Settings needed</v>
      </c>
      <c r="H1" t="str">
        <v>Test Case</v>
      </c>
      <c r="I1" t="str">
        <v>Steps</v>
      </c>
      <c r="J1" t="str">
        <v>Expected Result</v>
      </c>
      <c r="K1" t="str">
        <v>Cross-Module Link</v>
      </c>
      <c r="L1" t="str">
        <v>Status (PASS/FAIL/BLOCKED)</v>
      </c>
      <c r="M1" t="str">
        <v>Severity (if FAIL)</v>
      </c>
      <c r="N1" t="str">
        <v>Actual Result</v>
      </c>
      <c r="O1" t="str">
        <v>Console Error</v>
      </c>
      <c r="P1" t="str">
        <v>Defect ID</v>
      </c>
      <c r="Q1" t="str">
        <v>Re-test Result</v>
      </c>
      <c r="R1" t="str">
        <v>Supabase Verified (Y/N)</v>
      </c>
      <c r="S1" t="str">
        <v>Screenshot (Y/N)</v>
      </c>
      <c r="T1" t="str">
        <v>Date / Tester</v>
      </c>
      <c r="U1" t="str">
        <v>Notes</v>
      </c>
      <c r="V1" t="str">
        <v>User Journey</v>
      </c>
      <c r="W1" t="str">
        <v>Mock Data</v>
      </c>
    </row>
    <row r="2">
      <c r="A2" t="str">
        <v>P0-A01</v>
      </c>
      <c r="B2" t="str">
        <v>A. QA Tenant</v>
      </c>
      <c r="C2" t="str">
        <v>/register</v>
      </c>
      <c r="D2" t="str">
        <v>Positive</v>
      </c>
      <c r="E2" t="str">
        <v>Admin</v>
      </c>
      <c r="F2" t="str">
        <v>P0</v>
      </c>
      <c r="G2" t="str">
        <v>None (fresh signup)</v>
      </c>
      <c r="H2" t="str">
        <v>Register QA Tenant #1 end-to-end</v>
      </c>
      <c r="I2" t="str">
        <v>Open /register -&gt; fill 5 steps with mock data -&gt; accept Terms+DPDP -&gt; Launch -&gt; open verification email -&gt; click link -&gt; onboarding opens</v>
      </c>
      <c r="J2" t="str">
        <v>Hospital + admin created; verification email received; link opens /setup/onboarding</v>
      </c>
      <c r="K2" t="str">
        <v>Creates hospital_id used by ALL later phases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Set up a brand-new QA hospital, enter its masters via Settings, then log in as each role.</v>
      </c>
      <c r="W2" t="str">
        <v>Aumrti QA Hospital / Private / Telangana / 51-100 beds / admin +qaadmin@gmail.com / QaAdmin@2026</v>
      </c>
    </row>
    <row r="3">
      <c r="A3" t="str">
        <v>P0-A02</v>
      </c>
      <c r="B3" t="str">
        <v>A. QA Tenant</v>
      </c>
      <c r="C3" t="str">
        <v>/register (Step2)</v>
      </c>
      <c r="D3" t="str">
        <v>Negative</v>
      </c>
      <c r="E3" t="str">
        <v>Admin</v>
      </c>
      <c r="F3" t="str">
        <v>P1</v>
      </c>
      <c r="G3" t="str">
        <v>None</v>
      </c>
      <c r="H3" t="str">
        <v>Weak password rejected</v>
      </c>
      <c r="I3" t="str">
        <v>Step 2 -&gt; password 'abc' -&gt; Next</v>
      </c>
      <c r="J3" t="str">
        <v>Blocked; hint '8+ chars with a letter and a number'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>Set up a brand-new QA hospital, enter its masters via Settings, then log in as each role.</v>
      </c>
      <c r="W3" t="str">
        <v>password=abc</v>
      </c>
    </row>
    <row r="4">
      <c r="A4" t="str">
        <v>P0-A03</v>
      </c>
      <c r="B4" t="str">
        <v>A. QA Tenant</v>
      </c>
      <c r="C4" t="str">
        <v>/register (Step2)</v>
      </c>
      <c r="D4" t="str">
        <v>Negative</v>
      </c>
      <c r="E4" t="str">
        <v>Admin</v>
      </c>
      <c r="F4" t="str">
        <v>P2</v>
      </c>
      <c r="G4" t="str">
        <v>None</v>
      </c>
      <c r="H4" t="str">
        <v>Invalid email rejected</v>
      </c>
      <c r="I4" t="str">
        <v>Step 2 -&gt; email 'abc@x'</v>
      </c>
      <c r="J4" t="str">
        <v>Inline 'Enter a valid email address'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>Set up a brand-new QA hospital, enter its masters via Settings, then log in as each role.</v>
      </c>
      <c r="W4" t="str">
        <v>email=abc@x</v>
      </c>
    </row>
    <row r="5">
      <c r="A5" t="str">
        <v>P0-A04</v>
      </c>
      <c r="B5" t="str">
        <v>A. QA Tenant</v>
      </c>
      <c r="C5" t="str">
        <v>/register (Step3)</v>
      </c>
      <c r="D5" t="str">
        <v>Negative</v>
      </c>
      <c r="E5" t="str">
        <v>Admin</v>
      </c>
      <c r="F5" t="str">
        <v>P2</v>
      </c>
      <c r="G5" t="str">
        <v>None</v>
      </c>
      <c r="H5" t="str">
        <v>GSTIN validation</v>
      </c>
      <c r="I5" t="str">
        <v>Step 3 -&gt; GSTIN '123'</v>
      </c>
      <c r="J5" t="str">
        <v>'GSTIN must be 15 alphanumeric characters'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>Set up a brand-new QA hospital, enter its masters via Settings, then log in as each role.</v>
      </c>
      <c r="W5" t="str">
        <v>gstin=123</v>
      </c>
    </row>
    <row r="6">
      <c r="A6" t="str">
        <v>P0-A05</v>
      </c>
      <c r="B6" t="str">
        <v>A. QA Tenant</v>
      </c>
      <c r="C6" t="str">
        <v>/register (Step3)</v>
      </c>
      <c r="D6" t="str">
        <v>Negative</v>
      </c>
      <c r="E6" t="str">
        <v>Admin</v>
      </c>
      <c r="F6" t="str">
        <v>P2</v>
      </c>
      <c r="G6" t="str">
        <v>None</v>
      </c>
      <c r="H6" t="str">
        <v>Pincode validation</v>
      </c>
      <c r="I6" t="str">
        <v>Step 3 -&gt; pincode '4000'</v>
      </c>
      <c r="J6" t="str">
        <v>'Pincode must be 6 digits'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>Set up a brand-new QA hospital, enter its masters via Settings, then log in as each role.</v>
      </c>
      <c r="W6" t="str">
        <v>pincode=4000</v>
      </c>
    </row>
    <row r="7">
      <c r="A7" t="str">
        <v>P0-A06</v>
      </c>
      <c r="B7" t="str">
        <v>A. QA Tenant</v>
      </c>
      <c r="C7" t="str">
        <v>/register (Step5)</v>
      </c>
      <c r="D7" t="str">
        <v>Negative</v>
      </c>
      <c r="E7" t="str">
        <v>Admin</v>
      </c>
      <c r="F7" t="str">
        <v>P1</v>
      </c>
      <c r="G7" t="str">
        <v>None</v>
      </c>
      <c r="H7" t="str">
        <v>Terms+DPDP consent enforced</v>
      </c>
      <c r="I7" t="str">
        <v>Step 5 -&gt; leave Terms/DPDP unticked</v>
      </c>
      <c r="J7" t="str">
        <v>Launch stays disabled (DPDP gate)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>Set up a brand-new QA hospital, enter its masters via Settings, then log in as each role.</v>
      </c>
      <c r="W7" t="str">
        <v>consent unticked</v>
      </c>
    </row>
    <row r="8">
      <c r="A8" t="str">
        <v>P0-A07</v>
      </c>
      <c r="B8" t="str">
        <v>A. QA Tenant</v>
      </c>
      <c r="C8" t="str">
        <v>/register</v>
      </c>
      <c r="D8" t="str">
        <v>Negative</v>
      </c>
      <c r="E8" t="str">
        <v>Admin</v>
      </c>
      <c r="F8" t="str">
        <v>P1</v>
      </c>
      <c r="G8" t="str">
        <v>P0-A01 done</v>
      </c>
      <c r="H8" t="str">
        <v>Duplicate admin email blocked</v>
      </c>
      <c r="I8" t="str">
        <v>Re-register with +qaadmin@gmail.com</v>
      </c>
      <c r="J8" t="str">
        <v>'This email is already registered'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>Set up a brand-new QA hospital, enter its masters via Settings, then log in as each role.</v>
      </c>
      <c r="W8" t="str">
        <v>same admin email</v>
      </c>
    </row>
    <row r="9">
      <c r="A9" t="str">
        <v>P0-A08</v>
      </c>
      <c r="B9" t="str">
        <v>A. QA Tenant</v>
      </c>
      <c r="C9" t="str">
        <v>/register (Step4)</v>
      </c>
      <c r="D9" t="str">
        <v>Positive</v>
      </c>
      <c r="E9" t="str">
        <v>Admin</v>
      </c>
      <c r="F9" t="str">
        <v>P2</v>
      </c>
      <c r="G9" t="str">
        <v>None</v>
      </c>
      <c r="H9" t="str">
        <v>Plan 'View features' modal + Enterprise lead form</v>
      </c>
      <c r="I9" t="str">
        <v>Step 4 -&gt; click 'View features' on a plan; also click Enterprise</v>
      </c>
      <c r="J9" t="str">
        <v>Feature modal opens; Enterprise opens 'Contact Sales' lead form</v>
      </c>
      <c r="K9" t="str">
        <v>New: plans use DB feature_highlights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>Set up a brand-new QA hospital, enter its masters via Settings, then log in as each role.</v>
      </c>
      <c r="W9" t="str">
        <v>any plan</v>
      </c>
    </row>
    <row r="10">
      <c r="A10" t="str">
        <v>P0-A09</v>
      </c>
      <c r="B10" t="str">
        <v>A. QA Tenant</v>
      </c>
      <c r="C10" t="str">
        <v>/register (Step2)</v>
      </c>
      <c r="D10" t="str">
        <v>Positive</v>
      </c>
      <c r="E10" t="str">
        <v>Admin</v>
      </c>
      <c r="F10" t="str">
        <v>P3</v>
      </c>
      <c r="G10" t="str">
        <v>None</v>
      </c>
      <c r="H10" t="str">
        <v>Referral code soft validation (non-blocking)</v>
      </c>
      <c r="I10" t="str">
        <v>Step 2 -&gt; type any referral code e.g. TESTREF</v>
      </c>
      <c r="J10" t="str">
        <v>Green/amber message appears; Next is NEVER blocked</v>
      </c>
      <c r="K10" t="str">
        <v>validate_referral_code RPC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>Set up a brand-new QA hospital, enter its masters via Settings, then log in as each role.</v>
      </c>
      <c r="W10" t="str">
        <v>ref=TESTREF</v>
      </c>
    </row>
    <row r="11">
      <c r="A11" t="str">
        <v>P0-A10</v>
      </c>
      <c r="B11" t="str">
        <v>A. QA Tenant</v>
      </c>
      <c r="C11" t="str">
        <v>/register?ref=CODE</v>
      </c>
      <c r="D11" t="str">
        <v>Positive</v>
      </c>
      <c r="E11" t="str">
        <v>Admin</v>
      </c>
      <c r="F11" t="str">
        <v>P3</v>
      </c>
      <c r="G11" t="str">
        <v>None</v>
      </c>
      <c r="H11" t="str">
        <v>Referral prefilled from invite link</v>
      </c>
      <c r="I11" t="str">
        <v>Open /register?ref=TESTREF</v>
      </c>
      <c r="J11" t="str">
        <v>Referral field pre-filled with TESTREF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>Set up a brand-new QA hospital, enter its masters via Settings, then log in as each role.</v>
      </c>
      <c r="W11" t="str">
        <v>?ref=TESTREF</v>
      </c>
    </row>
    <row r="12">
      <c r="A12" t="str">
        <v>P0-A11</v>
      </c>
      <c r="B12" t="str">
        <v>A. QA Tenant</v>
      </c>
      <c r="C12" t="str">
        <v>/register</v>
      </c>
      <c r="D12" t="str">
        <v>Positive</v>
      </c>
      <c r="E12" t="str">
        <v>Admin</v>
      </c>
      <c r="F12" t="str">
        <v>P1</v>
      </c>
      <c r="G12" t="str">
        <v>None</v>
      </c>
      <c r="H12" t="str">
        <v>Create QA Tenant #2 (for multi-tenancy test)</v>
      </c>
      <c r="I12" t="str">
        <v>Register second hospital with +qaadmin2@gmail.com</v>
      </c>
      <c r="J12" t="str">
        <v>Second isolated tenant created</v>
      </c>
      <c r="K12" t="str">
        <v>Used in Phase 12 isolation test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>Set up a brand-new QA hospital, enter its masters via Settings, then log in as each role.</v>
      </c>
      <c r="W12" t="str">
        <v>Aumrti QA Hospital TWO / +qaadmin2@gmail.com / QaAdmin2@2026</v>
      </c>
    </row>
    <row r="13">
      <c r="A13" t="str">
        <v>P0-B01</v>
      </c>
      <c r="B13" t="str">
        <v>B. Onboarding</v>
      </c>
      <c r="C13" t="str">
        <v>Wizard/Branding</v>
      </c>
      <c r="D13" t="str">
        <v>Positive</v>
      </c>
      <c r="E13" t="str">
        <v>Admin</v>
      </c>
      <c r="F13" t="str">
        <v>P3</v>
      </c>
      <c r="G13" t="str">
        <v>Tenant created</v>
      </c>
      <c r="H13" t="str">
        <v>Branding step saves</v>
      </c>
      <c r="I13" t="str">
        <v>Onboarding -&gt; Branding -&gt; upload logo, set colour -&gt; Save</v>
      </c>
      <c r="J13" t="str">
        <v>Branding persists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>Set up a brand-new QA hospital, enter its masters via Settings, then log in as each role.</v>
      </c>
      <c r="W13" t="str">
        <v>any logo</v>
      </c>
    </row>
    <row r="14">
      <c r="A14" t="str">
        <v>P0-B02</v>
      </c>
      <c r="B14" t="str">
        <v>B. Onboarding</v>
      </c>
      <c r="C14" t="str">
        <v>Wizard/GoLive</v>
      </c>
      <c r="D14" t="str">
        <v>Positive</v>
      </c>
      <c r="E14" t="str">
        <v>Admin</v>
      </c>
      <c r="F14" t="str">
        <v>P1</v>
      </c>
      <c r="G14" t="str">
        <v>Branding done</v>
      </c>
      <c r="H14" t="str">
        <v>Go Live completes setup (short 2-step flow)</v>
      </c>
      <c r="I14" t="str">
        <v>Onboarding shows only Branding -&gt; Go Live -&gt; click Go Live</v>
      </c>
      <c r="J14" t="str">
        <v>hospitals.setup_complete=true; lands on /dashboard; wizard no longer asks for masters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>Set up a brand-new QA hospital, enter its masters via Settings, then log in as each role.</v>
      </c>
      <c r="W14" t="str">
        <v>—</v>
      </c>
    </row>
    <row r="15">
      <c r="A15" t="str">
        <v>P0-B03</v>
      </c>
      <c r="B15" t="str">
        <v>B. Onboarding</v>
      </c>
      <c r="C15" t="str">
        <v>Wizard</v>
      </c>
      <c r="D15" t="str">
        <v>Negative</v>
      </c>
      <c r="E15" t="str">
        <v>Admin</v>
      </c>
      <c r="F15" t="str">
        <v>P2</v>
      </c>
      <c r="G15" t="str">
        <v>Go Live done</v>
      </c>
      <c r="H15" t="str">
        <v>CONFIRM: no masters created by onboarding</v>
      </c>
      <c r="I15" t="str">
        <v>After Go Live, open Settings -&gt; Departments/Wards/Staff</v>
      </c>
      <c r="J15" t="str">
        <v>All empty — masters are entered via Settings (Section C), not the wizard</v>
      </c>
      <c r="K15" t="str">
        <v>Architecture change to verify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>Set up a brand-new QA hospital, enter its masters via Settings, then log in as each role.</v>
      </c>
      <c r="W15" t="str">
        <v>—</v>
      </c>
    </row>
    <row r="16">
      <c r="A16" t="str">
        <v>P0-C01</v>
      </c>
      <c r="B16" t="str">
        <v>C. Masters (Settings)</v>
      </c>
      <c r="C16" t="str">
        <v>/settings/departments</v>
      </c>
      <c r="D16" t="str">
        <v>Positive</v>
      </c>
      <c r="E16" t="str">
        <v>Admin</v>
      </c>
      <c r="F16" t="str">
        <v>P0</v>
      </c>
      <c r="G16" t="str">
        <v>Tenant created</v>
      </c>
      <c r="H16" t="str">
        <v>Add departments</v>
      </c>
      <c r="I16" t="str">
        <v>Settings-&gt;Departments: keep core (Gen Med/Gen Surg/Emergency) + tick Paeds/Gynae/Ortho/Radiology/Lab/Pharmacy/Blood Bank/Dialysis/Dental/Physio/ICU + custom 'Test Department'</v>
      </c>
      <c r="J16" t="str">
        <v>departments rows created and listed</v>
      </c>
      <c r="K16" t="str">
        <v>Depts feed staff/OPD/fees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>Set up a brand-new QA hospital, enter its masters via Settings, then log in as each role.</v>
      </c>
      <c r="W16" t="str">
        <v>see guide B1</v>
      </c>
    </row>
    <row r="17">
      <c r="A17" t="str">
        <v>P0-C02</v>
      </c>
      <c r="B17" t="str">
        <v>C. Masters (Settings)</v>
      </c>
      <c r="C17" t="str">
        <v>/settings/departments</v>
      </c>
      <c r="D17" t="str">
        <v>Positive</v>
      </c>
      <c r="E17" t="str">
        <v>Admin</v>
      </c>
      <c r="F17" t="str">
        <v>P1</v>
      </c>
      <c r="G17" t="str">
        <v>Modules enabled</v>
      </c>
      <c r="H17" t="str">
        <v>Module-derived department suggester (NEW)</v>
      </c>
      <c r="I17" t="str">
        <v>Use blue 'Departments for the modules you run' panel -&gt; tick 2 -&gt; Add Selected Departments</v>
      </c>
      <c r="J17" t="str">
        <v>Suggested depts created; move to 'Already set up'</v>
      </c>
      <c r="K17" t="str">
        <v>Ties modules -&gt; departments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>Set up a brand-new QA hospital, enter its masters via Settings, then log in as each role.</v>
      </c>
      <c r="W17" t="str">
        <v>—</v>
      </c>
    </row>
    <row r="18">
      <c r="A18" t="str">
        <v>P0-C03</v>
      </c>
      <c r="B18" t="str">
        <v>C. Masters (Settings)</v>
      </c>
      <c r="C18" t="str">
        <v>/settings/departments</v>
      </c>
      <c r="D18" t="str">
        <v>Negative</v>
      </c>
      <c r="E18" t="str">
        <v>Admin</v>
      </c>
      <c r="F18" t="str">
        <v>P2</v>
      </c>
      <c r="G18" t="str">
        <v>P0-C01</v>
      </c>
      <c r="H18" t="str">
        <v>Duplicate department prevented</v>
      </c>
      <c r="I18" t="str">
        <v>Add an existing department name again</v>
      </c>
      <c r="J18" t="str">
        <v>Duplicate blocked / not re-inserted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>Set up a brand-new QA hospital, enter its masters via Settings, then log in as each role.</v>
      </c>
      <c r="W18" t="str">
        <v>dup dept</v>
      </c>
    </row>
    <row r="19">
      <c r="A19" t="str">
        <v>P0-C04</v>
      </c>
      <c r="B19" t="str">
        <v>C. Masters (Settings)</v>
      </c>
      <c r="C19" t="str">
        <v>/settings/wards</v>
      </c>
      <c r="D19" t="str">
        <v>Positive</v>
      </c>
      <c r="E19" t="str">
        <v>Admin</v>
      </c>
      <c r="F19" t="str">
        <v>P0</v>
      </c>
      <c r="G19" t="str">
        <v>Tenant created</v>
      </c>
      <c r="H19" t="str">
        <v>Add wards + beds</v>
      </c>
      <c r="I19" t="str">
        <v>Settings-&gt;Wards: General(20/₹500), Private(10/₹2000), ICU(6/₹5000) -&gt; Save</v>
      </c>
      <c r="J19" t="str">
        <v>Wards saved; 36 beds auto-created (GEN-/PVT-/ICU-), status 'available'</v>
      </c>
      <c r="K19" t="str">
        <v>Beds feed IPD admissions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>Set up a brand-new QA hospital, enter its masters via Settings, then log in as each role.</v>
      </c>
      <c r="W19" t="str">
        <v>3 wards</v>
      </c>
    </row>
    <row r="20">
      <c r="A20" t="str">
        <v>P0-C05</v>
      </c>
      <c r="B20" t="str">
        <v>C. Masters (Settings)</v>
      </c>
      <c r="C20" t="str">
        <v>/settings/shifts</v>
      </c>
      <c r="D20" t="str">
        <v>Positive</v>
      </c>
      <c r="E20" t="str">
        <v>Admin</v>
      </c>
      <c r="F20" t="str">
        <v>P2</v>
      </c>
      <c r="G20" t="str">
        <v>Tenant created</v>
      </c>
      <c r="H20" t="str">
        <v>Shifts present</v>
      </c>
      <c r="I20" t="str">
        <v>Settings-&gt;Shifts: confirm Morning/Evening/Night</v>
      </c>
      <c r="J20" t="str">
        <v>Default shifts exist/saved</v>
      </c>
      <c r="K20" t="str">
        <v>Feeds nurse roster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>Set up a brand-new QA hospital, enter its masters via Settings, then log in as each role.</v>
      </c>
      <c r="W20" t="str">
        <v>defaults</v>
      </c>
    </row>
    <row r="21">
      <c r="A21" t="str">
        <v>P0-C06</v>
      </c>
      <c r="B21" t="str">
        <v>C. Masters (Settings)</v>
      </c>
      <c r="C21" t="str">
        <v>/settings/staff</v>
      </c>
      <c r="D21" t="str">
        <v>Positive</v>
      </c>
      <c r="E21" t="str">
        <v>Admin</v>
      </c>
      <c r="F21" t="str">
        <v>P0</v>
      </c>
      <c r="G21" t="str">
        <v>Departments saved</v>
      </c>
      <c r="H21" t="str">
        <v>Add 3 doctors with fees</v>
      </c>
      <c r="I21" t="str">
        <v>Settings-&gt;Doctors&amp;Staff -&gt; add Dr Anil Rao/Sunita Menon/Kiran Das with dept + consultation fee</v>
      </c>
      <c r="J21" t="str">
        <v>doctor users + consultation service_master rows; OPD-blocked banner clears</v>
      </c>
      <c r="K21" t="str">
        <v>Doctors bookable OPD/IPD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>Set up a brand-new QA hospital, enter its masters via Settings, then log in as each role.</v>
      </c>
      <c r="W21" t="str">
        <v>see guide B4</v>
      </c>
    </row>
    <row r="22">
      <c r="A22" t="str">
        <v>P0-C07</v>
      </c>
      <c r="B22" t="str">
        <v>C. Masters (Settings)</v>
      </c>
      <c r="C22" t="str">
        <v>/settings/staff</v>
      </c>
      <c r="D22" t="str">
        <v>Positive</v>
      </c>
      <c r="E22" t="str">
        <v>Admin</v>
      </c>
      <c r="F22" t="str">
        <v>P1</v>
      </c>
      <c r="G22" t="str">
        <v>Tenant created</v>
      </c>
      <c r="H22" t="str">
        <v>Add care team (nurse/recep/pharma/lab/acct/HR)</v>
      </c>
      <c r="I22" t="str">
        <v>Add 6 staff rows per guide</v>
      </c>
      <c r="J22" t="str">
        <v>Staff users created (can_login=false initially)</v>
      </c>
      <c r="K22" t="str">
        <v>Logins enabled in Section D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>Set up a brand-new QA hospital, enter its masters via Settings, then log in as each role.</v>
      </c>
      <c r="W22" t="str">
        <v>see guide B4</v>
      </c>
    </row>
    <row r="23">
      <c r="A23" t="str">
        <v>P0-C08</v>
      </c>
      <c r="B23" t="str">
        <v>C. Masters (Settings)</v>
      </c>
      <c r="C23" t="str">
        <v>/settings/services</v>
      </c>
      <c r="D23" t="str">
        <v>Positive</v>
      </c>
      <c r="E23" t="str">
        <v>Admin</v>
      </c>
      <c r="F23" t="str">
        <v>P0</v>
      </c>
      <c r="G23" t="str">
        <v>Departments/doctors saved</v>
      </c>
      <c r="H23" t="str">
        <v>Add procedure services, GST OFF</v>
      </c>
      <c r="I23" t="str">
        <v>Settings-&gt;Services: add ECG/X-Ray/Dressing/IV/Nebulization; GST toggle OFF</v>
      </c>
      <c r="J23" t="str">
        <v>service_master rows; gst_applicable=false</v>
      </c>
      <c r="K23" t="str">
        <v>Fees drive billing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>Set up a brand-new QA hospital, enter its masters via Settings, then log in as each role.</v>
      </c>
      <c r="W23" t="str">
        <v>GST off</v>
      </c>
    </row>
    <row r="24">
      <c r="A24" t="str">
        <v>P0-C09</v>
      </c>
      <c r="B24" t="str">
        <v>C. Masters (Settings)</v>
      </c>
      <c r="C24" t="str">
        <v>/settings/payer-masters</v>
      </c>
      <c r="D24" t="str">
        <v>Positive</v>
      </c>
      <c r="E24" t="str">
        <v>Admin</v>
      </c>
      <c r="F24" t="str">
        <v>P1</v>
      </c>
      <c r="G24" t="str">
        <v>Tenant created</v>
      </c>
      <c r="H24" t="str">
        <v>Add payers</v>
      </c>
      <c r="I24" t="str">
        <v>Settings-&gt;Payer Masters: Star Health (TPA) + PMJAY + CGHS + Corporate 'Test Corp Ltd' limit 100000</v>
      </c>
      <c r="J24" t="str">
        <v>payer_masters rows (tpa/pmjay/cghs/corporate)</v>
      </c>
      <c r="K24" t="str">
        <v>Payers appear in Billing/Insurance/PMJAY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>Set up a brand-new QA hospital, enter its masters via Settings, then log in as each role.</v>
      </c>
      <c r="W24" t="str">
        <v>see guide B6</v>
      </c>
    </row>
    <row r="25">
      <c r="A25" t="str">
        <v>P0-C10</v>
      </c>
      <c r="B25" t="str">
        <v>C. Masters (Settings)</v>
      </c>
      <c r="C25" t="str">
        <v>/settings/lab-tests</v>
      </c>
      <c r="D25" t="str">
        <v>Positive</v>
      </c>
      <c r="E25" t="str">
        <v>Admin</v>
      </c>
      <c r="F25" t="str">
        <v>P0</v>
      </c>
      <c r="G25" t="str">
        <v>Lab dept exists</v>
      </c>
      <c r="H25" t="str">
        <v>Add lab tests WITH prices</v>
      </c>
      <c r="I25" t="str">
        <v>Settings-&gt;Lab Tests: CBC 300, LFT 600, RFT 600, Lipid 700, TSH 450, BSF 80, HbA1c 500, Urine 150, Blood Group 100</v>
      </c>
      <c r="J25" t="str">
        <v>lab_test_master rows with non-zero fee</v>
      </c>
      <c r="K25" t="str">
        <v>Correct lab billing in Phase 3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>Set up a brand-new QA hospital, enter its masters via Settings, then log in as each role.</v>
      </c>
      <c r="W25" t="str">
        <v>priced tests</v>
      </c>
    </row>
    <row r="26">
      <c r="A26" t="str">
        <v>P0-C11</v>
      </c>
      <c r="B26" t="str">
        <v>C. Masters (Settings)</v>
      </c>
      <c r="C26" t="str">
        <v>/settings/radiology</v>
      </c>
      <c r="D26" t="str">
        <v>Positive</v>
      </c>
      <c r="E26" t="str">
        <v>Admin</v>
      </c>
      <c r="F26" t="str">
        <v>P1</v>
      </c>
      <c r="G26" t="str">
        <v>Radiology dept exists</v>
      </c>
      <c r="H26" t="str">
        <v>Enable radiology modalities</v>
      </c>
      <c r="I26" t="str">
        <v>Settings-&gt;Radiology: X-Ray 200, USG 500, ECG 150, CT 3500</v>
      </c>
      <c r="J26" t="str">
        <v>radiology_modalities rows</v>
      </c>
      <c r="K26" t="str">
        <v>Feeds Radiology orders Phase 3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>Set up a brand-new QA hospital, enter its masters via Settings, then log in as each role.</v>
      </c>
      <c r="W26" t="str">
        <v>4 modalities</v>
      </c>
    </row>
    <row r="27">
      <c r="A27" t="str">
        <v>P0-C12</v>
      </c>
      <c r="B27" t="str">
        <v>C. Masters (Settings)</v>
      </c>
      <c r="C27" t="str">
        <v>/settings/doctor-schedules</v>
      </c>
      <c r="D27" t="str">
        <v>Positive</v>
      </c>
      <c r="E27" t="str">
        <v>Admin</v>
      </c>
      <c r="F27" t="str">
        <v>P1</v>
      </c>
      <c r="G27" t="str">
        <v>Doctors added</v>
      </c>
      <c r="H27" t="str">
        <v>Set OPD schedule for Dr Anil Rao</v>
      </c>
      <c r="I27" t="str">
        <v>Settings-&gt;Doctor Schedules: Mon-Sat morning slots</v>
      </c>
      <c r="J27" t="str">
        <v>Schedule saved; doctor bookable in OPD</v>
      </c>
      <c r="K27" t="str">
        <v>OPD token booking Phase 2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>Set up a brand-new QA hospital, enter its masters via Settings, then log in as each role.</v>
      </c>
      <c r="W27" t="str">
        <v>Mon-Sat AM</v>
      </c>
    </row>
    <row r="28">
      <c r="A28" t="str">
        <v>P0-C13</v>
      </c>
      <c r="B28" t="str">
        <v>C. Masters (Settings)</v>
      </c>
      <c r="C28" t="str">
        <v>/settings/drugs</v>
      </c>
      <c r="D28" t="str">
        <v>Positive</v>
      </c>
      <c r="E28" t="str">
        <v>Admin</v>
      </c>
      <c r="F28" t="str">
        <v>P0</v>
      </c>
      <c r="G28" t="str">
        <v>Tenant created</v>
      </c>
      <c r="H28" t="str">
        <v>Add 15 drugs incl NDPS + Schedule H/H1</v>
      </c>
      <c r="I28" t="str">
        <v>Settings-&gt;Drugs-&gt;Add Drug x15 per guide table</v>
      </c>
      <c r="J28" t="str">
        <v>drug_master rows; Morphine shows NDPS badge; Alprazolam/Diazepam H1</v>
      </c>
      <c r="K28" t="str">
        <v>Pharmacy dispense + NDPS dual sign-off Phase 3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>Set up a brand-new QA hospital, enter its masters via Settings, then log in as each role.</v>
      </c>
      <c r="W28" t="str">
        <v>see guide B9</v>
      </c>
    </row>
    <row r="29">
      <c r="A29" t="str">
        <v>P0-C14</v>
      </c>
      <c r="B29" t="str">
        <v>C. Masters (Settings)</v>
      </c>
      <c r="C29" t="str">
        <v>/settings/drugs</v>
      </c>
      <c r="D29" t="str">
        <v>Negative</v>
      </c>
      <c r="E29" t="str">
        <v>Admin</v>
      </c>
      <c r="F29" t="str">
        <v>P2</v>
      </c>
      <c r="G29" t="str">
        <v>P0-C13</v>
      </c>
      <c r="H29" t="str">
        <v>Duplicate drug blocked</v>
      </c>
      <c r="I29" t="str">
        <v>Add 'Paracetamol 500mg' again</v>
      </c>
      <c r="J29" t="str">
        <v>'already exists in the drug master'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>Set up a brand-new QA hospital, enter its masters via Settings, then log in as each role.</v>
      </c>
      <c r="W29" t="str">
        <v>dup drug</v>
      </c>
    </row>
    <row r="30">
      <c r="A30" t="str">
        <v>P0-D01</v>
      </c>
      <c r="B30" t="str">
        <v>D. Logins</v>
      </c>
      <c r="C30" t="str">
        <v>/settings/staff</v>
      </c>
      <c r="D30" t="str">
        <v>Positive</v>
      </c>
      <c r="E30" t="str">
        <v>Admin</v>
      </c>
      <c r="F30" t="str">
        <v>P0</v>
      </c>
      <c r="G30" t="str">
        <v>Staff added (C06/C07)</v>
      </c>
      <c r="H30" t="str">
        <v>Enable login for Doctor</v>
      </c>
      <c r="I30" t="str">
        <v>Staff-&gt;Dr Anil Rao-&gt;Enable Login-&gt;email+password, MFA Off-&gt;Save</v>
      </c>
      <c r="J30" t="str">
        <v>create-staff-login succeeds; row shows Can Login</v>
      </c>
      <c r="K30" t="str">
        <v>Doctor can sign in Phase 2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>Set up a brand-new QA hospital, enter its masters via Settings, then log in as each role.</v>
      </c>
      <c r="W30" t="str">
        <v>+qadoctor@gmail.com / QaDoc@2026</v>
      </c>
    </row>
    <row r="31">
      <c r="A31" t="str">
        <v>P0-D02</v>
      </c>
      <c r="B31" t="str">
        <v>D. Logins</v>
      </c>
      <c r="C31" t="str">
        <v>/settings/staff</v>
      </c>
      <c r="D31" t="str">
        <v>Positive</v>
      </c>
      <c r="E31" t="str">
        <v>Admin</v>
      </c>
      <c r="F31" t="str">
        <v>P0</v>
      </c>
      <c r="G31" t="str">
        <v>Staff added</v>
      </c>
      <c r="H31" t="str">
        <v>Enable login for Nurse</v>
      </c>
      <c r="I31" t="str">
        <v>Enable Login for Nurse Latha</v>
      </c>
      <c r="J31" t="str">
        <v>Nurse login works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>Set up a brand-new QA hospital, enter its masters via Settings, then log in as each role.</v>
      </c>
      <c r="W31" t="str">
        <v>+qanurse@gmail.com / QaNurse@2026</v>
      </c>
    </row>
    <row r="32">
      <c r="A32" t="str">
        <v>P0-D03</v>
      </c>
      <c r="B32" t="str">
        <v>D. Logins</v>
      </c>
      <c r="C32" t="str">
        <v>/settings/staff</v>
      </c>
      <c r="D32" t="str">
        <v>Positive</v>
      </c>
      <c r="E32" t="str">
        <v>Admin</v>
      </c>
      <c r="F32" t="str">
        <v>P0</v>
      </c>
      <c r="G32" t="str">
        <v>Staff added</v>
      </c>
      <c r="H32" t="str">
        <v>Enable login for Receptionist</v>
      </c>
      <c r="I32" t="str">
        <v>Enable Login for Reception Ravi</v>
      </c>
      <c r="J32" t="str">
        <v>Receptionist login works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>Set up a brand-new QA hospital, enter its masters via Settings, then log in as each role.</v>
      </c>
      <c r="W32" t="str">
        <v>+qarecep@gmail.com / QaRecep@2026</v>
      </c>
    </row>
    <row r="33">
      <c r="A33" t="str">
        <v>P0-D04</v>
      </c>
      <c r="B33" t="str">
        <v>D. Logins</v>
      </c>
      <c r="C33" t="str">
        <v>/settings/staff</v>
      </c>
      <c r="D33" t="str">
        <v>Positive</v>
      </c>
      <c r="E33" t="str">
        <v>Admin</v>
      </c>
      <c r="F33" t="str">
        <v>P1</v>
      </c>
      <c r="G33" t="str">
        <v>Staff added</v>
      </c>
      <c r="H33" t="str">
        <v>Enable login for Pharmacist</v>
      </c>
      <c r="I33" t="str">
        <v>Enable Login for Pharma Suresh</v>
      </c>
      <c r="J33" t="str">
        <v>Pharmacist login works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>Set up a brand-new QA hospital, enter its masters via Settings, then log in as each role.</v>
      </c>
      <c r="W33" t="str">
        <v>+qapharma@gmail.com / QaPharma@2026</v>
      </c>
    </row>
    <row r="34">
      <c r="A34" t="str">
        <v>P0-D05</v>
      </c>
      <c r="B34" t="str">
        <v>D. Logins</v>
      </c>
      <c r="C34" t="str">
        <v>/settings/staff</v>
      </c>
      <c r="D34" t="str">
        <v>Positive</v>
      </c>
      <c r="E34" t="str">
        <v>Admin</v>
      </c>
      <c r="F34" t="str">
        <v>P1</v>
      </c>
      <c r="G34" t="str">
        <v>Staff added</v>
      </c>
      <c r="H34" t="str">
        <v>Enable login for Lab Tech</v>
      </c>
      <c r="I34" t="str">
        <v>Enable Login for Lab Tech Geeta</v>
      </c>
      <c r="J34" t="str">
        <v>Lab tech login works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>Set up a brand-new QA hospital, enter its masters via Settings, then log in as each role.</v>
      </c>
      <c r="W34" t="str">
        <v>+qalab@gmail.com / QaLab@2026</v>
      </c>
    </row>
    <row r="35">
      <c r="A35" t="str">
        <v>P0-D06</v>
      </c>
      <c r="B35" t="str">
        <v>D. Logins</v>
      </c>
      <c r="C35" t="str">
        <v>/settings/staff</v>
      </c>
      <c r="D35" t="str">
        <v>Positive</v>
      </c>
      <c r="E35" t="str">
        <v>Admin</v>
      </c>
      <c r="F35" t="str">
        <v>P1</v>
      </c>
      <c r="G35" t="str">
        <v>Staff added</v>
      </c>
      <c r="H35" t="str">
        <v>Enable login for Accountant</v>
      </c>
      <c r="I35" t="str">
        <v>Enable Login for Accountant Mohan</v>
      </c>
      <c r="J35" t="str">
        <v>Accountant login works</v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>Set up a brand-new QA hospital, enter its masters via Settings, then log in as each role.</v>
      </c>
      <c r="W35" t="str">
        <v>+qaacct@gmail.com / QaAcct@2026</v>
      </c>
    </row>
    <row r="36">
      <c r="A36" t="str">
        <v>P0-D07</v>
      </c>
      <c r="B36" t="str">
        <v>D. Logins</v>
      </c>
      <c r="C36" t="str">
        <v>/settings/staff</v>
      </c>
      <c r="D36" t="str">
        <v>Positive</v>
      </c>
      <c r="E36" t="str">
        <v>Admin</v>
      </c>
      <c r="F36" t="str">
        <v>P1</v>
      </c>
      <c r="G36" t="str">
        <v>Staff added</v>
      </c>
      <c r="H36" t="str">
        <v>Enable login for HR Manager</v>
      </c>
      <c r="I36" t="str">
        <v>Enable Login for HR Priya</v>
      </c>
      <c r="J36" t="str">
        <v>HR login works</v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>Set up a brand-new QA hospital, enter its masters via Settings, then log in as each role.</v>
      </c>
      <c r="W36" t="str">
        <v>+qahr@gmail.com / QaHr@2026</v>
      </c>
    </row>
    <row r="37">
      <c r="A37" t="str">
        <v>P0-D08</v>
      </c>
      <c r="B37" t="str">
        <v>D. Logins</v>
      </c>
      <c r="C37" t="str">
        <v>/settings/staff</v>
      </c>
      <c r="D37" t="str">
        <v>Negative</v>
      </c>
      <c r="E37" t="str">
        <v>Admin</v>
      </c>
      <c r="F37" t="str">
        <v>P2</v>
      </c>
      <c r="G37" t="str">
        <v>P0-D01</v>
      </c>
      <c r="H37" t="str">
        <v>Role-enum gap: insurance/quality roles</v>
      </c>
      <c r="I37" t="str">
        <v>Try to assign 'insurance_executive' or 'quality_officer' to a staff member</v>
      </c>
      <c r="J37" t="str">
        <v>Not selectable — not in app_role enum; log as finding</v>
      </c>
      <c r="K37" t="str">
        <v>Affects insurance/quality RBAC later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>Set up a brand-new QA hospital, enter its masters via Settings, then log in as each role.</v>
      </c>
      <c r="W37" t="str">
        <v>observe missing roles</v>
      </c>
    </row>
    <row r="38">
      <c r="A38" t="str">
        <v>P0-E01</v>
      </c>
      <c r="B38" t="str">
        <v>E. RBAC</v>
      </c>
      <c r="C38" t="str">
        <v>/login</v>
      </c>
      <c r="D38" t="str">
        <v>Positive</v>
      </c>
      <c r="E38" t="str">
        <v>All roles</v>
      </c>
      <c r="F38" t="str">
        <v>P0</v>
      </c>
      <c r="G38" t="str">
        <v>Logins created (D)</v>
      </c>
      <c r="H38" t="str">
        <v>Each role can log in</v>
      </c>
      <c r="I38" t="str">
        <v>Log in as each of the 8 accounts</v>
      </c>
      <c r="J38" t="str">
        <v>All 8 authenticate; land on a permitted page</v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>Set up a brand-new QA hospital, enter its masters via Settings, then log in as each role.</v>
      </c>
      <c r="W38" t="str">
        <v>8 accounts</v>
      </c>
    </row>
    <row r="39">
      <c r="A39" t="str">
        <v>P0-E02</v>
      </c>
      <c r="B39" t="str">
        <v>E. RBAC</v>
      </c>
      <c r="C39" t="str">
        <v>Sidebar nav</v>
      </c>
      <c r="D39" t="str">
        <v>Positive</v>
      </c>
      <c r="E39" t="str">
        <v>Doctor</v>
      </c>
      <c r="F39" t="str">
        <v>P1</v>
      </c>
      <c r="G39" t="str">
        <v>Doctor login</v>
      </c>
      <c r="H39" t="str">
        <v>Doctor sees clinical nav</v>
      </c>
      <c r="I39" t="str">
        <v>Login as doctor</v>
      </c>
      <c r="J39" t="str">
        <v>OPD/IPD/patients visible; settings hidden</v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>Set up a brand-new QA hospital, enter its masters via Settings, then log in as each role.</v>
      </c>
      <c r="W39" t="str">
        <v>—</v>
      </c>
    </row>
    <row r="40">
      <c r="A40" t="str">
        <v>P0-E03</v>
      </c>
      <c r="B40" t="str">
        <v>E. RBAC</v>
      </c>
      <c r="C40" t="str">
        <v>/settings</v>
      </c>
      <c r="D40" t="str">
        <v>RBAC</v>
      </c>
      <c r="E40" t="str">
        <v>Nurse</v>
      </c>
      <c r="F40" t="str">
        <v>P0</v>
      </c>
      <c r="G40" t="str">
        <v>Nurse login</v>
      </c>
      <c r="H40" t="str">
        <v>Nurse blocked from Settings</v>
      </c>
      <c r="I40" t="str">
        <v>As nurse, open /settings by URL</v>
      </c>
      <c r="J40" t="str">
        <v>Blocked/redirected (admin-only)</v>
      </c>
      <c r="K40" t="str">
        <v>RoleGuard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>Set up a brand-new QA hospital, enter its masters via Settings, then log in as each role.</v>
      </c>
      <c r="W40" t="str">
        <v>—</v>
      </c>
    </row>
    <row r="41">
      <c r="A41" t="str">
        <v>P0-E04</v>
      </c>
      <c r="B41" t="str">
        <v>E. RBAC</v>
      </c>
      <c r="C41" t="str">
        <v>/accounts</v>
      </c>
      <c r="D41" t="str">
        <v>RBAC</v>
      </c>
      <c r="E41" t="str">
        <v>Receptionist</v>
      </c>
      <c r="F41" t="str">
        <v>P0</v>
      </c>
      <c r="G41" t="str">
        <v>Recep login</v>
      </c>
      <c r="H41" t="str">
        <v>Receptionist blocked from Accounts</v>
      </c>
      <c r="I41" t="str">
        <v>As receptionist, open /accounts</v>
      </c>
      <c r="J41" t="str">
        <v>Blocked/redirected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>Set up a brand-new QA hospital, enter its masters via Settings, then log in as each role.</v>
      </c>
      <c r="W41" t="str">
        <v>—</v>
      </c>
    </row>
    <row r="42">
      <c r="A42" t="str">
        <v>P0-E05</v>
      </c>
      <c r="B42" t="str">
        <v>E. RBAC</v>
      </c>
      <c r="C42" t="str">
        <v>/hr</v>
      </c>
      <c r="D42" t="str">
        <v>RBAC</v>
      </c>
      <c r="E42" t="str">
        <v>Lab Tech</v>
      </c>
      <c r="F42" t="str">
        <v>P1</v>
      </c>
      <c r="G42" t="str">
        <v>Lab login</v>
      </c>
      <c r="H42" t="str">
        <v>Lab tech blocked from HR</v>
      </c>
      <c r="I42" t="str">
        <v>As lab tech, open /hr</v>
      </c>
      <c r="J42" t="str">
        <v>Blocked/redirected</v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>Set up a brand-new QA hospital, enter its masters via Settings, then log in as each role.</v>
      </c>
      <c r="W42" t="str">
        <v>—</v>
      </c>
    </row>
    <row r="43">
      <c r="A43" t="str">
        <v>P0-E06</v>
      </c>
      <c r="B43" t="str">
        <v>E. RBAC</v>
      </c>
      <c r="C43" t="str">
        <v>/settings/staff</v>
      </c>
      <c r="D43" t="str">
        <v>RBAC</v>
      </c>
      <c r="E43" t="str">
        <v>Pharmacist</v>
      </c>
      <c r="F43" t="str">
        <v>P1</v>
      </c>
      <c r="G43" t="str">
        <v>Pharma login</v>
      </c>
      <c r="H43" t="str">
        <v>Pharmacist blocked from Staff settings</v>
      </c>
      <c r="I43" t="str">
        <v>As pharmacist, open /settings/staff</v>
      </c>
      <c r="J43" t="str">
        <v>Blocked/redirected</v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>Set up a brand-new QA hospital, enter its masters via Settings, then log in as each role.</v>
      </c>
      <c r="W43" t="str">
        <v>—</v>
      </c>
    </row>
    <row r="44">
      <c r="A44" t="str">
        <v>P0-E07</v>
      </c>
      <c r="B44" t="str">
        <v>E. RBAC</v>
      </c>
      <c r="C44" t="str">
        <v>All routes</v>
      </c>
      <c r="D44" t="str">
        <v>Positive</v>
      </c>
      <c r="E44" t="str">
        <v>Admin</v>
      </c>
      <c r="F44" t="str">
        <v>P1</v>
      </c>
      <c r="G44" t="str">
        <v>Admin login</v>
      </c>
      <c r="H44" t="str">
        <v>Admin bypass reaches everything</v>
      </c>
      <c r="I44" t="str">
        <v>As hospital_admin open /settings, /accounts, /hr</v>
      </c>
      <c r="J44" t="str">
        <v>All reachable (BYPASS_ROLES)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>Set up a brand-new QA hospital, enter its masters via Settings, then log in as each role.</v>
      </c>
      <c r="W44" t="str">
        <v>—</v>
      </c>
    </row>
    <row r="45">
      <c r="A45" t="str">
        <v>P0-E08</v>
      </c>
      <c r="B45" t="str">
        <v>E. RBAC</v>
      </c>
      <c r="C45" t="str">
        <v>QA Tenant #2</v>
      </c>
      <c r="D45" t="str">
        <v>RBAC</v>
      </c>
      <c r="E45" t="str">
        <v>Admin</v>
      </c>
      <c r="F45" t="str">
        <v>P1</v>
      </c>
      <c r="G45" t="str">
        <v>Both tenants exist</v>
      </c>
      <c r="H45" t="str">
        <v>Prep multi-tenancy check</v>
      </c>
      <c r="I45" t="str">
        <v>Add 1 patient in Tenant #2; note its name</v>
      </c>
      <c r="J45" t="str">
        <v>Recorded for Phase 12 isolation test</v>
      </c>
      <c r="K45" t="str">
        <v>Cross-tenant isolation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>Set up a brand-new QA hospital, enter its masters via Settings, then log in as each role.</v>
      </c>
      <c r="W45" t="str">
        <v>1 patient in Tenant2</v>
      </c>
    </row>
    <row r="46">
      <c r="A46" t="str">
        <v>P0-E09</v>
      </c>
      <c r="B46" t="str">
        <v>E. RBAC</v>
      </c>
      <c r="C46" t="str">
        <v>OnboardingTour (Joyride)</v>
      </c>
      <c r="D46" t="str">
        <v>Positive</v>
      </c>
      <c r="E46" t="str">
        <v>Admin</v>
      </c>
      <c r="F46" t="str">
        <v>P3</v>
      </c>
      <c r="G46" t="str">
        <v>First visit to a tour page</v>
      </c>
      <c r="H46" t="str">
        <v>Guided tour fires + dismiss persists</v>
      </c>
      <c r="I46" t="str">
        <v>On first visit to a page with a tour, complete or skip the tour; reload</v>
      </c>
      <c r="J46" t="str">
        <v>Tour shows once; after finish/skip it doesn't reappear (user_tour_progress)</v>
      </c>
      <c r="K46" t="str">
        <v>New onboarding tour feature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>Set up a brand-new QA hospital, enter its masters via Settings, then log in as each role.</v>
      </c>
      <c r="W46" t="str">
        <v>—</v>
      </c>
    </row>
  </sheetData>
  <autoFilter ref="A1:W46"/>
  <ignoredErrors>
    <ignoredError numberStoredAsText="1" sqref="A1:W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cols>
    <col min="1" max="1" width="26.83203125" customWidth="1"/>
    <col min="2" max="2" width="10.83203125" customWidth="1"/>
    <col min="3" max="3" width="8.83203125" customWidth="1"/>
    <col min="4" max="4" width="8.83203125" customWidth="1"/>
  </cols>
  <sheetData>
    <row r="1">
      <c r="A1" t="str">
        <v>Phase 0 — Summary (auto-calculated)</v>
      </c>
    </row>
    <row r="3">
      <c r="A3" t="str">
        <v>Metric</v>
      </c>
      <c r="B3" t="str">
        <v>Value</v>
      </c>
    </row>
    <row r="4">
      <c r="A4" t="str">
        <v>Total test cases</v>
      </c>
      <c r="B4">
        <f>COUNTA('Test Cases'!A2:A46)</f>
        <v>0</v>
      </c>
    </row>
    <row r="5">
      <c r="A5" t="str">
        <v>PASS</v>
      </c>
      <c r="B5">
        <f>COUNTIF('Test Cases'!L2:L46,"PASS")</f>
        <v>0</v>
      </c>
    </row>
    <row r="6">
      <c r="A6" t="str">
        <v>FAIL</v>
      </c>
      <c r="B6">
        <f>COUNTIF('Test Cases'!L2:L46,"FAIL")</f>
        <v>0</v>
      </c>
    </row>
    <row r="7">
      <c r="A7" t="str">
        <v>BLOCKED</v>
      </c>
      <c r="B7">
        <f>COUNTIF('Test Cases'!L2:L46,"BLOCKED")</f>
        <v>0</v>
      </c>
    </row>
    <row r="8">
      <c r="A8" t="str">
        <v>Not run</v>
      </c>
      <c r="B8">
        <f>COUNTA('Test Cases'!A2:A46)-COUNTIF('Test Cases'!L2:L46,"PASS")-COUNTIF('Test Cases'!L2:L46,"FAIL")-COUNTIF('Test Cases'!L2:L46,"BLOCKED")</f>
        <v>0</v>
      </c>
    </row>
    <row r="9">
      <c r="A9" t="str">
        <v>% complete</v>
      </c>
      <c r="B9" s="1">
        <f>(COUNTIF('Test Cases'!L2:L46,"PASS")+COUNTIF('Test Cases'!L2:L46,"FAIL")+COUNTIF('Test Cases'!L2:L46,"BLOCKED"))/COUNTA('Test Cases'!A2:A46)</f>
        <v>0</v>
      </c>
    </row>
    <row r="10">
      <c r="A10" t="str">
        <v>% pass (of all)</v>
      </c>
      <c r="B10" s="1">
        <f>COUNTIF('Test Cases'!L2:L46,"PASS")/COUNTA('Test Cases'!A2:A46)</f>
        <v>0</v>
      </c>
    </row>
    <row r="11">
      <c r="A11" t="str">
        <v>Supabase verified (Y)</v>
      </c>
      <c r="B11">
        <f>COUNTIF('Test Cases'!R2:R46,"Y")</f>
        <v>0</v>
      </c>
    </row>
    <row r="13">
      <c r="A13" t="str">
        <v>GATE — must be 0 to advance</v>
      </c>
      <c r="B13" t="str">
        <v/>
      </c>
    </row>
    <row r="14">
      <c r="A14" t="str">
        <v>Open P0 (FAIL &amp; P0)</v>
      </c>
      <c r="B14">
        <f>COUNTIFS('Test Cases'!L2:L46,"FAIL",'Test Cases'!M2:M46,"P0")</f>
        <v>0</v>
      </c>
    </row>
    <row r="15">
      <c r="A15" t="str">
        <v>Open P1 (FAIL &amp; P1)</v>
      </c>
      <c r="B15">
        <f>COUNTIFS('Test Cases'!L2:L46,"FAIL",'Test Cases'!M2:M46,"P1")</f>
        <v>0</v>
      </c>
    </row>
    <row r="16">
      <c r="A16" t="str">
        <v>Open P2/P3 (batch)</v>
      </c>
      <c r="B16">
        <f>COUNTIFS('Test Cases'!L2:L46,"FAIL",'Test Cases'!M2:M46,"P2")+COUNTIFS('Test Cases'!L2:L46,"FAIL",'Test Cases'!M2:M46,"P3")</f>
        <v>0</v>
      </c>
    </row>
    <row r="18">
      <c r="A18" t="str">
        <v>By Section</v>
      </c>
      <c r="B18" t="str">
        <v>Total</v>
      </c>
      <c r="C18" t="str">
        <v>Pass</v>
      </c>
      <c r="D18" t="str">
        <v>Fail</v>
      </c>
    </row>
    <row r="19">
      <c r="A19" t="str">
        <v>A. QA Tenant</v>
      </c>
      <c r="B19">
        <f>COUNTIF('Test Cases'!B2:B46,"A. QA Tenant")</f>
        <v>0</v>
      </c>
      <c r="C19">
        <f>COUNTIFS('Test Cases'!B2:B46,"A. QA Tenant",'Test Cases'!L2:L46,"PASS")</f>
        <v>0</v>
      </c>
      <c r="D19">
        <f>COUNTIFS('Test Cases'!B2:B46,"A. QA Tenant",'Test Cases'!L2:L46,"FAIL")</f>
        <v>0</v>
      </c>
    </row>
    <row r="20">
      <c r="A20" t="str">
        <v>B. Onboarding</v>
      </c>
      <c r="B20">
        <f>COUNTIF('Test Cases'!B2:B46,"B. Onboarding")</f>
        <v>0</v>
      </c>
      <c r="C20">
        <f>COUNTIFS('Test Cases'!B2:B46,"B. Onboarding",'Test Cases'!L2:L46,"PASS")</f>
        <v>0</v>
      </c>
      <c r="D20">
        <f>COUNTIFS('Test Cases'!B2:B46,"B. Onboarding",'Test Cases'!L2:L46,"FAIL")</f>
        <v>0</v>
      </c>
    </row>
    <row r="21">
      <c r="A21" t="str">
        <v>C. Masters (Settings)</v>
      </c>
      <c r="B21">
        <f>COUNTIF('Test Cases'!B2:B46,"C. Masters (Settings)")</f>
        <v>0</v>
      </c>
      <c r="C21">
        <f>COUNTIFS('Test Cases'!B2:B46,"C. Masters (Settings)",'Test Cases'!L2:L46,"PASS")</f>
        <v>0</v>
      </c>
      <c r="D21">
        <f>COUNTIFS('Test Cases'!B2:B46,"C. Masters (Settings)",'Test Cases'!L2:L46,"FAIL")</f>
        <v>0</v>
      </c>
    </row>
    <row r="22">
      <c r="A22" t="str">
        <v>D. Logins</v>
      </c>
      <c r="B22">
        <f>COUNTIF('Test Cases'!B2:B46,"D. Logins")</f>
        <v>0</v>
      </c>
      <c r="C22">
        <f>COUNTIFS('Test Cases'!B2:B46,"D. Logins",'Test Cases'!L2:L46,"PASS")</f>
        <v>0</v>
      </c>
      <c r="D22">
        <f>COUNTIFS('Test Cases'!B2:B46,"D. Logins",'Test Cases'!L2:L46,"FAIL")</f>
        <v>0</v>
      </c>
    </row>
    <row r="23">
      <c r="A23" t="str">
        <v>E. RBAC</v>
      </c>
      <c r="B23">
        <f>COUNTIF('Test Cases'!B2:B46,"E. RBAC")</f>
        <v>0</v>
      </c>
      <c r="C23">
        <f>COUNTIFS('Test Cases'!B2:B46,"E. RBAC",'Test Cases'!L2:L46,"PASS")</f>
        <v>0</v>
      </c>
      <c r="D23">
        <f>COUNTIFS('Test Cases'!B2:B46,"E. RBAC",'Test Cases'!L2:L46,"FAIL")</f>
        <v>0</v>
      </c>
    </row>
    <row r="25">
      <c r="A25" t="str">
        <v>By Test Type</v>
      </c>
      <c r="B25" t="str">
        <v>Total</v>
      </c>
      <c r="C25" t="str">
        <v>Pass</v>
      </c>
      <c r="D25" t="str">
        <v>Fail</v>
      </c>
    </row>
    <row r="26">
      <c r="A26" t="str">
        <v>Positive</v>
      </c>
      <c r="B26">
        <f>COUNTIF('Test Cases'!D2:D46,"Positive")</f>
        <v>0</v>
      </c>
      <c r="C26">
        <f>COUNTIFS('Test Cases'!D2:D46,"Positive",'Test Cases'!L2:L46,"PASS")</f>
        <v>0</v>
      </c>
      <c r="D26">
        <f>COUNTIFS('Test Cases'!D2:D46,"Positive",'Test Cases'!L2:L46,"FAIL")</f>
        <v>0</v>
      </c>
    </row>
    <row r="27">
      <c r="A27" t="str">
        <v>Negative</v>
      </c>
      <c r="B27">
        <f>COUNTIF('Test Cases'!D2:D46,"Negative")</f>
        <v>0</v>
      </c>
      <c r="C27">
        <f>COUNTIFS('Test Cases'!D2:D46,"Negative",'Test Cases'!L2:L46,"PASS")</f>
        <v>0</v>
      </c>
      <c r="D27">
        <f>COUNTIFS('Test Cases'!D2:D46,"Negative",'Test Cases'!L2:L46,"FAIL")</f>
        <v>0</v>
      </c>
    </row>
    <row r="28">
      <c r="A28" t="str">
        <v>RBAC</v>
      </c>
      <c r="B28">
        <f>COUNTIF('Test Cases'!D2:D46,"RBAC")</f>
        <v>0</v>
      </c>
      <c r="C28">
        <f>COUNTIFS('Test Cases'!D2:D46,"RBAC",'Test Cases'!L2:L46,"PASS")</f>
        <v>0</v>
      </c>
      <c r="D28">
        <f>COUNTIFS('Test Cases'!D2:D46,"RBAC",'Test Cases'!L2:L46,"FAIL")</f>
        <v>0</v>
      </c>
    </row>
  </sheetData>
  <ignoredErrors>
    <ignoredError numberStoredAsText="1" sqref="A1:D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</cols>
  <sheetData>
    <row r="1">
      <c r="A1" t="str">
        <v>Defect ID</v>
      </c>
      <c r="B1" t="str">
        <v>Date</v>
      </c>
      <c r="C1" t="str">
        <v>Phase</v>
      </c>
      <c r="D1" t="str">
        <v>Section</v>
      </c>
      <c r="E1" t="str">
        <v>Module</v>
      </c>
      <c r="F1" t="str">
        <v>Severity (P0/P1/P2/P3)</v>
      </c>
      <c r="G1" t="str">
        <v>Summary</v>
      </c>
      <c r="H1" t="str">
        <v>Steps to Reproduce</v>
      </c>
      <c r="I1" t="str">
        <v>Console Error</v>
      </c>
      <c r="J1" t="str">
        <v>Owner (agent)</v>
      </c>
      <c r="K1" t="str">
        <v>Status (Open/Fixing/Fixed/Verified)</v>
      </c>
      <c r="L1" t="str">
        <v>Fixed in / Notes</v>
      </c>
    </row>
  </sheetData>
  <autoFilter ref="A1:L1"/>
  <ignoredErrors>
    <ignoredError numberStoredAsText="1" sqref="A1:L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Defect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