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Ledger" sheetId="2" r:id="rId2"/>
  </sheets>
  <definedNames>
    <definedName name="_xlnm._FilterDatabase" localSheetId="1">Ledger!$A$1:$G$175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22.83203125" customWidth="1"/>
    <col min="2" max="2" width="10.83203125" customWidth="1"/>
    <col min="3" max="3" width="10.83203125" customWidth="1"/>
  </cols>
  <sheetData>
    <row r="1">
      <c r="A1" t="str">
        <v>Master Coverage Ledger — Summary</v>
      </c>
    </row>
    <row r="3">
      <c r="A3" t="str">
        <v>Total routes/screens</v>
      </c>
      <c r="B3">
        <f>COUNTA(Ledger!A2:A175)</f>
        <v>0</v>
      </c>
    </row>
    <row r="4">
      <c r="A4" t="str">
        <v>Tested (Y)</v>
      </c>
      <c r="B4">
        <f>COUNTIF(Ledger!D2:D175,"Y")</f>
        <v>0</v>
      </c>
    </row>
    <row r="5">
      <c r="A5" t="str">
        <v>Remaining (N)</v>
      </c>
      <c r="B5">
        <f>COUNTIF(Ledger!D2:D175,"N")</f>
        <v>0</v>
      </c>
    </row>
    <row r="6">
      <c r="A6" t="str">
        <v>% covered</v>
      </c>
      <c r="B6" s="1">
        <f>COUNTIF(Ledger!D2:D175,"Y")/COUNTA(Ledger!A2:A175)</f>
        <v>0</v>
      </c>
    </row>
    <row r="8">
      <c r="A8" t="str">
        <v>By Phase</v>
      </c>
      <c r="B8" t="str">
        <v>Total</v>
      </c>
      <c r="C8" t="str">
        <v>Tested</v>
      </c>
    </row>
    <row r="9">
      <c r="A9" t="str">
        <v>Phase 0</v>
      </c>
      <c r="B9">
        <f>COUNTIF(Ledger!C2:C175,0)</f>
        <v>0</v>
      </c>
      <c r="C9">
        <f>COUNTIFS(Ledger!C2:C175,0,Ledger!D2:D175,"Y")</f>
        <v>0</v>
      </c>
    </row>
    <row r="10">
      <c r="A10" t="str">
        <v>Phase 1</v>
      </c>
      <c r="B10">
        <f>COUNTIF(Ledger!C2:C175,1)</f>
        <v>0</v>
      </c>
      <c r="C10">
        <f>COUNTIFS(Ledger!C2:C175,1,Ledger!D2:D175,"Y")</f>
        <v>0</v>
      </c>
    </row>
    <row r="11">
      <c r="A11" t="str">
        <v>Phase 2</v>
      </c>
      <c r="B11">
        <f>COUNTIF(Ledger!C2:C175,2)</f>
        <v>0</v>
      </c>
      <c r="C11">
        <f>COUNTIFS(Ledger!C2:C175,2,Ledger!D2:D175,"Y")</f>
        <v>0</v>
      </c>
    </row>
    <row r="12">
      <c r="A12" t="str">
        <v>Phase 3</v>
      </c>
      <c r="B12">
        <f>COUNTIF(Ledger!C2:C175,3)</f>
        <v>0</v>
      </c>
      <c r="C12">
        <f>COUNTIFS(Ledger!C2:C175,3,Ledger!D2:D175,"Y")</f>
        <v>0</v>
      </c>
    </row>
    <row r="13">
      <c r="A13" t="str">
        <v>Phase 4</v>
      </c>
      <c r="B13">
        <f>COUNTIF(Ledger!C2:C175,4)</f>
        <v>0</v>
      </c>
      <c r="C13">
        <f>COUNTIFS(Ledger!C2:C175,4,Ledger!D2:D175,"Y")</f>
        <v>0</v>
      </c>
    </row>
    <row r="14">
      <c r="A14" t="str">
        <v>Phase 5</v>
      </c>
      <c r="B14">
        <f>COUNTIF(Ledger!C2:C175,5)</f>
        <v>0</v>
      </c>
      <c r="C14">
        <f>COUNTIFS(Ledger!C2:C175,5,Ledger!D2:D175,"Y")</f>
        <v>0</v>
      </c>
    </row>
    <row r="15">
      <c r="A15" t="str">
        <v>Phase 6</v>
      </c>
      <c r="B15">
        <f>COUNTIF(Ledger!C2:C175,6)</f>
        <v>0</v>
      </c>
      <c r="C15">
        <f>COUNTIFS(Ledger!C2:C175,6,Ledger!D2:D175,"Y")</f>
        <v>0</v>
      </c>
    </row>
    <row r="16">
      <c r="A16" t="str">
        <v>Phase 7</v>
      </c>
      <c r="B16">
        <f>COUNTIF(Ledger!C2:C175,7)</f>
        <v>0</v>
      </c>
      <c r="C16">
        <f>COUNTIFS(Ledger!C2:C175,7,Ledger!D2:D175,"Y")</f>
        <v>0</v>
      </c>
    </row>
    <row r="17">
      <c r="A17" t="str">
        <v>Phase 8</v>
      </c>
      <c r="B17">
        <f>COUNTIF(Ledger!C2:C175,8)</f>
        <v>0</v>
      </c>
      <c r="C17">
        <f>COUNTIFS(Ledger!C2:C175,8,Ledger!D2:D175,"Y")</f>
        <v>0</v>
      </c>
    </row>
    <row r="18">
      <c r="A18" t="str">
        <v>Phase 9</v>
      </c>
      <c r="B18">
        <f>COUNTIF(Ledger!C2:C175,9)</f>
        <v>0</v>
      </c>
      <c r="C18">
        <f>COUNTIFS(Ledger!C2:C175,9,Ledger!D2:D175,"Y")</f>
        <v>0</v>
      </c>
    </row>
    <row r="19">
      <c r="A19" t="str">
        <v>Phase 10</v>
      </c>
      <c r="B19">
        <f>COUNTIF(Ledger!C2:C175,10)</f>
        <v>0</v>
      </c>
      <c r="C19">
        <f>COUNTIFS(Ledger!C2:C175,10,Ledger!D2:D175,"Y")</f>
        <v>0</v>
      </c>
    </row>
    <row r="20">
      <c r="A20" t="str">
        <v>Phase 11</v>
      </c>
      <c r="B20">
        <f>COUNTIF(Ledger!C2:C175,11)</f>
        <v>0</v>
      </c>
      <c r="C20">
        <f>COUNTIFS(Ledger!C2:C175,11,Ledger!D2:D175,"Y")</f>
        <v>0</v>
      </c>
    </row>
    <row r="21">
      <c r="A21" t="str">
        <v>Phase 12</v>
      </c>
      <c r="B21">
        <f>COUNTIF(Ledger!C2:C175,12)</f>
        <v>0</v>
      </c>
      <c r="C21">
        <f>COUNTIFS(Ledger!C2:C175,12,Ledger!D2:D175,"Y")</f>
        <v>0</v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5"/>
  <sheetViews>
    <sheetView workbookViewId="0"/>
  </sheetViews>
  <cols>
    <col min="1" max="1" width="42.83203125" customWidth="1"/>
    <col min="2" max="2" width="38.83203125" customWidth="1"/>
    <col min="3" max="3" width="7.83203125" customWidth="1"/>
    <col min="4" max="4" width="12.83203125" customWidth="1"/>
    <col min="5" max="5" width="22.83203125" customWidth="1"/>
    <col min="6" max="6" width="16.83203125" customWidth="1"/>
    <col min="7" max="7" width="30.83203125" customWidth="1"/>
  </cols>
  <sheetData>
    <row r="1">
      <c r="A1" t="str">
        <v>Route</v>
      </c>
      <c r="B1" t="str">
        <v>Screen / Feature</v>
      </c>
      <c r="C1" t="str">
        <v>Phase</v>
      </c>
      <c r="D1" t="str">
        <v>Tested (Y/N)</v>
      </c>
      <c r="E1" t="str">
        <v>Result (Pass/Fail/Blocked)</v>
      </c>
      <c r="F1" t="str">
        <v>Defect IDs</v>
      </c>
      <c r="G1" t="str">
        <v>Notes</v>
      </c>
    </row>
    <row r="2">
      <c r="A2" t="str">
        <v>/register</v>
      </c>
      <c r="B2" t="str">
        <v>Hospital Registration (tenant creation)</v>
      </c>
      <c r="C2">
        <v>0</v>
      </c>
      <c r="D2" t="str">
        <v>N</v>
      </c>
      <c r="E2" t="str">
        <v/>
      </c>
      <c r="F2" t="str">
        <v/>
      </c>
      <c r="G2" t="str">
        <v/>
      </c>
    </row>
    <row r="3">
      <c r="A3" t="str">
        <v>/setup/onboarding</v>
      </c>
      <c r="B3" t="str">
        <v>Onboarding Wizard (Branding -&gt; Go Live)</v>
      </c>
      <c r="C3">
        <v>0</v>
      </c>
      <c r="D3" t="str">
        <v>N</v>
      </c>
      <c r="E3" t="str">
        <v/>
      </c>
      <c r="F3" t="str">
        <v/>
      </c>
      <c r="G3" t="str">
        <v/>
      </c>
    </row>
    <row r="4">
      <c r="A4" t="str">
        <v>/dashboard</v>
      </c>
      <c r="B4" t="str">
        <v>Dashboard</v>
      </c>
      <c r="C4">
        <v>0</v>
      </c>
      <c r="D4" t="str">
        <v>N</v>
      </c>
      <c r="E4" t="str">
        <v/>
      </c>
      <c r="F4" t="str">
        <v/>
      </c>
      <c r="G4" t="str">
        <v/>
      </c>
    </row>
    <row r="5">
      <c r="A5" t="str">
        <v>/modules</v>
      </c>
      <c r="B5" t="str">
        <v>Modules launcher</v>
      </c>
      <c r="C5">
        <v>0</v>
      </c>
      <c r="D5" t="str">
        <v>N</v>
      </c>
      <c r="E5" t="str">
        <v/>
      </c>
      <c r="F5" t="str">
        <v/>
      </c>
      <c r="G5" t="str">
        <v/>
      </c>
    </row>
    <row r="6">
      <c r="A6" t="str">
        <v>/settings</v>
      </c>
      <c r="B6" t="str">
        <v>Settings home</v>
      </c>
      <c r="C6">
        <v>0</v>
      </c>
      <c r="D6" t="str">
        <v>N</v>
      </c>
      <c r="E6" t="str">
        <v/>
      </c>
      <c r="F6" t="str">
        <v/>
      </c>
      <c r="G6" t="str">
        <v/>
      </c>
    </row>
    <row r="7">
      <c r="A7" t="str">
        <v>/settings/staff</v>
      </c>
      <c r="B7" t="str">
        <v>Staff &amp; Logins</v>
      </c>
      <c r="C7">
        <v>0</v>
      </c>
      <c r="D7" t="str">
        <v>N</v>
      </c>
      <c r="E7" t="str">
        <v/>
      </c>
      <c r="F7" t="str">
        <v/>
      </c>
      <c r="G7" t="str">
        <v/>
      </c>
    </row>
    <row r="8">
      <c r="A8" t="str">
        <v>/settings/departments</v>
      </c>
      <c r="B8" t="str">
        <v>Departments (+ module-derived suggester)</v>
      </c>
      <c r="C8">
        <v>0</v>
      </c>
      <c r="D8" t="str">
        <v>N</v>
      </c>
      <c r="E8" t="str">
        <v/>
      </c>
      <c r="F8" t="str">
        <v/>
      </c>
      <c r="G8" t="str">
        <v/>
      </c>
    </row>
    <row r="9">
      <c r="A9" t="str">
        <v>/settings/wards</v>
      </c>
      <c r="B9" t="str">
        <v>Wards &amp; Beds</v>
      </c>
      <c r="C9">
        <v>0</v>
      </c>
      <c r="D9" t="str">
        <v>N</v>
      </c>
      <c r="E9" t="str">
        <v/>
      </c>
      <c r="F9" t="str">
        <v/>
      </c>
      <c r="G9" t="str">
        <v/>
      </c>
    </row>
    <row r="10">
      <c r="A10" t="str">
        <v>/settings/services</v>
      </c>
      <c r="B10" t="str">
        <v>Services &amp; Rates</v>
      </c>
      <c r="C10">
        <v>0</v>
      </c>
      <c r="D10" t="str">
        <v>N</v>
      </c>
      <c r="E10" t="str">
        <v/>
      </c>
      <c r="F10" t="str">
        <v/>
      </c>
      <c r="G10" t="str">
        <v/>
      </c>
    </row>
    <row r="11">
      <c r="A11" t="str">
        <v>/settings/drugs</v>
      </c>
      <c r="B11" t="str">
        <v>Drug Master</v>
      </c>
      <c r="C11">
        <v>0</v>
      </c>
      <c r="D11" t="str">
        <v>N</v>
      </c>
      <c r="E11" t="str">
        <v/>
      </c>
      <c r="F11" t="str">
        <v/>
      </c>
      <c r="G11" t="str">
        <v/>
      </c>
    </row>
    <row r="12">
      <c r="A12" t="str">
        <v>/settings/lab-tests</v>
      </c>
      <c r="B12" t="str">
        <v>Lab Tests (prices)</v>
      </c>
      <c r="C12">
        <v>0</v>
      </c>
      <c r="D12" t="str">
        <v>N</v>
      </c>
      <c r="E12" t="str">
        <v/>
      </c>
      <c r="F12" t="str">
        <v/>
      </c>
      <c r="G12" t="str">
        <v/>
      </c>
    </row>
    <row r="13">
      <c r="A13" t="str">
        <v>/settings/radiology</v>
      </c>
      <c r="B13" t="str">
        <v>Radiology Modalities</v>
      </c>
      <c r="C13">
        <v>0</v>
      </c>
      <c r="D13" t="str">
        <v>N</v>
      </c>
      <c r="E13" t="str">
        <v/>
      </c>
      <c r="F13" t="str">
        <v/>
      </c>
      <c r="G13" t="str">
        <v/>
      </c>
    </row>
    <row r="14">
      <c r="A14" t="str">
        <v>/settings/doctor-schedules</v>
      </c>
      <c r="B14" t="str">
        <v>Doctor Schedules</v>
      </c>
      <c r="C14">
        <v>0</v>
      </c>
      <c r="D14" t="str">
        <v>N</v>
      </c>
      <c r="E14" t="str">
        <v/>
      </c>
      <c r="F14" t="str">
        <v/>
      </c>
      <c r="G14" t="str">
        <v/>
      </c>
    </row>
    <row r="15">
      <c r="A15" t="str">
        <v>/settings/shifts</v>
      </c>
      <c r="B15" t="str">
        <v>Shifts</v>
      </c>
      <c r="C15">
        <v>0</v>
      </c>
      <c r="D15" t="str">
        <v>N</v>
      </c>
      <c r="E15" t="str">
        <v/>
      </c>
      <c r="F15" t="str">
        <v/>
      </c>
      <c r="G15" t="str">
        <v/>
      </c>
    </row>
    <row r="16">
      <c r="A16" t="str">
        <v>/settings/roles</v>
      </c>
      <c r="B16" t="str">
        <v>Roles</v>
      </c>
      <c r="C16">
        <v>0</v>
      </c>
      <c r="D16" t="str">
        <v>N</v>
      </c>
      <c r="E16" t="str">
        <v/>
      </c>
      <c r="F16" t="str">
        <v/>
      </c>
      <c r="G16" t="str">
        <v/>
      </c>
    </row>
    <row r="17">
      <c r="A17" t="str">
        <v>/settings/config-values</v>
      </c>
      <c r="B17" t="str">
        <v>Configurable Dropdowns</v>
      </c>
      <c r="C17">
        <v>0</v>
      </c>
      <c r="D17" t="str">
        <v>N</v>
      </c>
      <c r="E17" t="str">
        <v/>
      </c>
      <c r="F17" t="str">
        <v/>
      </c>
      <c r="G17" t="str">
        <v/>
      </c>
    </row>
    <row r="18">
      <c r="A18" t="str">
        <v>/settings/modules</v>
      </c>
      <c r="B18" t="str">
        <v>Modules Config</v>
      </c>
      <c r="C18">
        <v>0</v>
      </c>
      <c r="D18" t="str">
        <v>N</v>
      </c>
      <c r="E18" t="str">
        <v/>
      </c>
      <c r="F18" t="str">
        <v/>
      </c>
      <c r="G18" t="str">
        <v/>
      </c>
    </row>
    <row r="19">
      <c r="A19" t="str">
        <v>/settings/payer-masters</v>
      </c>
      <c r="B19" t="str">
        <v>Payer Masters</v>
      </c>
      <c r="C19">
        <v>0</v>
      </c>
      <c r="D19" t="str">
        <v>N</v>
      </c>
      <c r="E19" t="str">
        <v/>
      </c>
      <c r="F19" t="str">
        <v/>
      </c>
      <c r="G19" t="str">
        <v/>
      </c>
    </row>
    <row r="20">
      <c r="A20" t="str">
        <v>/admin/go-live</v>
      </c>
      <c r="B20" t="str">
        <v>Go-Live Checklist</v>
      </c>
      <c r="C20">
        <v>0</v>
      </c>
      <c r="D20" t="str">
        <v>N</v>
      </c>
      <c r="E20" t="str">
        <v/>
      </c>
      <c r="F20" t="str">
        <v/>
      </c>
      <c r="G20" t="str">
        <v/>
      </c>
    </row>
    <row r="21">
      <c r="A21" t="str">
        <v>/patients</v>
      </c>
      <c r="B21" t="str">
        <v>Patients</v>
      </c>
      <c r="C21">
        <v>1</v>
      </c>
      <c r="D21" t="str">
        <v>N</v>
      </c>
      <c r="E21" t="str">
        <v/>
      </c>
      <c r="F21" t="str">
        <v/>
      </c>
      <c r="G21" t="str">
        <v/>
      </c>
    </row>
    <row r="22">
      <c r="A22" t="str">
        <v>/patients/:id/summary</v>
      </c>
      <c r="B22" t="str">
        <v>Patient 360</v>
      </c>
      <c r="C22">
        <v>1</v>
      </c>
      <c r="D22" t="str">
        <v>N</v>
      </c>
      <c r="E22" t="str">
        <v/>
      </c>
      <c r="F22" t="str">
        <v/>
      </c>
      <c r="G22" t="str">
        <v/>
      </c>
    </row>
    <row r="23">
      <c r="A23" t="str">
        <v>/schedule</v>
      </c>
      <c r="B23" t="str">
        <v>Scheduling</v>
      </c>
      <c r="C23">
        <v>1</v>
      </c>
      <c r="D23" t="str">
        <v>N</v>
      </c>
      <c r="E23" t="str">
        <v/>
      </c>
      <c r="F23" t="str">
        <v/>
      </c>
      <c r="G23" t="str">
        <v/>
      </c>
    </row>
    <row r="24">
      <c r="A24" t="str">
        <v>/book/:slug</v>
      </c>
      <c r="B24" t="str">
        <v>Public Appointment Booking</v>
      </c>
      <c r="C24">
        <v>1</v>
      </c>
      <c r="D24" t="str">
        <v>N</v>
      </c>
      <c r="E24" t="str">
        <v/>
      </c>
      <c r="F24" t="str">
        <v/>
      </c>
      <c r="G24" t="str">
        <v/>
      </c>
    </row>
    <row r="25">
      <c r="A25" t="str">
        <v>/packages/book</v>
      </c>
      <c r="B25" t="str">
        <v>Public Package Booking</v>
      </c>
      <c r="C25">
        <v>1</v>
      </c>
      <c r="D25" t="str">
        <v>N</v>
      </c>
      <c r="E25" t="str">
        <v/>
      </c>
      <c r="F25" t="str">
        <v/>
      </c>
      <c r="G25" t="str">
        <v/>
      </c>
    </row>
    <row r="26">
      <c r="A26" t="str">
        <v>/kiosk</v>
      </c>
      <c r="B26" t="str">
        <v>Kiosk Landing</v>
      </c>
      <c r="C26">
        <v>1</v>
      </c>
      <c r="D26" t="str">
        <v>N</v>
      </c>
      <c r="E26" t="str">
        <v/>
      </c>
      <c r="F26" t="str">
        <v/>
      </c>
      <c r="G26" t="str">
        <v/>
      </c>
    </row>
    <row r="27">
      <c r="A27" t="str">
        <v>/kiosk/checkin</v>
      </c>
      <c r="B27" t="str">
        <v>Kiosk Check-in</v>
      </c>
      <c r="C27">
        <v>1</v>
      </c>
      <c r="D27" t="str">
        <v>N</v>
      </c>
      <c r="E27" t="str">
        <v/>
      </c>
      <c r="F27" t="str">
        <v/>
      </c>
      <c r="G27" t="str">
        <v/>
      </c>
    </row>
    <row r="28">
      <c r="A28" t="str">
        <v>/tv</v>
      </c>
      <c r="B28" t="str">
        <v>Advanced Queue Display</v>
      </c>
      <c r="C28">
        <v>1</v>
      </c>
      <c r="D28" t="str">
        <v>N</v>
      </c>
      <c r="E28" t="str">
        <v/>
      </c>
      <c r="F28" t="str">
        <v/>
      </c>
      <c r="G28" t="str">
        <v/>
      </c>
    </row>
    <row r="29">
      <c r="A29" t="str">
        <v>/tv-display</v>
      </c>
      <c r="B29" t="str">
        <v>TV Display</v>
      </c>
      <c r="C29">
        <v>1</v>
      </c>
      <c r="D29" t="str">
        <v>N</v>
      </c>
      <c r="E29" t="str">
        <v/>
      </c>
      <c r="F29" t="str">
        <v/>
      </c>
      <c r="G29" t="str">
        <v/>
      </c>
    </row>
    <row r="30">
      <c r="A30" t="str">
        <v>/ward-board</v>
      </c>
      <c r="B30" t="str">
        <v>Ward Nursing Board</v>
      </c>
      <c r="C30">
        <v>1</v>
      </c>
      <c r="D30" t="str">
        <v>N</v>
      </c>
      <c r="E30" t="str">
        <v/>
      </c>
      <c r="F30" t="str">
        <v/>
      </c>
      <c r="G30" t="str">
        <v/>
      </c>
    </row>
    <row r="31">
      <c r="A31" t="str">
        <v>/abdm</v>
      </c>
      <c r="B31" t="str">
        <v>ABDM Consent Manager</v>
      </c>
      <c r="C31">
        <v>1</v>
      </c>
      <c r="D31" t="str">
        <v>N</v>
      </c>
      <c r="E31" t="str">
        <v/>
      </c>
      <c r="F31" t="str">
        <v/>
      </c>
      <c r="G31" t="str">
        <v/>
      </c>
    </row>
    <row r="32">
      <c r="A32" t="str">
        <v>/settings/abdm</v>
      </c>
      <c r="B32" t="str">
        <v>ABDM Settings</v>
      </c>
      <c r="C32">
        <v>1</v>
      </c>
      <c r="D32" t="str">
        <v>N</v>
      </c>
      <c r="E32" t="str">
        <v/>
      </c>
      <c r="F32" t="str">
        <v/>
      </c>
      <c r="G32" t="str">
        <v/>
      </c>
    </row>
    <row r="33">
      <c r="A33" t="str">
        <v>/opd</v>
      </c>
      <c r="B33" t="str">
        <v>OPD</v>
      </c>
      <c r="C33">
        <v>2</v>
      </c>
      <c r="D33" t="str">
        <v>N</v>
      </c>
      <c r="E33" t="str">
        <v/>
      </c>
      <c r="F33" t="str">
        <v/>
      </c>
      <c r="G33" t="str">
        <v/>
      </c>
    </row>
    <row r="34">
      <c r="A34" t="str">
        <v>/telemedicine</v>
      </c>
      <c r="B34" t="str">
        <v>Telemedicine</v>
      </c>
      <c r="C34">
        <v>2</v>
      </c>
      <c r="D34" t="str">
        <v>N</v>
      </c>
      <c r="E34" t="str">
        <v/>
      </c>
      <c r="F34" t="str">
        <v/>
      </c>
      <c r="G34" t="str">
        <v/>
      </c>
    </row>
    <row r="35">
      <c r="A35" t="str">
        <v>/teleconsult/doctor</v>
      </c>
      <c r="B35" t="str">
        <v>Teleconsult (doctor)</v>
      </c>
      <c r="C35">
        <v>2</v>
      </c>
      <c r="D35" t="str">
        <v>N</v>
      </c>
      <c r="E35" t="str">
        <v/>
      </c>
      <c r="F35" t="str">
        <v/>
      </c>
      <c r="G35" t="str">
        <v/>
      </c>
    </row>
    <row r="36">
      <c r="A36" t="str">
        <v>/join/:sessionId</v>
      </c>
      <c r="B36" t="str">
        <v>Teleconsult (patient join)</v>
      </c>
      <c r="C36">
        <v>2</v>
      </c>
      <c r="D36" t="str">
        <v>N</v>
      </c>
      <c r="E36" t="str">
        <v/>
      </c>
      <c r="F36" t="str">
        <v/>
      </c>
      <c r="G36" t="str">
        <v/>
      </c>
    </row>
    <row r="37">
      <c r="A37" t="str">
        <v>/specialty/anc</v>
      </c>
      <c r="B37" t="str">
        <v>Obstetric ANC EMR</v>
      </c>
      <c r="C37">
        <v>2</v>
      </c>
      <c r="D37" t="str">
        <v>N</v>
      </c>
      <c r="E37" t="str">
        <v/>
      </c>
      <c r="F37" t="str">
        <v/>
      </c>
      <c r="G37" t="str">
        <v/>
      </c>
    </row>
    <row r="38">
      <c r="A38" t="str">
        <v>/specialty/ophthalmology</v>
      </c>
      <c r="B38" t="str">
        <v>Ophthalmology EMR</v>
      </c>
      <c r="C38">
        <v>2</v>
      </c>
      <c r="D38" t="str">
        <v>N</v>
      </c>
      <c r="E38" t="str">
        <v/>
      </c>
      <c r="F38" t="str">
        <v/>
      </c>
      <c r="G38" t="str">
        <v/>
      </c>
    </row>
    <row r="39">
      <c r="A39" t="str">
        <v>/settings/opd-workflow</v>
      </c>
      <c r="B39" t="str">
        <v>OPD Workflow</v>
      </c>
      <c r="C39">
        <v>2</v>
      </c>
      <c r="D39" t="str">
        <v>N</v>
      </c>
      <c r="E39" t="str">
        <v/>
      </c>
      <c r="F39" t="str">
        <v/>
      </c>
      <c r="G39" t="str">
        <v/>
      </c>
    </row>
    <row r="40">
      <c r="A40" t="str">
        <v>/settings/templates</v>
      </c>
      <c r="B40" t="str">
        <v>EMR Templates</v>
      </c>
      <c r="C40">
        <v>2</v>
      </c>
      <c r="D40" t="str">
        <v>N</v>
      </c>
      <c r="E40" t="str">
        <v/>
      </c>
      <c r="F40" t="str">
        <v/>
      </c>
      <c r="G40" t="str">
        <v/>
      </c>
    </row>
    <row r="41">
      <c r="A41" t="str">
        <v>/settings/consent-forms</v>
      </c>
      <c r="B41" t="str">
        <v>Consent Forms</v>
      </c>
      <c r="C41">
        <v>2</v>
      </c>
      <c r="D41" t="str">
        <v>N</v>
      </c>
      <c r="E41" t="str">
        <v/>
      </c>
      <c r="F41" t="str">
        <v/>
      </c>
      <c r="G41" t="str">
        <v/>
      </c>
    </row>
    <row r="42">
      <c r="A42" t="str">
        <v>/lab</v>
      </c>
      <c r="B42" t="str">
        <v>Laboratory</v>
      </c>
      <c r="C42">
        <v>3</v>
      </c>
      <c r="D42" t="str">
        <v>N</v>
      </c>
      <c r="E42" t="str">
        <v/>
      </c>
      <c r="F42" t="str">
        <v/>
      </c>
      <c r="G42" t="str">
        <v/>
      </c>
    </row>
    <row r="43">
      <c r="A43" t="str">
        <v>/radiology</v>
      </c>
      <c r="B43" t="str">
        <v>Radiology</v>
      </c>
      <c r="C43">
        <v>3</v>
      </c>
      <c r="D43" t="str">
        <v>N</v>
      </c>
      <c r="E43" t="str">
        <v/>
      </c>
      <c r="F43" t="str">
        <v/>
      </c>
      <c r="G43" t="str">
        <v/>
      </c>
    </row>
    <row r="44">
      <c r="A44" t="str">
        <v>/radiology/pcpndt-register</v>
      </c>
      <c r="B44" t="str">
        <v>PCPNDT Register</v>
      </c>
      <c r="C44">
        <v>3</v>
      </c>
      <c r="D44" t="str">
        <v>N</v>
      </c>
      <c r="E44" t="str">
        <v/>
      </c>
      <c r="F44" t="str">
        <v/>
      </c>
      <c r="G44" t="str">
        <v/>
      </c>
    </row>
    <row r="45">
      <c r="A45" t="str">
        <v>/pharmacy</v>
      </c>
      <c r="B45" t="str">
        <v>Pharmacy</v>
      </c>
      <c r="C45">
        <v>3</v>
      </c>
      <c r="D45" t="str">
        <v>N</v>
      </c>
      <c r="E45" t="str">
        <v/>
      </c>
      <c r="F45" t="str">
        <v/>
      </c>
      <c r="G45" t="str">
        <v/>
      </c>
    </row>
    <row r="46">
      <c r="A46" t="str">
        <v>/settings/icd-codes</v>
      </c>
      <c r="B46" t="str">
        <v>ICD Codes</v>
      </c>
      <c r="C46">
        <v>3</v>
      </c>
      <c r="D46" t="str">
        <v>N</v>
      </c>
      <c r="E46" t="str">
        <v/>
      </c>
      <c r="F46" t="str">
        <v/>
      </c>
      <c r="G46" t="str">
        <v/>
      </c>
    </row>
    <row r="47">
      <c r="A47" t="str">
        <v>/ipd</v>
      </c>
      <c r="B47" t="str">
        <v>IPD</v>
      </c>
      <c r="C47">
        <v>4</v>
      </c>
      <c r="D47" t="str">
        <v>N</v>
      </c>
      <c r="E47" t="str">
        <v/>
      </c>
      <c r="F47" t="str">
        <v/>
      </c>
      <c r="G47" t="str">
        <v/>
      </c>
    </row>
    <row r="48">
      <c r="A48" t="str">
        <v>/ipd/icu/:admissionId</v>
      </c>
      <c r="B48" t="str">
        <v>ICU Workspace</v>
      </c>
      <c r="C48">
        <v>4</v>
      </c>
      <c r="D48" t="str">
        <v>N</v>
      </c>
      <c r="E48" t="str">
        <v/>
      </c>
      <c r="F48" t="str">
        <v/>
      </c>
      <c r="G48" t="str">
        <v/>
      </c>
    </row>
    <row r="49">
      <c r="A49" t="str">
        <v>/ipd/day-care</v>
      </c>
      <c r="B49" t="str">
        <v>Day Care Unit</v>
      </c>
      <c r="C49">
        <v>4</v>
      </c>
      <c r="D49" t="str">
        <v>N</v>
      </c>
      <c r="E49" t="str">
        <v/>
      </c>
      <c r="F49" t="str">
        <v/>
      </c>
      <c r="G49" t="str">
        <v/>
      </c>
    </row>
    <row r="50">
      <c r="A50" t="str">
        <v>/nursing</v>
      </c>
      <c r="B50" t="str">
        <v>Nursing</v>
      </c>
      <c r="C50">
        <v>4</v>
      </c>
      <c r="D50" t="str">
        <v>N</v>
      </c>
      <c r="E50" t="str">
        <v/>
      </c>
      <c r="F50" t="str">
        <v/>
      </c>
      <c r="G50" t="str">
        <v/>
      </c>
    </row>
    <row r="51">
      <c r="A51" t="str">
        <v>/dietetics</v>
      </c>
      <c r="B51" t="str">
        <v>Dietetics</v>
      </c>
      <c r="C51">
        <v>4</v>
      </c>
      <c r="D51" t="str">
        <v>N</v>
      </c>
      <c r="E51" t="str">
        <v/>
      </c>
      <c r="F51" t="str">
        <v/>
      </c>
      <c r="G51" t="str">
        <v/>
      </c>
    </row>
    <row r="52">
      <c r="A52" t="str">
        <v>/specialty/neonatal</v>
      </c>
      <c r="B52" t="str">
        <v>Neonatal EMR</v>
      </c>
      <c r="C52">
        <v>4</v>
      </c>
      <c r="D52" t="str">
        <v>N</v>
      </c>
      <c r="E52" t="str">
        <v/>
      </c>
      <c r="F52" t="str">
        <v/>
      </c>
      <c r="G52" t="str">
        <v/>
      </c>
    </row>
    <row r="53">
      <c r="A53" t="str">
        <v>/specialty/partograph</v>
      </c>
      <c r="B53" t="str">
        <v>Partograph</v>
      </c>
      <c r="C53">
        <v>4</v>
      </c>
      <c r="D53" t="str">
        <v>N</v>
      </c>
      <c r="E53" t="str">
        <v/>
      </c>
      <c r="F53" t="str">
        <v/>
      </c>
      <c r="G53" t="str">
        <v/>
      </c>
    </row>
    <row r="54">
      <c r="A54" t="str">
        <v>/settings/discharge-workflow</v>
      </c>
      <c r="B54" t="str">
        <v>Discharge Workflow</v>
      </c>
      <c r="C54">
        <v>4</v>
      </c>
      <c r="D54" t="str">
        <v>N</v>
      </c>
      <c r="E54" t="str">
        <v/>
      </c>
      <c r="F54" t="str">
        <v/>
      </c>
      <c r="G54" t="str">
        <v/>
      </c>
    </row>
    <row r="55">
      <c r="A55" t="str">
        <v>/settings/day-care-procedures</v>
      </c>
      <c r="B55" t="str">
        <v>Day Care Procedures</v>
      </c>
      <c r="C55">
        <v>4</v>
      </c>
      <c r="D55" t="str">
        <v>N</v>
      </c>
      <c r="E55" t="str">
        <v/>
      </c>
      <c r="F55" t="str">
        <v/>
      </c>
      <c r="G55" t="str">
        <v/>
      </c>
    </row>
    <row r="56">
      <c r="A56" t="str">
        <v>/settings/clinical-thresholds</v>
      </c>
      <c r="B56" t="str">
        <v>Clinical Thresholds</v>
      </c>
      <c r="C56">
        <v>4</v>
      </c>
      <c r="D56" t="str">
        <v>N</v>
      </c>
      <c r="E56" t="str">
        <v/>
      </c>
      <c r="F56" t="str">
        <v/>
      </c>
      <c r="G56" t="str">
        <v/>
      </c>
    </row>
    <row r="57">
      <c r="A57" t="str">
        <v>/emergency</v>
      </c>
      <c r="B57" t="str">
        <v>Emergency</v>
      </c>
      <c r="C57">
        <v>5</v>
      </c>
      <c r="D57" t="str">
        <v>N</v>
      </c>
      <c r="E57" t="str">
        <v/>
      </c>
      <c r="F57" t="str">
        <v/>
      </c>
      <c r="G57" t="str">
        <v/>
      </c>
    </row>
    <row r="58">
      <c r="A58" t="str">
        <v>/emergency/mci</v>
      </c>
      <c r="B58" t="str">
        <v>MCI Activation</v>
      </c>
      <c r="C58">
        <v>5</v>
      </c>
      <c r="D58" t="str">
        <v>N</v>
      </c>
      <c r="E58" t="str">
        <v/>
      </c>
      <c r="F58" t="str">
        <v/>
      </c>
      <c r="G58" t="str">
        <v/>
      </c>
    </row>
    <row r="59">
      <c r="A59" t="str">
        <v>/ambulance</v>
      </c>
      <c r="B59" t="str">
        <v>Ambulance Service</v>
      </c>
      <c r="C59">
        <v>5</v>
      </c>
      <c r="D59" t="str">
        <v>N</v>
      </c>
      <c r="E59" t="str">
        <v/>
      </c>
      <c r="F59" t="str">
        <v/>
      </c>
      <c r="G59" t="str">
        <v/>
      </c>
    </row>
    <row r="60">
      <c r="A60" t="str">
        <v>/home-care</v>
      </c>
      <c r="B60" t="str">
        <v>Home Care</v>
      </c>
      <c r="C60">
        <v>5</v>
      </c>
      <c r="D60" t="str">
        <v>N</v>
      </c>
      <c r="E60" t="str">
        <v/>
      </c>
      <c r="F60" t="str">
        <v/>
      </c>
      <c r="G60" t="str">
        <v/>
      </c>
    </row>
    <row r="61">
      <c r="A61" t="str">
        <v>/ot</v>
      </c>
      <c r="B61" t="str">
        <v>Operation Theatre</v>
      </c>
      <c r="C61">
        <v>6</v>
      </c>
      <c r="D61" t="str">
        <v>N</v>
      </c>
      <c r="E61" t="str">
        <v/>
      </c>
      <c r="F61" t="str">
        <v/>
      </c>
      <c r="G61" t="str">
        <v/>
      </c>
    </row>
    <row r="62">
      <c r="A62" t="str">
        <v>/specialty/anaesthesia</v>
      </c>
      <c r="B62" t="str">
        <v>Anaesthesia EMR</v>
      </c>
      <c r="C62">
        <v>6</v>
      </c>
      <c r="D62" t="str">
        <v>N</v>
      </c>
      <c r="E62" t="str">
        <v/>
      </c>
      <c r="F62" t="str">
        <v/>
      </c>
      <c r="G62" t="str">
        <v/>
      </c>
    </row>
    <row r="63">
      <c r="A63" t="str">
        <v>/cssd</v>
      </c>
      <c r="B63" t="str">
        <v>CSSD</v>
      </c>
      <c r="C63">
        <v>6</v>
      </c>
      <c r="D63" t="str">
        <v>N</v>
      </c>
      <c r="E63" t="str">
        <v/>
      </c>
      <c r="F63" t="str">
        <v/>
      </c>
      <c r="G63" t="str">
        <v/>
      </c>
    </row>
    <row r="64">
      <c r="A64" t="str">
        <v>/settings/ot-checklist</v>
      </c>
      <c r="B64" t="str">
        <v>OT Checklist</v>
      </c>
      <c r="C64">
        <v>6</v>
      </c>
      <c r="D64" t="str">
        <v>N</v>
      </c>
      <c r="E64" t="str">
        <v/>
      </c>
      <c r="F64" t="str">
        <v/>
      </c>
      <c r="G64" t="str">
        <v/>
      </c>
    </row>
    <row r="65">
      <c r="A65" t="str">
        <v>/billing</v>
      </c>
      <c r="B65" t="str">
        <v>Billing</v>
      </c>
      <c r="C65">
        <v>7</v>
      </c>
      <c r="D65" t="str">
        <v>N</v>
      </c>
      <c r="E65" t="str">
        <v/>
      </c>
      <c r="F65" t="str">
        <v/>
      </c>
      <c r="G65" t="str">
        <v/>
      </c>
    </row>
    <row r="66">
      <c r="A66" t="str">
        <v>/billing/closure</v>
      </c>
      <c r="B66" t="str">
        <v>Day Cash Closure</v>
      </c>
      <c r="C66">
        <v>7</v>
      </c>
      <c r="D66" t="str">
        <v>N</v>
      </c>
      <c r="E66" t="str">
        <v/>
      </c>
      <c r="F66" t="str">
        <v/>
      </c>
      <c r="G66" t="str">
        <v/>
      </c>
    </row>
    <row r="67">
      <c r="A67" t="str">
        <v>/payments</v>
      </c>
      <c r="B67" t="str">
        <v>Payments</v>
      </c>
      <c r="C67">
        <v>7</v>
      </c>
      <c r="D67" t="str">
        <v>N</v>
      </c>
      <c r="E67" t="str">
        <v/>
      </c>
      <c r="F67" t="str">
        <v/>
      </c>
      <c r="G67" t="str">
        <v/>
      </c>
    </row>
    <row r="68">
      <c r="A68" t="str">
        <v>/pay/:token</v>
      </c>
      <c r="B68" t="str">
        <v>Payment Landing (public)</v>
      </c>
      <c r="C68">
        <v>7</v>
      </c>
      <c r="D68" t="str">
        <v>N</v>
      </c>
      <c r="E68" t="str">
        <v/>
      </c>
      <c r="F68" t="str">
        <v/>
      </c>
      <c r="G68" t="str">
        <v/>
      </c>
    </row>
    <row r="69">
      <c r="A69" t="str">
        <v>/insurance</v>
      </c>
      <c r="B69" t="str">
        <v>Insurance</v>
      </c>
      <c r="C69">
        <v>7</v>
      </c>
      <c r="D69" t="str">
        <v>N</v>
      </c>
      <c r="E69" t="str">
        <v/>
      </c>
      <c r="F69" t="str">
        <v/>
      </c>
      <c r="G69" t="str">
        <v/>
      </c>
    </row>
    <row r="70">
      <c r="A70" t="str">
        <v>/pmjay</v>
      </c>
      <c r="B70" t="str">
        <v>PMJAY</v>
      </c>
      <c r="C70">
        <v>7</v>
      </c>
      <c r="D70" t="str">
        <v>N</v>
      </c>
      <c r="E70" t="str">
        <v/>
      </c>
      <c r="F70" t="str">
        <v/>
      </c>
      <c r="G70" t="str">
        <v/>
      </c>
    </row>
    <row r="71">
      <c r="A71" t="str">
        <v>/settings/gst</v>
      </c>
      <c r="B71" t="str">
        <v>GST</v>
      </c>
      <c r="C71">
        <v>7</v>
      </c>
      <c r="D71" t="str">
        <v>N</v>
      </c>
      <c r="E71" t="str">
        <v/>
      </c>
      <c r="F71" t="str">
        <v/>
      </c>
      <c r="G71" t="str">
        <v/>
      </c>
    </row>
    <row r="72">
      <c r="A72" t="str">
        <v>/settings/razorpay</v>
      </c>
      <c r="B72" t="str">
        <v>Razorpay</v>
      </c>
      <c r="C72">
        <v>7</v>
      </c>
      <c r="D72" t="str">
        <v>N</v>
      </c>
      <c r="E72" t="str">
        <v/>
      </c>
      <c r="F72" t="str">
        <v/>
      </c>
      <c r="G72" t="str">
        <v/>
      </c>
    </row>
    <row r="73">
      <c r="A73" t="str">
        <v>/accounts</v>
      </c>
      <c r="B73" t="str">
        <v>Accounts</v>
      </c>
      <c r="C73">
        <v>8</v>
      </c>
      <c r="D73" t="str">
        <v>N</v>
      </c>
      <c r="E73" t="str">
        <v/>
      </c>
      <c r="F73" t="str">
        <v/>
      </c>
      <c r="G73" t="str">
        <v/>
      </c>
    </row>
    <row r="74">
      <c r="A74" t="str">
        <v>/accounts/setup</v>
      </c>
      <c r="B74" t="str">
        <v>Opening Balances</v>
      </c>
      <c r="C74">
        <v>8</v>
      </c>
      <c r="D74" t="str">
        <v>N</v>
      </c>
      <c r="E74" t="str">
        <v/>
      </c>
      <c r="F74" t="str">
        <v/>
      </c>
      <c r="G74" t="str">
        <v/>
      </c>
    </row>
    <row r="75">
      <c r="A75" t="str">
        <v>/accounts/chart-of-accounts</v>
      </c>
      <c r="B75" t="str">
        <v>Chart of Accounts</v>
      </c>
      <c r="C75">
        <v>8</v>
      </c>
      <c r="D75" t="str">
        <v>N</v>
      </c>
      <c r="E75" t="str">
        <v/>
      </c>
      <c r="F75" t="str">
        <v/>
      </c>
      <c r="G75" t="str">
        <v/>
      </c>
    </row>
    <row r="76">
      <c r="A76" t="str">
        <v>/accounts/journal-workbench</v>
      </c>
      <c r="B76" t="str">
        <v>Journal Workbench</v>
      </c>
      <c r="C76">
        <v>8</v>
      </c>
      <c r="D76" t="str">
        <v>N</v>
      </c>
      <c r="E76" t="str">
        <v/>
      </c>
      <c r="F76" t="str">
        <v/>
      </c>
      <c r="G76" t="str">
        <v/>
      </c>
    </row>
    <row r="77">
      <c r="A77" t="str">
        <v>/accounts/cost-centres</v>
      </c>
      <c r="B77" t="str">
        <v>Cost Centres</v>
      </c>
      <c r="C77">
        <v>8</v>
      </c>
      <c r="D77" t="str">
        <v>N</v>
      </c>
      <c r="E77" t="str">
        <v/>
      </c>
      <c r="F77" t="str">
        <v/>
      </c>
      <c r="G77" t="str">
        <v/>
      </c>
    </row>
    <row r="78">
      <c r="A78" t="str">
        <v>/accounts/financial-statements</v>
      </c>
      <c r="B78" t="str">
        <v>Financial Statements</v>
      </c>
      <c r="C78">
        <v>8</v>
      </c>
      <c r="D78" t="str">
        <v>N</v>
      </c>
      <c r="E78" t="str">
        <v/>
      </c>
      <c r="F78" t="str">
        <v/>
      </c>
      <c r="G78" t="str">
        <v/>
      </c>
    </row>
    <row r="79">
      <c r="A79" t="str">
        <v>/accounts/budget</v>
      </c>
      <c r="B79" t="str">
        <v>Budget Management</v>
      </c>
      <c r="C79">
        <v>8</v>
      </c>
      <c r="D79" t="str">
        <v>N</v>
      </c>
      <c r="E79" t="str">
        <v/>
      </c>
      <c r="F79" t="str">
        <v/>
      </c>
      <c r="G79" t="str">
        <v/>
      </c>
    </row>
    <row r="80">
      <c r="A80" t="str">
        <v>/accounts/fixed-assets</v>
      </c>
      <c r="B80" t="str">
        <v>Fixed Assets</v>
      </c>
      <c r="C80">
        <v>8</v>
      </c>
      <c r="D80" t="str">
        <v>N</v>
      </c>
      <c r="E80" t="str">
        <v/>
      </c>
      <c r="F80" t="str">
        <v/>
      </c>
      <c r="G80" t="str">
        <v/>
      </c>
    </row>
    <row r="81">
      <c r="A81" t="str">
        <v>/hr</v>
      </c>
      <c r="B81" t="str">
        <v>HR &amp; Payroll</v>
      </c>
      <c r="C81">
        <v>8</v>
      </c>
      <c r="D81" t="str">
        <v>N</v>
      </c>
      <c r="E81" t="str">
        <v/>
      </c>
      <c r="F81" t="str">
        <v/>
      </c>
      <c r="G81" t="str">
        <v/>
      </c>
    </row>
    <row r="82">
      <c r="A82" t="str">
        <v>/my-hr</v>
      </c>
      <c r="B82" t="str">
        <v>My HR (self-service)</v>
      </c>
      <c r="C82">
        <v>8</v>
      </c>
      <c r="D82" t="str">
        <v>N</v>
      </c>
      <c r="E82" t="str">
        <v/>
      </c>
      <c r="F82" t="str">
        <v/>
      </c>
      <c r="G82" t="str">
        <v/>
      </c>
    </row>
    <row r="83">
      <c r="A83" t="str">
        <v>/inventory</v>
      </c>
      <c r="B83" t="str">
        <v>Inventory</v>
      </c>
      <c r="C83">
        <v>8</v>
      </c>
      <c r="D83" t="str">
        <v>N</v>
      </c>
      <c r="E83" t="str">
        <v/>
      </c>
      <c r="F83" t="str">
        <v/>
      </c>
      <c r="G83" t="str">
        <v/>
      </c>
    </row>
    <row r="84">
      <c r="A84" t="str">
        <v>/inventory/procurement-recommendations</v>
      </c>
      <c r="B84" t="str">
        <v>Procurement Recommendations</v>
      </c>
      <c r="C84">
        <v>8</v>
      </c>
      <c r="D84" t="str">
        <v>N</v>
      </c>
      <c r="E84" t="str">
        <v/>
      </c>
      <c r="F84" t="str">
        <v/>
      </c>
      <c r="G84" t="str">
        <v/>
      </c>
    </row>
    <row r="85">
      <c r="A85" t="str">
        <v>/settings/inventory</v>
      </c>
      <c r="B85" t="str">
        <v>Inventory Settings</v>
      </c>
      <c r="C85">
        <v>8</v>
      </c>
      <c r="D85" t="str">
        <v>N</v>
      </c>
      <c r="E85" t="str">
        <v/>
      </c>
      <c r="F85" t="str">
        <v/>
      </c>
      <c r="G85" t="str">
        <v/>
      </c>
    </row>
    <row r="86">
      <c r="A86" t="str">
        <v>/settings/approvals</v>
      </c>
      <c r="B86" t="str">
        <v>Approvals</v>
      </c>
      <c r="C86">
        <v>8</v>
      </c>
      <c r="D86" t="str">
        <v>N</v>
      </c>
      <c r="E86" t="str">
        <v/>
      </c>
      <c r="F86" t="str">
        <v/>
      </c>
      <c r="G86" t="str">
        <v/>
      </c>
    </row>
    <row r="87">
      <c r="A87" t="str">
        <v>/analytics</v>
      </c>
      <c r="B87" t="str">
        <v>Analytics</v>
      </c>
      <c r="C87">
        <v>9</v>
      </c>
      <c r="D87" t="str">
        <v>N</v>
      </c>
      <c r="E87" t="str">
        <v/>
      </c>
      <c r="F87" t="str">
        <v/>
      </c>
      <c r="G87" t="str">
        <v/>
      </c>
    </row>
    <row r="88">
      <c r="A88" t="str">
        <v>/analytics/forecasts</v>
      </c>
      <c r="B88" t="str">
        <v>Predictive Analytics</v>
      </c>
      <c r="C88">
        <v>9</v>
      </c>
      <c r="D88" t="str">
        <v>N</v>
      </c>
      <c r="E88" t="str">
        <v/>
      </c>
      <c r="F88" t="str">
        <v/>
      </c>
      <c r="G88" t="str">
        <v/>
      </c>
    </row>
    <row r="89">
      <c r="A89" t="str">
        <v>/analytics/population-health</v>
      </c>
      <c r="B89" t="str">
        <v>Population Health</v>
      </c>
      <c r="C89">
        <v>9</v>
      </c>
      <c r="D89" t="str">
        <v>N</v>
      </c>
      <c r="E89" t="str">
        <v/>
      </c>
      <c r="F89" t="str">
        <v/>
      </c>
      <c r="G89" t="str">
        <v/>
      </c>
    </row>
    <row r="90">
      <c r="A90" t="str">
        <v>/analytics/revenue-intelligence</v>
      </c>
      <c r="B90" t="str">
        <v>Revenue Intelligence</v>
      </c>
      <c r="C90">
        <v>9</v>
      </c>
      <c r="D90" t="str">
        <v>N</v>
      </c>
      <c r="E90" t="str">
        <v/>
      </c>
      <c r="F90" t="str">
        <v/>
      </c>
      <c r="G90" t="str">
        <v/>
      </c>
    </row>
    <row r="91">
      <c r="A91" t="str">
        <v>/ai/clinical-intelligence</v>
      </c>
      <c r="B91" t="str">
        <v>AI Clinical Intelligence</v>
      </c>
      <c r="C91">
        <v>9</v>
      </c>
      <c r="D91" t="str">
        <v>N</v>
      </c>
      <c r="E91" t="str">
        <v/>
      </c>
      <c r="F91" t="str">
        <v/>
      </c>
      <c r="G91" t="str">
        <v/>
      </c>
    </row>
    <row r="92">
      <c r="A92" t="str">
        <v>/research</v>
      </c>
      <c r="B92" t="str">
        <v>Research Platform</v>
      </c>
      <c r="C92">
        <v>9</v>
      </c>
      <c r="D92" t="str">
        <v>N</v>
      </c>
      <c r="E92" t="str">
        <v/>
      </c>
      <c r="F92" t="str">
        <v/>
      </c>
      <c r="G92" t="str">
        <v/>
      </c>
    </row>
    <row r="93">
      <c r="A93" t="str">
        <v>/hod-dashboard</v>
      </c>
      <c r="B93" t="str">
        <v>HOD Dashboard</v>
      </c>
      <c r="C93">
        <v>9</v>
      </c>
      <c r="D93" t="str">
        <v>N</v>
      </c>
      <c r="E93" t="str">
        <v/>
      </c>
      <c r="F93" t="str">
        <v/>
      </c>
      <c r="G93" t="str">
        <v/>
      </c>
    </row>
    <row r="94">
      <c r="A94" t="str">
        <v>/ceo-board</v>
      </c>
      <c r="B94" t="str">
        <v>CEO Board</v>
      </c>
      <c r="C94">
        <v>9</v>
      </c>
      <c r="D94" t="str">
        <v>N</v>
      </c>
      <c r="E94" t="str">
        <v/>
      </c>
      <c r="F94" t="str">
        <v/>
      </c>
      <c r="G94" t="str">
        <v/>
      </c>
    </row>
    <row r="95">
      <c r="A95" t="str">
        <v>/settings/ai-features</v>
      </c>
      <c r="B95" t="str">
        <v>AI Features</v>
      </c>
      <c r="C95">
        <v>9</v>
      </c>
      <c r="D95" t="str">
        <v>N</v>
      </c>
      <c r="E95" t="str">
        <v/>
      </c>
      <c r="F95" t="str">
        <v/>
      </c>
      <c r="G95" t="str">
        <v/>
      </c>
    </row>
    <row r="96">
      <c r="A96" t="str">
        <v>/settings/ai-languages</v>
      </c>
      <c r="B96" t="str">
        <v>AI Language Packs</v>
      </c>
      <c r="C96">
        <v>9</v>
      </c>
      <c r="D96" t="str">
        <v>N</v>
      </c>
      <c r="E96" t="str">
        <v/>
      </c>
      <c r="F96" t="str">
        <v/>
      </c>
      <c r="G96" t="str">
        <v/>
      </c>
    </row>
    <row r="97">
      <c r="A97" t="str">
        <v>/blood-bank</v>
      </c>
      <c r="B97" t="str">
        <v>Blood Bank</v>
      </c>
      <c r="C97">
        <v>10</v>
      </c>
      <c r="D97" t="str">
        <v>N</v>
      </c>
      <c r="E97" t="str">
        <v/>
      </c>
      <c r="F97" t="str">
        <v/>
      </c>
      <c r="G97" t="str">
        <v/>
      </c>
    </row>
    <row r="98">
      <c r="A98" t="str">
        <v>/mrd</v>
      </c>
      <c r="B98" t="str">
        <v>Medical Records (MRD)</v>
      </c>
      <c r="C98">
        <v>10</v>
      </c>
      <c r="D98" t="str">
        <v>N</v>
      </c>
      <c r="E98" t="str">
        <v/>
      </c>
      <c r="F98" t="str">
        <v/>
      </c>
      <c r="G98" t="str">
        <v/>
      </c>
    </row>
    <row r="99">
      <c r="A99" t="str">
        <v>/quality</v>
      </c>
      <c r="B99" t="str">
        <v>Quality</v>
      </c>
      <c r="C99">
        <v>10</v>
      </c>
      <c r="D99" t="str">
        <v>N</v>
      </c>
      <c r="E99" t="str">
        <v/>
      </c>
      <c r="F99" t="str">
        <v/>
      </c>
      <c r="G99" t="str">
        <v/>
      </c>
    </row>
    <row r="100">
      <c r="A100" t="str">
        <v>/nabh/compliance</v>
      </c>
      <c r="B100" t="str">
        <v>NABH Compliance Matrix</v>
      </c>
      <c r="C100">
        <v>10</v>
      </c>
      <c r="D100" t="str">
        <v>N</v>
      </c>
      <c r="E100" t="str">
        <v/>
      </c>
      <c r="F100" t="str">
        <v/>
      </c>
      <c r="G100" t="str">
        <v/>
      </c>
    </row>
    <row r="101">
      <c r="A101" t="str">
        <v>/quality/events</v>
      </c>
      <c r="B101" t="str">
        <v>Safety Events</v>
      </c>
      <c r="C101">
        <v>10</v>
      </c>
      <c r="D101" t="str">
        <v>N</v>
      </c>
      <c r="E101" t="str">
        <v/>
      </c>
      <c r="F101" t="str">
        <v/>
      </c>
      <c r="G101" t="str">
        <v/>
      </c>
    </row>
    <row r="102">
      <c r="A102" t="str">
        <v>/ipc/dashboard</v>
      </c>
      <c r="B102" t="str">
        <v>IPC Surveillance</v>
      </c>
      <c r="C102">
        <v>10</v>
      </c>
      <c r="D102" t="str">
        <v>N</v>
      </c>
      <c r="E102" t="str">
        <v/>
      </c>
      <c r="F102" t="str">
        <v/>
      </c>
      <c r="G102" t="str">
        <v/>
      </c>
    </row>
    <row r="103">
      <c r="A103" t="str">
        <v>/quality/clinical-audits</v>
      </c>
      <c r="B103" t="str">
        <v>Clinical Audits</v>
      </c>
      <c r="C103">
        <v>10</v>
      </c>
      <c r="D103" t="str">
        <v>N</v>
      </c>
      <c r="E103" t="str">
        <v/>
      </c>
      <c r="F103" t="str">
        <v/>
      </c>
      <c r="G103" t="str">
        <v/>
      </c>
    </row>
    <row r="104">
      <c r="A104" t="str">
        <v>/quality/qi-projects</v>
      </c>
      <c r="B104" t="str">
        <v>QI Projects</v>
      </c>
      <c r="C104">
        <v>10</v>
      </c>
      <c r="D104" t="str">
        <v>N</v>
      </c>
      <c r="E104" t="str">
        <v/>
      </c>
      <c r="F104" t="str">
        <v/>
      </c>
      <c r="G104" t="str">
        <v/>
      </c>
    </row>
    <row r="105">
      <c r="A105" t="str">
        <v>/quality/committees</v>
      </c>
      <c r="B105" t="str">
        <v>Committees</v>
      </c>
      <c r="C105">
        <v>10</v>
      </c>
      <c r="D105" t="str">
        <v>N</v>
      </c>
      <c r="E105" t="str">
        <v/>
      </c>
      <c r="F105" t="str">
        <v/>
      </c>
      <c r="G105" t="str">
        <v/>
      </c>
    </row>
    <row r="106">
      <c r="A106" t="str">
        <v>/quality/asp</v>
      </c>
      <c r="B106" t="str">
        <v>Antibiotic Stewardship</v>
      </c>
      <c r="C106">
        <v>10</v>
      </c>
      <c r="D106" t="str">
        <v>N</v>
      </c>
      <c r="E106" t="str">
        <v/>
      </c>
      <c r="F106" t="str">
        <v/>
      </c>
      <c r="G106" t="str">
        <v/>
      </c>
    </row>
    <row r="107">
      <c r="A107" t="str">
        <v>/quality/jci</v>
      </c>
      <c r="B107" t="str">
        <v>JCI Accreditation</v>
      </c>
      <c r="C107">
        <v>10</v>
      </c>
      <c r="D107" t="str">
        <v>N</v>
      </c>
      <c r="E107" t="str">
        <v/>
      </c>
      <c r="F107" t="str">
        <v/>
      </c>
      <c r="G107" t="str">
        <v/>
      </c>
    </row>
    <row r="108">
      <c r="A108" t="str">
        <v>/fms/dashboard</v>
      </c>
      <c r="B108" t="str">
        <v>Facility Management</v>
      </c>
      <c r="C108">
        <v>10</v>
      </c>
      <c r="D108" t="str">
        <v>N</v>
      </c>
      <c r="E108" t="str">
        <v/>
      </c>
      <c r="F108" t="str">
        <v/>
      </c>
      <c r="G108" t="str">
        <v/>
      </c>
    </row>
    <row r="109">
      <c r="A109" t="str">
        <v>/housekeeping</v>
      </c>
      <c r="B109" t="str">
        <v>Housekeeping</v>
      </c>
      <c r="C109">
        <v>10</v>
      </c>
      <c r="D109" t="str">
        <v>N</v>
      </c>
      <c r="E109" t="str">
        <v/>
      </c>
      <c r="F109" t="str">
        <v/>
      </c>
      <c r="G109" t="str">
        <v/>
      </c>
    </row>
    <row r="110">
      <c r="A110" t="str">
        <v>/biomedical</v>
      </c>
      <c r="B110" t="str">
        <v>Biomedical</v>
      </c>
      <c r="C110">
        <v>10</v>
      </c>
      <c r="D110" t="str">
        <v>N</v>
      </c>
      <c r="E110" t="str">
        <v/>
      </c>
      <c r="F110" t="str">
        <v/>
      </c>
      <c r="G110" t="str">
        <v/>
      </c>
    </row>
    <row r="111">
      <c r="A111" t="str">
        <v>/crm</v>
      </c>
      <c r="B111" t="str">
        <v>CRM</v>
      </c>
      <c r="C111">
        <v>10</v>
      </c>
      <c r="D111" t="str">
        <v>N</v>
      </c>
      <c r="E111" t="str">
        <v/>
      </c>
      <c r="F111" t="str">
        <v/>
      </c>
      <c r="G111" t="str">
        <v/>
      </c>
    </row>
    <row r="112">
      <c r="A112" t="str">
        <v>/pro</v>
      </c>
      <c r="B112" t="str">
        <v>PRO</v>
      </c>
      <c r="C112">
        <v>10</v>
      </c>
      <c r="D112" t="str">
        <v>N</v>
      </c>
      <c r="E112" t="str">
        <v/>
      </c>
      <c r="F112" t="str">
        <v/>
      </c>
      <c r="G112" t="str">
        <v/>
      </c>
    </row>
    <row r="113">
      <c r="A113" t="str">
        <v>/lms</v>
      </c>
      <c r="B113" t="str">
        <v>LMS</v>
      </c>
      <c r="C113">
        <v>10</v>
      </c>
      <c r="D113" t="str">
        <v>N</v>
      </c>
      <c r="E113" t="str">
        <v/>
      </c>
      <c r="F113" t="str">
        <v/>
      </c>
      <c r="G113" t="str">
        <v/>
      </c>
    </row>
    <row r="114">
      <c r="A114" t="str">
        <v>/hmis</v>
      </c>
      <c r="B114" t="str">
        <v>HMIS</v>
      </c>
      <c r="C114">
        <v>10</v>
      </c>
      <c r="D114" t="str">
        <v>N</v>
      </c>
      <c r="E114" t="str">
        <v/>
      </c>
      <c r="F114" t="str">
        <v/>
      </c>
      <c r="G114" t="str">
        <v/>
      </c>
    </row>
    <row r="115">
      <c r="A115" t="str">
        <v>/mortuary</v>
      </c>
      <c r="B115" t="str">
        <v>Mortuary</v>
      </c>
      <c r="C115">
        <v>10</v>
      </c>
      <c r="D115" t="str">
        <v>N</v>
      </c>
      <c r="E115" t="str">
        <v/>
      </c>
      <c r="F115" t="str">
        <v/>
      </c>
      <c r="G115" t="str">
        <v/>
      </c>
    </row>
    <row r="116">
      <c r="A116" t="str">
        <v>/settings/protocols</v>
      </c>
      <c r="B116" t="str">
        <v>Protocols</v>
      </c>
      <c r="C116">
        <v>10</v>
      </c>
      <c r="D116" t="str">
        <v>N</v>
      </c>
      <c r="E116" t="str">
        <v/>
      </c>
      <c r="F116" t="str">
        <v/>
      </c>
      <c r="G116" t="str">
        <v/>
      </c>
    </row>
    <row r="117">
      <c r="A117" t="str">
        <v>/settings/record-retention</v>
      </c>
      <c r="B117" t="str">
        <v>Record Retention</v>
      </c>
      <c r="C117">
        <v>10</v>
      </c>
      <c r="D117" t="str">
        <v>N</v>
      </c>
      <c r="E117" t="str">
        <v/>
      </c>
      <c r="F117" t="str">
        <v/>
      </c>
      <c r="G117" t="str">
        <v/>
      </c>
    </row>
    <row r="118">
      <c r="A118" t="str">
        <v>/settings/report-schedules</v>
      </c>
      <c r="B118" t="str">
        <v>Report Schedules</v>
      </c>
      <c r="C118">
        <v>10</v>
      </c>
      <c r="D118" t="str">
        <v>N</v>
      </c>
      <c r="E118" t="str">
        <v/>
      </c>
      <c r="F118" t="str">
        <v/>
      </c>
      <c r="G118" t="str">
        <v/>
      </c>
    </row>
    <row r="119">
      <c r="A119" t="str">
        <v>/settings/notifications</v>
      </c>
      <c r="B119" t="str">
        <v>Notification Settings</v>
      </c>
      <c r="C119">
        <v>10</v>
      </c>
      <c r="D119" t="str">
        <v>N</v>
      </c>
      <c r="E119" t="str">
        <v/>
      </c>
      <c r="F119" t="str">
        <v/>
      </c>
      <c r="G119" t="str">
        <v/>
      </c>
    </row>
    <row r="120">
      <c r="A120" t="str">
        <v>/dialysis</v>
      </c>
      <c r="B120" t="str">
        <v>Dialysis</v>
      </c>
      <c r="C120">
        <v>11</v>
      </c>
      <c r="D120" t="str">
        <v>N</v>
      </c>
      <c r="E120" t="str">
        <v/>
      </c>
      <c r="F120" t="str">
        <v/>
      </c>
      <c r="G120" t="str">
        <v/>
      </c>
    </row>
    <row r="121">
      <c r="A121" t="str">
        <v>/oncology</v>
      </c>
      <c r="B121" t="str">
        <v>Oncology</v>
      </c>
      <c r="C121">
        <v>11</v>
      </c>
      <c r="D121" t="str">
        <v>N</v>
      </c>
      <c r="E121" t="str">
        <v/>
      </c>
      <c r="F121" t="str">
        <v/>
      </c>
      <c r="G121" t="str">
        <v/>
      </c>
    </row>
    <row r="122">
      <c r="A122" t="str">
        <v>/ivf</v>
      </c>
      <c r="B122" t="str">
        <v>IVF</v>
      </c>
      <c r="C122">
        <v>11</v>
      </c>
      <c r="D122" t="str">
        <v>N</v>
      </c>
      <c r="E122" t="str">
        <v/>
      </c>
      <c r="F122" t="str">
        <v/>
      </c>
      <c r="G122" t="str">
        <v/>
      </c>
    </row>
    <row r="123">
      <c r="A123" t="str">
        <v>/dental</v>
      </c>
      <c r="B123" t="str">
        <v>Dental</v>
      </c>
      <c r="C123">
        <v>11</v>
      </c>
      <c r="D123" t="str">
        <v>N</v>
      </c>
      <c r="E123" t="str">
        <v/>
      </c>
      <c r="F123" t="str">
        <v/>
      </c>
      <c r="G123" t="str">
        <v/>
      </c>
    </row>
    <row r="124">
      <c r="A124" t="str">
        <v>/ayush</v>
      </c>
      <c r="B124" t="str">
        <v>AYUSH</v>
      </c>
      <c r="C124">
        <v>11</v>
      </c>
      <c r="D124" t="str">
        <v>N</v>
      </c>
      <c r="E124" t="str">
        <v/>
      </c>
      <c r="F124" t="str">
        <v/>
      </c>
      <c r="G124" t="str">
        <v/>
      </c>
    </row>
    <row r="125">
      <c r="A125" t="str">
        <v>/mental-health</v>
      </c>
      <c r="B125" t="str">
        <v>Mental Health</v>
      </c>
      <c r="C125">
        <v>11</v>
      </c>
      <c r="D125" t="str">
        <v>N</v>
      </c>
      <c r="E125" t="str">
        <v/>
      </c>
      <c r="F125" t="str">
        <v/>
      </c>
      <c r="G125" t="str">
        <v/>
      </c>
    </row>
    <row r="126">
      <c r="A126" t="str">
        <v>/chronic-disease</v>
      </c>
      <c r="B126" t="str">
        <v>Chronic Disease Management</v>
      </c>
      <c r="C126">
        <v>11</v>
      </c>
      <c r="D126" t="str">
        <v>N</v>
      </c>
      <c r="E126" t="str">
        <v/>
      </c>
      <c r="F126" t="str">
        <v/>
      </c>
      <c r="G126" t="str">
        <v/>
      </c>
    </row>
    <row r="127">
      <c r="A127" t="str">
        <v>/vaccination</v>
      </c>
      <c r="B127" t="str">
        <v>Vaccination</v>
      </c>
      <c r="C127">
        <v>11</v>
      </c>
      <c r="D127" t="str">
        <v>N</v>
      </c>
      <c r="E127" t="str">
        <v/>
      </c>
      <c r="F127" t="str">
        <v/>
      </c>
      <c r="G127" t="str">
        <v/>
      </c>
    </row>
    <row r="128">
      <c r="A128" t="str">
        <v>/physio</v>
      </c>
      <c r="B128" t="str">
        <v>Physiotherapy</v>
      </c>
      <c r="C128">
        <v>11</v>
      </c>
      <c r="D128" t="str">
        <v>N</v>
      </c>
      <c r="E128" t="str">
        <v/>
      </c>
      <c r="F128" t="str">
        <v/>
      </c>
      <c r="G128" t="str">
        <v/>
      </c>
    </row>
    <row r="129">
      <c r="A129" t="str">
        <v>/packages</v>
      </c>
      <c r="B129" t="str">
        <v>Health Packages</v>
      </c>
      <c r="C129">
        <v>11</v>
      </c>
      <c r="D129" t="str">
        <v>N</v>
      </c>
      <c r="E129" t="str">
        <v/>
      </c>
      <c r="F129" t="str">
        <v/>
      </c>
      <c r="G129" t="str">
        <v/>
      </c>
    </row>
    <row r="130">
      <c r="A130" t="str">
        <v>/platform</v>
      </c>
      <c r="B130" t="str">
        <v>Platform Dashboard</v>
      </c>
      <c r="C130">
        <v>12</v>
      </c>
      <c r="D130" t="str">
        <v>N</v>
      </c>
      <c r="E130" t="str">
        <v/>
      </c>
      <c r="F130" t="str">
        <v/>
      </c>
      <c r="G130" t="str">
        <v/>
      </c>
    </row>
    <row r="131">
      <c r="A131" t="str">
        <v>/platform/briefing</v>
      </c>
      <c r="B131" t="str">
        <v>Platform Briefing</v>
      </c>
      <c r="C131">
        <v>12</v>
      </c>
      <c r="D131" t="str">
        <v>N</v>
      </c>
      <c r="E131" t="str">
        <v/>
      </c>
      <c r="F131" t="str">
        <v/>
      </c>
      <c r="G131" t="str">
        <v/>
      </c>
    </row>
    <row r="132">
      <c r="A132" t="str">
        <v>/platform/churn-radar</v>
      </c>
      <c r="B132" t="str">
        <v>Churn Radar</v>
      </c>
      <c r="C132">
        <v>12</v>
      </c>
      <c r="D132" t="str">
        <v>N</v>
      </c>
      <c r="E132" t="str">
        <v/>
      </c>
      <c r="F132" t="str">
        <v/>
      </c>
      <c r="G132" t="str">
        <v/>
      </c>
    </row>
    <row r="133">
      <c r="A133" t="str">
        <v>/platform/hospitals</v>
      </c>
      <c r="B133" t="str">
        <v>Hospitals List</v>
      </c>
      <c r="C133">
        <v>12</v>
      </c>
      <c r="D133" t="str">
        <v>N</v>
      </c>
      <c r="E133" t="str">
        <v/>
      </c>
      <c r="F133" t="str">
        <v/>
      </c>
      <c r="G133" t="str">
        <v/>
      </c>
    </row>
    <row r="134">
      <c r="A134" t="str">
        <v>/platform/hospitals/:id</v>
      </c>
      <c r="B134" t="str">
        <v>Hospital Detail</v>
      </c>
      <c r="C134">
        <v>12</v>
      </c>
      <c r="D134" t="str">
        <v>N</v>
      </c>
      <c r="E134" t="str">
        <v/>
      </c>
      <c r="F134" t="str">
        <v/>
      </c>
      <c r="G134" t="str">
        <v/>
      </c>
    </row>
    <row r="135">
      <c r="A135" t="str">
        <v>/platform/plans</v>
      </c>
      <c r="B135" t="str">
        <v>Plans Manager</v>
      </c>
      <c r="C135">
        <v>12</v>
      </c>
      <c r="D135" t="str">
        <v>N</v>
      </c>
      <c r="E135" t="str">
        <v/>
      </c>
      <c r="F135" t="str">
        <v/>
      </c>
      <c r="G135" t="str">
        <v/>
      </c>
    </row>
    <row r="136">
      <c r="A136" t="str">
        <v>/platform/discounts</v>
      </c>
      <c r="B136" t="str">
        <v>Discounts</v>
      </c>
      <c r="C136">
        <v>12</v>
      </c>
      <c r="D136" t="str">
        <v>N</v>
      </c>
      <c r="E136" t="str">
        <v/>
      </c>
      <c r="F136" t="str">
        <v/>
      </c>
      <c r="G136" t="str">
        <v/>
      </c>
    </row>
    <row r="137">
      <c r="A137" t="str">
        <v>/platform/referrals</v>
      </c>
      <c r="B137" t="str">
        <v>Referrals (NEW)</v>
      </c>
      <c r="C137">
        <v>12</v>
      </c>
      <c r="D137" t="str">
        <v>N</v>
      </c>
      <c r="E137" t="str">
        <v/>
      </c>
      <c r="F137" t="str">
        <v/>
      </c>
      <c r="G137" t="str">
        <v/>
      </c>
    </row>
    <row r="138">
      <c r="A138" t="str">
        <v>/platform/revenue</v>
      </c>
      <c r="B138" t="str">
        <v>Revenue Dashboard</v>
      </c>
      <c r="C138">
        <v>12</v>
      </c>
      <c r="D138" t="str">
        <v>N</v>
      </c>
      <c r="E138" t="str">
        <v/>
      </c>
      <c r="F138" t="str">
        <v/>
      </c>
      <c r="G138" t="str">
        <v/>
      </c>
    </row>
    <row r="139">
      <c r="A139" t="str">
        <v>/platform/ai-performance</v>
      </c>
      <c r="B139" t="str">
        <v>AI Performance</v>
      </c>
      <c r="C139">
        <v>12</v>
      </c>
      <c r="D139" t="str">
        <v>N</v>
      </c>
      <c r="E139" t="str">
        <v/>
      </c>
      <c r="F139" t="str">
        <v/>
      </c>
      <c r="G139" t="str">
        <v/>
      </c>
    </row>
    <row r="140">
      <c r="A140" t="str">
        <v>/platform/api-config</v>
      </c>
      <c r="B140" t="str">
        <v>API Configuration</v>
      </c>
      <c r="C140">
        <v>12</v>
      </c>
      <c r="D140" t="str">
        <v>N</v>
      </c>
      <c r="E140" t="str">
        <v/>
      </c>
      <c r="F140" t="str">
        <v/>
      </c>
      <c r="G140" t="str">
        <v/>
      </c>
    </row>
    <row r="141">
      <c r="A141" t="str">
        <v>/platform/customer-success</v>
      </c>
      <c r="B141" t="str">
        <v>Customer Success</v>
      </c>
      <c r="C141">
        <v>12</v>
      </c>
      <c r="D141" t="str">
        <v>N</v>
      </c>
      <c r="E141" t="str">
        <v/>
      </c>
      <c r="F141" t="str">
        <v/>
      </c>
      <c r="G141" t="str">
        <v/>
      </c>
    </row>
    <row r="142">
      <c r="A142" t="str">
        <v>/platform/mobile</v>
      </c>
      <c r="B142" t="str">
        <v>Mobile App Manager</v>
      </c>
      <c r="C142">
        <v>12</v>
      </c>
      <c r="D142" t="str">
        <v>N</v>
      </c>
      <c r="E142" t="str">
        <v/>
      </c>
      <c r="F142" t="str">
        <v/>
      </c>
      <c r="G142" t="str">
        <v/>
      </c>
    </row>
    <row r="143">
      <c r="A143" t="str">
        <v>/platform/incidents</v>
      </c>
      <c r="B143" t="str">
        <v>Incidents</v>
      </c>
      <c r="C143">
        <v>12</v>
      </c>
      <c r="D143" t="str">
        <v>N</v>
      </c>
      <c r="E143" t="str">
        <v/>
      </c>
      <c r="F143" t="str">
        <v/>
      </c>
      <c r="G143" t="str">
        <v/>
      </c>
    </row>
    <row r="144">
      <c r="A144" t="str">
        <v>/platform/audit</v>
      </c>
      <c r="B144" t="str">
        <v>Audit Log</v>
      </c>
      <c r="C144">
        <v>12</v>
      </c>
      <c r="D144" t="str">
        <v>N</v>
      </c>
      <c r="E144" t="str">
        <v/>
      </c>
      <c r="F144" t="str">
        <v/>
      </c>
      <c r="G144" t="str">
        <v/>
      </c>
    </row>
    <row r="145">
      <c r="A145" t="str">
        <v>/platform/compliance</v>
      </c>
      <c r="B145" t="str">
        <v>Compliance Center</v>
      </c>
      <c r="C145">
        <v>12</v>
      </c>
      <c r="D145" t="str">
        <v>N</v>
      </c>
      <c r="E145" t="str">
        <v/>
      </c>
      <c r="F145" t="str">
        <v/>
      </c>
      <c r="G145" t="str">
        <v/>
      </c>
    </row>
    <row r="146">
      <c r="A146" t="str">
        <v>/platform/automation-rules</v>
      </c>
      <c r="B146" t="str">
        <v>Automation Rules</v>
      </c>
      <c r="C146">
        <v>12</v>
      </c>
      <c r="D146" t="str">
        <v>N</v>
      </c>
      <c r="E146" t="str">
        <v/>
      </c>
      <c r="F146" t="str">
        <v/>
      </c>
      <c r="G146" t="str">
        <v/>
      </c>
    </row>
    <row r="147">
      <c r="A147" t="str">
        <v>/platform/feature-flags</v>
      </c>
      <c r="B147" t="str">
        <v>Feature Flags</v>
      </c>
      <c r="C147">
        <v>12</v>
      </c>
      <c r="D147" t="str">
        <v>N</v>
      </c>
      <c r="E147" t="str">
        <v/>
      </c>
      <c r="F147" t="str">
        <v/>
      </c>
      <c r="G147" t="str">
        <v/>
      </c>
    </row>
    <row r="148">
      <c r="A148" t="str">
        <v>/platform/support</v>
      </c>
      <c r="B148" t="str">
        <v>Support Console</v>
      </c>
      <c r="C148">
        <v>12</v>
      </c>
      <c r="D148" t="str">
        <v>N</v>
      </c>
      <c r="E148" t="str">
        <v/>
      </c>
      <c r="F148" t="str">
        <v/>
      </c>
      <c r="G148" t="str">
        <v/>
      </c>
    </row>
    <row r="149">
      <c r="A149" t="str">
        <v>/platform/settings</v>
      </c>
      <c r="B149" t="str">
        <v>Platform Settings</v>
      </c>
      <c r="C149">
        <v>12</v>
      </c>
      <c r="D149" t="str">
        <v>N</v>
      </c>
      <c r="E149" t="str">
        <v/>
      </c>
      <c r="F149" t="str">
        <v/>
      </c>
      <c r="G149" t="str">
        <v/>
      </c>
    </row>
    <row r="150">
      <c r="A150" t="str">
        <v>/settings/branding</v>
      </c>
      <c r="B150" t="str">
        <v>Branding</v>
      </c>
      <c r="C150">
        <v>12</v>
      </c>
      <c r="D150" t="str">
        <v>N</v>
      </c>
      <c r="E150" t="str">
        <v/>
      </c>
      <c r="F150" t="str">
        <v/>
      </c>
      <c r="G150" t="str">
        <v/>
      </c>
    </row>
    <row r="151">
      <c r="A151" t="str">
        <v>/settings/whatsapp</v>
      </c>
      <c r="B151" t="str">
        <v>WhatsApp</v>
      </c>
      <c r="C151">
        <v>12</v>
      </c>
      <c r="D151" t="str">
        <v>N</v>
      </c>
      <c r="E151" t="str">
        <v/>
      </c>
      <c r="F151" t="str">
        <v/>
      </c>
      <c r="G151" t="str">
        <v/>
      </c>
    </row>
    <row r="152">
      <c r="A152" t="str">
        <v>/settings/language</v>
      </c>
      <c r="B152" t="str">
        <v>Language</v>
      </c>
      <c r="C152">
        <v>12</v>
      </c>
      <c r="D152" t="str">
        <v>N</v>
      </c>
      <c r="E152" t="str">
        <v/>
      </c>
      <c r="F152" t="str">
        <v/>
      </c>
      <c r="G152" t="str">
        <v/>
      </c>
    </row>
    <row r="153">
      <c r="A153" t="str">
        <v>/settings/plan</v>
      </c>
      <c r="B153" t="str">
        <v>Plan &amp; Billing</v>
      </c>
      <c r="C153">
        <v>12</v>
      </c>
      <c r="D153" t="str">
        <v>N</v>
      </c>
      <c r="E153" t="str">
        <v/>
      </c>
      <c r="F153" t="str">
        <v/>
      </c>
      <c r="G153" t="str">
        <v/>
      </c>
    </row>
    <row r="154">
      <c r="A154" t="str">
        <v>/settings/support</v>
      </c>
      <c r="B154" t="str">
        <v>Support</v>
      </c>
      <c r="C154">
        <v>12</v>
      </c>
      <c r="D154" t="str">
        <v>N</v>
      </c>
      <c r="E154" t="str">
        <v/>
      </c>
      <c r="F154" t="str">
        <v/>
      </c>
      <c r="G154" t="str">
        <v/>
      </c>
    </row>
    <row r="155">
      <c r="A155" t="str">
        <v>/settings/training</v>
      </c>
      <c r="B155" t="str">
        <v>Training Videos</v>
      </c>
      <c r="C155">
        <v>12</v>
      </c>
      <c r="D155" t="str">
        <v>N</v>
      </c>
      <c r="E155" t="str">
        <v/>
      </c>
      <c r="F155" t="str">
        <v/>
      </c>
      <c r="G155" t="str">
        <v/>
      </c>
    </row>
    <row r="156">
      <c r="A156" t="str">
        <v>/settings/profile</v>
      </c>
      <c r="B156" t="str">
        <v>Profile</v>
      </c>
      <c r="C156">
        <v>12</v>
      </c>
      <c r="D156" t="str">
        <v>N</v>
      </c>
      <c r="E156" t="str">
        <v/>
      </c>
      <c r="F156" t="str">
        <v/>
      </c>
      <c r="G156" t="str">
        <v/>
      </c>
    </row>
    <row r="157">
      <c r="A157" t="str">
        <v>/settings/hmis-portal</v>
      </c>
      <c r="B157" t="str">
        <v>HMIS Portal</v>
      </c>
      <c r="C157">
        <v>12</v>
      </c>
      <c r="D157" t="str">
        <v>N</v>
      </c>
      <c r="E157" t="str">
        <v/>
      </c>
      <c r="F157" t="str">
        <v/>
      </c>
      <c r="G157" t="str">
        <v/>
      </c>
    </row>
    <row r="158">
      <c r="A158" t="str">
        <v>/settings/backup</v>
      </c>
      <c r="B158" t="str">
        <v>Backup &amp; Export</v>
      </c>
      <c r="C158">
        <v>12</v>
      </c>
      <c r="D158" t="str">
        <v>N</v>
      </c>
      <c r="E158" t="str">
        <v/>
      </c>
      <c r="F158" t="str">
        <v/>
      </c>
      <c r="G158" t="str">
        <v/>
      </c>
    </row>
    <row r="159">
      <c r="A159" t="str">
        <v>/ims/access-logs</v>
      </c>
      <c r="B159" t="str">
        <v>IMS Access Logs</v>
      </c>
      <c r="C159">
        <v>12</v>
      </c>
      <c r="D159" t="str">
        <v>N</v>
      </c>
      <c r="E159" t="str">
        <v/>
      </c>
      <c r="F159" t="str">
        <v/>
      </c>
      <c r="G159" t="str">
        <v/>
      </c>
    </row>
    <row r="160">
      <c r="A160" t="str">
        <v>/settings/change-log</v>
      </c>
      <c r="B160" t="str">
        <v>Config Change Log</v>
      </c>
      <c r="C160">
        <v>12</v>
      </c>
      <c r="D160" t="str">
        <v>N</v>
      </c>
      <c r="E160" t="str">
        <v/>
      </c>
      <c r="F160" t="str">
        <v/>
      </c>
      <c r="G160" t="str">
        <v/>
      </c>
    </row>
    <row r="161">
      <c r="A161" t="str">
        <v>/settings/tv-display</v>
      </c>
      <c r="B161" t="str">
        <v>TV Display &amp; Kiosk</v>
      </c>
      <c r="C161">
        <v>12</v>
      </c>
      <c r="D161" t="str">
        <v>N</v>
      </c>
      <c r="E161" t="str">
        <v/>
      </c>
      <c r="F161" t="str">
        <v/>
      </c>
      <c r="G161" t="str">
        <v/>
      </c>
    </row>
    <row r="162">
      <c r="A162" t="str">
        <v>/settings/api-keys</v>
      </c>
      <c r="B162" t="str">
        <v>API Keys</v>
      </c>
      <c r="C162">
        <v>12</v>
      </c>
      <c r="D162" t="str">
        <v>N</v>
      </c>
      <c r="E162" t="str">
        <v/>
      </c>
      <c r="F162" t="str">
        <v/>
      </c>
      <c r="G162" t="str">
        <v/>
      </c>
    </row>
    <row r="163">
      <c r="A163" t="str">
        <v>/settings/api-portal</v>
      </c>
      <c r="B163" t="str">
        <v>API Portal</v>
      </c>
      <c r="C163">
        <v>12</v>
      </c>
      <c r="D163" t="str">
        <v>N</v>
      </c>
      <c r="E163" t="str">
        <v/>
      </c>
      <c r="F163" t="str">
        <v/>
      </c>
      <c r="G163" t="str">
        <v/>
      </c>
    </row>
    <row r="164">
      <c r="A164" t="str">
        <v>/settings/hl7</v>
      </c>
      <c r="B164" t="str">
        <v>HL7 Integration</v>
      </c>
      <c r="C164">
        <v>12</v>
      </c>
      <c r="D164" t="str">
        <v>N</v>
      </c>
      <c r="E164" t="str">
        <v/>
      </c>
      <c r="F164" t="str">
        <v/>
      </c>
      <c r="G164" t="str">
        <v/>
      </c>
    </row>
    <row r="165">
      <c r="A165" t="str">
        <v>/settings/white-label</v>
      </c>
      <c r="B165" t="str">
        <v>White-Label Branding</v>
      </c>
      <c r="C165">
        <v>12</v>
      </c>
      <c r="D165" t="str">
        <v>N</v>
      </c>
      <c r="E165" t="str">
        <v/>
      </c>
      <c r="F165" t="str">
        <v/>
      </c>
      <c r="G165" t="str">
        <v/>
      </c>
    </row>
    <row r="166">
      <c r="A166" t="str">
        <v>/settings/api-hub</v>
      </c>
      <c r="B166" t="str">
        <v>API Hub</v>
      </c>
      <c r="C166">
        <v>12</v>
      </c>
      <c r="D166" t="str">
        <v>N</v>
      </c>
      <c r="E166" t="str">
        <v/>
      </c>
      <c r="F166" t="str">
        <v/>
      </c>
      <c r="G166" t="str">
        <v/>
      </c>
    </row>
    <row r="167">
      <c r="A167" t="str">
        <v>/settings/integrations</v>
      </c>
      <c r="B167" t="str">
        <v>Integrations Console</v>
      </c>
      <c r="C167">
        <v>12</v>
      </c>
      <c r="D167" t="str">
        <v>N</v>
      </c>
      <c r="E167" t="str">
        <v/>
      </c>
      <c r="F167" t="str">
        <v/>
      </c>
      <c r="G167" t="str">
        <v/>
      </c>
    </row>
    <row r="168">
      <c r="A168" t="str">
        <v>/settings/product-mode</v>
      </c>
      <c r="B168" t="str">
        <v>Product Mode</v>
      </c>
      <c r="C168">
        <v>12</v>
      </c>
      <c r="D168" t="str">
        <v>N</v>
      </c>
      <c r="E168" t="str">
        <v/>
      </c>
      <c r="F168" t="str">
        <v/>
      </c>
      <c r="G168" t="str">
        <v/>
      </c>
    </row>
    <row r="169">
      <c r="A169" t="str">
        <v>/notifications</v>
      </c>
      <c r="B169" t="str">
        <v>Notifications</v>
      </c>
      <c r="C169">
        <v>12</v>
      </c>
      <c r="D169" t="str">
        <v>N</v>
      </c>
      <c r="E169" t="str">
        <v/>
      </c>
      <c r="F169" t="str">
        <v/>
      </c>
      <c r="G169" t="str">
        <v/>
      </c>
    </row>
    <row r="170">
      <c r="A170" t="str">
        <v>/inbox</v>
      </c>
      <c r="B170" t="str">
        <v>Inbox</v>
      </c>
      <c r="C170">
        <v>12</v>
      </c>
      <c r="D170" t="str">
        <v>N</v>
      </c>
      <c r="E170" t="str">
        <v/>
      </c>
      <c r="F170" t="str">
        <v/>
      </c>
      <c r="G170" t="str">
        <v/>
      </c>
    </row>
    <row r="171">
      <c r="A171" t="str">
        <v>/survey/:surveyId</v>
      </c>
      <c r="B171" t="str">
        <v>Public NPS Survey</v>
      </c>
      <c r="C171">
        <v>12</v>
      </c>
      <c r="D171" t="str">
        <v>N</v>
      </c>
      <c r="E171" t="str">
        <v/>
      </c>
      <c r="F171" t="str">
        <v/>
      </c>
      <c r="G171" t="str">
        <v/>
      </c>
    </row>
    <row r="172">
      <c r="A172" t="str">
        <v>/status</v>
      </c>
      <c r="B172" t="str">
        <v>Public Status Page</v>
      </c>
      <c r="C172">
        <v>12</v>
      </c>
      <c r="D172" t="str">
        <v>N</v>
      </c>
      <c r="E172" t="str">
        <v/>
      </c>
      <c r="F172" t="str">
        <v/>
      </c>
      <c r="G172" t="str">
        <v/>
      </c>
    </row>
    <row r="173">
      <c r="A173" t="str">
        <v>/portal/*</v>
      </c>
      <c r="B173" t="str">
        <v>Patient Portal</v>
      </c>
      <c r="C173">
        <v>12</v>
      </c>
      <c r="D173" t="str">
        <v>N</v>
      </c>
      <c r="E173" t="str">
        <v/>
      </c>
      <c r="F173" t="str">
        <v/>
      </c>
      <c r="G173" t="str">
        <v/>
      </c>
    </row>
    <row r="174">
      <c r="A174" t="str">
        <v>/admin/data-migration</v>
      </c>
      <c r="B174" t="str">
        <v>Data Migration</v>
      </c>
      <c r="C174">
        <v>12</v>
      </c>
      <c r="D174" t="str">
        <v>N</v>
      </c>
      <c r="E174" t="str">
        <v/>
      </c>
      <c r="F174" t="str">
        <v/>
      </c>
      <c r="G174" t="str">
        <v/>
      </c>
    </row>
    <row r="175">
      <c r="A175" t="str">
        <v>/design-system</v>
      </c>
      <c r="B175" t="str">
        <v>Design System</v>
      </c>
      <c r="C175">
        <v>12</v>
      </c>
      <c r="D175" t="str">
        <v>N</v>
      </c>
      <c r="E175" t="str">
        <v/>
      </c>
      <c r="F175" t="str">
        <v/>
      </c>
      <c r="G175" t="str">
        <v/>
      </c>
    </row>
  </sheetData>
  <autoFilter ref="A1:G175"/>
  <ignoredErrors>
    <ignoredError numberStoredAsText="1" sqref="A1:G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